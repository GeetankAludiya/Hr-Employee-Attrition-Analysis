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uments\Data Science Projects\Project-2 HR Employee Attrition\"/>
    </mc:Choice>
  </mc:AlternateContent>
  <xr:revisionPtr revIDLastSave="0" documentId="13_ncr:1_{22A38073-EEBE-488E-B20D-B398FFFB39A1}" xr6:coauthVersionLast="47" xr6:coauthVersionMax="47" xr10:uidLastSave="{00000000-0000-0000-0000-000000000000}"/>
  <bookViews>
    <workbookView xWindow="-108" yWindow="-108" windowWidth="23256" windowHeight="13176" activeTab="3" xr2:uid="{D0EAF749-6382-41CD-AACC-92ED25350788}"/>
  </bookViews>
  <sheets>
    <sheet name="Data" sheetId="1" r:id="rId1"/>
    <sheet name="Pivot Tables" sheetId="2" r:id="rId2"/>
    <sheet name="Pivot for Dashboard" sheetId="3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5" i="3" l="1"/>
  <c r="D86" i="3"/>
  <c r="D87" i="3"/>
  <c r="D88" i="3"/>
  <c r="D89" i="3"/>
  <c r="D90" i="3"/>
  <c r="D91" i="3"/>
  <c r="D92" i="3"/>
  <c r="D93" i="3"/>
  <c r="D94" i="3"/>
  <c r="D95" i="3"/>
  <c r="D96" i="3"/>
  <c r="D97" i="3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2" i="1"/>
  <c r="BE1471" i="1"/>
  <c r="BC1471" i="1"/>
  <c r="BA1471" i="1"/>
  <c r="AY1471" i="1"/>
  <c r="AU1471" i="1"/>
  <c r="AS1471" i="1"/>
  <c r="AK1471" i="1"/>
  <c r="AG1471" i="1"/>
  <c r="AE1471" i="1"/>
  <c r="T1471" i="1"/>
  <c r="K1471" i="1"/>
  <c r="H1471" i="1"/>
  <c r="C1471" i="1"/>
  <c r="BE1470" i="1"/>
  <c r="BC1470" i="1"/>
  <c r="BA1470" i="1"/>
  <c r="AY1470" i="1"/>
  <c r="AU1470" i="1"/>
  <c r="AS1470" i="1"/>
  <c r="AK1470" i="1"/>
  <c r="AG1470" i="1"/>
  <c r="AE1470" i="1"/>
  <c r="T1470" i="1"/>
  <c r="K1470" i="1"/>
  <c r="H1470" i="1"/>
  <c r="C1470" i="1"/>
  <c r="BE1469" i="1"/>
  <c r="BC1469" i="1"/>
  <c r="BA1469" i="1"/>
  <c r="AY1469" i="1"/>
  <c r="AU1469" i="1"/>
  <c r="AS1469" i="1"/>
  <c r="AK1469" i="1"/>
  <c r="AG1469" i="1"/>
  <c r="AE1469" i="1"/>
  <c r="T1469" i="1"/>
  <c r="K1469" i="1"/>
  <c r="H1469" i="1"/>
  <c r="C1469" i="1"/>
  <c r="BE1468" i="1"/>
  <c r="BC1468" i="1"/>
  <c r="BA1468" i="1"/>
  <c r="AY1468" i="1"/>
  <c r="AU1468" i="1"/>
  <c r="AS1468" i="1"/>
  <c r="AK1468" i="1"/>
  <c r="AG1468" i="1"/>
  <c r="AE1468" i="1"/>
  <c r="T1468" i="1"/>
  <c r="K1468" i="1"/>
  <c r="H1468" i="1"/>
  <c r="C1468" i="1"/>
  <c r="BE1467" i="1"/>
  <c r="BC1467" i="1"/>
  <c r="BA1467" i="1"/>
  <c r="AY1467" i="1"/>
  <c r="AU1467" i="1"/>
  <c r="AS1467" i="1"/>
  <c r="AK1467" i="1"/>
  <c r="AG1467" i="1"/>
  <c r="AE1467" i="1"/>
  <c r="T1467" i="1"/>
  <c r="K1467" i="1"/>
  <c r="H1467" i="1"/>
  <c r="C1467" i="1"/>
  <c r="BE1466" i="1"/>
  <c r="BC1466" i="1"/>
  <c r="BA1466" i="1"/>
  <c r="AY1466" i="1"/>
  <c r="AU1466" i="1"/>
  <c r="AS1466" i="1"/>
  <c r="AK1466" i="1"/>
  <c r="AG1466" i="1"/>
  <c r="AE1466" i="1"/>
  <c r="T1466" i="1"/>
  <c r="K1466" i="1"/>
  <c r="H1466" i="1"/>
  <c r="C1466" i="1"/>
  <c r="BE1465" i="1"/>
  <c r="BC1465" i="1"/>
  <c r="BA1465" i="1"/>
  <c r="AY1465" i="1"/>
  <c r="AU1465" i="1"/>
  <c r="AS1465" i="1"/>
  <c r="AK1465" i="1"/>
  <c r="AG1465" i="1"/>
  <c r="AE1465" i="1"/>
  <c r="T1465" i="1"/>
  <c r="K1465" i="1"/>
  <c r="H1465" i="1"/>
  <c r="C1465" i="1"/>
  <c r="BE1464" i="1"/>
  <c r="BC1464" i="1"/>
  <c r="BA1464" i="1"/>
  <c r="AY1464" i="1"/>
  <c r="AU1464" i="1"/>
  <c r="AS1464" i="1"/>
  <c r="AK1464" i="1"/>
  <c r="AG1464" i="1"/>
  <c r="AE1464" i="1"/>
  <c r="T1464" i="1"/>
  <c r="K1464" i="1"/>
  <c r="H1464" i="1"/>
  <c r="C1464" i="1"/>
  <c r="BE1463" i="1"/>
  <c r="BC1463" i="1"/>
  <c r="BA1463" i="1"/>
  <c r="AY1463" i="1"/>
  <c r="AU1463" i="1"/>
  <c r="AS1463" i="1"/>
  <c r="AK1463" i="1"/>
  <c r="AG1463" i="1"/>
  <c r="AE1463" i="1"/>
  <c r="T1463" i="1"/>
  <c r="K1463" i="1"/>
  <c r="H1463" i="1"/>
  <c r="C1463" i="1"/>
  <c r="BE1462" i="1"/>
  <c r="BC1462" i="1"/>
  <c r="BA1462" i="1"/>
  <c r="AY1462" i="1"/>
  <c r="AU1462" i="1"/>
  <c r="AS1462" i="1"/>
  <c r="AK1462" i="1"/>
  <c r="AG1462" i="1"/>
  <c r="AE1462" i="1"/>
  <c r="T1462" i="1"/>
  <c r="K1462" i="1"/>
  <c r="H1462" i="1"/>
  <c r="C1462" i="1"/>
  <c r="BE1461" i="1"/>
  <c r="BC1461" i="1"/>
  <c r="BA1461" i="1"/>
  <c r="AY1461" i="1"/>
  <c r="AU1461" i="1"/>
  <c r="AS1461" i="1"/>
  <c r="AK1461" i="1"/>
  <c r="AG1461" i="1"/>
  <c r="AE1461" i="1"/>
  <c r="T1461" i="1"/>
  <c r="K1461" i="1"/>
  <c r="H1461" i="1"/>
  <c r="C1461" i="1"/>
  <c r="BE1460" i="1"/>
  <c r="BC1460" i="1"/>
  <c r="BA1460" i="1"/>
  <c r="AY1460" i="1"/>
  <c r="AU1460" i="1"/>
  <c r="AS1460" i="1"/>
  <c r="AK1460" i="1"/>
  <c r="AG1460" i="1"/>
  <c r="AE1460" i="1"/>
  <c r="T1460" i="1"/>
  <c r="K1460" i="1"/>
  <c r="H1460" i="1"/>
  <c r="C1460" i="1"/>
  <c r="BE1459" i="1"/>
  <c r="BC1459" i="1"/>
  <c r="BA1459" i="1"/>
  <c r="AY1459" i="1"/>
  <c r="AU1459" i="1"/>
  <c r="AS1459" i="1"/>
  <c r="AK1459" i="1"/>
  <c r="AG1459" i="1"/>
  <c r="AE1459" i="1"/>
  <c r="T1459" i="1"/>
  <c r="K1459" i="1"/>
  <c r="H1459" i="1"/>
  <c r="C1459" i="1"/>
  <c r="BE1458" i="1"/>
  <c r="BC1458" i="1"/>
  <c r="BA1458" i="1"/>
  <c r="AY1458" i="1"/>
  <c r="AU1458" i="1"/>
  <c r="AS1458" i="1"/>
  <c r="AK1458" i="1"/>
  <c r="AG1458" i="1"/>
  <c r="AE1458" i="1"/>
  <c r="T1458" i="1"/>
  <c r="K1458" i="1"/>
  <c r="H1458" i="1"/>
  <c r="C1458" i="1"/>
  <c r="BE1457" i="1"/>
  <c r="BC1457" i="1"/>
  <c r="BA1457" i="1"/>
  <c r="AY1457" i="1"/>
  <c r="AU1457" i="1"/>
  <c r="AS1457" i="1"/>
  <c r="AK1457" i="1"/>
  <c r="AG1457" i="1"/>
  <c r="AE1457" i="1"/>
  <c r="T1457" i="1"/>
  <c r="K1457" i="1"/>
  <c r="H1457" i="1"/>
  <c r="C1457" i="1"/>
  <c r="BE1456" i="1"/>
  <c r="BC1456" i="1"/>
  <c r="BA1456" i="1"/>
  <c r="AY1456" i="1"/>
  <c r="AU1456" i="1"/>
  <c r="AS1456" i="1"/>
  <c r="AK1456" i="1"/>
  <c r="AG1456" i="1"/>
  <c r="AE1456" i="1"/>
  <c r="T1456" i="1"/>
  <c r="K1456" i="1"/>
  <c r="H1456" i="1"/>
  <c r="C1456" i="1"/>
  <c r="BE1455" i="1"/>
  <c r="BC1455" i="1"/>
  <c r="BA1455" i="1"/>
  <c r="AY1455" i="1"/>
  <c r="AU1455" i="1"/>
  <c r="AS1455" i="1"/>
  <c r="AK1455" i="1"/>
  <c r="AG1455" i="1"/>
  <c r="AE1455" i="1"/>
  <c r="T1455" i="1"/>
  <c r="K1455" i="1"/>
  <c r="H1455" i="1"/>
  <c r="C1455" i="1"/>
  <c r="BE1454" i="1"/>
  <c r="BC1454" i="1"/>
  <c r="BA1454" i="1"/>
  <c r="AY1454" i="1"/>
  <c r="AU1454" i="1"/>
  <c r="AS1454" i="1"/>
  <c r="AK1454" i="1"/>
  <c r="AG1454" i="1"/>
  <c r="AE1454" i="1"/>
  <c r="T1454" i="1"/>
  <c r="K1454" i="1"/>
  <c r="H1454" i="1"/>
  <c r="C1454" i="1"/>
  <c r="BE1453" i="1"/>
  <c r="BC1453" i="1"/>
  <c r="BA1453" i="1"/>
  <c r="AY1453" i="1"/>
  <c r="AU1453" i="1"/>
  <c r="AS1453" i="1"/>
  <c r="AK1453" i="1"/>
  <c r="AG1453" i="1"/>
  <c r="AE1453" i="1"/>
  <c r="T1453" i="1"/>
  <c r="K1453" i="1"/>
  <c r="H1453" i="1"/>
  <c r="C1453" i="1"/>
  <c r="BE1452" i="1"/>
  <c r="BC1452" i="1"/>
  <c r="BA1452" i="1"/>
  <c r="AY1452" i="1"/>
  <c r="AU1452" i="1"/>
  <c r="AS1452" i="1"/>
  <c r="AK1452" i="1"/>
  <c r="AG1452" i="1"/>
  <c r="AE1452" i="1"/>
  <c r="T1452" i="1"/>
  <c r="K1452" i="1"/>
  <c r="H1452" i="1"/>
  <c r="C1452" i="1"/>
  <c r="BE1451" i="1"/>
  <c r="BC1451" i="1"/>
  <c r="BA1451" i="1"/>
  <c r="AY1451" i="1"/>
  <c r="AU1451" i="1"/>
  <c r="AS1451" i="1"/>
  <c r="AK1451" i="1"/>
  <c r="AG1451" i="1"/>
  <c r="AE1451" i="1"/>
  <c r="T1451" i="1"/>
  <c r="K1451" i="1"/>
  <c r="H1451" i="1"/>
  <c r="C1451" i="1"/>
  <c r="BE1450" i="1"/>
  <c r="BC1450" i="1"/>
  <c r="BA1450" i="1"/>
  <c r="AY1450" i="1"/>
  <c r="AU1450" i="1"/>
  <c r="AS1450" i="1"/>
  <c r="AK1450" i="1"/>
  <c r="AG1450" i="1"/>
  <c r="AE1450" i="1"/>
  <c r="T1450" i="1"/>
  <c r="K1450" i="1"/>
  <c r="H1450" i="1"/>
  <c r="C1450" i="1"/>
  <c r="BE1449" i="1"/>
  <c r="BC1449" i="1"/>
  <c r="BA1449" i="1"/>
  <c r="AY1449" i="1"/>
  <c r="AU1449" i="1"/>
  <c r="AS1449" i="1"/>
  <c r="AK1449" i="1"/>
  <c r="AG1449" i="1"/>
  <c r="AE1449" i="1"/>
  <c r="T1449" i="1"/>
  <c r="K1449" i="1"/>
  <c r="H1449" i="1"/>
  <c r="C1449" i="1"/>
  <c r="BE1448" i="1"/>
  <c r="BC1448" i="1"/>
  <c r="BA1448" i="1"/>
  <c r="AY1448" i="1"/>
  <c r="AU1448" i="1"/>
  <c r="AS1448" i="1"/>
  <c r="AK1448" i="1"/>
  <c r="AG1448" i="1"/>
  <c r="AE1448" i="1"/>
  <c r="T1448" i="1"/>
  <c r="K1448" i="1"/>
  <c r="H1448" i="1"/>
  <c r="C1448" i="1"/>
  <c r="BE1447" i="1"/>
  <c r="BC1447" i="1"/>
  <c r="BA1447" i="1"/>
  <c r="AY1447" i="1"/>
  <c r="AU1447" i="1"/>
  <c r="AS1447" i="1"/>
  <c r="AK1447" i="1"/>
  <c r="AG1447" i="1"/>
  <c r="AE1447" i="1"/>
  <c r="T1447" i="1"/>
  <c r="K1447" i="1"/>
  <c r="H1447" i="1"/>
  <c r="C1447" i="1"/>
  <c r="BE1446" i="1"/>
  <c r="BC1446" i="1"/>
  <c r="BA1446" i="1"/>
  <c r="AY1446" i="1"/>
  <c r="AU1446" i="1"/>
  <c r="AS1446" i="1"/>
  <c r="AK1446" i="1"/>
  <c r="AG1446" i="1"/>
  <c r="AE1446" i="1"/>
  <c r="T1446" i="1"/>
  <c r="K1446" i="1"/>
  <c r="H1446" i="1"/>
  <c r="C1446" i="1"/>
  <c r="BE1445" i="1"/>
  <c r="BC1445" i="1"/>
  <c r="BA1445" i="1"/>
  <c r="AY1445" i="1"/>
  <c r="AU1445" i="1"/>
  <c r="AS1445" i="1"/>
  <c r="AK1445" i="1"/>
  <c r="AG1445" i="1"/>
  <c r="AE1445" i="1"/>
  <c r="T1445" i="1"/>
  <c r="K1445" i="1"/>
  <c r="H1445" i="1"/>
  <c r="C1445" i="1"/>
  <c r="BE1444" i="1"/>
  <c r="BC1444" i="1"/>
  <c r="BA1444" i="1"/>
  <c r="AY1444" i="1"/>
  <c r="AU1444" i="1"/>
  <c r="AS1444" i="1"/>
  <c r="AK1444" i="1"/>
  <c r="AG1444" i="1"/>
  <c r="AE1444" i="1"/>
  <c r="T1444" i="1"/>
  <c r="K1444" i="1"/>
  <c r="H1444" i="1"/>
  <c r="C1444" i="1"/>
  <c r="BE1443" i="1"/>
  <c r="BC1443" i="1"/>
  <c r="BA1443" i="1"/>
  <c r="AY1443" i="1"/>
  <c r="AU1443" i="1"/>
  <c r="AS1443" i="1"/>
  <c r="AK1443" i="1"/>
  <c r="AG1443" i="1"/>
  <c r="AE1443" i="1"/>
  <c r="T1443" i="1"/>
  <c r="K1443" i="1"/>
  <c r="H1443" i="1"/>
  <c r="C1443" i="1"/>
  <c r="BE1442" i="1"/>
  <c r="BC1442" i="1"/>
  <c r="BA1442" i="1"/>
  <c r="AY1442" i="1"/>
  <c r="AU1442" i="1"/>
  <c r="AS1442" i="1"/>
  <c r="AK1442" i="1"/>
  <c r="AG1442" i="1"/>
  <c r="AE1442" i="1"/>
  <c r="T1442" i="1"/>
  <c r="K1442" i="1"/>
  <c r="H1442" i="1"/>
  <c r="C1442" i="1"/>
  <c r="BE1441" i="1"/>
  <c r="BC1441" i="1"/>
  <c r="BA1441" i="1"/>
  <c r="AY1441" i="1"/>
  <c r="AU1441" i="1"/>
  <c r="AS1441" i="1"/>
  <c r="AK1441" i="1"/>
  <c r="AG1441" i="1"/>
  <c r="AE1441" i="1"/>
  <c r="T1441" i="1"/>
  <c r="K1441" i="1"/>
  <c r="H1441" i="1"/>
  <c r="C1441" i="1"/>
  <c r="BE1440" i="1"/>
  <c r="BC1440" i="1"/>
  <c r="BA1440" i="1"/>
  <c r="AY1440" i="1"/>
  <c r="AU1440" i="1"/>
  <c r="AS1440" i="1"/>
  <c r="AK1440" i="1"/>
  <c r="AG1440" i="1"/>
  <c r="AE1440" i="1"/>
  <c r="T1440" i="1"/>
  <c r="K1440" i="1"/>
  <c r="H1440" i="1"/>
  <c r="C1440" i="1"/>
  <c r="BE1439" i="1"/>
  <c r="BC1439" i="1"/>
  <c r="BA1439" i="1"/>
  <c r="AY1439" i="1"/>
  <c r="AU1439" i="1"/>
  <c r="AS1439" i="1"/>
  <c r="AK1439" i="1"/>
  <c r="AG1439" i="1"/>
  <c r="AE1439" i="1"/>
  <c r="T1439" i="1"/>
  <c r="K1439" i="1"/>
  <c r="H1439" i="1"/>
  <c r="C1439" i="1"/>
  <c r="BE1438" i="1"/>
  <c r="BC1438" i="1"/>
  <c r="BA1438" i="1"/>
  <c r="AY1438" i="1"/>
  <c r="AU1438" i="1"/>
  <c r="AS1438" i="1"/>
  <c r="AK1438" i="1"/>
  <c r="AG1438" i="1"/>
  <c r="AE1438" i="1"/>
  <c r="T1438" i="1"/>
  <c r="K1438" i="1"/>
  <c r="H1438" i="1"/>
  <c r="C1438" i="1"/>
  <c r="BE1437" i="1"/>
  <c r="BC1437" i="1"/>
  <c r="BA1437" i="1"/>
  <c r="AY1437" i="1"/>
  <c r="AU1437" i="1"/>
  <c r="AS1437" i="1"/>
  <c r="AK1437" i="1"/>
  <c r="AG1437" i="1"/>
  <c r="AE1437" i="1"/>
  <c r="T1437" i="1"/>
  <c r="K1437" i="1"/>
  <c r="H1437" i="1"/>
  <c r="C1437" i="1"/>
  <c r="BE1436" i="1"/>
  <c r="BC1436" i="1"/>
  <c r="BA1436" i="1"/>
  <c r="AY1436" i="1"/>
  <c r="AU1436" i="1"/>
  <c r="AS1436" i="1"/>
  <c r="AK1436" i="1"/>
  <c r="AG1436" i="1"/>
  <c r="AE1436" i="1"/>
  <c r="T1436" i="1"/>
  <c r="K1436" i="1"/>
  <c r="H1436" i="1"/>
  <c r="C1436" i="1"/>
  <c r="BE1435" i="1"/>
  <c r="BC1435" i="1"/>
  <c r="BA1435" i="1"/>
  <c r="AY1435" i="1"/>
  <c r="AU1435" i="1"/>
  <c r="AS1435" i="1"/>
  <c r="AK1435" i="1"/>
  <c r="AG1435" i="1"/>
  <c r="AE1435" i="1"/>
  <c r="T1435" i="1"/>
  <c r="K1435" i="1"/>
  <c r="H1435" i="1"/>
  <c r="C1435" i="1"/>
  <c r="BE1434" i="1"/>
  <c r="BC1434" i="1"/>
  <c r="BA1434" i="1"/>
  <c r="AY1434" i="1"/>
  <c r="AU1434" i="1"/>
  <c r="AS1434" i="1"/>
  <c r="AK1434" i="1"/>
  <c r="AG1434" i="1"/>
  <c r="AE1434" i="1"/>
  <c r="T1434" i="1"/>
  <c r="K1434" i="1"/>
  <c r="H1434" i="1"/>
  <c r="C1434" i="1"/>
  <c r="BE1433" i="1"/>
  <c r="BC1433" i="1"/>
  <c r="BA1433" i="1"/>
  <c r="AY1433" i="1"/>
  <c r="AU1433" i="1"/>
  <c r="AS1433" i="1"/>
  <c r="AK1433" i="1"/>
  <c r="AG1433" i="1"/>
  <c r="AE1433" i="1"/>
  <c r="T1433" i="1"/>
  <c r="K1433" i="1"/>
  <c r="H1433" i="1"/>
  <c r="C1433" i="1"/>
  <c r="BE1432" i="1"/>
  <c r="BC1432" i="1"/>
  <c r="BA1432" i="1"/>
  <c r="AY1432" i="1"/>
  <c r="AU1432" i="1"/>
  <c r="AS1432" i="1"/>
  <c r="AK1432" i="1"/>
  <c r="AG1432" i="1"/>
  <c r="AE1432" i="1"/>
  <c r="T1432" i="1"/>
  <c r="K1432" i="1"/>
  <c r="H1432" i="1"/>
  <c r="C1432" i="1"/>
  <c r="BE1431" i="1"/>
  <c r="BC1431" i="1"/>
  <c r="BA1431" i="1"/>
  <c r="AY1431" i="1"/>
  <c r="AU1431" i="1"/>
  <c r="AS1431" i="1"/>
  <c r="AK1431" i="1"/>
  <c r="AG1431" i="1"/>
  <c r="AE1431" i="1"/>
  <c r="T1431" i="1"/>
  <c r="K1431" i="1"/>
  <c r="H1431" i="1"/>
  <c r="C1431" i="1"/>
  <c r="BE1430" i="1"/>
  <c r="BC1430" i="1"/>
  <c r="BA1430" i="1"/>
  <c r="AY1430" i="1"/>
  <c r="AU1430" i="1"/>
  <c r="AS1430" i="1"/>
  <c r="AK1430" i="1"/>
  <c r="AG1430" i="1"/>
  <c r="AE1430" i="1"/>
  <c r="T1430" i="1"/>
  <c r="K1430" i="1"/>
  <c r="H1430" i="1"/>
  <c r="C1430" i="1"/>
  <c r="BE1429" i="1"/>
  <c r="BC1429" i="1"/>
  <c r="BA1429" i="1"/>
  <c r="AY1429" i="1"/>
  <c r="AU1429" i="1"/>
  <c r="AS1429" i="1"/>
  <c r="AK1429" i="1"/>
  <c r="AG1429" i="1"/>
  <c r="AE1429" i="1"/>
  <c r="T1429" i="1"/>
  <c r="K1429" i="1"/>
  <c r="H1429" i="1"/>
  <c r="C1429" i="1"/>
  <c r="BE1428" i="1"/>
  <c r="BC1428" i="1"/>
  <c r="BA1428" i="1"/>
  <c r="AY1428" i="1"/>
  <c r="AU1428" i="1"/>
  <c r="AS1428" i="1"/>
  <c r="AK1428" i="1"/>
  <c r="AG1428" i="1"/>
  <c r="AE1428" i="1"/>
  <c r="T1428" i="1"/>
  <c r="K1428" i="1"/>
  <c r="H1428" i="1"/>
  <c r="C1428" i="1"/>
  <c r="BE1427" i="1"/>
  <c r="BC1427" i="1"/>
  <c r="BA1427" i="1"/>
  <c r="AY1427" i="1"/>
  <c r="AU1427" i="1"/>
  <c r="AS1427" i="1"/>
  <c r="AK1427" i="1"/>
  <c r="AG1427" i="1"/>
  <c r="AE1427" i="1"/>
  <c r="T1427" i="1"/>
  <c r="K1427" i="1"/>
  <c r="H1427" i="1"/>
  <c r="C1427" i="1"/>
  <c r="BE1426" i="1"/>
  <c r="BC1426" i="1"/>
  <c r="BA1426" i="1"/>
  <c r="AY1426" i="1"/>
  <c r="AU1426" i="1"/>
  <c r="AS1426" i="1"/>
  <c r="AK1426" i="1"/>
  <c r="AG1426" i="1"/>
  <c r="AE1426" i="1"/>
  <c r="T1426" i="1"/>
  <c r="K1426" i="1"/>
  <c r="H1426" i="1"/>
  <c r="C1426" i="1"/>
  <c r="BE1425" i="1"/>
  <c r="BC1425" i="1"/>
  <c r="BA1425" i="1"/>
  <c r="AY1425" i="1"/>
  <c r="AU1425" i="1"/>
  <c r="AS1425" i="1"/>
  <c r="AK1425" i="1"/>
  <c r="AG1425" i="1"/>
  <c r="AE1425" i="1"/>
  <c r="T1425" i="1"/>
  <c r="K1425" i="1"/>
  <c r="H1425" i="1"/>
  <c r="C1425" i="1"/>
  <c r="BE1424" i="1"/>
  <c r="BC1424" i="1"/>
  <c r="BA1424" i="1"/>
  <c r="AY1424" i="1"/>
  <c r="AU1424" i="1"/>
  <c r="AS1424" i="1"/>
  <c r="AK1424" i="1"/>
  <c r="AG1424" i="1"/>
  <c r="AE1424" i="1"/>
  <c r="T1424" i="1"/>
  <c r="K1424" i="1"/>
  <c r="H1424" i="1"/>
  <c r="C1424" i="1"/>
  <c r="BE1423" i="1"/>
  <c r="BC1423" i="1"/>
  <c r="BA1423" i="1"/>
  <c r="AY1423" i="1"/>
  <c r="AU1423" i="1"/>
  <c r="AS1423" i="1"/>
  <c r="AK1423" i="1"/>
  <c r="AG1423" i="1"/>
  <c r="AE1423" i="1"/>
  <c r="T1423" i="1"/>
  <c r="K1423" i="1"/>
  <c r="H1423" i="1"/>
  <c r="C1423" i="1"/>
  <c r="BE1422" i="1"/>
  <c r="BC1422" i="1"/>
  <c r="BA1422" i="1"/>
  <c r="AY1422" i="1"/>
  <c r="AU1422" i="1"/>
  <c r="AS1422" i="1"/>
  <c r="AK1422" i="1"/>
  <c r="AG1422" i="1"/>
  <c r="AE1422" i="1"/>
  <c r="T1422" i="1"/>
  <c r="K1422" i="1"/>
  <c r="H1422" i="1"/>
  <c r="C1422" i="1"/>
  <c r="BE1421" i="1"/>
  <c r="BC1421" i="1"/>
  <c r="BA1421" i="1"/>
  <c r="AY1421" i="1"/>
  <c r="AU1421" i="1"/>
  <c r="AS1421" i="1"/>
  <c r="AK1421" i="1"/>
  <c r="AG1421" i="1"/>
  <c r="AE1421" i="1"/>
  <c r="T1421" i="1"/>
  <c r="K1421" i="1"/>
  <c r="H1421" i="1"/>
  <c r="C1421" i="1"/>
  <c r="BE1420" i="1"/>
  <c r="BC1420" i="1"/>
  <c r="BA1420" i="1"/>
  <c r="AY1420" i="1"/>
  <c r="AU1420" i="1"/>
  <c r="AS1420" i="1"/>
  <c r="AK1420" i="1"/>
  <c r="AG1420" i="1"/>
  <c r="AE1420" i="1"/>
  <c r="T1420" i="1"/>
  <c r="K1420" i="1"/>
  <c r="H1420" i="1"/>
  <c r="C1420" i="1"/>
  <c r="BE1419" i="1"/>
  <c r="BC1419" i="1"/>
  <c r="BA1419" i="1"/>
  <c r="AY1419" i="1"/>
  <c r="AU1419" i="1"/>
  <c r="AS1419" i="1"/>
  <c r="AK1419" i="1"/>
  <c r="AG1419" i="1"/>
  <c r="AE1419" i="1"/>
  <c r="T1419" i="1"/>
  <c r="K1419" i="1"/>
  <c r="H1419" i="1"/>
  <c r="C1419" i="1"/>
  <c r="BE1418" i="1"/>
  <c r="BC1418" i="1"/>
  <c r="BA1418" i="1"/>
  <c r="AY1418" i="1"/>
  <c r="AU1418" i="1"/>
  <c r="AS1418" i="1"/>
  <c r="AK1418" i="1"/>
  <c r="AG1418" i="1"/>
  <c r="AE1418" i="1"/>
  <c r="T1418" i="1"/>
  <c r="K1418" i="1"/>
  <c r="H1418" i="1"/>
  <c r="C1418" i="1"/>
  <c r="BE1417" i="1"/>
  <c r="BC1417" i="1"/>
  <c r="BA1417" i="1"/>
  <c r="AY1417" i="1"/>
  <c r="AU1417" i="1"/>
  <c r="AS1417" i="1"/>
  <c r="AK1417" i="1"/>
  <c r="AG1417" i="1"/>
  <c r="AE1417" i="1"/>
  <c r="T1417" i="1"/>
  <c r="K1417" i="1"/>
  <c r="H1417" i="1"/>
  <c r="C1417" i="1"/>
  <c r="BE1416" i="1"/>
  <c r="BC1416" i="1"/>
  <c r="BA1416" i="1"/>
  <c r="AY1416" i="1"/>
  <c r="AU1416" i="1"/>
  <c r="AS1416" i="1"/>
  <c r="AK1416" i="1"/>
  <c r="AG1416" i="1"/>
  <c r="AE1416" i="1"/>
  <c r="T1416" i="1"/>
  <c r="K1416" i="1"/>
  <c r="H1416" i="1"/>
  <c r="C1416" i="1"/>
  <c r="BE1415" i="1"/>
  <c r="BC1415" i="1"/>
  <c r="BA1415" i="1"/>
  <c r="AY1415" i="1"/>
  <c r="AU1415" i="1"/>
  <c r="AS1415" i="1"/>
  <c r="AK1415" i="1"/>
  <c r="AG1415" i="1"/>
  <c r="AE1415" i="1"/>
  <c r="T1415" i="1"/>
  <c r="K1415" i="1"/>
  <c r="H1415" i="1"/>
  <c r="C1415" i="1"/>
  <c r="BE1414" i="1"/>
  <c r="BC1414" i="1"/>
  <c r="BA1414" i="1"/>
  <c r="AY1414" i="1"/>
  <c r="AU1414" i="1"/>
  <c r="AS1414" i="1"/>
  <c r="AK1414" i="1"/>
  <c r="AG1414" i="1"/>
  <c r="AE1414" i="1"/>
  <c r="T1414" i="1"/>
  <c r="K1414" i="1"/>
  <c r="H1414" i="1"/>
  <c r="C1414" i="1"/>
  <c r="BE1413" i="1"/>
  <c r="BC1413" i="1"/>
  <c r="BA1413" i="1"/>
  <c r="AY1413" i="1"/>
  <c r="AU1413" i="1"/>
  <c r="AS1413" i="1"/>
  <c r="AK1413" i="1"/>
  <c r="AG1413" i="1"/>
  <c r="AE1413" i="1"/>
  <c r="T1413" i="1"/>
  <c r="K1413" i="1"/>
  <c r="H1413" i="1"/>
  <c r="C1413" i="1"/>
  <c r="BE1412" i="1"/>
  <c r="BC1412" i="1"/>
  <c r="BA1412" i="1"/>
  <c r="AY1412" i="1"/>
  <c r="AU1412" i="1"/>
  <c r="AS1412" i="1"/>
  <c r="AK1412" i="1"/>
  <c r="AG1412" i="1"/>
  <c r="AE1412" i="1"/>
  <c r="T1412" i="1"/>
  <c r="K1412" i="1"/>
  <c r="H1412" i="1"/>
  <c r="C1412" i="1"/>
  <c r="BE1411" i="1"/>
  <c r="BC1411" i="1"/>
  <c r="BA1411" i="1"/>
  <c r="AY1411" i="1"/>
  <c r="AU1411" i="1"/>
  <c r="AS1411" i="1"/>
  <c r="AK1411" i="1"/>
  <c r="AG1411" i="1"/>
  <c r="AE1411" i="1"/>
  <c r="T1411" i="1"/>
  <c r="K1411" i="1"/>
  <c r="H1411" i="1"/>
  <c r="C1411" i="1"/>
  <c r="BE1410" i="1"/>
  <c r="BC1410" i="1"/>
  <c r="BA1410" i="1"/>
  <c r="AY1410" i="1"/>
  <c r="AU1410" i="1"/>
  <c r="AS1410" i="1"/>
  <c r="AK1410" i="1"/>
  <c r="AG1410" i="1"/>
  <c r="AE1410" i="1"/>
  <c r="T1410" i="1"/>
  <c r="K1410" i="1"/>
  <c r="H1410" i="1"/>
  <c r="C1410" i="1"/>
  <c r="BE1409" i="1"/>
  <c r="BC1409" i="1"/>
  <c r="BA1409" i="1"/>
  <c r="AY1409" i="1"/>
  <c r="AU1409" i="1"/>
  <c r="AS1409" i="1"/>
  <c r="AK1409" i="1"/>
  <c r="AG1409" i="1"/>
  <c r="AE1409" i="1"/>
  <c r="T1409" i="1"/>
  <c r="K1409" i="1"/>
  <c r="H1409" i="1"/>
  <c r="C1409" i="1"/>
  <c r="BE1408" i="1"/>
  <c r="BC1408" i="1"/>
  <c r="BA1408" i="1"/>
  <c r="AY1408" i="1"/>
  <c r="AU1408" i="1"/>
  <c r="AS1408" i="1"/>
  <c r="AK1408" i="1"/>
  <c r="AG1408" i="1"/>
  <c r="AE1408" i="1"/>
  <c r="T1408" i="1"/>
  <c r="K1408" i="1"/>
  <c r="H1408" i="1"/>
  <c r="C1408" i="1"/>
  <c r="BE1407" i="1"/>
  <c r="BC1407" i="1"/>
  <c r="BA1407" i="1"/>
  <c r="AY1407" i="1"/>
  <c r="AU1407" i="1"/>
  <c r="AS1407" i="1"/>
  <c r="AK1407" i="1"/>
  <c r="AG1407" i="1"/>
  <c r="AE1407" i="1"/>
  <c r="T1407" i="1"/>
  <c r="K1407" i="1"/>
  <c r="H1407" i="1"/>
  <c r="C1407" i="1"/>
  <c r="BE1406" i="1"/>
  <c r="BC1406" i="1"/>
  <c r="BA1406" i="1"/>
  <c r="AY1406" i="1"/>
  <c r="AU1406" i="1"/>
  <c r="AS1406" i="1"/>
  <c r="AK1406" i="1"/>
  <c r="AG1406" i="1"/>
  <c r="AE1406" i="1"/>
  <c r="T1406" i="1"/>
  <c r="K1406" i="1"/>
  <c r="H1406" i="1"/>
  <c r="C1406" i="1"/>
  <c r="BE1405" i="1"/>
  <c r="BC1405" i="1"/>
  <c r="BA1405" i="1"/>
  <c r="AY1405" i="1"/>
  <c r="AU1405" i="1"/>
  <c r="AS1405" i="1"/>
  <c r="AK1405" i="1"/>
  <c r="AG1405" i="1"/>
  <c r="AE1405" i="1"/>
  <c r="T1405" i="1"/>
  <c r="K1405" i="1"/>
  <c r="H1405" i="1"/>
  <c r="C1405" i="1"/>
  <c r="BE1404" i="1"/>
  <c r="BC1404" i="1"/>
  <c r="BA1404" i="1"/>
  <c r="AY1404" i="1"/>
  <c r="AU1404" i="1"/>
  <c r="AS1404" i="1"/>
  <c r="AK1404" i="1"/>
  <c r="AG1404" i="1"/>
  <c r="AE1404" i="1"/>
  <c r="T1404" i="1"/>
  <c r="K1404" i="1"/>
  <c r="H1404" i="1"/>
  <c r="C1404" i="1"/>
  <c r="BE1403" i="1"/>
  <c r="BC1403" i="1"/>
  <c r="BA1403" i="1"/>
  <c r="AY1403" i="1"/>
  <c r="AU1403" i="1"/>
  <c r="AS1403" i="1"/>
  <c r="AK1403" i="1"/>
  <c r="AG1403" i="1"/>
  <c r="AE1403" i="1"/>
  <c r="T1403" i="1"/>
  <c r="K1403" i="1"/>
  <c r="H1403" i="1"/>
  <c r="C1403" i="1"/>
  <c r="BE1402" i="1"/>
  <c r="BC1402" i="1"/>
  <c r="BA1402" i="1"/>
  <c r="AY1402" i="1"/>
  <c r="AU1402" i="1"/>
  <c r="AS1402" i="1"/>
  <c r="AK1402" i="1"/>
  <c r="AG1402" i="1"/>
  <c r="AE1402" i="1"/>
  <c r="T1402" i="1"/>
  <c r="K1402" i="1"/>
  <c r="H1402" i="1"/>
  <c r="C1402" i="1"/>
  <c r="BE1401" i="1"/>
  <c r="BC1401" i="1"/>
  <c r="BA1401" i="1"/>
  <c r="AY1401" i="1"/>
  <c r="AU1401" i="1"/>
  <c r="AS1401" i="1"/>
  <c r="AK1401" i="1"/>
  <c r="AG1401" i="1"/>
  <c r="AE1401" i="1"/>
  <c r="T1401" i="1"/>
  <c r="K1401" i="1"/>
  <c r="H1401" i="1"/>
  <c r="C1401" i="1"/>
  <c r="BE1400" i="1"/>
  <c r="BC1400" i="1"/>
  <c r="BA1400" i="1"/>
  <c r="AY1400" i="1"/>
  <c r="AU1400" i="1"/>
  <c r="AS1400" i="1"/>
  <c r="AK1400" i="1"/>
  <c r="AG1400" i="1"/>
  <c r="AE1400" i="1"/>
  <c r="T1400" i="1"/>
  <c r="K1400" i="1"/>
  <c r="H1400" i="1"/>
  <c r="C1400" i="1"/>
  <c r="BE1399" i="1"/>
  <c r="BC1399" i="1"/>
  <c r="BA1399" i="1"/>
  <c r="AY1399" i="1"/>
  <c r="AU1399" i="1"/>
  <c r="AS1399" i="1"/>
  <c r="AK1399" i="1"/>
  <c r="AG1399" i="1"/>
  <c r="AE1399" i="1"/>
  <c r="T1399" i="1"/>
  <c r="K1399" i="1"/>
  <c r="H1399" i="1"/>
  <c r="C1399" i="1"/>
  <c r="BE1398" i="1"/>
  <c r="BC1398" i="1"/>
  <c r="BA1398" i="1"/>
  <c r="AY1398" i="1"/>
  <c r="AU1398" i="1"/>
  <c r="AS1398" i="1"/>
  <c r="AK1398" i="1"/>
  <c r="AG1398" i="1"/>
  <c r="AE1398" i="1"/>
  <c r="T1398" i="1"/>
  <c r="K1398" i="1"/>
  <c r="H1398" i="1"/>
  <c r="C1398" i="1"/>
  <c r="BE1397" i="1"/>
  <c r="BC1397" i="1"/>
  <c r="BA1397" i="1"/>
  <c r="AY1397" i="1"/>
  <c r="AU1397" i="1"/>
  <c r="AS1397" i="1"/>
  <c r="AK1397" i="1"/>
  <c r="AG1397" i="1"/>
  <c r="AE1397" i="1"/>
  <c r="T1397" i="1"/>
  <c r="K1397" i="1"/>
  <c r="H1397" i="1"/>
  <c r="C1397" i="1"/>
  <c r="BE1396" i="1"/>
  <c r="BC1396" i="1"/>
  <c r="BA1396" i="1"/>
  <c r="AY1396" i="1"/>
  <c r="AU1396" i="1"/>
  <c r="AS1396" i="1"/>
  <c r="AK1396" i="1"/>
  <c r="AG1396" i="1"/>
  <c r="AE1396" i="1"/>
  <c r="T1396" i="1"/>
  <c r="K1396" i="1"/>
  <c r="H1396" i="1"/>
  <c r="C1396" i="1"/>
  <c r="BE1395" i="1"/>
  <c r="BC1395" i="1"/>
  <c r="BA1395" i="1"/>
  <c r="AY1395" i="1"/>
  <c r="AU1395" i="1"/>
  <c r="AS1395" i="1"/>
  <c r="AK1395" i="1"/>
  <c r="AG1395" i="1"/>
  <c r="AE1395" i="1"/>
  <c r="T1395" i="1"/>
  <c r="K1395" i="1"/>
  <c r="H1395" i="1"/>
  <c r="C1395" i="1"/>
  <c r="BE1394" i="1"/>
  <c r="BC1394" i="1"/>
  <c r="BA1394" i="1"/>
  <c r="AY1394" i="1"/>
  <c r="AU1394" i="1"/>
  <c r="AS1394" i="1"/>
  <c r="AK1394" i="1"/>
  <c r="AG1394" i="1"/>
  <c r="AE1394" i="1"/>
  <c r="T1394" i="1"/>
  <c r="K1394" i="1"/>
  <c r="H1394" i="1"/>
  <c r="C1394" i="1"/>
  <c r="BE1393" i="1"/>
  <c r="BC1393" i="1"/>
  <c r="BA1393" i="1"/>
  <c r="AY1393" i="1"/>
  <c r="AU1393" i="1"/>
  <c r="AS1393" i="1"/>
  <c r="AK1393" i="1"/>
  <c r="AG1393" i="1"/>
  <c r="AE1393" i="1"/>
  <c r="T1393" i="1"/>
  <c r="K1393" i="1"/>
  <c r="H1393" i="1"/>
  <c r="C1393" i="1"/>
  <c r="BE1392" i="1"/>
  <c r="BC1392" i="1"/>
  <c r="BA1392" i="1"/>
  <c r="AY1392" i="1"/>
  <c r="AU1392" i="1"/>
  <c r="AS1392" i="1"/>
  <c r="AK1392" i="1"/>
  <c r="AG1392" i="1"/>
  <c r="AE1392" i="1"/>
  <c r="T1392" i="1"/>
  <c r="K1392" i="1"/>
  <c r="H1392" i="1"/>
  <c r="C1392" i="1"/>
  <c r="BE1391" i="1"/>
  <c r="BC1391" i="1"/>
  <c r="BA1391" i="1"/>
  <c r="AY1391" i="1"/>
  <c r="AU1391" i="1"/>
  <c r="AS1391" i="1"/>
  <c r="AK1391" i="1"/>
  <c r="AG1391" i="1"/>
  <c r="AE1391" i="1"/>
  <c r="T1391" i="1"/>
  <c r="K1391" i="1"/>
  <c r="H1391" i="1"/>
  <c r="C1391" i="1"/>
  <c r="BE1390" i="1"/>
  <c r="BC1390" i="1"/>
  <c r="BA1390" i="1"/>
  <c r="AY1390" i="1"/>
  <c r="AU1390" i="1"/>
  <c r="AS1390" i="1"/>
  <c r="AK1390" i="1"/>
  <c r="AG1390" i="1"/>
  <c r="AE1390" i="1"/>
  <c r="T1390" i="1"/>
  <c r="K1390" i="1"/>
  <c r="H1390" i="1"/>
  <c r="C1390" i="1"/>
  <c r="BE1389" i="1"/>
  <c r="BC1389" i="1"/>
  <c r="BA1389" i="1"/>
  <c r="AY1389" i="1"/>
  <c r="AU1389" i="1"/>
  <c r="AS1389" i="1"/>
  <c r="AK1389" i="1"/>
  <c r="AG1389" i="1"/>
  <c r="AE1389" i="1"/>
  <c r="T1389" i="1"/>
  <c r="K1389" i="1"/>
  <c r="H1389" i="1"/>
  <c r="C1389" i="1"/>
  <c r="BE1388" i="1"/>
  <c r="BC1388" i="1"/>
  <c r="BA1388" i="1"/>
  <c r="AY1388" i="1"/>
  <c r="AU1388" i="1"/>
  <c r="AS1388" i="1"/>
  <c r="AK1388" i="1"/>
  <c r="AG1388" i="1"/>
  <c r="AE1388" i="1"/>
  <c r="T1388" i="1"/>
  <c r="K1388" i="1"/>
  <c r="H1388" i="1"/>
  <c r="C1388" i="1"/>
  <c r="BE1387" i="1"/>
  <c r="BC1387" i="1"/>
  <c r="BA1387" i="1"/>
  <c r="AY1387" i="1"/>
  <c r="AU1387" i="1"/>
  <c r="AS1387" i="1"/>
  <c r="AK1387" i="1"/>
  <c r="AG1387" i="1"/>
  <c r="AE1387" i="1"/>
  <c r="T1387" i="1"/>
  <c r="K1387" i="1"/>
  <c r="H1387" i="1"/>
  <c r="C1387" i="1"/>
  <c r="BE1386" i="1"/>
  <c r="BC1386" i="1"/>
  <c r="BA1386" i="1"/>
  <c r="AY1386" i="1"/>
  <c r="AU1386" i="1"/>
  <c r="AS1386" i="1"/>
  <c r="AK1386" i="1"/>
  <c r="AG1386" i="1"/>
  <c r="AE1386" i="1"/>
  <c r="T1386" i="1"/>
  <c r="K1386" i="1"/>
  <c r="H1386" i="1"/>
  <c r="C1386" i="1"/>
  <c r="BE1385" i="1"/>
  <c r="BC1385" i="1"/>
  <c r="BA1385" i="1"/>
  <c r="AY1385" i="1"/>
  <c r="AU1385" i="1"/>
  <c r="AS1385" i="1"/>
  <c r="AK1385" i="1"/>
  <c r="AG1385" i="1"/>
  <c r="AE1385" i="1"/>
  <c r="T1385" i="1"/>
  <c r="K1385" i="1"/>
  <c r="H1385" i="1"/>
  <c r="C1385" i="1"/>
  <c r="BE1384" i="1"/>
  <c r="BC1384" i="1"/>
  <c r="BA1384" i="1"/>
  <c r="AY1384" i="1"/>
  <c r="AU1384" i="1"/>
  <c r="AS1384" i="1"/>
  <c r="AK1384" i="1"/>
  <c r="AG1384" i="1"/>
  <c r="AE1384" i="1"/>
  <c r="T1384" i="1"/>
  <c r="K1384" i="1"/>
  <c r="H1384" i="1"/>
  <c r="C1384" i="1"/>
  <c r="BE1383" i="1"/>
  <c r="BC1383" i="1"/>
  <c r="BA1383" i="1"/>
  <c r="AY1383" i="1"/>
  <c r="AU1383" i="1"/>
  <c r="AS1383" i="1"/>
  <c r="AK1383" i="1"/>
  <c r="AG1383" i="1"/>
  <c r="AE1383" i="1"/>
  <c r="T1383" i="1"/>
  <c r="K1383" i="1"/>
  <c r="H1383" i="1"/>
  <c r="C1383" i="1"/>
  <c r="BE1382" i="1"/>
  <c r="BC1382" i="1"/>
  <c r="BA1382" i="1"/>
  <c r="AY1382" i="1"/>
  <c r="AU1382" i="1"/>
  <c r="AS1382" i="1"/>
  <c r="AK1382" i="1"/>
  <c r="AG1382" i="1"/>
  <c r="AE1382" i="1"/>
  <c r="T1382" i="1"/>
  <c r="K1382" i="1"/>
  <c r="H1382" i="1"/>
  <c r="C1382" i="1"/>
  <c r="BE1381" i="1"/>
  <c r="BC1381" i="1"/>
  <c r="BA1381" i="1"/>
  <c r="AY1381" i="1"/>
  <c r="AU1381" i="1"/>
  <c r="AS1381" i="1"/>
  <c r="AK1381" i="1"/>
  <c r="AG1381" i="1"/>
  <c r="AE1381" i="1"/>
  <c r="T1381" i="1"/>
  <c r="K1381" i="1"/>
  <c r="H1381" i="1"/>
  <c r="C1381" i="1"/>
  <c r="BE1380" i="1"/>
  <c r="BC1380" i="1"/>
  <c r="BA1380" i="1"/>
  <c r="AY1380" i="1"/>
  <c r="AU1380" i="1"/>
  <c r="AS1380" i="1"/>
  <c r="AK1380" i="1"/>
  <c r="AG1380" i="1"/>
  <c r="AE1380" i="1"/>
  <c r="T1380" i="1"/>
  <c r="K1380" i="1"/>
  <c r="H1380" i="1"/>
  <c r="C1380" i="1"/>
  <c r="BE1379" i="1"/>
  <c r="BC1379" i="1"/>
  <c r="BA1379" i="1"/>
  <c r="AY1379" i="1"/>
  <c r="AU1379" i="1"/>
  <c r="AS1379" i="1"/>
  <c r="AK1379" i="1"/>
  <c r="AG1379" i="1"/>
  <c r="AE1379" i="1"/>
  <c r="T1379" i="1"/>
  <c r="K1379" i="1"/>
  <c r="H1379" i="1"/>
  <c r="C1379" i="1"/>
  <c r="BE1378" i="1"/>
  <c r="BC1378" i="1"/>
  <c r="BA1378" i="1"/>
  <c r="AY1378" i="1"/>
  <c r="AU1378" i="1"/>
  <c r="AS1378" i="1"/>
  <c r="AK1378" i="1"/>
  <c r="AG1378" i="1"/>
  <c r="AE1378" i="1"/>
  <c r="T1378" i="1"/>
  <c r="K1378" i="1"/>
  <c r="H1378" i="1"/>
  <c r="C1378" i="1"/>
  <c r="BE1377" i="1"/>
  <c r="BC1377" i="1"/>
  <c r="BA1377" i="1"/>
  <c r="AY1377" i="1"/>
  <c r="AU1377" i="1"/>
  <c r="AS1377" i="1"/>
  <c r="AK1377" i="1"/>
  <c r="AG1377" i="1"/>
  <c r="AE1377" i="1"/>
  <c r="T1377" i="1"/>
  <c r="K1377" i="1"/>
  <c r="H1377" i="1"/>
  <c r="C1377" i="1"/>
  <c r="BE1376" i="1"/>
  <c r="BC1376" i="1"/>
  <c r="BA1376" i="1"/>
  <c r="AY1376" i="1"/>
  <c r="AU1376" i="1"/>
  <c r="AS1376" i="1"/>
  <c r="AK1376" i="1"/>
  <c r="AG1376" i="1"/>
  <c r="AE1376" i="1"/>
  <c r="T1376" i="1"/>
  <c r="K1376" i="1"/>
  <c r="H1376" i="1"/>
  <c r="C1376" i="1"/>
  <c r="BE1375" i="1"/>
  <c r="BC1375" i="1"/>
  <c r="BA1375" i="1"/>
  <c r="AY1375" i="1"/>
  <c r="AU1375" i="1"/>
  <c r="AS1375" i="1"/>
  <c r="AK1375" i="1"/>
  <c r="AG1375" i="1"/>
  <c r="AE1375" i="1"/>
  <c r="T1375" i="1"/>
  <c r="K1375" i="1"/>
  <c r="H1375" i="1"/>
  <c r="C1375" i="1"/>
  <c r="BE1374" i="1"/>
  <c r="BC1374" i="1"/>
  <c r="BA1374" i="1"/>
  <c r="AY1374" i="1"/>
  <c r="AU1374" i="1"/>
  <c r="AS1374" i="1"/>
  <c r="AK1374" i="1"/>
  <c r="AG1374" i="1"/>
  <c r="AE1374" i="1"/>
  <c r="T1374" i="1"/>
  <c r="K1374" i="1"/>
  <c r="H1374" i="1"/>
  <c r="C1374" i="1"/>
  <c r="BE1373" i="1"/>
  <c r="BC1373" i="1"/>
  <c r="BA1373" i="1"/>
  <c r="AY1373" i="1"/>
  <c r="AU1373" i="1"/>
  <c r="AS1373" i="1"/>
  <c r="AK1373" i="1"/>
  <c r="AG1373" i="1"/>
  <c r="AE1373" i="1"/>
  <c r="T1373" i="1"/>
  <c r="K1373" i="1"/>
  <c r="H1373" i="1"/>
  <c r="C1373" i="1"/>
  <c r="BE1372" i="1"/>
  <c r="BC1372" i="1"/>
  <c r="BA1372" i="1"/>
  <c r="AY1372" i="1"/>
  <c r="AU1372" i="1"/>
  <c r="AS1372" i="1"/>
  <c r="AK1372" i="1"/>
  <c r="AG1372" i="1"/>
  <c r="AE1372" i="1"/>
  <c r="T1372" i="1"/>
  <c r="K1372" i="1"/>
  <c r="H1372" i="1"/>
  <c r="C1372" i="1"/>
  <c r="BE1371" i="1"/>
  <c r="BC1371" i="1"/>
  <c r="BA1371" i="1"/>
  <c r="AY1371" i="1"/>
  <c r="AU1371" i="1"/>
  <c r="AS1371" i="1"/>
  <c r="AK1371" i="1"/>
  <c r="AG1371" i="1"/>
  <c r="AE1371" i="1"/>
  <c r="T1371" i="1"/>
  <c r="K1371" i="1"/>
  <c r="H1371" i="1"/>
  <c r="C1371" i="1"/>
  <c r="BE1370" i="1"/>
  <c r="BC1370" i="1"/>
  <c r="BA1370" i="1"/>
  <c r="AY1370" i="1"/>
  <c r="AU1370" i="1"/>
  <c r="AS1370" i="1"/>
  <c r="AK1370" i="1"/>
  <c r="AG1370" i="1"/>
  <c r="AE1370" i="1"/>
  <c r="T1370" i="1"/>
  <c r="K1370" i="1"/>
  <c r="H1370" i="1"/>
  <c r="C1370" i="1"/>
  <c r="BE1369" i="1"/>
  <c r="BC1369" i="1"/>
  <c r="BA1369" i="1"/>
  <c r="AY1369" i="1"/>
  <c r="AU1369" i="1"/>
  <c r="AS1369" i="1"/>
  <c r="AK1369" i="1"/>
  <c r="AG1369" i="1"/>
  <c r="AE1369" i="1"/>
  <c r="T1369" i="1"/>
  <c r="K1369" i="1"/>
  <c r="H1369" i="1"/>
  <c r="C1369" i="1"/>
  <c r="BE1368" i="1"/>
  <c r="BC1368" i="1"/>
  <c r="BA1368" i="1"/>
  <c r="AY1368" i="1"/>
  <c r="AU1368" i="1"/>
  <c r="AS1368" i="1"/>
  <c r="AK1368" i="1"/>
  <c r="AG1368" i="1"/>
  <c r="AE1368" i="1"/>
  <c r="T1368" i="1"/>
  <c r="K1368" i="1"/>
  <c r="H1368" i="1"/>
  <c r="C1368" i="1"/>
  <c r="BE1367" i="1"/>
  <c r="BC1367" i="1"/>
  <c r="BA1367" i="1"/>
  <c r="AY1367" i="1"/>
  <c r="AU1367" i="1"/>
  <c r="AS1367" i="1"/>
  <c r="AK1367" i="1"/>
  <c r="AG1367" i="1"/>
  <c r="AE1367" i="1"/>
  <c r="T1367" i="1"/>
  <c r="K1367" i="1"/>
  <c r="H1367" i="1"/>
  <c r="C1367" i="1"/>
  <c r="BE1366" i="1"/>
  <c r="BC1366" i="1"/>
  <c r="BA1366" i="1"/>
  <c r="AY1366" i="1"/>
  <c r="AU1366" i="1"/>
  <c r="AS1366" i="1"/>
  <c r="AK1366" i="1"/>
  <c r="AG1366" i="1"/>
  <c r="AE1366" i="1"/>
  <c r="T1366" i="1"/>
  <c r="K1366" i="1"/>
  <c r="H1366" i="1"/>
  <c r="C1366" i="1"/>
  <c r="BE1365" i="1"/>
  <c r="BC1365" i="1"/>
  <c r="BA1365" i="1"/>
  <c r="AY1365" i="1"/>
  <c r="AU1365" i="1"/>
  <c r="AS1365" i="1"/>
  <c r="AK1365" i="1"/>
  <c r="AG1365" i="1"/>
  <c r="AE1365" i="1"/>
  <c r="T1365" i="1"/>
  <c r="K1365" i="1"/>
  <c r="H1365" i="1"/>
  <c r="C1365" i="1"/>
  <c r="BE1364" i="1"/>
  <c r="BC1364" i="1"/>
  <c r="BA1364" i="1"/>
  <c r="AY1364" i="1"/>
  <c r="AU1364" i="1"/>
  <c r="AS1364" i="1"/>
  <c r="AK1364" i="1"/>
  <c r="AG1364" i="1"/>
  <c r="AE1364" i="1"/>
  <c r="T1364" i="1"/>
  <c r="K1364" i="1"/>
  <c r="H1364" i="1"/>
  <c r="C1364" i="1"/>
  <c r="BE1363" i="1"/>
  <c r="BC1363" i="1"/>
  <c r="BA1363" i="1"/>
  <c r="AY1363" i="1"/>
  <c r="AU1363" i="1"/>
  <c r="AS1363" i="1"/>
  <c r="AK1363" i="1"/>
  <c r="AG1363" i="1"/>
  <c r="AE1363" i="1"/>
  <c r="T1363" i="1"/>
  <c r="K1363" i="1"/>
  <c r="H1363" i="1"/>
  <c r="C1363" i="1"/>
  <c r="BE1362" i="1"/>
  <c r="BC1362" i="1"/>
  <c r="BA1362" i="1"/>
  <c r="AY1362" i="1"/>
  <c r="AU1362" i="1"/>
  <c r="AS1362" i="1"/>
  <c r="AK1362" i="1"/>
  <c r="AG1362" i="1"/>
  <c r="AE1362" i="1"/>
  <c r="T1362" i="1"/>
  <c r="K1362" i="1"/>
  <c r="H1362" i="1"/>
  <c r="C1362" i="1"/>
  <c r="BE1361" i="1"/>
  <c r="BC1361" i="1"/>
  <c r="BA1361" i="1"/>
  <c r="AY1361" i="1"/>
  <c r="AU1361" i="1"/>
  <c r="AS1361" i="1"/>
  <c r="AK1361" i="1"/>
  <c r="AG1361" i="1"/>
  <c r="AE1361" i="1"/>
  <c r="T1361" i="1"/>
  <c r="K1361" i="1"/>
  <c r="H1361" i="1"/>
  <c r="C1361" i="1"/>
  <c r="BE1360" i="1"/>
  <c r="BC1360" i="1"/>
  <c r="BA1360" i="1"/>
  <c r="AY1360" i="1"/>
  <c r="AU1360" i="1"/>
  <c r="AS1360" i="1"/>
  <c r="AK1360" i="1"/>
  <c r="AG1360" i="1"/>
  <c r="AE1360" i="1"/>
  <c r="T1360" i="1"/>
  <c r="K1360" i="1"/>
  <c r="H1360" i="1"/>
  <c r="C1360" i="1"/>
  <c r="BE1359" i="1"/>
  <c r="BC1359" i="1"/>
  <c r="BA1359" i="1"/>
  <c r="AY1359" i="1"/>
  <c r="AU1359" i="1"/>
  <c r="AS1359" i="1"/>
  <c r="AK1359" i="1"/>
  <c r="AG1359" i="1"/>
  <c r="AE1359" i="1"/>
  <c r="T1359" i="1"/>
  <c r="K1359" i="1"/>
  <c r="H1359" i="1"/>
  <c r="C1359" i="1"/>
  <c r="BE1358" i="1"/>
  <c r="BC1358" i="1"/>
  <c r="BA1358" i="1"/>
  <c r="AY1358" i="1"/>
  <c r="AU1358" i="1"/>
  <c r="AS1358" i="1"/>
  <c r="AK1358" i="1"/>
  <c r="AG1358" i="1"/>
  <c r="AE1358" i="1"/>
  <c r="T1358" i="1"/>
  <c r="K1358" i="1"/>
  <c r="H1358" i="1"/>
  <c r="C1358" i="1"/>
  <c r="BE1357" i="1"/>
  <c r="BC1357" i="1"/>
  <c r="BA1357" i="1"/>
  <c r="AY1357" i="1"/>
  <c r="AU1357" i="1"/>
  <c r="AS1357" i="1"/>
  <c r="AK1357" i="1"/>
  <c r="AG1357" i="1"/>
  <c r="AE1357" i="1"/>
  <c r="T1357" i="1"/>
  <c r="K1357" i="1"/>
  <c r="H1357" i="1"/>
  <c r="C1357" i="1"/>
  <c r="BE1356" i="1"/>
  <c r="BC1356" i="1"/>
  <c r="BA1356" i="1"/>
  <c r="AY1356" i="1"/>
  <c r="AU1356" i="1"/>
  <c r="AS1356" i="1"/>
  <c r="AK1356" i="1"/>
  <c r="AG1356" i="1"/>
  <c r="AE1356" i="1"/>
  <c r="T1356" i="1"/>
  <c r="K1356" i="1"/>
  <c r="H1356" i="1"/>
  <c r="C1356" i="1"/>
  <c r="BE1355" i="1"/>
  <c r="BC1355" i="1"/>
  <c r="BA1355" i="1"/>
  <c r="AY1355" i="1"/>
  <c r="AU1355" i="1"/>
  <c r="AS1355" i="1"/>
  <c r="AK1355" i="1"/>
  <c r="AG1355" i="1"/>
  <c r="AE1355" i="1"/>
  <c r="T1355" i="1"/>
  <c r="K1355" i="1"/>
  <c r="H1355" i="1"/>
  <c r="C1355" i="1"/>
  <c r="BE1354" i="1"/>
  <c r="BC1354" i="1"/>
  <c r="BA1354" i="1"/>
  <c r="AY1354" i="1"/>
  <c r="AU1354" i="1"/>
  <c r="AS1354" i="1"/>
  <c r="AK1354" i="1"/>
  <c r="AG1354" i="1"/>
  <c r="AE1354" i="1"/>
  <c r="T1354" i="1"/>
  <c r="K1354" i="1"/>
  <c r="H1354" i="1"/>
  <c r="C1354" i="1"/>
  <c r="BE1353" i="1"/>
  <c r="BC1353" i="1"/>
  <c r="BA1353" i="1"/>
  <c r="AY1353" i="1"/>
  <c r="AU1353" i="1"/>
  <c r="AS1353" i="1"/>
  <c r="AK1353" i="1"/>
  <c r="AG1353" i="1"/>
  <c r="AE1353" i="1"/>
  <c r="T1353" i="1"/>
  <c r="K1353" i="1"/>
  <c r="H1353" i="1"/>
  <c r="C1353" i="1"/>
  <c r="BE1352" i="1"/>
  <c r="BC1352" i="1"/>
  <c r="BA1352" i="1"/>
  <c r="AY1352" i="1"/>
  <c r="AU1352" i="1"/>
  <c r="AS1352" i="1"/>
  <c r="AK1352" i="1"/>
  <c r="AG1352" i="1"/>
  <c r="AE1352" i="1"/>
  <c r="T1352" i="1"/>
  <c r="K1352" i="1"/>
  <c r="H1352" i="1"/>
  <c r="C1352" i="1"/>
  <c r="BE1351" i="1"/>
  <c r="BC1351" i="1"/>
  <c r="BA1351" i="1"/>
  <c r="AY1351" i="1"/>
  <c r="AU1351" i="1"/>
  <c r="AS1351" i="1"/>
  <c r="AK1351" i="1"/>
  <c r="AG1351" i="1"/>
  <c r="AE1351" i="1"/>
  <c r="T1351" i="1"/>
  <c r="K1351" i="1"/>
  <c r="H1351" i="1"/>
  <c r="C1351" i="1"/>
  <c r="BE1350" i="1"/>
  <c r="BC1350" i="1"/>
  <c r="BA1350" i="1"/>
  <c r="AY1350" i="1"/>
  <c r="AU1350" i="1"/>
  <c r="AS1350" i="1"/>
  <c r="AK1350" i="1"/>
  <c r="AG1350" i="1"/>
  <c r="AE1350" i="1"/>
  <c r="T1350" i="1"/>
  <c r="K1350" i="1"/>
  <c r="H1350" i="1"/>
  <c r="C1350" i="1"/>
  <c r="BE1349" i="1"/>
  <c r="BC1349" i="1"/>
  <c r="BA1349" i="1"/>
  <c r="AY1349" i="1"/>
  <c r="AU1349" i="1"/>
  <c r="AS1349" i="1"/>
  <c r="AK1349" i="1"/>
  <c r="AG1349" i="1"/>
  <c r="AE1349" i="1"/>
  <c r="T1349" i="1"/>
  <c r="K1349" i="1"/>
  <c r="H1349" i="1"/>
  <c r="C1349" i="1"/>
  <c r="BE1348" i="1"/>
  <c r="BC1348" i="1"/>
  <c r="BA1348" i="1"/>
  <c r="AY1348" i="1"/>
  <c r="AU1348" i="1"/>
  <c r="AS1348" i="1"/>
  <c r="AK1348" i="1"/>
  <c r="AG1348" i="1"/>
  <c r="AE1348" i="1"/>
  <c r="T1348" i="1"/>
  <c r="K1348" i="1"/>
  <c r="H1348" i="1"/>
  <c r="C1348" i="1"/>
  <c r="BE1347" i="1"/>
  <c r="BC1347" i="1"/>
  <c r="BA1347" i="1"/>
  <c r="AY1347" i="1"/>
  <c r="AU1347" i="1"/>
  <c r="AS1347" i="1"/>
  <c r="AK1347" i="1"/>
  <c r="AG1347" i="1"/>
  <c r="AE1347" i="1"/>
  <c r="T1347" i="1"/>
  <c r="K1347" i="1"/>
  <c r="H1347" i="1"/>
  <c r="C1347" i="1"/>
  <c r="BE1346" i="1"/>
  <c r="BC1346" i="1"/>
  <c r="BA1346" i="1"/>
  <c r="AY1346" i="1"/>
  <c r="AU1346" i="1"/>
  <c r="AS1346" i="1"/>
  <c r="AK1346" i="1"/>
  <c r="AG1346" i="1"/>
  <c r="AE1346" i="1"/>
  <c r="T1346" i="1"/>
  <c r="K1346" i="1"/>
  <c r="H1346" i="1"/>
  <c r="C1346" i="1"/>
  <c r="BE1345" i="1"/>
  <c r="BC1345" i="1"/>
  <c r="BA1345" i="1"/>
  <c r="AY1345" i="1"/>
  <c r="AU1345" i="1"/>
  <c r="AS1345" i="1"/>
  <c r="AK1345" i="1"/>
  <c r="AG1345" i="1"/>
  <c r="AE1345" i="1"/>
  <c r="T1345" i="1"/>
  <c r="K1345" i="1"/>
  <c r="H1345" i="1"/>
  <c r="C1345" i="1"/>
  <c r="BE1344" i="1"/>
  <c r="BC1344" i="1"/>
  <c r="BA1344" i="1"/>
  <c r="AY1344" i="1"/>
  <c r="AU1344" i="1"/>
  <c r="AS1344" i="1"/>
  <c r="AK1344" i="1"/>
  <c r="AG1344" i="1"/>
  <c r="AE1344" i="1"/>
  <c r="T1344" i="1"/>
  <c r="K1344" i="1"/>
  <c r="H1344" i="1"/>
  <c r="C1344" i="1"/>
  <c r="BE1343" i="1"/>
  <c r="BC1343" i="1"/>
  <c r="BA1343" i="1"/>
  <c r="AY1343" i="1"/>
  <c r="AU1343" i="1"/>
  <c r="AS1343" i="1"/>
  <c r="AK1343" i="1"/>
  <c r="AG1343" i="1"/>
  <c r="AE1343" i="1"/>
  <c r="T1343" i="1"/>
  <c r="K1343" i="1"/>
  <c r="H1343" i="1"/>
  <c r="C1343" i="1"/>
  <c r="BE1342" i="1"/>
  <c r="BC1342" i="1"/>
  <c r="BA1342" i="1"/>
  <c r="AY1342" i="1"/>
  <c r="AU1342" i="1"/>
  <c r="AS1342" i="1"/>
  <c r="AK1342" i="1"/>
  <c r="AG1342" i="1"/>
  <c r="AE1342" i="1"/>
  <c r="T1342" i="1"/>
  <c r="K1342" i="1"/>
  <c r="H1342" i="1"/>
  <c r="C1342" i="1"/>
  <c r="BE1341" i="1"/>
  <c r="BC1341" i="1"/>
  <c r="BA1341" i="1"/>
  <c r="AY1341" i="1"/>
  <c r="AU1341" i="1"/>
  <c r="AS1341" i="1"/>
  <c r="AK1341" i="1"/>
  <c r="AG1341" i="1"/>
  <c r="AE1341" i="1"/>
  <c r="T1341" i="1"/>
  <c r="K1341" i="1"/>
  <c r="H1341" i="1"/>
  <c r="C1341" i="1"/>
  <c r="BE1340" i="1"/>
  <c r="BC1340" i="1"/>
  <c r="BA1340" i="1"/>
  <c r="AY1340" i="1"/>
  <c r="AU1340" i="1"/>
  <c r="AS1340" i="1"/>
  <c r="AK1340" i="1"/>
  <c r="AG1340" i="1"/>
  <c r="AE1340" i="1"/>
  <c r="T1340" i="1"/>
  <c r="K1340" i="1"/>
  <c r="H1340" i="1"/>
  <c r="C1340" i="1"/>
  <c r="BE1339" i="1"/>
  <c r="BC1339" i="1"/>
  <c r="BA1339" i="1"/>
  <c r="AY1339" i="1"/>
  <c r="AU1339" i="1"/>
  <c r="AS1339" i="1"/>
  <c r="AK1339" i="1"/>
  <c r="AG1339" i="1"/>
  <c r="AE1339" i="1"/>
  <c r="T1339" i="1"/>
  <c r="K1339" i="1"/>
  <c r="H1339" i="1"/>
  <c r="C1339" i="1"/>
  <c r="BE1338" i="1"/>
  <c r="BC1338" i="1"/>
  <c r="BA1338" i="1"/>
  <c r="AY1338" i="1"/>
  <c r="AU1338" i="1"/>
  <c r="AS1338" i="1"/>
  <c r="AK1338" i="1"/>
  <c r="AG1338" i="1"/>
  <c r="AE1338" i="1"/>
  <c r="T1338" i="1"/>
  <c r="K1338" i="1"/>
  <c r="H1338" i="1"/>
  <c r="C1338" i="1"/>
  <c r="BE1337" i="1"/>
  <c r="BC1337" i="1"/>
  <c r="BA1337" i="1"/>
  <c r="AY1337" i="1"/>
  <c r="AU1337" i="1"/>
  <c r="AS1337" i="1"/>
  <c r="AK1337" i="1"/>
  <c r="AG1337" i="1"/>
  <c r="AE1337" i="1"/>
  <c r="T1337" i="1"/>
  <c r="K1337" i="1"/>
  <c r="H1337" i="1"/>
  <c r="C1337" i="1"/>
  <c r="BE1336" i="1"/>
  <c r="BC1336" i="1"/>
  <c r="BA1336" i="1"/>
  <c r="AY1336" i="1"/>
  <c r="AU1336" i="1"/>
  <c r="AS1336" i="1"/>
  <c r="AK1336" i="1"/>
  <c r="AG1336" i="1"/>
  <c r="AE1336" i="1"/>
  <c r="T1336" i="1"/>
  <c r="K1336" i="1"/>
  <c r="H1336" i="1"/>
  <c r="C1336" i="1"/>
  <c r="BE1335" i="1"/>
  <c r="BC1335" i="1"/>
  <c r="BA1335" i="1"/>
  <c r="AY1335" i="1"/>
  <c r="AU1335" i="1"/>
  <c r="AS1335" i="1"/>
  <c r="AK1335" i="1"/>
  <c r="AG1335" i="1"/>
  <c r="AE1335" i="1"/>
  <c r="T1335" i="1"/>
  <c r="K1335" i="1"/>
  <c r="H1335" i="1"/>
  <c r="C1335" i="1"/>
  <c r="BE1334" i="1"/>
  <c r="BC1334" i="1"/>
  <c r="BA1334" i="1"/>
  <c r="AY1334" i="1"/>
  <c r="AU1334" i="1"/>
  <c r="AS1334" i="1"/>
  <c r="AK1334" i="1"/>
  <c r="AG1334" i="1"/>
  <c r="AE1334" i="1"/>
  <c r="T1334" i="1"/>
  <c r="K1334" i="1"/>
  <c r="H1334" i="1"/>
  <c r="C1334" i="1"/>
  <c r="BE1333" i="1"/>
  <c r="BC1333" i="1"/>
  <c r="BA1333" i="1"/>
  <c r="AY1333" i="1"/>
  <c r="AU1333" i="1"/>
  <c r="AS1333" i="1"/>
  <c r="AK1333" i="1"/>
  <c r="AG1333" i="1"/>
  <c r="AE1333" i="1"/>
  <c r="T1333" i="1"/>
  <c r="K1333" i="1"/>
  <c r="H1333" i="1"/>
  <c r="C1333" i="1"/>
  <c r="BE1332" i="1"/>
  <c r="BC1332" i="1"/>
  <c r="BA1332" i="1"/>
  <c r="AY1332" i="1"/>
  <c r="AU1332" i="1"/>
  <c r="AS1332" i="1"/>
  <c r="AK1332" i="1"/>
  <c r="AG1332" i="1"/>
  <c r="AE1332" i="1"/>
  <c r="T1332" i="1"/>
  <c r="K1332" i="1"/>
  <c r="H1332" i="1"/>
  <c r="C1332" i="1"/>
  <c r="BE1331" i="1"/>
  <c r="BC1331" i="1"/>
  <c r="BA1331" i="1"/>
  <c r="AY1331" i="1"/>
  <c r="AU1331" i="1"/>
  <c r="AS1331" i="1"/>
  <c r="AK1331" i="1"/>
  <c r="AG1331" i="1"/>
  <c r="AE1331" i="1"/>
  <c r="T1331" i="1"/>
  <c r="K1331" i="1"/>
  <c r="H1331" i="1"/>
  <c r="C1331" i="1"/>
  <c r="BE1330" i="1"/>
  <c r="BC1330" i="1"/>
  <c r="BA1330" i="1"/>
  <c r="AY1330" i="1"/>
  <c r="AU1330" i="1"/>
  <c r="AS1330" i="1"/>
  <c r="AK1330" i="1"/>
  <c r="AG1330" i="1"/>
  <c r="AE1330" i="1"/>
  <c r="T1330" i="1"/>
  <c r="K1330" i="1"/>
  <c r="H1330" i="1"/>
  <c r="C1330" i="1"/>
  <c r="BE1329" i="1"/>
  <c r="BC1329" i="1"/>
  <c r="BA1329" i="1"/>
  <c r="AY1329" i="1"/>
  <c r="AU1329" i="1"/>
  <c r="AS1329" i="1"/>
  <c r="AK1329" i="1"/>
  <c r="AG1329" i="1"/>
  <c r="AE1329" i="1"/>
  <c r="T1329" i="1"/>
  <c r="K1329" i="1"/>
  <c r="H1329" i="1"/>
  <c r="C1329" i="1"/>
  <c r="BE1328" i="1"/>
  <c r="BC1328" i="1"/>
  <c r="BA1328" i="1"/>
  <c r="AY1328" i="1"/>
  <c r="AU1328" i="1"/>
  <c r="AS1328" i="1"/>
  <c r="AK1328" i="1"/>
  <c r="AG1328" i="1"/>
  <c r="AE1328" i="1"/>
  <c r="T1328" i="1"/>
  <c r="K1328" i="1"/>
  <c r="H1328" i="1"/>
  <c r="C1328" i="1"/>
  <c r="BE1327" i="1"/>
  <c r="BC1327" i="1"/>
  <c r="BA1327" i="1"/>
  <c r="AY1327" i="1"/>
  <c r="AU1327" i="1"/>
  <c r="AS1327" i="1"/>
  <c r="AK1327" i="1"/>
  <c r="AG1327" i="1"/>
  <c r="AE1327" i="1"/>
  <c r="T1327" i="1"/>
  <c r="K1327" i="1"/>
  <c r="H1327" i="1"/>
  <c r="C1327" i="1"/>
  <c r="BE1326" i="1"/>
  <c r="BC1326" i="1"/>
  <c r="BA1326" i="1"/>
  <c r="AY1326" i="1"/>
  <c r="AU1326" i="1"/>
  <c r="AS1326" i="1"/>
  <c r="AK1326" i="1"/>
  <c r="AG1326" i="1"/>
  <c r="AE1326" i="1"/>
  <c r="T1326" i="1"/>
  <c r="K1326" i="1"/>
  <c r="H1326" i="1"/>
  <c r="C1326" i="1"/>
  <c r="BE1325" i="1"/>
  <c r="BC1325" i="1"/>
  <c r="BA1325" i="1"/>
  <c r="AY1325" i="1"/>
  <c r="AU1325" i="1"/>
  <c r="AS1325" i="1"/>
  <c r="AK1325" i="1"/>
  <c r="AG1325" i="1"/>
  <c r="AE1325" i="1"/>
  <c r="T1325" i="1"/>
  <c r="K1325" i="1"/>
  <c r="H1325" i="1"/>
  <c r="C1325" i="1"/>
  <c r="BE1324" i="1"/>
  <c r="BC1324" i="1"/>
  <c r="BA1324" i="1"/>
  <c r="AY1324" i="1"/>
  <c r="AU1324" i="1"/>
  <c r="AS1324" i="1"/>
  <c r="AK1324" i="1"/>
  <c r="AG1324" i="1"/>
  <c r="AE1324" i="1"/>
  <c r="T1324" i="1"/>
  <c r="K1324" i="1"/>
  <c r="H1324" i="1"/>
  <c r="C1324" i="1"/>
  <c r="BE1323" i="1"/>
  <c r="BC1323" i="1"/>
  <c r="BA1323" i="1"/>
  <c r="AY1323" i="1"/>
  <c r="AU1323" i="1"/>
  <c r="AS1323" i="1"/>
  <c r="AK1323" i="1"/>
  <c r="AG1323" i="1"/>
  <c r="AE1323" i="1"/>
  <c r="T1323" i="1"/>
  <c r="K1323" i="1"/>
  <c r="H1323" i="1"/>
  <c r="C1323" i="1"/>
  <c r="BE1322" i="1"/>
  <c r="BC1322" i="1"/>
  <c r="BA1322" i="1"/>
  <c r="AY1322" i="1"/>
  <c r="AU1322" i="1"/>
  <c r="AS1322" i="1"/>
  <c r="AK1322" i="1"/>
  <c r="AG1322" i="1"/>
  <c r="AE1322" i="1"/>
  <c r="T1322" i="1"/>
  <c r="K1322" i="1"/>
  <c r="H1322" i="1"/>
  <c r="C1322" i="1"/>
  <c r="BE1321" i="1"/>
  <c r="BC1321" i="1"/>
  <c r="BA1321" i="1"/>
  <c r="AY1321" i="1"/>
  <c r="AU1321" i="1"/>
  <c r="AS1321" i="1"/>
  <c r="AK1321" i="1"/>
  <c r="AG1321" i="1"/>
  <c r="AE1321" i="1"/>
  <c r="T1321" i="1"/>
  <c r="K1321" i="1"/>
  <c r="H1321" i="1"/>
  <c r="C1321" i="1"/>
  <c r="BE1320" i="1"/>
  <c r="BC1320" i="1"/>
  <c r="BA1320" i="1"/>
  <c r="AY1320" i="1"/>
  <c r="AU1320" i="1"/>
  <c r="AS1320" i="1"/>
  <c r="AK1320" i="1"/>
  <c r="AG1320" i="1"/>
  <c r="AE1320" i="1"/>
  <c r="T1320" i="1"/>
  <c r="K1320" i="1"/>
  <c r="H1320" i="1"/>
  <c r="C1320" i="1"/>
  <c r="BE1319" i="1"/>
  <c r="BC1319" i="1"/>
  <c r="BA1319" i="1"/>
  <c r="AY1319" i="1"/>
  <c r="AU1319" i="1"/>
  <c r="AS1319" i="1"/>
  <c r="AK1319" i="1"/>
  <c r="AG1319" i="1"/>
  <c r="AE1319" i="1"/>
  <c r="T1319" i="1"/>
  <c r="K1319" i="1"/>
  <c r="H1319" i="1"/>
  <c r="C1319" i="1"/>
  <c r="BE1318" i="1"/>
  <c r="BC1318" i="1"/>
  <c r="BA1318" i="1"/>
  <c r="AY1318" i="1"/>
  <c r="AU1318" i="1"/>
  <c r="AS1318" i="1"/>
  <c r="AK1318" i="1"/>
  <c r="AG1318" i="1"/>
  <c r="AE1318" i="1"/>
  <c r="T1318" i="1"/>
  <c r="K1318" i="1"/>
  <c r="H1318" i="1"/>
  <c r="C1318" i="1"/>
  <c r="BE1317" i="1"/>
  <c r="BC1317" i="1"/>
  <c r="BA1317" i="1"/>
  <c r="AY1317" i="1"/>
  <c r="AU1317" i="1"/>
  <c r="AS1317" i="1"/>
  <c r="AK1317" i="1"/>
  <c r="AG1317" i="1"/>
  <c r="AE1317" i="1"/>
  <c r="T1317" i="1"/>
  <c r="K1317" i="1"/>
  <c r="H1317" i="1"/>
  <c r="C1317" i="1"/>
  <c r="BE1316" i="1"/>
  <c r="BC1316" i="1"/>
  <c r="BA1316" i="1"/>
  <c r="AY1316" i="1"/>
  <c r="AU1316" i="1"/>
  <c r="AS1316" i="1"/>
  <c r="AK1316" i="1"/>
  <c r="AG1316" i="1"/>
  <c r="AE1316" i="1"/>
  <c r="T1316" i="1"/>
  <c r="K1316" i="1"/>
  <c r="H1316" i="1"/>
  <c r="C1316" i="1"/>
  <c r="BE1315" i="1"/>
  <c r="BC1315" i="1"/>
  <c r="BA1315" i="1"/>
  <c r="AY1315" i="1"/>
  <c r="AU1315" i="1"/>
  <c r="AS1315" i="1"/>
  <c r="AK1315" i="1"/>
  <c r="AG1315" i="1"/>
  <c r="AE1315" i="1"/>
  <c r="T1315" i="1"/>
  <c r="K1315" i="1"/>
  <c r="H1315" i="1"/>
  <c r="C1315" i="1"/>
  <c r="BE1314" i="1"/>
  <c r="BC1314" i="1"/>
  <c r="BA1314" i="1"/>
  <c r="AY1314" i="1"/>
  <c r="AU1314" i="1"/>
  <c r="AS1314" i="1"/>
  <c r="AK1314" i="1"/>
  <c r="AG1314" i="1"/>
  <c r="AE1314" i="1"/>
  <c r="T1314" i="1"/>
  <c r="K1314" i="1"/>
  <c r="H1314" i="1"/>
  <c r="C1314" i="1"/>
  <c r="BE1313" i="1"/>
  <c r="BC1313" i="1"/>
  <c r="BA1313" i="1"/>
  <c r="AY1313" i="1"/>
  <c r="AU1313" i="1"/>
  <c r="AS1313" i="1"/>
  <c r="AK1313" i="1"/>
  <c r="AG1313" i="1"/>
  <c r="AE1313" i="1"/>
  <c r="T1313" i="1"/>
  <c r="K1313" i="1"/>
  <c r="H1313" i="1"/>
  <c r="C1313" i="1"/>
  <c r="BE1312" i="1"/>
  <c r="BC1312" i="1"/>
  <c r="BA1312" i="1"/>
  <c r="AY1312" i="1"/>
  <c r="AU1312" i="1"/>
  <c r="AS1312" i="1"/>
  <c r="AK1312" i="1"/>
  <c r="AG1312" i="1"/>
  <c r="AE1312" i="1"/>
  <c r="T1312" i="1"/>
  <c r="K1312" i="1"/>
  <c r="H1312" i="1"/>
  <c r="C1312" i="1"/>
  <c r="BE1311" i="1"/>
  <c r="BC1311" i="1"/>
  <c r="BA1311" i="1"/>
  <c r="AY1311" i="1"/>
  <c r="AU1311" i="1"/>
  <c r="AS1311" i="1"/>
  <c r="AK1311" i="1"/>
  <c r="AG1311" i="1"/>
  <c r="AE1311" i="1"/>
  <c r="T1311" i="1"/>
  <c r="K1311" i="1"/>
  <c r="H1311" i="1"/>
  <c r="C1311" i="1"/>
  <c r="BE1310" i="1"/>
  <c r="BC1310" i="1"/>
  <c r="BA1310" i="1"/>
  <c r="AY1310" i="1"/>
  <c r="AU1310" i="1"/>
  <c r="AS1310" i="1"/>
  <c r="AK1310" i="1"/>
  <c r="AG1310" i="1"/>
  <c r="AE1310" i="1"/>
  <c r="T1310" i="1"/>
  <c r="K1310" i="1"/>
  <c r="H1310" i="1"/>
  <c r="C1310" i="1"/>
  <c r="BE1309" i="1"/>
  <c r="BC1309" i="1"/>
  <c r="BA1309" i="1"/>
  <c r="AY1309" i="1"/>
  <c r="AU1309" i="1"/>
  <c r="AS1309" i="1"/>
  <c r="AK1309" i="1"/>
  <c r="AG1309" i="1"/>
  <c r="AE1309" i="1"/>
  <c r="T1309" i="1"/>
  <c r="K1309" i="1"/>
  <c r="H1309" i="1"/>
  <c r="C1309" i="1"/>
  <c r="BE1308" i="1"/>
  <c r="BC1308" i="1"/>
  <c r="BA1308" i="1"/>
  <c r="AY1308" i="1"/>
  <c r="AU1308" i="1"/>
  <c r="AS1308" i="1"/>
  <c r="AK1308" i="1"/>
  <c r="AG1308" i="1"/>
  <c r="AE1308" i="1"/>
  <c r="T1308" i="1"/>
  <c r="K1308" i="1"/>
  <c r="H1308" i="1"/>
  <c r="C1308" i="1"/>
  <c r="BE1307" i="1"/>
  <c r="BC1307" i="1"/>
  <c r="BA1307" i="1"/>
  <c r="AY1307" i="1"/>
  <c r="AU1307" i="1"/>
  <c r="AS1307" i="1"/>
  <c r="AK1307" i="1"/>
  <c r="AG1307" i="1"/>
  <c r="AE1307" i="1"/>
  <c r="T1307" i="1"/>
  <c r="K1307" i="1"/>
  <c r="H1307" i="1"/>
  <c r="C1307" i="1"/>
  <c r="BE1306" i="1"/>
  <c r="BC1306" i="1"/>
  <c r="BA1306" i="1"/>
  <c r="AY1306" i="1"/>
  <c r="AU1306" i="1"/>
  <c r="AS1306" i="1"/>
  <c r="AK1306" i="1"/>
  <c r="AG1306" i="1"/>
  <c r="AE1306" i="1"/>
  <c r="T1306" i="1"/>
  <c r="K1306" i="1"/>
  <c r="H1306" i="1"/>
  <c r="C1306" i="1"/>
  <c r="BE1305" i="1"/>
  <c r="BC1305" i="1"/>
  <c r="BA1305" i="1"/>
  <c r="AY1305" i="1"/>
  <c r="AU1305" i="1"/>
  <c r="AS1305" i="1"/>
  <c r="AK1305" i="1"/>
  <c r="AG1305" i="1"/>
  <c r="AE1305" i="1"/>
  <c r="T1305" i="1"/>
  <c r="K1305" i="1"/>
  <c r="H1305" i="1"/>
  <c r="C1305" i="1"/>
  <c r="BE1304" i="1"/>
  <c r="BC1304" i="1"/>
  <c r="BA1304" i="1"/>
  <c r="AY1304" i="1"/>
  <c r="AU1304" i="1"/>
  <c r="AS1304" i="1"/>
  <c r="AK1304" i="1"/>
  <c r="AG1304" i="1"/>
  <c r="AE1304" i="1"/>
  <c r="T1304" i="1"/>
  <c r="K1304" i="1"/>
  <c r="H1304" i="1"/>
  <c r="C1304" i="1"/>
  <c r="BE1303" i="1"/>
  <c r="BC1303" i="1"/>
  <c r="BA1303" i="1"/>
  <c r="AY1303" i="1"/>
  <c r="AU1303" i="1"/>
  <c r="AS1303" i="1"/>
  <c r="AK1303" i="1"/>
  <c r="AG1303" i="1"/>
  <c r="AE1303" i="1"/>
  <c r="T1303" i="1"/>
  <c r="K1303" i="1"/>
  <c r="H1303" i="1"/>
  <c r="C1303" i="1"/>
  <c r="BE1302" i="1"/>
  <c r="BC1302" i="1"/>
  <c r="BA1302" i="1"/>
  <c r="AY1302" i="1"/>
  <c r="AU1302" i="1"/>
  <c r="AS1302" i="1"/>
  <c r="AK1302" i="1"/>
  <c r="AG1302" i="1"/>
  <c r="AE1302" i="1"/>
  <c r="T1302" i="1"/>
  <c r="K1302" i="1"/>
  <c r="H1302" i="1"/>
  <c r="C1302" i="1"/>
  <c r="BE1301" i="1"/>
  <c r="BC1301" i="1"/>
  <c r="BA1301" i="1"/>
  <c r="AY1301" i="1"/>
  <c r="AU1301" i="1"/>
  <c r="AS1301" i="1"/>
  <c r="AK1301" i="1"/>
  <c r="AG1301" i="1"/>
  <c r="AE1301" i="1"/>
  <c r="T1301" i="1"/>
  <c r="K1301" i="1"/>
  <c r="H1301" i="1"/>
  <c r="C1301" i="1"/>
  <c r="BE1300" i="1"/>
  <c r="BC1300" i="1"/>
  <c r="BA1300" i="1"/>
  <c r="AY1300" i="1"/>
  <c r="AU1300" i="1"/>
  <c r="AS1300" i="1"/>
  <c r="AK1300" i="1"/>
  <c r="AG1300" i="1"/>
  <c r="AE1300" i="1"/>
  <c r="T1300" i="1"/>
  <c r="K1300" i="1"/>
  <c r="H1300" i="1"/>
  <c r="C1300" i="1"/>
  <c r="BE1299" i="1"/>
  <c r="BC1299" i="1"/>
  <c r="BA1299" i="1"/>
  <c r="AY1299" i="1"/>
  <c r="AU1299" i="1"/>
  <c r="AS1299" i="1"/>
  <c r="AK1299" i="1"/>
  <c r="AG1299" i="1"/>
  <c r="AE1299" i="1"/>
  <c r="T1299" i="1"/>
  <c r="K1299" i="1"/>
  <c r="H1299" i="1"/>
  <c r="C1299" i="1"/>
  <c r="BE1298" i="1"/>
  <c r="BC1298" i="1"/>
  <c r="BA1298" i="1"/>
  <c r="AY1298" i="1"/>
  <c r="AU1298" i="1"/>
  <c r="AS1298" i="1"/>
  <c r="AK1298" i="1"/>
  <c r="AG1298" i="1"/>
  <c r="AE1298" i="1"/>
  <c r="T1298" i="1"/>
  <c r="K1298" i="1"/>
  <c r="H1298" i="1"/>
  <c r="C1298" i="1"/>
  <c r="BE1297" i="1"/>
  <c r="BC1297" i="1"/>
  <c r="BA1297" i="1"/>
  <c r="AY1297" i="1"/>
  <c r="AU1297" i="1"/>
  <c r="AS1297" i="1"/>
  <c r="AK1297" i="1"/>
  <c r="AG1297" i="1"/>
  <c r="AE1297" i="1"/>
  <c r="T1297" i="1"/>
  <c r="K1297" i="1"/>
  <c r="H1297" i="1"/>
  <c r="C1297" i="1"/>
  <c r="BE1296" i="1"/>
  <c r="BC1296" i="1"/>
  <c r="BA1296" i="1"/>
  <c r="AY1296" i="1"/>
  <c r="AU1296" i="1"/>
  <c r="AS1296" i="1"/>
  <c r="AK1296" i="1"/>
  <c r="AG1296" i="1"/>
  <c r="AE1296" i="1"/>
  <c r="T1296" i="1"/>
  <c r="K1296" i="1"/>
  <c r="H1296" i="1"/>
  <c r="C1296" i="1"/>
  <c r="BE1295" i="1"/>
  <c r="BC1295" i="1"/>
  <c r="BA1295" i="1"/>
  <c r="AY1295" i="1"/>
  <c r="AU1295" i="1"/>
  <c r="AS1295" i="1"/>
  <c r="AK1295" i="1"/>
  <c r="AG1295" i="1"/>
  <c r="AE1295" i="1"/>
  <c r="T1295" i="1"/>
  <c r="K1295" i="1"/>
  <c r="H1295" i="1"/>
  <c r="C1295" i="1"/>
  <c r="BE1294" i="1"/>
  <c r="BC1294" i="1"/>
  <c r="BA1294" i="1"/>
  <c r="AY1294" i="1"/>
  <c r="AU1294" i="1"/>
  <c r="AS1294" i="1"/>
  <c r="AK1294" i="1"/>
  <c r="AG1294" i="1"/>
  <c r="AE1294" i="1"/>
  <c r="T1294" i="1"/>
  <c r="K1294" i="1"/>
  <c r="H1294" i="1"/>
  <c r="C1294" i="1"/>
  <c r="BE1293" i="1"/>
  <c r="BC1293" i="1"/>
  <c r="BA1293" i="1"/>
  <c r="AY1293" i="1"/>
  <c r="AU1293" i="1"/>
  <c r="AS1293" i="1"/>
  <c r="AK1293" i="1"/>
  <c r="AG1293" i="1"/>
  <c r="AE1293" i="1"/>
  <c r="T1293" i="1"/>
  <c r="K1293" i="1"/>
  <c r="H1293" i="1"/>
  <c r="C1293" i="1"/>
  <c r="BE1292" i="1"/>
  <c r="BC1292" i="1"/>
  <c r="BA1292" i="1"/>
  <c r="AY1292" i="1"/>
  <c r="AU1292" i="1"/>
  <c r="AS1292" i="1"/>
  <c r="AK1292" i="1"/>
  <c r="AG1292" i="1"/>
  <c r="AE1292" i="1"/>
  <c r="T1292" i="1"/>
  <c r="K1292" i="1"/>
  <c r="H1292" i="1"/>
  <c r="C1292" i="1"/>
  <c r="BE1291" i="1"/>
  <c r="BC1291" i="1"/>
  <c r="BA1291" i="1"/>
  <c r="AY1291" i="1"/>
  <c r="AU1291" i="1"/>
  <c r="AS1291" i="1"/>
  <c r="AK1291" i="1"/>
  <c r="AG1291" i="1"/>
  <c r="AE1291" i="1"/>
  <c r="T1291" i="1"/>
  <c r="K1291" i="1"/>
  <c r="H1291" i="1"/>
  <c r="C1291" i="1"/>
  <c r="BE1290" i="1"/>
  <c r="BC1290" i="1"/>
  <c r="BA1290" i="1"/>
  <c r="AY1290" i="1"/>
  <c r="AU1290" i="1"/>
  <c r="AS1290" i="1"/>
  <c r="AK1290" i="1"/>
  <c r="AG1290" i="1"/>
  <c r="AE1290" i="1"/>
  <c r="T1290" i="1"/>
  <c r="K1290" i="1"/>
  <c r="H1290" i="1"/>
  <c r="C1290" i="1"/>
  <c r="BE1289" i="1"/>
  <c r="BC1289" i="1"/>
  <c r="BA1289" i="1"/>
  <c r="AY1289" i="1"/>
  <c r="AU1289" i="1"/>
  <c r="AS1289" i="1"/>
  <c r="AK1289" i="1"/>
  <c r="AG1289" i="1"/>
  <c r="AE1289" i="1"/>
  <c r="T1289" i="1"/>
  <c r="K1289" i="1"/>
  <c r="H1289" i="1"/>
  <c r="C1289" i="1"/>
  <c r="BE1288" i="1"/>
  <c r="BC1288" i="1"/>
  <c r="BA1288" i="1"/>
  <c r="AY1288" i="1"/>
  <c r="AU1288" i="1"/>
  <c r="AS1288" i="1"/>
  <c r="AK1288" i="1"/>
  <c r="AG1288" i="1"/>
  <c r="AE1288" i="1"/>
  <c r="T1288" i="1"/>
  <c r="K1288" i="1"/>
  <c r="H1288" i="1"/>
  <c r="C1288" i="1"/>
  <c r="BE1287" i="1"/>
  <c r="BC1287" i="1"/>
  <c r="BA1287" i="1"/>
  <c r="AY1287" i="1"/>
  <c r="AU1287" i="1"/>
  <c r="AS1287" i="1"/>
  <c r="AK1287" i="1"/>
  <c r="AG1287" i="1"/>
  <c r="AE1287" i="1"/>
  <c r="T1287" i="1"/>
  <c r="K1287" i="1"/>
  <c r="H1287" i="1"/>
  <c r="C1287" i="1"/>
  <c r="BE1286" i="1"/>
  <c r="BC1286" i="1"/>
  <c r="BA1286" i="1"/>
  <c r="AY1286" i="1"/>
  <c r="AU1286" i="1"/>
  <c r="AS1286" i="1"/>
  <c r="AK1286" i="1"/>
  <c r="AG1286" i="1"/>
  <c r="AE1286" i="1"/>
  <c r="T1286" i="1"/>
  <c r="K1286" i="1"/>
  <c r="H1286" i="1"/>
  <c r="C1286" i="1"/>
  <c r="BE1285" i="1"/>
  <c r="BC1285" i="1"/>
  <c r="BA1285" i="1"/>
  <c r="AY1285" i="1"/>
  <c r="AU1285" i="1"/>
  <c r="AS1285" i="1"/>
  <c r="AK1285" i="1"/>
  <c r="AG1285" i="1"/>
  <c r="AE1285" i="1"/>
  <c r="T1285" i="1"/>
  <c r="K1285" i="1"/>
  <c r="H1285" i="1"/>
  <c r="C1285" i="1"/>
  <c r="BE1284" i="1"/>
  <c r="BC1284" i="1"/>
  <c r="BA1284" i="1"/>
  <c r="AY1284" i="1"/>
  <c r="AU1284" i="1"/>
  <c r="AS1284" i="1"/>
  <c r="AK1284" i="1"/>
  <c r="AG1284" i="1"/>
  <c r="AE1284" i="1"/>
  <c r="T1284" i="1"/>
  <c r="K1284" i="1"/>
  <c r="H1284" i="1"/>
  <c r="C1284" i="1"/>
  <c r="BE1283" i="1"/>
  <c r="BC1283" i="1"/>
  <c r="BA1283" i="1"/>
  <c r="AY1283" i="1"/>
  <c r="AU1283" i="1"/>
  <c r="AS1283" i="1"/>
  <c r="AK1283" i="1"/>
  <c r="AG1283" i="1"/>
  <c r="AE1283" i="1"/>
  <c r="T1283" i="1"/>
  <c r="K1283" i="1"/>
  <c r="H1283" i="1"/>
  <c r="C1283" i="1"/>
  <c r="BE1282" i="1"/>
  <c r="BC1282" i="1"/>
  <c r="BA1282" i="1"/>
  <c r="AY1282" i="1"/>
  <c r="AU1282" i="1"/>
  <c r="AS1282" i="1"/>
  <c r="AK1282" i="1"/>
  <c r="AG1282" i="1"/>
  <c r="AE1282" i="1"/>
  <c r="T1282" i="1"/>
  <c r="K1282" i="1"/>
  <c r="H1282" i="1"/>
  <c r="C1282" i="1"/>
  <c r="BE1281" i="1"/>
  <c r="BC1281" i="1"/>
  <c r="BA1281" i="1"/>
  <c r="AY1281" i="1"/>
  <c r="AU1281" i="1"/>
  <c r="AS1281" i="1"/>
  <c r="AK1281" i="1"/>
  <c r="AG1281" i="1"/>
  <c r="AE1281" i="1"/>
  <c r="T1281" i="1"/>
  <c r="K1281" i="1"/>
  <c r="H1281" i="1"/>
  <c r="C1281" i="1"/>
  <c r="BE1280" i="1"/>
  <c r="BC1280" i="1"/>
  <c r="BA1280" i="1"/>
  <c r="AY1280" i="1"/>
  <c r="AU1280" i="1"/>
  <c r="AS1280" i="1"/>
  <c r="AK1280" i="1"/>
  <c r="AG1280" i="1"/>
  <c r="AE1280" i="1"/>
  <c r="T1280" i="1"/>
  <c r="K1280" i="1"/>
  <c r="H1280" i="1"/>
  <c r="C1280" i="1"/>
  <c r="BE1279" i="1"/>
  <c r="BC1279" i="1"/>
  <c r="BA1279" i="1"/>
  <c r="AY1279" i="1"/>
  <c r="AU1279" i="1"/>
  <c r="AS1279" i="1"/>
  <c r="AK1279" i="1"/>
  <c r="AG1279" i="1"/>
  <c r="AE1279" i="1"/>
  <c r="T1279" i="1"/>
  <c r="K1279" i="1"/>
  <c r="H1279" i="1"/>
  <c r="C1279" i="1"/>
  <c r="BE1278" i="1"/>
  <c r="BC1278" i="1"/>
  <c r="BA1278" i="1"/>
  <c r="AY1278" i="1"/>
  <c r="AU1278" i="1"/>
  <c r="AS1278" i="1"/>
  <c r="AK1278" i="1"/>
  <c r="AG1278" i="1"/>
  <c r="AE1278" i="1"/>
  <c r="T1278" i="1"/>
  <c r="K1278" i="1"/>
  <c r="H1278" i="1"/>
  <c r="C1278" i="1"/>
  <c r="BE1277" i="1"/>
  <c r="BC1277" i="1"/>
  <c r="BA1277" i="1"/>
  <c r="AY1277" i="1"/>
  <c r="AU1277" i="1"/>
  <c r="AS1277" i="1"/>
  <c r="AK1277" i="1"/>
  <c r="AG1277" i="1"/>
  <c r="AE1277" i="1"/>
  <c r="T1277" i="1"/>
  <c r="K1277" i="1"/>
  <c r="H1277" i="1"/>
  <c r="C1277" i="1"/>
  <c r="BE1276" i="1"/>
  <c r="BC1276" i="1"/>
  <c r="BA1276" i="1"/>
  <c r="AY1276" i="1"/>
  <c r="AU1276" i="1"/>
  <c r="AS1276" i="1"/>
  <c r="AK1276" i="1"/>
  <c r="AG1276" i="1"/>
  <c r="AE1276" i="1"/>
  <c r="T1276" i="1"/>
  <c r="K1276" i="1"/>
  <c r="H1276" i="1"/>
  <c r="C1276" i="1"/>
  <c r="BE1275" i="1"/>
  <c r="BC1275" i="1"/>
  <c r="BA1275" i="1"/>
  <c r="AY1275" i="1"/>
  <c r="AU1275" i="1"/>
  <c r="AS1275" i="1"/>
  <c r="AK1275" i="1"/>
  <c r="AG1275" i="1"/>
  <c r="AE1275" i="1"/>
  <c r="T1275" i="1"/>
  <c r="K1275" i="1"/>
  <c r="H1275" i="1"/>
  <c r="C1275" i="1"/>
  <c r="BE1274" i="1"/>
  <c r="BC1274" i="1"/>
  <c r="BA1274" i="1"/>
  <c r="AY1274" i="1"/>
  <c r="AU1274" i="1"/>
  <c r="AS1274" i="1"/>
  <c r="AK1274" i="1"/>
  <c r="AG1274" i="1"/>
  <c r="AE1274" i="1"/>
  <c r="T1274" i="1"/>
  <c r="K1274" i="1"/>
  <c r="H1274" i="1"/>
  <c r="C1274" i="1"/>
  <c r="BE1273" i="1"/>
  <c r="BC1273" i="1"/>
  <c r="BA1273" i="1"/>
  <c r="AY1273" i="1"/>
  <c r="AU1273" i="1"/>
  <c r="AS1273" i="1"/>
  <c r="AK1273" i="1"/>
  <c r="AG1273" i="1"/>
  <c r="AE1273" i="1"/>
  <c r="T1273" i="1"/>
  <c r="K1273" i="1"/>
  <c r="H1273" i="1"/>
  <c r="C1273" i="1"/>
  <c r="BE1272" i="1"/>
  <c r="BC1272" i="1"/>
  <c r="BA1272" i="1"/>
  <c r="AY1272" i="1"/>
  <c r="AU1272" i="1"/>
  <c r="AS1272" i="1"/>
  <c r="AK1272" i="1"/>
  <c r="AG1272" i="1"/>
  <c r="AE1272" i="1"/>
  <c r="T1272" i="1"/>
  <c r="K1272" i="1"/>
  <c r="H1272" i="1"/>
  <c r="C1272" i="1"/>
  <c r="BE1271" i="1"/>
  <c r="BC1271" i="1"/>
  <c r="BA1271" i="1"/>
  <c r="AY1271" i="1"/>
  <c r="AU1271" i="1"/>
  <c r="AS1271" i="1"/>
  <c r="AK1271" i="1"/>
  <c r="AG1271" i="1"/>
  <c r="AE1271" i="1"/>
  <c r="T1271" i="1"/>
  <c r="K1271" i="1"/>
  <c r="H1271" i="1"/>
  <c r="C1271" i="1"/>
  <c r="BE1270" i="1"/>
  <c r="BC1270" i="1"/>
  <c r="BA1270" i="1"/>
  <c r="AY1270" i="1"/>
  <c r="AU1270" i="1"/>
  <c r="AS1270" i="1"/>
  <c r="AK1270" i="1"/>
  <c r="AG1270" i="1"/>
  <c r="AE1270" i="1"/>
  <c r="T1270" i="1"/>
  <c r="K1270" i="1"/>
  <c r="H1270" i="1"/>
  <c r="C1270" i="1"/>
  <c r="BE1269" i="1"/>
  <c r="BC1269" i="1"/>
  <c r="BA1269" i="1"/>
  <c r="AY1269" i="1"/>
  <c r="AU1269" i="1"/>
  <c r="AS1269" i="1"/>
  <c r="AK1269" i="1"/>
  <c r="AG1269" i="1"/>
  <c r="AE1269" i="1"/>
  <c r="T1269" i="1"/>
  <c r="K1269" i="1"/>
  <c r="H1269" i="1"/>
  <c r="C1269" i="1"/>
  <c r="BE1268" i="1"/>
  <c r="BC1268" i="1"/>
  <c r="BA1268" i="1"/>
  <c r="AY1268" i="1"/>
  <c r="AU1268" i="1"/>
  <c r="AS1268" i="1"/>
  <c r="AK1268" i="1"/>
  <c r="AG1268" i="1"/>
  <c r="AE1268" i="1"/>
  <c r="T1268" i="1"/>
  <c r="K1268" i="1"/>
  <c r="H1268" i="1"/>
  <c r="C1268" i="1"/>
  <c r="BE1267" i="1"/>
  <c r="BC1267" i="1"/>
  <c r="BA1267" i="1"/>
  <c r="AY1267" i="1"/>
  <c r="AU1267" i="1"/>
  <c r="AS1267" i="1"/>
  <c r="AK1267" i="1"/>
  <c r="AG1267" i="1"/>
  <c r="AE1267" i="1"/>
  <c r="T1267" i="1"/>
  <c r="K1267" i="1"/>
  <c r="H1267" i="1"/>
  <c r="C1267" i="1"/>
  <c r="BE1266" i="1"/>
  <c r="BC1266" i="1"/>
  <c r="BA1266" i="1"/>
  <c r="AY1266" i="1"/>
  <c r="AU1266" i="1"/>
  <c r="AS1266" i="1"/>
  <c r="AK1266" i="1"/>
  <c r="AG1266" i="1"/>
  <c r="AE1266" i="1"/>
  <c r="T1266" i="1"/>
  <c r="K1266" i="1"/>
  <c r="H1266" i="1"/>
  <c r="C1266" i="1"/>
  <c r="BE1265" i="1"/>
  <c r="BC1265" i="1"/>
  <c r="BA1265" i="1"/>
  <c r="AY1265" i="1"/>
  <c r="AU1265" i="1"/>
  <c r="AS1265" i="1"/>
  <c r="AK1265" i="1"/>
  <c r="AG1265" i="1"/>
  <c r="AE1265" i="1"/>
  <c r="T1265" i="1"/>
  <c r="K1265" i="1"/>
  <c r="H1265" i="1"/>
  <c r="C1265" i="1"/>
  <c r="BE1264" i="1"/>
  <c r="BC1264" i="1"/>
  <c r="BA1264" i="1"/>
  <c r="AY1264" i="1"/>
  <c r="AU1264" i="1"/>
  <c r="AS1264" i="1"/>
  <c r="AK1264" i="1"/>
  <c r="AG1264" i="1"/>
  <c r="AE1264" i="1"/>
  <c r="T1264" i="1"/>
  <c r="K1264" i="1"/>
  <c r="H1264" i="1"/>
  <c r="C1264" i="1"/>
  <c r="BE1263" i="1"/>
  <c r="BC1263" i="1"/>
  <c r="BA1263" i="1"/>
  <c r="AY1263" i="1"/>
  <c r="AU1263" i="1"/>
  <c r="AS1263" i="1"/>
  <c r="AK1263" i="1"/>
  <c r="AG1263" i="1"/>
  <c r="AE1263" i="1"/>
  <c r="T1263" i="1"/>
  <c r="K1263" i="1"/>
  <c r="H1263" i="1"/>
  <c r="C1263" i="1"/>
  <c r="BE1262" i="1"/>
  <c r="BC1262" i="1"/>
  <c r="BA1262" i="1"/>
  <c r="AY1262" i="1"/>
  <c r="AU1262" i="1"/>
  <c r="AS1262" i="1"/>
  <c r="AK1262" i="1"/>
  <c r="AG1262" i="1"/>
  <c r="AE1262" i="1"/>
  <c r="T1262" i="1"/>
  <c r="K1262" i="1"/>
  <c r="H1262" i="1"/>
  <c r="C1262" i="1"/>
  <c r="BE1261" i="1"/>
  <c r="BC1261" i="1"/>
  <c r="BA1261" i="1"/>
  <c r="AY1261" i="1"/>
  <c r="AU1261" i="1"/>
  <c r="AS1261" i="1"/>
  <c r="AK1261" i="1"/>
  <c r="AG1261" i="1"/>
  <c r="AE1261" i="1"/>
  <c r="T1261" i="1"/>
  <c r="K1261" i="1"/>
  <c r="H1261" i="1"/>
  <c r="C1261" i="1"/>
  <c r="BE1260" i="1"/>
  <c r="BC1260" i="1"/>
  <c r="BA1260" i="1"/>
  <c r="AY1260" i="1"/>
  <c r="AU1260" i="1"/>
  <c r="AS1260" i="1"/>
  <c r="AK1260" i="1"/>
  <c r="AG1260" i="1"/>
  <c r="AE1260" i="1"/>
  <c r="T1260" i="1"/>
  <c r="K1260" i="1"/>
  <c r="H1260" i="1"/>
  <c r="C1260" i="1"/>
  <c r="BE1259" i="1"/>
  <c r="BC1259" i="1"/>
  <c r="BA1259" i="1"/>
  <c r="AY1259" i="1"/>
  <c r="AU1259" i="1"/>
  <c r="AS1259" i="1"/>
  <c r="AK1259" i="1"/>
  <c r="AG1259" i="1"/>
  <c r="AE1259" i="1"/>
  <c r="T1259" i="1"/>
  <c r="K1259" i="1"/>
  <c r="H1259" i="1"/>
  <c r="C1259" i="1"/>
  <c r="BE1258" i="1"/>
  <c r="BC1258" i="1"/>
  <c r="BA1258" i="1"/>
  <c r="AY1258" i="1"/>
  <c r="AU1258" i="1"/>
  <c r="AS1258" i="1"/>
  <c r="AK1258" i="1"/>
  <c r="AG1258" i="1"/>
  <c r="AE1258" i="1"/>
  <c r="T1258" i="1"/>
  <c r="K1258" i="1"/>
  <c r="H1258" i="1"/>
  <c r="C1258" i="1"/>
  <c r="BE1257" i="1"/>
  <c r="BC1257" i="1"/>
  <c r="BA1257" i="1"/>
  <c r="AY1257" i="1"/>
  <c r="AU1257" i="1"/>
  <c r="AS1257" i="1"/>
  <c r="AK1257" i="1"/>
  <c r="AG1257" i="1"/>
  <c r="AE1257" i="1"/>
  <c r="T1257" i="1"/>
  <c r="K1257" i="1"/>
  <c r="H1257" i="1"/>
  <c r="C1257" i="1"/>
  <c r="BE1256" i="1"/>
  <c r="BC1256" i="1"/>
  <c r="BA1256" i="1"/>
  <c r="AY1256" i="1"/>
  <c r="AU1256" i="1"/>
  <c r="AS1256" i="1"/>
  <c r="AK1256" i="1"/>
  <c r="AG1256" i="1"/>
  <c r="AE1256" i="1"/>
  <c r="T1256" i="1"/>
  <c r="K1256" i="1"/>
  <c r="H1256" i="1"/>
  <c r="C1256" i="1"/>
  <c r="BE1255" i="1"/>
  <c r="BC1255" i="1"/>
  <c r="BA1255" i="1"/>
  <c r="AY1255" i="1"/>
  <c r="AU1255" i="1"/>
  <c r="AS1255" i="1"/>
  <c r="AK1255" i="1"/>
  <c r="AG1255" i="1"/>
  <c r="AE1255" i="1"/>
  <c r="T1255" i="1"/>
  <c r="K1255" i="1"/>
  <c r="H1255" i="1"/>
  <c r="C1255" i="1"/>
  <c r="BE1254" i="1"/>
  <c r="BC1254" i="1"/>
  <c r="BA1254" i="1"/>
  <c r="AY1254" i="1"/>
  <c r="AU1254" i="1"/>
  <c r="AS1254" i="1"/>
  <c r="AK1254" i="1"/>
  <c r="AG1254" i="1"/>
  <c r="AE1254" i="1"/>
  <c r="T1254" i="1"/>
  <c r="K1254" i="1"/>
  <c r="H1254" i="1"/>
  <c r="C1254" i="1"/>
  <c r="BE1253" i="1"/>
  <c r="BC1253" i="1"/>
  <c r="BA1253" i="1"/>
  <c r="AY1253" i="1"/>
  <c r="AU1253" i="1"/>
  <c r="AS1253" i="1"/>
  <c r="AK1253" i="1"/>
  <c r="AG1253" i="1"/>
  <c r="AE1253" i="1"/>
  <c r="T1253" i="1"/>
  <c r="K1253" i="1"/>
  <c r="H1253" i="1"/>
  <c r="C1253" i="1"/>
  <c r="BE1252" i="1"/>
  <c r="BC1252" i="1"/>
  <c r="BA1252" i="1"/>
  <c r="AY1252" i="1"/>
  <c r="AU1252" i="1"/>
  <c r="AS1252" i="1"/>
  <c r="AK1252" i="1"/>
  <c r="AG1252" i="1"/>
  <c r="AE1252" i="1"/>
  <c r="T1252" i="1"/>
  <c r="K1252" i="1"/>
  <c r="H1252" i="1"/>
  <c r="C1252" i="1"/>
  <c r="BE1251" i="1"/>
  <c r="BC1251" i="1"/>
  <c r="BA1251" i="1"/>
  <c r="AY1251" i="1"/>
  <c r="AU1251" i="1"/>
  <c r="AS1251" i="1"/>
  <c r="AK1251" i="1"/>
  <c r="AG1251" i="1"/>
  <c r="AE1251" i="1"/>
  <c r="T1251" i="1"/>
  <c r="K1251" i="1"/>
  <c r="H1251" i="1"/>
  <c r="C1251" i="1"/>
  <c r="BE1250" i="1"/>
  <c r="BC1250" i="1"/>
  <c r="BA1250" i="1"/>
  <c r="AY1250" i="1"/>
  <c r="AU1250" i="1"/>
  <c r="AS1250" i="1"/>
  <c r="AK1250" i="1"/>
  <c r="AG1250" i="1"/>
  <c r="AE1250" i="1"/>
  <c r="T1250" i="1"/>
  <c r="K1250" i="1"/>
  <c r="H1250" i="1"/>
  <c r="C1250" i="1"/>
  <c r="BE1249" i="1"/>
  <c r="BC1249" i="1"/>
  <c r="BA1249" i="1"/>
  <c r="AY1249" i="1"/>
  <c r="AU1249" i="1"/>
  <c r="AS1249" i="1"/>
  <c r="AK1249" i="1"/>
  <c r="AG1249" i="1"/>
  <c r="AE1249" i="1"/>
  <c r="T1249" i="1"/>
  <c r="K1249" i="1"/>
  <c r="H1249" i="1"/>
  <c r="C1249" i="1"/>
  <c r="BE1248" i="1"/>
  <c r="BC1248" i="1"/>
  <c r="BA1248" i="1"/>
  <c r="AY1248" i="1"/>
  <c r="AU1248" i="1"/>
  <c r="AS1248" i="1"/>
  <c r="AK1248" i="1"/>
  <c r="AG1248" i="1"/>
  <c r="AE1248" i="1"/>
  <c r="T1248" i="1"/>
  <c r="K1248" i="1"/>
  <c r="H1248" i="1"/>
  <c r="C1248" i="1"/>
  <c r="BE1247" i="1"/>
  <c r="BC1247" i="1"/>
  <c r="BA1247" i="1"/>
  <c r="AY1247" i="1"/>
  <c r="AU1247" i="1"/>
  <c r="AS1247" i="1"/>
  <c r="AK1247" i="1"/>
  <c r="AG1247" i="1"/>
  <c r="AE1247" i="1"/>
  <c r="T1247" i="1"/>
  <c r="K1247" i="1"/>
  <c r="H1247" i="1"/>
  <c r="C1247" i="1"/>
  <c r="BE1246" i="1"/>
  <c r="BC1246" i="1"/>
  <c r="BA1246" i="1"/>
  <c r="AY1246" i="1"/>
  <c r="AU1246" i="1"/>
  <c r="AS1246" i="1"/>
  <c r="AK1246" i="1"/>
  <c r="AG1246" i="1"/>
  <c r="AE1246" i="1"/>
  <c r="T1246" i="1"/>
  <c r="K1246" i="1"/>
  <c r="H1246" i="1"/>
  <c r="C1246" i="1"/>
  <c r="BE1245" i="1"/>
  <c r="BC1245" i="1"/>
  <c r="BA1245" i="1"/>
  <c r="AY1245" i="1"/>
  <c r="AU1245" i="1"/>
  <c r="AS1245" i="1"/>
  <c r="AK1245" i="1"/>
  <c r="AG1245" i="1"/>
  <c r="AE1245" i="1"/>
  <c r="T1245" i="1"/>
  <c r="K1245" i="1"/>
  <c r="H1245" i="1"/>
  <c r="C1245" i="1"/>
  <c r="BE1244" i="1"/>
  <c r="BC1244" i="1"/>
  <c r="BA1244" i="1"/>
  <c r="AY1244" i="1"/>
  <c r="AU1244" i="1"/>
  <c r="AS1244" i="1"/>
  <c r="AK1244" i="1"/>
  <c r="AG1244" i="1"/>
  <c r="AE1244" i="1"/>
  <c r="T1244" i="1"/>
  <c r="K1244" i="1"/>
  <c r="H1244" i="1"/>
  <c r="C1244" i="1"/>
  <c r="BE1243" i="1"/>
  <c r="BC1243" i="1"/>
  <c r="BA1243" i="1"/>
  <c r="AY1243" i="1"/>
  <c r="AU1243" i="1"/>
  <c r="AS1243" i="1"/>
  <c r="AK1243" i="1"/>
  <c r="AG1243" i="1"/>
  <c r="AE1243" i="1"/>
  <c r="T1243" i="1"/>
  <c r="K1243" i="1"/>
  <c r="H1243" i="1"/>
  <c r="C1243" i="1"/>
  <c r="BE1242" i="1"/>
  <c r="BC1242" i="1"/>
  <c r="BA1242" i="1"/>
  <c r="AY1242" i="1"/>
  <c r="AU1242" i="1"/>
  <c r="AS1242" i="1"/>
  <c r="AK1242" i="1"/>
  <c r="AG1242" i="1"/>
  <c r="AE1242" i="1"/>
  <c r="T1242" i="1"/>
  <c r="K1242" i="1"/>
  <c r="H1242" i="1"/>
  <c r="C1242" i="1"/>
  <c r="BE1241" i="1"/>
  <c r="BC1241" i="1"/>
  <c r="BA1241" i="1"/>
  <c r="AY1241" i="1"/>
  <c r="AU1241" i="1"/>
  <c r="AS1241" i="1"/>
  <c r="AK1241" i="1"/>
  <c r="AG1241" i="1"/>
  <c r="AE1241" i="1"/>
  <c r="T1241" i="1"/>
  <c r="K1241" i="1"/>
  <c r="H1241" i="1"/>
  <c r="C1241" i="1"/>
  <c r="BE1240" i="1"/>
  <c r="BC1240" i="1"/>
  <c r="BA1240" i="1"/>
  <c r="AY1240" i="1"/>
  <c r="AU1240" i="1"/>
  <c r="AS1240" i="1"/>
  <c r="AK1240" i="1"/>
  <c r="AG1240" i="1"/>
  <c r="AE1240" i="1"/>
  <c r="T1240" i="1"/>
  <c r="K1240" i="1"/>
  <c r="H1240" i="1"/>
  <c r="C1240" i="1"/>
  <c r="BE1239" i="1"/>
  <c r="BC1239" i="1"/>
  <c r="BA1239" i="1"/>
  <c r="AY1239" i="1"/>
  <c r="AU1239" i="1"/>
  <c r="AS1239" i="1"/>
  <c r="AK1239" i="1"/>
  <c r="AG1239" i="1"/>
  <c r="AE1239" i="1"/>
  <c r="T1239" i="1"/>
  <c r="K1239" i="1"/>
  <c r="H1239" i="1"/>
  <c r="C1239" i="1"/>
  <c r="BE1238" i="1"/>
  <c r="BC1238" i="1"/>
  <c r="BA1238" i="1"/>
  <c r="AY1238" i="1"/>
  <c r="AU1238" i="1"/>
  <c r="AS1238" i="1"/>
  <c r="AK1238" i="1"/>
  <c r="AG1238" i="1"/>
  <c r="AE1238" i="1"/>
  <c r="T1238" i="1"/>
  <c r="K1238" i="1"/>
  <c r="H1238" i="1"/>
  <c r="C1238" i="1"/>
  <c r="BE1237" i="1"/>
  <c r="BC1237" i="1"/>
  <c r="BA1237" i="1"/>
  <c r="AY1237" i="1"/>
  <c r="AU1237" i="1"/>
  <c r="AS1237" i="1"/>
  <c r="AK1237" i="1"/>
  <c r="AG1237" i="1"/>
  <c r="AE1237" i="1"/>
  <c r="T1237" i="1"/>
  <c r="K1237" i="1"/>
  <c r="H1237" i="1"/>
  <c r="C1237" i="1"/>
  <c r="BE1236" i="1"/>
  <c r="BC1236" i="1"/>
  <c r="BA1236" i="1"/>
  <c r="AY1236" i="1"/>
  <c r="AU1236" i="1"/>
  <c r="AS1236" i="1"/>
  <c r="AK1236" i="1"/>
  <c r="AG1236" i="1"/>
  <c r="AE1236" i="1"/>
  <c r="T1236" i="1"/>
  <c r="K1236" i="1"/>
  <c r="H1236" i="1"/>
  <c r="C1236" i="1"/>
  <c r="BE1235" i="1"/>
  <c r="BC1235" i="1"/>
  <c r="BA1235" i="1"/>
  <c r="AY1235" i="1"/>
  <c r="AU1235" i="1"/>
  <c r="AS1235" i="1"/>
  <c r="AK1235" i="1"/>
  <c r="AG1235" i="1"/>
  <c r="AE1235" i="1"/>
  <c r="T1235" i="1"/>
  <c r="K1235" i="1"/>
  <c r="H1235" i="1"/>
  <c r="C1235" i="1"/>
  <c r="BE1234" i="1"/>
  <c r="BC1234" i="1"/>
  <c r="BA1234" i="1"/>
  <c r="AY1234" i="1"/>
  <c r="AU1234" i="1"/>
  <c r="AS1234" i="1"/>
  <c r="AK1234" i="1"/>
  <c r="AG1234" i="1"/>
  <c r="AE1234" i="1"/>
  <c r="T1234" i="1"/>
  <c r="K1234" i="1"/>
  <c r="H1234" i="1"/>
  <c r="C1234" i="1"/>
  <c r="BE1233" i="1"/>
  <c r="BC1233" i="1"/>
  <c r="BA1233" i="1"/>
  <c r="AY1233" i="1"/>
  <c r="AU1233" i="1"/>
  <c r="AS1233" i="1"/>
  <c r="AK1233" i="1"/>
  <c r="AG1233" i="1"/>
  <c r="AE1233" i="1"/>
  <c r="T1233" i="1"/>
  <c r="K1233" i="1"/>
  <c r="H1233" i="1"/>
  <c r="C1233" i="1"/>
  <c r="BE1232" i="1"/>
  <c r="BC1232" i="1"/>
  <c r="BA1232" i="1"/>
  <c r="AY1232" i="1"/>
  <c r="AU1232" i="1"/>
  <c r="AS1232" i="1"/>
  <c r="AK1232" i="1"/>
  <c r="AG1232" i="1"/>
  <c r="AE1232" i="1"/>
  <c r="T1232" i="1"/>
  <c r="K1232" i="1"/>
  <c r="H1232" i="1"/>
  <c r="C1232" i="1"/>
  <c r="BE1231" i="1"/>
  <c r="BC1231" i="1"/>
  <c r="BA1231" i="1"/>
  <c r="AY1231" i="1"/>
  <c r="AU1231" i="1"/>
  <c r="AS1231" i="1"/>
  <c r="AK1231" i="1"/>
  <c r="AG1231" i="1"/>
  <c r="AE1231" i="1"/>
  <c r="T1231" i="1"/>
  <c r="K1231" i="1"/>
  <c r="H1231" i="1"/>
  <c r="C1231" i="1"/>
  <c r="BE1230" i="1"/>
  <c r="BC1230" i="1"/>
  <c r="BA1230" i="1"/>
  <c r="AY1230" i="1"/>
  <c r="AU1230" i="1"/>
  <c r="AS1230" i="1"/>
  <c r="AK1230" i="1"/>
  <c r="AG1230" i="1"/>
  <c r="AE1230" i="1"/>
  <c r="T1230" i="1"/>
  <c r="K1230" i="1"/>
  <c r="H1230" i="1"/>
  <c r="C1230" i="1"/>
  <c r="BE1229" i="1"/>
  <c r="BC1229" i="1"/>
  <c r="BA1229" i="1"/>
  <c r="AY1229" i="1"/>
  <c r="AU1229" i="1"/>
  <c r="AS1229" i="1"/>
  <c r="AK1229" i="1"/>
  <c r="AG1229" i="1"/>
  <c r="AE1229" i="1"/>
  <c r="T1229" i="1"/>
  <c r="K1229" i="1"/>
  <c r="H1229" i="1"/>
  <c r="C1229" i="1"/>
  <c r="BE1228" i="1"/>
  <c r="BC1228" i="1"/>
  <c r="BA1228" i="1"/>
  <c r="AY1228" i="1"/>
  <c r="AU1228" i="1"/>
  <c r="AS1228" i="1"/>
  <c r="AK1228" i="1"/>
  <c r="AG1228" i="1"/>
  <c r="AE1228" i="1"/>
  <c r="T1228" i="1"/>
  <c r="K1228" i="1"/>
  <c r="H1228" i="1"/>
  <c r="C1228" i="1"/>
  <c r="BE1227" i="1"/>
  <c r="BC1227" i="1"/>
  <c r="BA1227" i="1"/>
  <c r="AY1227" i="1"/>
  <c r="AU1227" i="1"/>
  <c r="AS1227" i="1"/>
  <c r="AK1227" i="1"/>
  <c r="AG1227" i="1"/>
  <c r="AE1227" i="1"/>
  <c r="T1227" i="1"/>
  <c r="K1227" i="1"/>
  <c r="H1227" i="1"/>
  <c r="C1227" i="1"/>
  <c r="BE1226" i="1"/>
  <c r="BC1226" i="1"/>
  <c r="BA1226" i="1"/>
  <c r="AY1226" i="1"/>
  <c r="AU1226" i="1"/>
  <c r="AS1226" i="1"/>
  <c r="AK1226" i="1"/>
  <c r="AG1226" i="1"/>
  <c r="AE1226" i="1"/>
  <c r="T1226" i="1"/>
  <c r="K1226" i="1"/>
  <c r="H1226" i="1"/>
  <c r="C1226" i="1"/>
  <c r="BE1225" i="1"/>
  <c r="BC1225" i="1"/>
  <c r="BA1225" i="1"/>
  <c r="AY1225" i="1"/>
  <c r="AU1225" i="1"/>
  <c r="AS1225" i="1"/>
  <c r="AK1225" i="1"/>
  <c r="AG1225" i="1"/>
  <c r="AE1225" i="1"/>
  <c r="T1225" i="1"/>
  <c r="K1225" i="1"/>
  <c r="H1225" i="1"/>
  <c r="C1225" i="1"/>
  <c r="BE1224" i="1"/>
  <c r="BC1224" i="1"/>
  <c r="BA1224" i="1"/>
  <c r="AY1224" i="1"/>
  <c r="AU1224" i="1"/>
  <c r="AS1224" i="1"/>
  <c r="AK1224" i="1"/>
  <c r="AG1224" i="1"/>
  <c r="AE1224" i="1"/>
  <c r="T1224" i="1"/>
  <c r="K1224" i="1"/>
  <c r="H1224" i="1"/>
  <c r="C1224" i="1"/>
  <c r="BE1223" i="1"/>
  <c r="BC1223" i="1"/>
  <c r="BA1223" i="1"/>
  <c r="AY1223" i="1"/>
  <c r="AU1223" i="1"/>
  <c r="AS1223" i="1"/>
  <c r="AK1223" i="1"/>
  <c r="AG1223" i="1"/>
  <c r="AE1223" i="1"/>
  <c r="T1223" i="1"/>
  <c r="K1223" i="1"/>
  <c r="H1223" i="1"/>
  <c r="C1223" i="1"/>
  <c r="BE1222" i="1"/>
  <c r="BC1222" i="1"/>
  <c r="BA1222" i="1"/>
  <c r="AY1222" i="1"/>
  <c r="AU1222" i="1"/>
  <c r="AS1222" i="1"/>
  <c r="AK1222" i="1"/>
  <c r="AG1222" i="1"/>
  <c r="AE1222" i="1"/>
  <c r="T1222" i="1"/>
  <c r="K1222" i="1"/>
  <c r="H1222" i="1"/>
  <c r="C1222" i="1"/>
  <c r="BE1221" i="1"/>
  <c r="BC1221" i="1"/>
  <c r="BA1221" i="1"/>
  <c r="AY1221" i="1"/>
  <c r="AU1221" i="1"/>
  <c r="AS1221" i="1"/>
  <c r="AK1221" i="1"/>
  <c r="AG1221" i="1"/>
  <c r="AE1221" i="1"/>
  <c r="T1221" i="1"/>
  <c r="K1221" i="1"/>
  <c r="H1221" i="1"/>
  <c r="C1221" i="1"/>
  <c r="BE1220" i="1"/>
  <c r="BC1220" i="1"/>
  <c r="BA1220" i="1"/>
  <c r="AY1220" i="1"/>
  <c r="AU1220" i="1"/>
  <c r="AS1220" i="1"/>
  <c r="AK1220" i="1"/>
  <c r="AG1220" i="1"/>
  <c r="AE1220" i="1"/>
  <c r="T1220" i="1"/>
  <c r="K1220" i="1"/>
  <c r="H1220" i="1"/>
  <c r="C1220" i="1"/>
  <c r="BE1219" i="1"/>
  <c r="BC1219" i="1"/>
  <c r="BA1219" i="1"/>
  <c r="AY1219" i="1"/>
  <c r="AU1219" i="1"/>
  <c r="AS1219" i="1"/>
  <c r="AK1219" i="1"/>
  <c r="AG1219" i="1"/>
  <c r="AE1219" i="1"/>
  <c r="T1219" i="1"/>
  <c r="K1219" i="1"/>
  <c r="H1219" i="1"/>
  <c r="C1219" i="1"/>
  <c r="BE1218" i="1"/>
  <c r="BC1218" i="1"/>
  <c r="BA1218" i="1"/>
  <c r="AY1218" i="1"/>
  <c r="AU1218" i="1"/>
  <c r="AS1218" i="1"/>
  <c r="AK1218" i="1"/>
  <c r="AG1218" i="1"/>
  <c r="AE1218" i="1"/>
  <c r="T1218" i="1"/>
  <c r="K1218" i="1"/>
  <c r="H1218" i="1"/>
  <c r="C1218" i="1"/>
  <c r="BE1217" i="1"/>
  <c r="BC1217" i="1"/>
  <c r="BA1217" i="1"/>
  <c r="AY1217" i="1"/>
  <c r="AU1217" i="1"/>
  <c r="AS1217" i="1"/>
  <c r="AK1217" i="1"/>
  <c r="AG1217" i="1"/>
  <c r="AE1217" i="1"/>
  <c r="T1217" i="1"/>
  <c r="K1217" i="1"/>
  <c r="H1217" i="1"/>
  <c r="C1217" i="1"/>
  <c r="BE1216" i="1"/>
  <c r="BC1216" i="1"/>
  <c r="BA1216" i="1"/>
  <c r="AY1216" i="1"/>
  <c r="AU1216" i="1"/>
  <c r="AS1216" i="1"/>
  <c r="AK1216" i="1"/>
  <c r="AG1216" i="1"/>
  <c r="AE1216" i="1"/>
  <c r="T1216" i="1"/>
  <c r="K1216" i="1"/>
  <c r="H1216" i="1"/>
  <c r="C1216" i="1"/>
  <c r="BE1215" i="1"/>
  <c r="BC1215" i="1"/>
  <c r="BA1215" i="1"/>
  <c r="AY1215" i="1"/>
  <c r="AU1215" i="1"/>
  <c r="AS1215" i="1"/>
  <c r="AK1215" i="1"/>
  <c r="AG1215" i="1"/>
  <c r="AE1215" i="1"/>
  <c r="T1215" i="1"/>
  <c r="K1215" i="1"/>
  <c r="H1215" i="1"/>
  <c r="C1215" i="1"/>
  <c r="BE1214" i="1"/>
  <c r="BC1214" i="1"/>
  <c r="BA1214" i="1"/>
  <c r="AY1214" i="1"/>
  <c r="AU1214" i="1"/>
  <c r="AS1214" i="1"/>
  <c r="AK1214" i="1"/>
  <c r="AG1214" i="1"/>
  <c r="AE1214" i="1"/>
  <c r="T1214" i="1"/>
  <c r="K1214" i="1"/>
  <c r="H1214" i="1"/>
  <c r="C1214" i="1"/>
  <c r="BE1213" i="1"/>
  <c r="BC1213" i="1"/>
  <c r="BA1213" i="1"/>
  <c r="AY1213" i="1"/>
  <c r="AU1213" i="1"/>
  <c r="AS1213" i="1"/>
  <c r="AK1213" i="1"/>
  <c r="AG1213" i="1"/>
  <c r="AE1213" i="1"/>
  <c r="T1213" i="1"/>
  <c r="K1213" i="1"/>
  <c r="H1213" i="1"/>
  <c r="C1213" i="1"/>
  <c r="BE1212" i="1"/>
  <c r="BC1212" i="1"/>
  <c r="BA1212" i="1"/>
  <c r="AY1212" i="1"/>
  <c r="AU1212" i="1"/>
  <c r="AS1212" i="1"/>
  <c r="AK1212" i="1"/>
  <c r="AG1212" i="1"/>
  <c r="AE1212" i="1"/>
  <c r="T1212" i="1"/>
  <c r="K1212" i="1"/>
  <c r="H1212" i="1"/>
  <c r="C1212" i="1"/>
  <c r="BE1211" i="1"/>
  <c r="BC1211" i="1"/>
  <c r="BA1211" i="1"/>
  <c r="AY1211" i="1"/>
  <c r="AU1211" i="1"/>
  <c r="AS1211" i="1"/>
  <c r="AK1211" i="1"/>
  <c r="AG1211" i="1"/>
  <c r="AE1211" i="1"/>
  <c r="T1211" i="1"/>
  <c r="K1211" i="1"/>
  <c r="H1211" i="1"/>
  <c r="C1211" i="1"/>
  <c r="BE1210" i="1"/>
  <c r="BC1210" i="1"/>
  <c r="BA1210" i="1"/>
  <c r="AY1210" i="1"/>
  <c r="AU1210" i="1"/>
  <c r="AS1210" i="1"/>
  <c r="AK1210" i="1"/>
  <c r="AG1210" i="1"/>
  <c r="AE1210" i="1"/>
  <c r="T1210" i="1"/>
  <c r="K1210" i="1"/>
  <c r="H1210" i="1"/>
  <c r="C1210" i="1"/>
  <c r="BE1209" i="1"/>
  <c r="BC1209" i="1"/>
  <c r="BA1209" i="1"/>
  <c r="AY1209" i="1"/>
  <c r="AU1209" i="1"/>
  <c r="AS1209" i="1"/>
  <c r="AK1209" i="1"/>
  <c r="AG1209" i="1"/>
  <c r="AE1209" i="1"/>
  <c r="T1209" i="1"/>
  <c r="K1209" i="1"/>
  <c r="H1209" i="1"/>
  <c r="C1209" i="1"/>
  <c r="BE1208" i="1"/>
  <c r="BC1208" i="1"/>
  <c r="BA1208" i="1"/>
  <c r="AY1208" i="1"/>
  <c r="AU1208" i="1"/>
  <c r="AS1208" i="1"/>
  <c r="AK1208" i="1"/>
  <c r="AG1208" i="1"/>
  <c r="AE1208" i="1"/>
  <c r="T1208" i="1"/>
  <c r="K1208" i="1"/>
  <c r="H1208" i="1"/>
  <c r="C1208" i="1"/>
  <c r="BE1207" i="1"/>
  <c r="BC1207" i="1"/>
  <c r="BA1207" i="1"/>
  <c r="AY1207" i="1"/>
  <c r="AU1207" i="1"/>
  <c r="AS1207" i="1"/>
  <c r="AK1207" i="1"/>
  <c r="AG1207" i="1"/>
  <c r="AE1207" i="1"/>
  <c r="T1207" i="1"/>
  <c r="K1207" i="1"/>
  <c r="H1207" i="1"/>
  <c r="C1207" i="1"/>
  <c r="BE1206" i="1"/>
  <c r="BC1206" i="1"/>
  <c r="BA1206" i="1"/>
  <c r="AY1206" i="1"/>
  <c r="AU1206" i="1"/>
  <c r="AS1206" i="1"/>
  <c r="AK1206" i="1"/>
  <c r="AG1206" i="1"/>
  <c r="AE1206" i="1"/>
  <c r="T1206" i="1"/>
  <c r="K1206" i="1"/>
  <c r="H1206" i="1"/>
  <c r="C1206" i="1"/>
  <c r="BE1205" i="1"/>
  <c r="BC1205" i="1"/>
  <c r="BA1205" i="1"/>
  <c r="AY1205" i="1"/>
  <c r="AU1205" i="1"/>
  <c r="AS1205" i="1"/>
  <c r="AK1205" i="1"/>
  <c r="AG1205" i="1"/>
  <c r="AE1205" i="1"/>
  <c r="T1205" i="1"/>
  <c r="K1205" i="1"/>
  <c r="H1205" i="1"/>
  <c r="C1205" i="1"/>
  <c r="BE1204" i="1"/>
  <c r="BC1204" i="1"/>
  <c r="BA1204" i="1"/>
  <c r="AY1204" i="1"/>
  <c r="AU1204" i="1"/>
  <c r="AS1204" i="1"/>
  <c r="AK1204" i="1"/>
  <c r="AG1204" i="1"/>
  <c r="AE1204" i="1"/>
  <c r="T1204" i="1"/>
  <c r="K1204" i="1"/>
  <c r="H1204" i="1"/>
  <c r="C1204" i="1"/>
  <c r="BE1203" i="1"/>
  <c r="BC1203" i="1"/>
  <c r="BA1203" i="1"/>
  <c r="AY1203" i="1"/>
  <c r="AU1203" i="1"/>
  <c r="AS1203" i="1"/>
  <c r="AK1203" i="1"/>
  <c r="AG1203" i="1"/>
  <c r="AE1203" i="1"/>
  <c r="T1203" i="1"/>
  <c r="K1203" i="1"/>
  <c r="H1203" i="1"/>
  <c r="C1203" i="1"/>
  <c r="BE1202" i="1"/>
  <c r="BC1202" i="1"/>
  <c r="BA1202" i="1"/>
  <c r="AY1202" i="1"/>
  <c r="AU1202" i="1"/>
  <c r="AS1202" i="1"/>
  <c r="AK1202" i="1"/>
  <c r="AG1202" i="1"/>
  <c r="AE1202" i="1"/>
  <c r="T1202" i="1"/>
  <c r="K1202" i="1"/>
  <c r="H1202" i="1"/>
  <c r="C1202" i="1"/>
  <c r="BE1201" i="1"/>
  <c r="BC1201" i="1"/>
  <c r="BA1201" i="1"/>
  <c r="AY1201" i="1"/>
  <c r="AU1201" i="1"/>
  <c r="AS1201" i="1"/>
  <c r="AK1201" i="1"/>
  <c r="AG1201" i="1"/>
  <c r="AE1201" i="1"/>
  <c r="T1201" i="1"/>
  <c r="K1201" i="1"/>
  <c r="H1201" i="1"/>
  <c r="C1201" i="1"/>
  <c r="BE1200" i="1"/>
  <c r="BC1200" i="1"/>
  <c r="BA1200" i="1"/>
  <c r="AY1200" i="1"/>
  <c r="AU1200" i="1"/>
  <c r="AS1200" i="1"/>
  <c r="AK1200" i="1"/>
  <c r="AG1200" i="1"/>
  <c r="AE1200" i="1"/>
  <c r="T1200" i="1"/>
  <c r="K1200" i="1"/>
  <c r="H1200" i="1"/>
  <c r="C1200" i="1"/>
  <c r="BE1199" i="1"/>
  <c r="BC1199" i="1"/>
  <c r="BA1199" i="1"/>
  <c r="AY1199" i="1"/>
  <c r="AU1199" i="1"/>
  <c r="AS1199" i="1"/>
  <c r="AK1199" i="1"/>
  <c r="AG1199" i="1"/>
  <c r="AE1199" i="1"/>
  <c r="T1199" i="1"/>
  <c r="K1199" i="1"/>
  <c r="H1199" i="1"/>
  <c r="C1199" i="1"/>
  <c r="BE1198" i="1"/>
  <c r="BC1198" i="1"/>
  <c r="BA1198" i="1"/>
  <c r="AY1198" i="1"/>
  <c r="AU1198" i="1"/>
  <c r="AS1198" i="1"/>
  <c r="AK1198" i="1"/>
  <c r="AG1198" i="1"/>
  <c r="AE1198" i="1"/>
  <c r="T1198" i="1"/>
  <c r="K1198" i="1"/>
  <c r="H1198" i="1"/>
  <c r="C1198" i="1"/>
  <c r="BE1197" i="1"/>
  <c r="BC1197" i="1"/>
  <c r="BA1197" i="1"/>
  <c r="AY1197" i="1"/>
  <c r="AU1197" i="1"/>
  <c r="AS1197" i="1"/>
  <c r="AK1197" i="1"/>
  <c r="AG1197" i="1"/>
  <c r="AE1197" i="1"/>
  <c r="T1197" i="1"/>
  <c r="K1197" i="1"/>
  <c r="H1197" i="1"/>
  <c r="C1197" i="1"/>
  <c r="BE1196" i="1"/>
  <c r="BC1196" i="1"/>
  <c r="BA1196" i="1"/>
  <c r="AY1196" i="1"/>
  <c r="AU1196" i="1"/>
  <c r="AS1196" i="1"/>
  <c r="AK1196" i="1"/>
  <c r="AG1196" i="1"/>
  <c r="AE1196" i="1"/>
  <c r="T1196" i="1"/>
  <c r="K1196" i="1"/>
  <c r="H1196" i="1"/>
  <c r="C1196" i="1"/>
  <c r="BE1195" i="1"/>
  <c r="BC1195" i="1"/>
  <c r="BA1195" i="1"/>
  <c r="AY1195" i="1"/>
  <c r="AU1195" i="1"/>
  <c r="AS1195" i="1"/>
  <c r="AK1195" i="1"/>
  <c r="AG1195" i="1"/>
  <c r="AE1195" i="1"/>
  <c r="T1195" i="1"/>
  <c r="K1195" i="1"/>
  <c r="H1195" i="1"/>
  <c r="C1195" i="1"/>
  <c r="BE1194" i="1"/>
  <c r="BC1194" i="1"/>
  <c r="BA1194" i="1"/>
  <c r="AY1194" i="1"/>
  <c r="AU1194" i="1"/>
  <c r="AS1194" i="1"/>
  <c r="AK1194" i="1"/>
  <c r="AG1194" i="1"/>
  <c r="AE1194" i="1"/>
  <c r="T1194" i="1"/>
  <c r="K1194" i="1"/>
  <c r="H1194" i="1"/>
  <c r="C1194" i="1"/>
  <c r="BE1193" i="1"/>
  <c r="BC1193" i="1"/>
  <c r="BA1193" i="1"/>
  <c r="AY1193" i="1"/>
  <c r="AU1193" i="1"/>
  <c r="AS1193" i="1"/>
  <c r="AK1193" i="1"/>
  <c r="AG1193" i="1"/>
  <c r="AE1193" i="1"/>
  <c r="T1193" i="1"/>
  <c r="K1193" i="1"/>
  <c r="H1193" i="1"/>
  <c r="C1193" i="1"/>
  <c r="BE1192" i="1"/>
  <c r="BC1192" i="1"/>
  <c r="BA1192" i="1"/>
  <c r="AY1192" i="1"/>
  <c r="AU1192" i="1"/>
  <c r="AS1192" i="1"/>
  <c r="AK1192" i="1"/>
  <c r="AG1192" i="1"/>
  <c r="AE1192" i="1"/>
  <c r="T1192" i="1"/>
  <c r="K1192" i="1"/>
  <c r="H1192" i="1"/>
  <c r="C1192" i="1"/>
  <c r="BE1191" i="1"/>
  <c r="BC1191" i="1"/>
  <c r="BA1191" i="1"/>
  <c r="AY1191" i="1"/>
  <c r="AU1191" i="1"/>
  <c r="AS1191" i="1"/>
  <c r="AK1191" i="1"/>
  <c r="AG1191" i="1"/>
  <c r="AE1191" i="1"/>
  <c r="T1191" i="1"/>
  <c r="K1191" i="1"/>
  <c r="H1191" i="1"/>
  <c r="C1191" i="1"/>
  <c r="BE1190" i="1"/>
  <c r="BC1190" i="1"/>
  <c r="BA1190" i="1"/>
  <c r="AY1190" i="1"/>
  <c r="AU1190" i="1"/>
  <c r="AS1190" i="1"/>
  <c r="AK1190" i="1"/>
  <c r="AG1190" i="1"/>
  <c r="AE1190" i="1"/>
  <c r="T1190" i="1"/>
  <c r="K1190" i="1"/>
  <c r="H1190" i="1"/>
  <c r="C1190" i="1"/>
  <c r="BE1189" i="1"/>
  <c r="BC1189" i="1"/>
  <c r="BA1189" i="1"/>
  <c r="AY1189" i="1"/>
  <c r="AU1189" i="1"/>
  <c r="AS1189" i="1"/>
  <c r="AK1189" i="1"/>
  <c r="AG1189" i="1"/>
  <c r="AE1189" i="1"/>
  <c r="T1189" i="1"/>
  <c r="K1189" i="1"/>
  <c r="H1189" i="1"/>
  <c r="C1189" i="1"/>
  <c r="BE1188" i="1"/>
  <c r="BC1188" i="1"/>
  <c r="BA1188" i="1"/>
  <c r="AY1188" i="1"/>
  <c r="AU1188" i="1"/>
  <c r="AS1188" i="1"/>
  <c r="AK1188" i="1"/>
  <c r="AG1188" i="1"/>
  <c r="AE1188" i="1"/>
  <c r="T1188" i="1"/>
  <c r="K1188" i="1"/>
  <c r="H1188" i="1"/>
  <c r="C1188" i="1"/>
  <c r="BE1187" i="1"/>
  <c r="BC1187" i="1"/>
  <c r="BA1187" i="1"/>
  <c r="AY1187" i="1"/>
  <c r="AU1187" i="1"/>
  <c r="AS1187" i="1"/>
  <c r="AK1187" i="1"/>
  <c r="AG1187" i="1"/>
  <c r="AE1187" i="1"/>
  <c r="T1187" i="1"/>
  <c r="K1187" i="1"/>
  <c r="H1187" i="1"/>
  <c r="C1187" i="1"/>
  <c r="BE1186" i="1"/>
  <c r="BC1186" i="1"/>
  <c r="BA1186" i="1"/>
  <c r="AY1186" i="1"/>
  <c r="AU1186" i="1"/>
  <c r="AS1186" i="1"/>
  <c r="AK1186" i="1"/>
  <c r="AG1186" i="1"/>
  <c r="AE1186" i="1"/>
  <c r="T1186" i="1"/>
  <c r="K1186" i="1"/>
  <c r="H1186" i="1"/>
  <c r="C1186" i="1"/>
  <c r="BE1185" i="1"/>
  <c r="BC1185" i="1"/>
  <c r="BA1185" i="1"/>
  <c r="AY1185" i="1"/>
  <c r="AU1185" i="1"/>
  <c r="AS1185" i="1"/>
  <c r="AK1185" i="1"/>
  <c r="AG1185" i="1"/>
  <c r="AE1185" i="1"/>
  <c r="T1185" i="1"/>
  <c r="K1185" i="1"/>
  <c r="H1185" i="1"/>
  <c r="C1185" i="1"/>
  <c r="BE1184" i="1"/>
  <c r="BC1184" i="1"/>
  <c r="BA1184" i="1"/>
  <c r="AY1184" i="1"/>
  <c r="AU1184" i="1"/>
  <c r="AS1184" i="1"/>
  <c r="AK1184" i="1"/>
  <c r="AG1184" i="1"/>
  <c r="AE1184" i="1"/>
  <c r="T1184" i="1"/>
  <c r="K1184" i="1"/>
  <c r="H1184" i="1"/>
  <c r="C1184" i="1"/>
  <c r="BE1183" i="1"/>
  <c r="BC1183" i="1"/>
  <c r="BA1183" i="1"/>
  <c r="AY1183" i="1"/>
  <c r="AU1183" i="1"/>
  <c r="AS1183" i="1"/>
  <c r="AK1183" i="1"/>
  <c r="AG1183" i="1"/>
  <c r="AE1183" i="1"/>
  <c r="T1183" i="1"/>
  <c r="K1183" i="1"/>
  <c r="H1183" i="1"/>
  <c r="C1183" i="1"/>
  <c r="BE1182" i="1"/>
  <c r="BC1182" i="1"/>
  <c r="BA1182" i="1"/>
  <c r="AY1182" i="1"/>
  <c r="AU1182" i="1"/>
  <c r="AS1182" i="1"/>
  <c r="AK1182" i="1"/>
  <c r="AG1182" i="1"/>
  <c r="AE1182" i="1"/>
  <c r="T1182" i="1"/>
  <c r="K1182" i="1"/>
  <c r="H1182" i="1"/>
  <c r="C1182" i="1"/>
  <c r="BE1181" i="1"/>
  <c r="BC1181" i="1"/>
  <c r="BA1181" i="1"/>
  <c r="AY1181" i="1"/>
  <c r="AU1181" i="1"/>
  <c r="AS1181" i="1"/>
  <c r="AK1181" i="1"/>
  <c r="AG1181" i="1"/>
  <c r="AE1181" i="1"/>
  <c r="T1181" i="1"/>
  <c r="K1181" i="1"/>
  <c r="H1181" i="1"/>
  <c r="C1181" i="1"/>
  <c r="BE1180" i="1"/>
  <c r="BC1180" i="1"/>
  <c r="BA1180" i="1"/>
  <c r="AY1180" i="1"/>
  <c r="AU1180" i="1"/>
  <c r="AS1180" i="1"/>
  <c r="AK1180" i="1"/>
  <c r="AG1180" i="1"/>
  <c r="AE1180" i="1"/>
  <c r="T1180" i="1"/>
  <c r="K1180" i="1"/>
  <c r="H1180" i="1"/>
  <c r="C1180" i="1"/>
  <c r="BE1179" i="1"/>
  <c r="BC1179" i="1"/>
  <c r="BA1179" i="1"/>
  <c r="AY1179" i="1"/>
  <c r="AU1179" i="1"/>
  <c r="AS1179" i="1"/>
  <c r="AK1179" i="1"/>
  <c r="AG1179" i="1"/>
  <c r="AE1179" i="1"/>
  <c r="T1179" i="1"/>
  <c r="K1179" i="1"/>
  <c r="H1179" i="1"/>
  <c r="C1179" i="1"/>
  <c r="BE1178" i="1"/>
  <c r="BC1178" i="1"/>
  <c r="BA1178" i="1"/>
  <c r="AY1178" i="1"/>
  <c r="AU1178" i="1"/>
  <c r="AS1178" i="1"/>
  <c r="AK1178" i="1"/>
  <c r="AG1178" i="1"/>
  <c r="AE1178" i="1"/>
  <c r="T1178" i="1"/>
  <c r="K1178" i="1"/>
  <c r="H1178" i="1"/>
  <c r="C1178" i="1"/>
  <c r="BE1177" i="1"/>
  <c r="BC1177" i="1"/>
  <c r="BA1177" i="1"/>
  <c r="AY1177" i="1"/>
  <c r="AU1177" i="1"/>
  <c r="AS1177" i="1"/>
  <c r="AK1177" i="1"/>
  <c r="AG1177" i="1"/>
  <c r="AE1177" i="1"/>
  <c r="T1177" i="1"/>
  <c r="K1177" i="1"/>
  <c r="H1177" i="1"/>
  <c r="C1177" i="1"/>
  <c r="BE1176" i="1"/>
  <c r="BC1176" i="1"/>
  <c r="BA1176" i="1"/>
  <c r="AY1176" i="1"/>
  <c r="AU1176" i="1"/>
  <c r="AS1176" i="1"/>
  <c r="AK1176" i="1"/>
  <c r="AG1176" i="1"/>
  <c r="AE1176" i="1"/>
  <c r="T1176" i="1"/>
  <c r="K1176" i="1"/>
  <c r="H1176" i="1"/>
  <c r="C1176" i="1"/>
  <c r="BE1175" i="1"/>
  <c r="BC1175" i="1"/>
  <c r="BA1175" i="1"/>
  <c r="AY1175" i="1"/>
  <c r="AU1175" i="1"/>
  <c r="AS1175" i="1"/>
  <c r="AK1175" i="1"/>
  <c r="AG1175" i="1"/>
  <c r="AE1175" i="1"/>
  <c r="T1175" i="1"/>
  <c r="K1175" i="1"/>
  <c r="H1175" i="1"/>
  <c r="C1175" i="1"/>
  <c r="BE1174" i="1"/>
  <c r="BC1174" i="1"/>
  <c r="BA1174" i="1"/>
  <c r="AY1174" i="1"/>
  <c r="AU1174" i="1"/>
  <c r="AS1174" i="1"/>
  <c r="AK1174" i="1"/>
  <c r="AG1174" i="1"/>
  <c r="AE1174" i="1"/>
  <c r="T1174" i="1"/>
  <c r="K1174" i="1"/>
  <c r="H1174" i="1"/>
  <c r="C1174" i="1"/>
  <c r="BE1173" i="1"/>
  <c r="BC1173" i="1"/>
  <c r="BA1173" i="1"/>
  <c r="AY1173" i="1"/>
  <c r="AU1173" i="1"/>
  <c r="AS1173" i="1"/>
  <c r="AK1173" i="1"/>
  <c r="AG1173" i="1"/>
  <c r="AE1173" i="1"/>
  <c r="T1173" i="1"/>
  <c r="K1173" i="1"/>
  <c r="H1173" i="1"/>
  <c r="C1173" i="1"/>
  <c r="BE1172" i="1"/>
  <c r="BC1172" i="1"/>
  <c r="BA1172" i="1"/>
  <c r="AY1172" i="1"/>
  <c r="AU1172" i="1"/>
  <c r="AS1172" i="1"/>
  <c r="AK1172" i="1"/>
  <c r="AG1172" i="1"/>
  <c r="AE1172" i="1"/>
  <c r="T1172" i="1"/>
  <c r="K1172" i="1"/>
  <c r="H1172" i="1"/>
  <c r="C1172" i="1"/>
  <c r="BE1171" i="1"/>
  <c r="BC1171" i="1"/>
  <c r="BA1171" i="1"/>
  <c r="AY1171" i="1"/>
  <c r="AU1171" i="1"/>
  <c r="AS1171" i="1"/>
  <c r="AK1171" i="1"/>
  <c r="AG1171" i="1"/>
  <c r="AE1171" i="1"/>
  <c r="T1171" i="1"/>
  <c r="K1171" i="1"/>
  <c r="H1171" i="1"/>
  <c r="C1171" i="1"/>
  <c r="BE1170" i="1"/>
  <c r="BC1170" i="1"/>
  <c r="BA1170" i="1"/>
  <c r="AY1170" i="1"/>
  <c r="AU1170" i="1"/>
  <c r="AS1170" i="1"/>
  <c r="AK1170" i="1"/>
  <c r="AG1170" i="1"/>
  <c r="AE1170" i="1"/>
  <c r="T1170" i="1"/>
  <c r="K1170" i="1"/>
  <c r="H1170" i="1"/>
  <c r="C1170" i="1"/>
  <c r="BE1169" i="1"/>
  <c r="BC1169" i="1"/>
  <c r="BA1169" i="1"/>
  <c r="AY1169" i="1"/>
  <c r="AU1169" i="1"/>
  <c r="AS1169" i="1"/>
  <c r="AK1169" i="1"/>
  <c r="AG1169" i="1"/>
  <c r="AE1169" i="1"/>
  <c r="T1169" i="1"/>
  <c r="K1169" i="1"/>
  <c r="H1169" i="1"/>
  <c r="C1169" i="1"/>
  <c r="BE1168" i="1"/>
  <c r="BC1168" i="1"/>
  <c r="BA1168" i="1"/>
  <c r="AY1168" i="1"/>
  <c r="AU1168" i="1"/>
  <c r="AS1168" i="1"/>
  <c r="AK1168" i="1"/>
  <c r="AG1168" i="1"/>
  <c r="AE1168" i="1"/>
  <c r="T1168" i="1"/>
  <c r="K1168" i="1"/>
  <c r="H1168" i="1"/>
  <c r="C1168" i="1"/>
  <c r="BE1167" i="1"/>
  <c r="BC1167" i="1"/>
  <c r="BA1167" i="1"/>
  <c r="AY1167" i="1"/>
  <c r="AU1167" i="1"/>
  <c r="AS1167" i="1"/>
  <c r="AK1167" i="1"/>
  <c r="AG1167" i="1"/>
  <c r="AE1167" i="1"/>
  <c r="T1167" i="1"/>
  <c r="K1167" i="1"/>
  <c r="H1167" i="1"/>
  <c r="C1167" i="1"/>
  <c r="BE1166" i="1"/>
  <c r="BC1166" i="1"/>
  <c r="BA1166" i="1"/>
  <c r="AY1166" i="1"/>
  <c r="AU1166" i="1"/>
  <c r="AS1166" i="1"/>
  <c r="AK1166" i="1"/>
  <c r="AG1166" i="1"/>
  <c r="AE1166" i="1"/>
  <c r="T1166" i="1"/>
  <c r="K1166" i="1"/>
  <c r="H1166" i="1"/>
  <c r="C1166" i="1"/>
  <c r="BE1165" i="1"/>
  <c r="BC1165" i="1"/>
  <c r="BA1165" i="1"/>
  <c r="AY1165" i="1"/>
  <c r="AU1165" i="1"/>
  <c r="AS1165" i="1"/>
  <c r="AK1165" i="1"/>
  <c r="AG1165" i="1"/>
  <c r="AE1165" i="1"/>
  <c r="T1165" i="1"/>
  <c r="K1165" i="1"/>
  <c r="H1165" i="1"/>
  <c r="C1165" i="1"/>
  <c r="BE1164" i="1"/>
  <c r="BC1164" i="1"/>
  <c r="BA1164" i="1"/>
  <c r="AY1164" i="1"/>
  <c r="AU1164" i="1"/>
  <c r="AS1164" i="1"/>
  <c r="AK1164" i="1"/>
  <c r="AG1164" i="1"/>
  <c r="AE1164" i="1"/>
  <c r="T1164" i="1"/>
  <c r="K1164" i="1"/>
  <c r="H1164" i="1"/>
  <c r="C1164" i="1"/>
  <c r="BE1163" i="1"/>
  <c r="BC1163" i="1"/>
  <c r="BA1163" i="1"/>
  <c r="AY1163" i="1"/>
  <c r="AU1163" i="1"/>
  <c r="AS1163" i="1"/>
  <c r="AK1163" i="1"/>
  <c r="AG1163" i="1"/>
  <c r="AE1163" i="1"/>
  <c r="T1163" i="1"/>
  <c r="K1163" i="1"/>
  <c r="H1163" i="1"/>
  <c r="C1163" i="1"/>
  <c r="BE1162" i="1"/>
  <c r="BC1162" i="1"/>
  <c r="BA1162" i="1"/>
  <c r="AY1162" i="1"/>
  <c r="AU1162" i="1"/>
  <c r="AS1162" i="1"/>
  <c r="AK1162" i="1"/>
  <c r="AG1162" i="1"/>
  <c r="AE1162" i="1"/>
  <c r="T1162" i="1"/>
  <c r="K1162" i="1"/>
  <c r="H1162" i="1"/>
  <c r="C1162" i="1"/>
  <c r="BE1161" i="1"/>
  <c r="BC1161" i="1"/>
  <c r="BA1161" i="1"/>
  <c r="AY1161" i="1"/>
  <c r="AU1161" i="1"/>
  <c r="AS1161" i="1"/>
  <c r="AK1161" i="1"/>
  <c r="AG1161" i="1"/>
  <c r="AE1161" i="1"/>
  <c r="T1161" i="1"/>
  <c r="K1161" i="1"/>
  <c r="H1161" i="1"/>
  <c r="C1161" i="1"/>
  <c r="BE1160" i="1"/>
  <c r="BC1160" i="1"/>
  <c r="BA1160" i="1"/>
  <c r="AY1160" i="1"/>
  <c r="AU1160" i="1"/>
  <c r="AS1160" i="1"/>
  <c r="AK1160" i="1"/>
  <c r="AG1160" i="1"/>
  <c r="AE1160" i="1"/>
  <c r="T1160" i="1"/>
  <c r="K1160" i="1"/>
  <c r="H1160" i="1"/>
  <c r="C1160" i="1"/>
  <c r="BE1159" i="1"/>
  <c r="BC1159" i="1"/>
  <c r="BA1159" i="1"/>
  <c r="AY1159" i="1"/>
  <c r="AU1159" i="1"/>
  <c r="AS1159" i="1"/>
  <c r="AK1159" i="1"/>
  <c r="AG1159" i="1"/>
  <c r="AE1159" i="1"/>
  <c r="T1159" i="1"/>
  <c r="K1159" i="1"/>
  <c r="H1159" i="1"/>
  <c r="C1159" i="1"/>
  <c r="BE1158" i="1"/>
  <c r="BC1158" i="1"/>
  <c r="BA1158" i="1"/>
  <c r="AY1158" i="1"/>
  <c r="AU1158" i="1"/>
  <c r="AS1158" i="1"/>
  <c r="AK1158" i="1"/>
  <c r="AG1158" i="1"/>
  <c r="AE1158" i="1"/>
  <c r="T1158" i="1"/>
  <c r="K1158" i="1"/>
  <c r="H1158" i="1"/>
  <c r="C1158" i="1"/>
  <c r="BE1157" i="1"/>
  <c r="BC1157" i="1"/>
  <c r="BA1157" i="1"/>
  <c r="AY1157" i="1"/>
  <c r="AU1157" i="1"/>
  <c r="AS1157" i="1"/>
  <c r="AK1157" i="1"/>
  <c r="AG1157" i="1"/>
  <c r="AE1157" i="1"/>
  <c r="T1157" i="1"/>
  <c r="K1157" i="1"/>
  <c r="H1157" i="1"/>
  <c r="C1157" i="1"/>
  <c r="BE1156" i="1"/>
  <c r="BC1156" i="1"/>
  <c r="BA1156" i="1"/>
  <c r="AY1156" i="1"/>
  <c r="AU1156" i="1"/>
  <c r="AS1156" i="1"/>
  <c r="AK1156" i="1"/>
  <c r="AG1156" i="1"/>
  <c r="AE1156" i="1"/>
  <c r="T1156" i="1"/>
  <c r="K1156" i="1"/>
  <c r="H1156" i="1"/>
  <c r="C1156" i="1"/>
  <c r="BE1155" i="1"/>
  <c r="BC1155" i="1"/>
  <c r="BA1155" i="1"/>
  <c r="AY1155" i="1"/>
  <c r="AU1155" i="1"/>
  <c r="AS1155" i="1"/>
  <c r="AK1155" i="1"/>
  <c r="AG1155" i="1"/>
  <c r="AE1155" i="1"/>
  <c r="T1155" i="1"/>
  <c r="K1155" i="1"/>
  <c r="H1155" i="1"/>
  <c r="C1155" i="1"/>
  <c r="BE1154" i="1"/>
  <c r="BC1154" i="1"/>
  <c r="BA1154" i="1"/>
  <c r="AY1154" i="1"/>
  <c r="AU1154" i="1"/>
  <c r="AS1154" i="1"/>
  <c r="AK1154" i="1"/>
  <c r="AG1154" i="1"/>
  <c r="AE1154" i="1"/>
  <c r="T1154" i="1"/>
  <c r="K1154" i="1"/>
  <c r="H1154" i="1"/>
  <c r="C1154" i="1"/>
  <c r="BE1153" i="1"/>
  <c r="BC1153" i="1"/>
  <c r="BA1153" i="1"/>
  <c r="AY1153" i="1"/>
  <c r="AU1153" i="1"/>
  <c r="AS1153" i="1"/>
  <c r="AK1153" i="1"/>
  <c r="AG1153" i="1"/>
  <c r="AE1153" i="1"/>
  <c r="T1153" i="1"/>
  <c r="K1153" i="1"/>
  <c r="H1153" i="1"/>
  <c r="C1153" i="1"/>
  <c r="BE1152" i="1"/>
  <c r="BC1152" i="1"/>
  <c r="BA1152" i="1"/>
  <c r="AY1152" i="1"/>
  <c r="AU1152" i="1"/>
  <c r="AS1152" i="1"/>
  <c r="AK1152" i="1"/>
  <c r="AG1152" i="1"/>
  <c r="AE1152" i="1"/>
  <c r="T1152" i="1"/>
  <c r="K1152" i="1"/>
  <c r="H1152" i="1"/>
  <c r="C1152" i="1"/>
  <c r="BE1151" i="1"/>
  <c r="BC1151" i="1"/>
  <c r="BA1151" i="1"/>
  <c r="AY1151" i="1"/>
  <c r="AU1151" i="1"/>
  <c r="AS1151" i="1"/>
  <c r="AK1151" i="1"/>
  <c r="AG1151" i="1"/>
  <c r="AE1151" i="1"/>
  <c r="T1151" i="1"/>
  <c r="K1151" i="1"/>
  <c r="H1151" i="1"/>
  <c r="C1151" i="1"/>
  <c r="BE1150" i="1"/>
  <c r="BC1150" i="1"/>
  <c r="BA1150" i="1"/>
  <c r="AY1150" i="1"/>
  <c r="AU1150" i="1"/>
  <c r="AS1150" i="1"/>
  <c r="AK1150" i="1"/>
  <c r="AG1150" i="1"/>
  <c r="AE1150" i="1"/>
  <c r="T1150" i="1"/>
  <c r="K1150" i="1"/>
  <c r="H1150" i="1"/>
  <c r="C1150" i="1"/>
  <c r="BE1149" i="1"/>
  <c r="BC1149" i="1"/>
  <c r="BA1149" i="1"/>
  <c r="AY1149" i="1"/>
  <c r="AU1149" i="1"/>
  <c r="AS1149" i="1"/>
  <c r="AK1149" i="1"/>
  <c r="AG1149" i="1"/>
  <c r="AE1149" i="1"/>
  <c r="T1149" i="1"/>
  <c r="K1149" i="1"/>
  <c r="H1149" i="1"/>
  <c r="C1149" i="1"/>
  <c r="BE1148" i="1"/>
  <c r="BC1148" i="1"/>
  <c r="BA1148" i="1"/>
  <c r="AY1148" i="1"/>
  <c r="AU1148" i="1"/>
  <c r="AS1148" i="1"/>
  <c r="AK1148" i="1"/>
  <c r="AG1148" i="1"/>
  <c r="AE1148" i="1"/>
  <c r="T1148" i="1"/>
  <c r="K1148" i="1"/>
  <c r="H1148" i="1"/>
  <c r="C1148" i="1"/>
  <c r="BE1147" i="1"/>
  <c r="BC1147" i="1"/>
  <c r="BA1147" i="1"/>
  <c r="AY1147" i="1"/>
  <c r="AU1147" i="1"/>
  <c r="AS1147" i="1"/>
  <c r="AK1147" i="1"/>
  <c r="AG1147" i="1"/>
  <c r="AE1147" i="1"/>
  <c r="T1147" i="1"/>
  <c r="K1147" i="1"/>
  <c r="H1147" i="1"/>
  <c r="C1147" i="1"/>
  <c r="BE1146" i="1"/>
  <c r="BC1146" i="1"/>
  <c r="BA1146" i="1"/>
  <c r="AY1146" i="1"/>
  <c r="AU1146" i="1"/>
  <c r="AS1146" i="1"/>
  <c r="AK1146" i="1"/>
  <c r="AG1146" i="1"/>
  <c r="AE1146" i="1"/>
  <c r="T1146" i="1"/>
  <c r="K1146" i="1"/>
  <c r="H1146" i="1"/>
  <c r="C1146" i="1"/>
  <c r="BE1145" i="1"/>
  <c r="BC1145" i="1"/>
  <c r="BA1145" i="1"/>
  <c r="AY1145" i="1"/>
  <c r="AU1145" i="1"/>
  <c r="AS1145" i="1"/>
  <c r="AK1145" i="1"/>
  <c r="AG1145" i="1"/>
  <c r="AE1145" i="1"/>
  <c r="T1145" i="1"/>
  <c r="K1145" i="1"/>
  <c r="H1145" i="1"/>
  <c r="C1145" i="1"/>
  <c r="BE1144" i="1"/>
  <c r="BC1144" i="1"/>
  <c r="BA1144" i="1"/>
  <c r="AY1144" i="1"/>
  <c r="AU1144" i="1"/>
  <c r="AS1144" i="1"/>
  <c r="AK1144" i="1"/>
  <c r="AG1144" i="1"/>
  <c r="AE1144" i="1"/>
  <c r="T1144" i="1"/>
  <c r="K1144" i="1"/>
  <c r="H1144" i="1"/>
  <c r="C1144" i="1"/>
  <c r="BE1143" i="1"/>
  <c r="BC1143" i="1"/>
  <c r="BA1143" i="1"/>
  <c r="AY1143" i="1"/>
  <c r="AU1143" i="1"/>
  <c r="AS1143" i="1"/>
  <c r="AK1143" i="1"/>
  <c r="AG1143" i="1"/>
  <c r="AE1143" i="1"/>
  <c r="T1143" i="1"/>
  <c r="K1143" i="1"/>
  <c r="H1143" i="1"/>
  <c r="C1143" i="1"/>
  <c r="BE1142" i="1"/>
  <c r="BC1142" i="1"/>
  <c r="BA1142" i="1"/>
  <c r="AY1142" i="1"/>
  <c r="AU1142" i="1"/>
  <c r="AS1142" i="1"/>
  <c r="AK1142" i="1"/>
  <c r="AG1142" i="1"/>
  <c r="AE1142" i="1"/>
  <c r="T1142" i="1"/>
  <c r="K1142" i="1"/>
  <c r="H1142" i="1"/>
  <c r="C1142" i="1"/>
  <c r="BE1141" i="1"/>
  <c r="BC1141" i="1"/>
  <c r="BA1141" i="1"/>
  <c r="AY1141" i="1"/>
  <c r="AU1141" i="1"/>
  <c r="AS1141" i="1"/>
  <c r="AK1141" i="1"/>
  <c r="AG1141" i="1"/>
  <c r="AE1141" i="1"/>
  <c r="T1141" i="1"/>
  <c r="K1141" i="1"/>
  <c r="H1141" i="1"/>
  <c r="C1141" i="1"/>
  <c r="BE1140" i="1"/>
  <c r="BC1140" i="1"/>
  <c r="BA1140" i="1"/>
  <c r="AY1140" i="1"/>
  <c r="AU1140" i="1"/>
  <c r="AS1140" i="1"/>
  <c r="AK1140" i="1"/>
  <c r="AG1140" i="1"/>
  <c r="AE1140" i="1"/>
  <c r="T1140" i="1"/>
  <c r="K1140" i="1"/>
  <c r="H1140" i="1"/>
  <c r="C1140" i="1"/>
  <c r="BE1139" i="1"/>
  <c r="BC1139" i="1"/>
  <c r="BA1139" i="1"/>
  <c r="AY1139" i="1"/>
  <c r="AU1139" i="1"/>
  <c r="AS1139" i="1"/>
  <c r="AK1139" i="1"/>
  <c r="AG1139" i="1"/>
  <c r="AE1139" i="1"/>
  <c r="T1139" i="1"/>
  <c r="K1139" i="1"/>
  <c r="H1139" i="1"/>
  <c r="C1139" i="1"/>
  <c r="BE1138" i="1"/>
  <c r="BC1138" i="1"/>
  <c r="BA1138" i="1"/>
  <c r="AY1138" i="1"/>
  <c r="AU1138" i="1"/>
  <c r="AS1138" i="1"/>
  <c r="AK1138" i="1"/>
  <c r="AG1138" i="1"/>
  <c r="AE1138" i="1"/>
  <c r="T1138" i="1"/>
  <c r="K1138" i="1"/>
  <c r="H1138" i="1"/>
  <c r="C1138" i="1"/>
  <c r="BE1137" i="1"/>
  <c r="BC1137" i="1"/>
  <c r="BA1137" i="1"/>
  <c r="AY1137" i="1"/>
  <c r="AU1137" i="1"/>
  <c r="AS1137" i="1"/>
  <c r="AK1137" i="1"/>
  <c r="AG1137" i="1"/>
  <c r="AE1137" i="1"/>
  <c r="T1137" i="1"/>
  <c r="K1137" i="1"/>
  <c r="H1137" i="1"/>
  <c r="C1137" i="1"/>
  <c r="BE1136" i="1"/>
  <c r="BC1136" i="1"/>
  <c r="BA1136" i="1"/>
  <c r="AY1136" i="1"/>
  <c r="AU1136" i="1"/>
  <c r="AS1136" i="1"/>
  <c r="AK1136" i="1"/>
  <c r="AG1136" i="1"/>
  <c r="AE1136" i="1"/>
  <c r="T1136" i="1"/>
  <c r="K1136" i="1"/>
  <c r="H1136" i="1"/>
  <c r="C1136" i="1"/>
  <c r="BE1135" i="1"/>
  <c r="BC1135" i="1"/>
  <c r="BA1135" i="1"/>
  <c r="AY1135" i="1"/>
  <c r="AU1135" i="1"/>
  <c r="AS1135" i="1"/>
  <c r="AK1135" i="1"/>
  <c r="AG1135" i="1"/>
  <c r="AE1135" i="1"/>
  <c r="T1135" i="1"/>
  <c r="K1135" i="1"/>
  <c r="H1135" i="1"/>
  <c r="C1135" i="1"/>
  <c r="BE1134" i="1"/>
  <c r="BC1134" i="1"/>
  <c r="BA1134" i="1"/>
  <c r="AY1134" i="1"/>
  <c r="AU1134" i="1"/>
  <c r="AS1134" i="1"/>
  <c r="AK1134" i="1"/>
  <c r="AG1134" i="1"/>
  <c r="AE1134" i="1"/>
  <c r="T1134" i="1"/>
  <c r="K1134" i="1"/>
  <c r="H1134" i="1"/>
  <c r="C1134" i="1"/>
  <c r="BE1133" i="1"/>
  <c r="BC1133" i="1"/>
  <c r="BA1133" i="1"/>
  <c r="AY1133" i="1"/>
  <c r="AU1133" i="1"/>
  <c r="AS1133" i="1"/>
  <c r="AK1133" i="1"/>
  <c r="AG1133" i="1"/>
  <c r="AE1133" i="1"/>
  <c r="T1133" i="1"/>
  <c r="K1133" i="1"/>
  <c r="H1133" i="1"/>
  <c r="C1133" i="1"/>
  <c r="BE1132" i="1"/>
  <c r="BC1132" i="1"/>
  <c r="BA1132" i="1"/>
  <c r="AY1132" i="1"/>
  <c r="AU1132" i="1"/>
  <c r="AS1132" i="1"/>
  <c r="AK1132" i="1"/>
  <c r="AG1132" i="1"/>
  <c r="AE1132" i="1"/>
  <c r="T1132" i="1"/>
  <c r="K1132" i="1"/>
  <c r="H1132" i="1"/>
  <c r="C1132" i="1"/>
  <c r="BE1131" i="1"/>
  <c r="BC1131" i="1"/>
  <c r="BA1131" i="1"/>
  <c r="AY1131" i="1"/>
  <c r="AU1131" i="1"/>
  <c r="AS1131" i="1"/>
  <c r="AK1131" i="1"/>
  <c r="AG1131" i="1"/>
  <c r="AE1131" i="1"/>
  <c r="T1131" i="1"/>
  <c r="K1131" i="1"/>
  <c r="H1131" i="1"/>
  <c r="C1131" i="1"/>
  <c r="BE1130" i="1"/>
  <c r="BC1130" i="1"/>
  <c r="BA1130" i="1"/>
  <c r="AY1130" i="1"/>
  <c r="AU1130" i="1"/>
  <c r="AS1130" i="1"/>
  <c r="AK1130" i="1"/>
  <c r="AG1130" i="1"/>
  <c r="AE1130" i="1"/>
  <c r="T1130" i="1"/>
  <c r="K1130" i="1"/>
  <c r="H1130" i="1"/>
  <c r="C1130" i="1"/>
  <c r="BE1129" i="1"/>
  <c r="BC1129" i="1"/>
  <c r="BA1129" i="1"/>
  <c r="AY1129" i="1"/>
  <c r="AU1129" i="1"/>
  <c r="AS1129" i="1"/>
  <c r="AK1129" i="1"/>
  <c r="AG1129" i="1"/>
  <c r="AE1129" i="1"/>
  <c r="T1129" i="1"/>
  <c r="K1129" i="1"/>
  <c r="H1129" i="1"/>
  <c r="C1129" i="1"/>
  <c r="BE1128" i="1"/>
  <c r="BC1128" i="1"/>
  <c r="BA1128" i="1"/>
  <c r="AY1128" i="1"/>
  <c r="AU1128" i="1"/>
  <c r="AS1128" i="1"/>
  <c r="AK1128" i="1"/>
  <c r="AG1128" i="1"/>
  <c r="AE1128" i="1"/>
  <c r="T1128" i="1"/>
  <c r="K1128" i="1"/>
  <c r="H1128" i="1"/>
  <c r="C1128" i="1"/>
  <c r="BE1127" i="1"/>
  <c r="BC1127" i="1"/>
  <c r="BA1127" i="1"/>
  <c r="AY1127" i="1"/>
  <c r="AU1127" i="1"/>
  <c r="AS1127" i="1"/>
  <c r="AK1127" i="1"/>
  <c r="AG1127" i="1"/>
  <c r="AE1127" i="1"/>
  <c r="T1127" i="1"/>
  <c r="K1127" i="1"/>
  <c r="H1127" i="1"/>
  <c r="C1127" i="1"/>
  <c r="BE1126" i="1"/>
  <c r="BC1126" i="1"/>
  <c r="BA1126" i="1"/>
  <c r="AY1126" i="1"/>
  <c r="AU1126" i="1"/>
  <c r="AS1126" i="1"/>
  <c r="AK1126" i="1"/>
  <c r="AG1126" i="1"/>
  <c r="AE1126" i="1"/>
  <c r="T1126" i="1"/>
  <c r="K1126" i="1"/>
  <c r="H1126" i="1"/>
  <c r="C1126" i="1"/>
  <c r="BE1125" i="1"/>
  <c r="BC1125" i="1"/>
  <c r="BA1125" i="1"/>
  <c r="AY1125" i="1"/>
  <c r="AU1125" i="1"/>
  <c r="AS1125" i="1"/>
  <c r="AK1125" i="1"/>
  <c r="AG1125" i="1"/>
  <c r="AE1125" i="1"/>
  <c r="T1125" i="1"/>
  <c r="K1125" i="1"/>
  <c r="H1125" i="1"/>
  <c r="C1125" i="1"/>
  <c r="BE1124" i="1"/>
  <c r="BC1124" i="1"/>
  <c r="BA1124" i="1"/>
  <c r="AY1124" i="1"/>
  <c r="AU1124" i="1"/>
  <c r="AS1124" i="1"/>
  <c r="AK1124" i="1"/>
  <c r="AG1124" i="1"/>
  <c r="AE1124" i="1"/>
  <c r="T1124" i="1"/>
  <c r="K1124" i="1"/>
  <c r="H1124" i="1"/>
  <c r="C1124" i="1"/>
  <c r="BE1123" i="1"/>
  <c r="BC1123" i="1"/>
  <c r="BA1123" i="1"/>
  <c r="AY1123" i="1"/>
  <c r="AU1123" i="1"/>
  <c r="AS1123" i="1"/>
  <c r="AK1123" i="1"/>
  <c r="AG1123" i="1"/>
  <c r="AE1123" i="1"/>
  <c r="T1123" i="1"/>
  <c r="K1123" i="1"/>
  <c r="H1123" i="1"/>
  <c r="C1123" i="1"/>
  <c r="BE1122" i="1"/>
  <c r="BC1122" i="1"/>
  <c r="BA1122" i="1"/>
  <c r="AY1122" i="1"/>
  <c r="AU1122" i="1"/>
  <c r="AS1122" i="1"/>
  <c r="AK1122" i="1"/>
  <c r="AG1122" i="1"/>
  <c r="AE1122" i="1"/>
  <c r="T1122" i="1"/>
  <c r="K1122" i="1"/>
  <c r="H1122" i="1"/>
  <c r="C1122" i="1"/>
  <c r="BE1121" i="1"/>
  <c r="BC1121" i="1"/>
  <c r="BA1121" i="1"/>
  <c r="AY1121" i="1"/>
  <c r="AU1121" i="1"/>
  <c r="AS1121" i="1"/>
  <c r="AK1121" i="1"/>
  <c r="AG1121" i="1"/>
  <c r="AE1121" i="1"/>
  <c r="T1121" i="1"/>
  <c r="K1121" i="1"/>
  <c r="H1121" i="1"/>
  <c r="C1121" i="1"/>
  <c r="BE1120" i="1"/>
  <c r="BC1120" i="1"/>
  <c r="BA1120" i="1"/>
  <c r="AY1120" i="1"/>
  <c r="AU1120" i="1"/>
  <c r="AS1120" i="1"/>
  <c r="AK1120" i="1"/>
  <c r="AG1120" i="1"/>
  <c r="AE1120" i="1"/>
  <c r="T1120" i="1"/>
  <c r="K1120" i="1"/>
  <c r="H1120" i="1"/>
  <c r="C1120" i="1"/>
  <c r="BE1119" i="1"/>
  <c r="BC1119" i="1"/>
  <c r="BA1119" i="1"/>
  <c r="AY1119" i="1"/>
  <c r="AU1119" i="1"/>
  <c r="AS1119" i="1"/>
  <c r="AK1119" i="1"/>
  <c r="AG1119" i="1"/>
  <c r="AE1119" i="1"/>
  <c r="T1119" i="1"/>
  <c r="K1119" i="1"/>
  <c r="H1119" i="1"/>
  <c r="C1119" i="1"/>
  <c r="BE1118" i="1"/>
  <c r="BC1118" i="1"/>
  <c r="BA1118" i="1"/>
  <c r="AY1118" i="1"/>
  <c r="AU1118" i="1"/>
  <c r="AS1118" i="1"/>
  <c r="AK1118" i="1"/>
  <c r="AG1118" i="1"/>
  <c r="AE1118" i="1"/>
  <c r="T1118" i="1"/>
  <c r="K1118" i="1"/>
  <c r="H1118" i="1"/>
  <c r="C1118" i="1"/>
  <c r="BE1117" i="1"/>
  <c r="BC1117" i="1"/>
  <c r="BA1117" i="1"/>
  <c r="AY1117" i="1"/>
  <c r="AU1117" i="1"/>
  <c r="AS1117" i="1"/>
  <c r="AK1117" i="1"/>
  <c r="AG1117" i="1"/>
  <c r="AE1117" i="1"/>
  <c r="T1117" i="1"/>
  <c r="K1117" i="1"/>
  <c r="H1117" i="1"/>
  <c r="C1117" i="1"/>
  <c r="BE1116" i="1"/>
  <c r="BC1116" i="1"/>
  <c r="BA1116" i="1"/>
  <c r="AY1116" i="1"/>
  <c r="AU1116" i="1"/>
  <c r="AS1116" i="1"/>
  <c r="AK1116" i="1"/>
  <c r="AG1116" i="1"/>
  <c r="AE1116" i="1"/>
  <c r="T1116" i="1"/>
  <c r="K1116" i="1"/>
  <c r="H1116" i="1"/>
  <c r="C1116" i="1"/>
  <c r="BE1115" i="1"/>
  <c r="BC1115" i="1"/>
  <c r="BA1115" i="1"/>
  <c r="AY1115" i="1"/>
  <c r="AU1115" i="1"/>
  <c r="AS1115" i="1"/>
  <c r="AK1115" i="1"/>
  <c r="AG1115" i="1"/>
  <c r="AE1115" i="1"/>
  <c r="T1115" i="1"/>
  <c r="K1115" i="1"/>
  <c r="H1115" i="1"/>
  <c r="C1115" i="1"/>
  <c r="BE1114" i="1"/>
  <c r="BC1114" i="1"/>
  <c r="BA1114" i="1"/>
  <c r="AY1114" i="1"/>
  <c r="AU1114" i="1"/>
  <c r="AS1114" i="1"/>
  <c r="AK1114" i="1"/>
  <c r="AG1114" i="1"/>
  <c r="AE1114" i="1"/>
  <c r="T1114" i="1"/>
  <c r="K1114" i="1"/>
  <c r="H1114" i="1"/>
  <c r="C1114" i="1"/>
  <c r="BE1113" i="1"/>
  <c r="BC1113" i="1"/>
  <c r="BA1113" i="1"/>
  <c r="AY1113" i="1"/>
  <c r="AU1113" i="1"/>
  <c r="AS1113" i="1"/>
  <c r="AK1113" i="1"/>
  <c r="AG1113" i="1"/>
  <c r="AE1113" i="1"/>
  <c r="T1113" i="1"/>
  <c r="K1113" i="1"/>
  <c r="H1113" i="1"/>
  <c r="C1113" i="1"/>
  <c r="BE1112" i="1"/>
  <c r="BC1112" i="1"/>
  <c r="BA1112" i="1"/>
  <c r="AY1112" i="1"/>
  <c r="AU1112" i="1"/>
  <c r="AS1112" i="1"/>
  <c r="AK1112" i="1"/>
  <c r="AG1112" i="1"/>
  <c r="AE1112" i="1"/>
  <c r="T1112" i="1"/>
  <c r="K1112" i="1"/>
  <c r="H1112" i="1"/>
  <c r="C1112" i="1"/>
  <c r="BE1111" i="1"/>
  <c r="BC1111" i="1"/>
  <c r="BA1111" i="1"/>
  <c r="AY1111" i="1"/>
  <c r="AU1111" i="1"/>
  <c r="AS1111" i="1"/>
  <c r="AK1111" i="1"/>
  <c r="AG1111" i="1"/>
  <c r="AE1111" i="1"/>
  <c r="T1111" i="1"/>
  <c r="K1111" i="1"/>
  <c r="H1111" i="1"/>
  <c r="C1111" i="1"/>
  <c r="BE1110" i="1"/>
  <c r="BC1110" i="1"/>
  <c r="BA1110" i="1"/>
  <c r="AY1110" i="1"/>
  <c r="AU1110" i="1"/>
  <c r="AS1110" i="1"/>
  <c r="AK1110" i="1"/>
  <c r="AG1110" i="1"/>
  <c r="AE1110" i="1"/>
  <c r="T1110" i="1"/>
  <c r="K1110" i="1"/>
  <c r="H1110" i="1"/>
  <c r="C1110" i="1"/>
  <c r="BE1109" i="1"/>
  <c r="BC1109" i="1"/>
  <c r="BA1109" i="1"/>
  <c r="AY1109" i="1"/>
  <c r="AU1109" i="1"/>
  <c r="AS1109" i="1"/>
  <c r="AK1109" i="1"/>
  <c r="AG1109" i="1"/>
  <c r="AE1109" i="1"/>
  <c r="T1109" i="1"/>
  <c r="K1109" i="1"/>
  <c r="H1109" i="1"/>
  <c r="C1109" i="1"/>
  <c r="BE1108" i="1"/>
  <c r="BC1108" i="1"/>
  <c r="BA1108" i="1"/>
  <c r="AY1108" i="1"/>
  <c r="AU1108" i="1"/>
  <c r="AS1108" i="1"/>
  <c r="AK1108" i="1"/>
  <c r="AG1108" i="1"/>
  <c r="AE1108" i="1"/>
  <c r="T1108" i="1"/>
  <c r="K1108" i="1"/>
  <c r="H1108" i="1"/>
  <c r="C1108" i="1"/>
  <c r="BE1107" i="1"/>
  <c r="BC1107" i="1"/>
  <c r="BA1107" i="1"/>
  <c r="AY1107" i="1"/>
  <c r="AU1107" i="1"/>
  <c r="AS1107" i="1"/>
  <c r="AK1107" i="1"/>
  <c r="AG1107" i="1"/>
  <c r="AE1107" i="1"/>
  <c r="T1107" i="1"/>
  <c r="K1107" i="1"/>
  <c r="H1107" i="1"/>
  <c r="C1107" i="1"/>
  <c r="BE1106" i="1"/>
  <c r="BC1106" i="1"/>
  <c r="BA1106" i="1"/>
  <c r="AY1106" i="1"/>
  <c r="AU1106" i="1"/>
  <c r="AS1106" i="1"/>
  <c r="AK1106" i="1"/>
  <c r="AG1106" i="1"/>
  <c r="AE1106" i="1"/>
  <c r="T1106" i="1"/>
  <c r="K1106" i="1"/>
  <c r="H1106" i="1"/>
  <c r="C1106" i="1"/>
  <c r="BE1105" i="1"/>
  <c r="BC1105" i="1"/>
  <c r="BA1105" i="1"/>
  <c r="AY1105" i="1"/>
  <c r="AU1105" i="1"/>
  <c r="AS1105" i="1"/>
  <c r="AK1105" i="1"/>
  <c r="AG1105" i="1"/>
  <c r="AE1105" i="1"/>
  <c r="T1105" i="1"/>
  <c r="K1105" i="1"/>
  <c r="H1105" i="1"/>
  <c r="C1105" i="1"/>
  <c r="BE1104" i="1"/>
  <c r="BC1104" i="1"/>
  <c r="BA1104" i="1"/>
  <c r="AY1104" i="1"/>
  <c r="AU1104" i="1"/>
  <c r="AS1104" i="1"/>
  <c r="AK1104" i="1"/>
  <c r="AG1104" i="1"/>
  <c r="AE1104" i="1"/>
  <c r="T1104" i="1"/>
  <c r="K1104" i="1"/>
  <c r="H1104" i="1"/>
  <c r="C1104" i="1"/>
  <c r="BE1103" i="1"/>
  <c r="BC1103" i="1"/>
  <c r="BA1103" i="1"/>
  <c r="AY1103" i="1"/>
  <c r="AU1103" i="1"/>
  <c r="AS1103" i="1"/>
  <c r="AK1103" i="1"/>
  <c r="AG1103" i="1"/>
  <c r="AE1103" i="1"/>
  <c r="T1103" i="1"/>
  <c r="K1103" i="1"/>
  <c r="H1103" i="1"/>
  <c r="C1103" i="1"/>
  <c r="BE1102" i="1"/>
  <c r="BC1102" i="1"/>
  <c r="BA1102" i="1"/>
  <c r="AY1102" i="1"/>
  <c r="AU1102" i="1"/>
  <c r="AS1102" i="1"/>
  <c r="AK1102" i="1"/>
  <c r="AG1102" i="1"/>
  <c r="AE1102" i="1"/>
  <c r="T1102" i="1"/>
  <c r="K1102" i="1"/>
  <c r="H1102" i="1"/>
  <c r="C1102" i="1"/>
  <c r="BE1101" i="1"/>
  <c r="BC1101" i="1"/>
  <c r="BA1101" i="1"/>
  <c r="AY1101" i="1"/>
  <c r="AU1101" i="1"/>
  <c r="AS1101" i="1"/>
  <c r="AK1101" i="1"/>
  <c r="AG1101" i="1"/>
  <c r="AE1101" i="1"/>
  <c r="T1101" i="1"/>
  <c r="K1101" i="1"/>
  <c r="H1101" i="1"/>
  <c r="C1101" i="1"/>
  <c r="BE1100" i="1"/>
  <c r="BC1100" i="1"/>
  <c r="BA1100" i="1"/>
  <c r="AY1100" i="1"/>
  <c r="AU1100" i="1"/>
  <c r="AS1100" i="1"/>
  <c r="AK1100" i="1"/>
  <c r="AG1100" i="1"/>
  <c r="AE1100" i="1"/>
  <c r="T1100" i="1"/>
  <c r="K1100" i="1"/>
  <c r="H1100" i="1"/>
  <c r="C1100" i="1"/>
  <c r="BE1099" i="1"/>
  <c r="BC1099" i="1"/>
  <c r="BA1099" i="1"/>
  <c r="AY1099" i="1"/>
  <c r="AU1099" i="1"/>
  <c r="AS1099" i="1"/>
  <c r="AK1099" i="1"/>
  <c r="AG1099" i="1"/>
  <c r="AE1099" i="1"/>
  <c r="T1099" i="1"/>
  <c r="K1099" i="1"/>
  <c r="H1099" i="1"/>
  <c r="C1099" i="1"/>
  <c r="BE1098" i="1"/>
  <c r="BC1098" i="1"/>
  <c r="BA1098" i="1"/>
  <c r="AY1098" i="1"/>
  <c r="AU1098" i="1"/>
  <c r="AS1098" i="1"/>
  <c r="AK1098" i="1"/>
  <c r="AG1098" i="1"/>
  <c r="AE1098" i="1"/>
  <c r="T1098" i="1"/>
  <c r="K1098" i="1"/>
  <c r="H1098" i="1"/>
  <c r="C1098" i="1"/>
  <c r="BE1097" i="1"/>
  <c r="BC1097" i="1"/>
  <c r="BA1097" i="1"/>
  <c r="AY1097" i="1"/>
  <c r="AU1097" i="1"/>
  <c r="AS1097" i="1"/>
  <c r="AK1097" i="1"/>
  <c r="AG1097" i="1"/>
  <c r="AE1097" i="1"/>
  <c r="T1097" i="1"/>
  <c r="K1097" i="1"/>
  <c r="H1097" i="1"/>
  <c r="C1097" i="1"/>
  <c r="BE1096" i="1"/>
  <c r="BC1096" i="1"/>
  <c r="BA1096" i="1"/>
  <c r="AY1096" i="1"/>
  <c r="AU1096" i="1"/>
  <c r="AS1096" i="1"/>
  <c r="AK1096" i="1"/>
  <c r="AG1096" i="1"/>
  <c r="AE1096" i="1"/>
  <c r="T1096" i="1"/>
  <c r="K1096" i="1"/>
  <c r="H1096" i="1"/>
  <c r="C1096" i="1"/>
  <c r="BE1095" i="1"/>
  <c r="BC1095" i="1"/>
  <c r="BA1095" i="1"/>
  <c r="AY1095" i="1"/>
  <c r="AU1095" i="1"/>
  <c r="AS1095" i="1"/>
  <c r="AK1095" i="1"/>
  <c r="AG1095" i="1"/>
  <c r="AE1095" i="1"/>
  <c r="T1095" i="1"/>
  <c r="K1095" i="1"/>
  <c r="H1095" i="1"/>
  <c r="C1095" i="1"/>
  <c r="BE1094" i="1"/>
  <c r="BC1094" i="1"/>
  <c r="BA1094" i="1"/>
  <c r="AY1094" i="1"/>
  <c r="AU1094" i="1"/>
  <c r="AS1094" i="1"/>
  <c r="AK1094" i="1"/>
  <c r="AG1094" i="1"/>
  <c r="AE1094" i="1"/>
  <c r="T1094" i="1"/>
  <c r="K1094" i="1"/>
  <c r="H1094" i="1"/>
  <c r="C1094" i="1"/>
  <c r="BE1093" i="1"/>
  <c r="BC1093" i="1"/>
  <c r="BA1093" i="1"/>
  <c r="AY1093" i="1"/>
  <c r="AU1093" i="1"/>
  <c r="AS1093" i="1"/>
  <c r="AK1093" i="1"/>
  <c r="AG1093" i="1"/>
  <c r="AE1093" i="1"/>
  <c r="T1093" i="1"/>
  <c r="K1093" i="1"/>
  <c r="H1093" i="1"/>
  <c r="C1093" i="1"/>
  <c r="BE1092" i="1"/>
  <c r="BC1092" i="1"/>
  <c r="BA1092" i="1"/>
  <c r="AY1092" i="1"/>
  <c r="AU1092" i="1"/>
  <c r="AS1092" i="1"/>
  <c r="AK1092" i="1"/>
  <c r="AG1092" i="1"/>
  <c r="AE1092" i="1"/>
  <c r="T1092" i="1"/>
  <c r="K1092" i="1"/>
  <c r="H1092" i="1"/>
  <c r="C1092" i="1"/>
  <c r="BE1091" i="1"/>
  <c r="BC1091" i="1"/>
  <c r="BA1091" i="1"/>
  <c r="AY1091" i="1"/>
  <c r="AU1091" i="1"/>
  <c r="AS1091" i="1"/>
  <c r="AK1091" i="1"/>
  <c r="AG1091" i="1"/>
  <c r="AE1091" i="1"/>
  <c r="T1091" i="1"/>
  <c r="K1091" i="1"/>
  <c r="H1091" i="1"/>
  <c r="C1091" i="1"/>
  <c r="BE1090" i="1"/>
  <c r="BC1090" i="1"/>
  <c r="BA1090" i="1"/>
  <c r="AY1090" i="1"/>
  <c r="AU1090" i="1"/>
  <c r="AS1090" i="1"/>
  <c r="AK1090" i="1"/>
  <c r="AG1090" i="1"/>
  <c r="AE1090" i="1"/>
  <c r="T1090" i="1"/>
  <c r="K1090" i="1"/>
  <c r="H1090" i="1"/>
  <c r="C1090" i="1"/>
  <c r="BE1089" i="1"/>
  <c r="BC1089" i="1"/>
  <c r="BA1089" i="1"/>
  <c r="AY1089" i="1"/>
  <c r="AU1089" i="1"/>
  <c r="AS1089" i="1"/>
  <c r="AK1089" i="1"/>
  <c r="AG1089" i="1"/>
  <c r="AE1089" i="1"/>
  <c r="T1089" i="1"/>
  <c r="K1089" i="1"/>
  <c r="H1089" i="1"/>
  <c r="C1089" i="1"/>
  <c r="BE1088" i="1"/>
  <c r="BC1088" i="1"/>
  <c r="BA1088" i="1"/>
  <c r="AY1088" i="1"/>
  <c r="AU1088" i="1"/>
  <c r="AS1088" i="1"/>
  <c r="AK1088" i="1"/>
  <c r="AG1088" i="1"/>
  <c r="AE1088" i="1"/>
  <c r="T1088" i="1"/>
  <c r="K1088" i="1"/>
  <c r="H1088" i="1"/>
  <c r="C1088" i="1"/>
  <c r="BE1087" i="1"/>
  <c r="BC1087" i="1"/>
  <c r="BA1087" i="1"/>
  <c r="AY1087" i="1"/>
  <c r="AU1087" i="1"/>
  <c r="AS1087" i="1"/>
  <c r="AK1087" i="1"/>
  <c r="AG1087" i="1"/>
  <c r="AE1087" i="1"/>
  <c r="T1087" i="1"/>
  <c r="K1087" i="1"/>
  <c r="H1087" i="1"/>
  <c r="C1087" i="1"/>
  <c r="BE1086" i="1"/>
  <c r="BC1086" i="1"/>
  <c r="BA1086" i="1"/>
  <c r="AY1086" i="1"/>
  <c r="AU1086" i="1"/>
  <c r="AS1086" i="1"/>
  <c r="AK1086" i="1"/>
  <c r="AG1086" i="1"/>
  <c r="AE1086" i="1"/>
  <c r="T1086" i="1"/>
  <c r="K1086" i="1"/>
  <c r="H1086" i="1"/>
  <c r="C1086" i="1"/>
  <c r="BE1085" i="1"/>
  <c r="BC1085" i="1"/>
  <c r="BA1085" i="1"/>
  <c r="AY1085" i="1"/>
  <c r="AU1085" i="1"/>
  <c r="AS1085" i="1"/>
  <c r="AK1085" i="1"/>
  <c r="AG1085" i="1"/>
  <c r="AE1085" i="1"/>
  <c r="T1085" i="1"/>
  <c r="K1085" i="1"/>
  <c r="H1085" i="1"/>
  <c r="C1085" i="1"/>
  <c r="BE1084" i="1"/>
  <c r="BC1084" i="1"/>
  <c r="BA1084" i="1"/>
  <c r="AY1084" i="1"/>
  <c r="AU1084" i="1"/>
  <c r="AS1084" i="1"/>
  <c r="AK1084" i="1"/>
  <c r="AG1084" i="1"/>
  <c r="AE1084" i="1"/>
  <c r="T1084" i="1"/>
  <c r="K1084" i="1"/>
  <c r="H1084" i="1"/>
  <c r="C1084" i="1"/>
  <c r="BE1083" i="1"/>
  <c r="BC1083" i="1"/>
  <c r="BA1083" i="1"/>
  <c r="AY1083" i="1"/>
  <c r="AU1083" i="1"/>
  <c r="AS1083" i="1"/>
  <c r="AK1083" i="1"/>
  <c r="AG1083" i="1"/>
  <c r="AE1083" i="1"/>
  <c r="T1083" i="1"/>
  <c r="K1083" i="1"/>
  <c r="H1083" i="1"/>
  <c r="C1083" i="1"/>
  <c r="BE1082" i="1"/>
  <c r="BC1082" i="1"/>
  <c r="BA1082" i="1"/>
  <c r="AY1082" i="1"/>
  <c r="AU1082" i="1"/>
  <c r="AS1082" i="1"/>
  <c r="AK1082" i="1"/>
  <c r="AG1082" i="1"/>
  <c r="AE1082" i="1"/>
  <c r="T1082" i="1"/>
  <c r="K1082" i="1"/>
  <c r="H1082" i="1"/>
  <c r="C1082" i="1"/>
  <c r="BE1081" i="1"/>
  <c r="BC1081" i="1"/>
  <c r="BA1081" i="1"/>
  <c r="AY1081" i="1"/>
  <c r="AU1081" i="1"/>
  <c r="AS1081" i="1"/>
  <c r="AK1081" i="1"/>
  <c r="AG1081" i="1"/>
  <c r="AE1081" i="1"/>
  <c r="T1081" i="1"/>
  <c r="K1081" i="1"/>
  <c r="H1081" i="1"/>
  <c r="C1081" i="1"/>
  <c r="BE1080" i="1"/>
  <c r="BC1080" i="1"/>
  <c r="BA1080" i="1"/>
  <c r="AY1080" i="1"/>
  <c r="AU1080" i="1"/>
  <c r="AS1080" i="1"/>
  <c r="AK1080" i="1"/>
  <c r="AG1080" i="1"/>
  <c r="AE1080" i="1"/>
  <c r="T1080" i="1"/>
  <c r="K1080" i="1"/>
  <c r="H1080" i="1"/>
  <c r="C1080" i="1"/>
  <c r="BE1079" i="1"/>
  <c r="BC1079" i="1"/>
  <c r="BA1079" i="1"/>
  <c r="AY1079" i="1"/>
  <c r="AU1079" i="1"/>
  <c r="AS1079" i="1"/>
  <c r="AK1079" i="1"/>
  <c r="AG1079" i="1"/>
  <c r="AE1079" i="1"/>
  <c r="T1079" i="1"/>
  <c r="K1079" i="1"/>
  <c r="H1079" i="1"/>
  <c r="C1079" i="1"/>
  <c r="BE1078" i="1"/>
  <c r="BC1078" i="1"/>
  <c r="BA1078" i="1"/>
  <c r="AY1078" i="1"/>
  <c r="AU1078" i="1"/>
  <c r="AS1078" i="1"/>
  <c r="AK1078" i="1"/>
  <c r="AG1078" i="1"/>
  <c r="AE1078" i="1"/>
  <c r="T1078" i="1"/>
  <c r="K1078" i="1"/>
  <c r="H1078" i="1"/>
  <c r="C1078" i="1"/>
  <c r="BE1077" i="1"/>
  <c r="BC1077" i="1"/>
  <c r="BA1077" i="1"/>
  <c r="AY1077" i="1"/>
  <c r="AU1077" i="1"/>
  <c r="AS1077" i="1"/>
  <c r="AK1077" i="1"/>
  <c r="AG1077" i="1"/>
  <c r="AE1077" i="1"/>
  <c r="T1077" i="1"/>
  <c r="K1077" i="1"/>
  <c r="H1077" i="1"/>
  <c r="C1077" i="1"/>
  <c r="BE1076" i="1"/>
  <c r="BC1076" i="1"/>
  <c r="BA1076" i="1"/>
  <c r="AY1076" i="1"/>
  <c r="AU1076" i="1"/>
  <c r="AS1076" i="1"/>
  <c r="AK1076" i="1"/>
  <c r="AG1076" i="1"/>
  <c r="AE1076" i="1"/>
  <c r="T1076" i="1"/>
  <c r="K1076" i="1"/>
  <c r="H1076" i="1"/>
  <c r="C1076" i="1"/>
  <c r="BE1075" i="1"/>
  <c r="BC1075" i="1"/>
  <c r="BA1075" i="1"/>
  <c r="AY1075" i="1"/>
  <c r="AU1075" i="1"/>
  <c r="AS1075" i="1"/>
  <c r="AK1075" i="1"/>
  <c r="AG1075" i="1"/>
  <c r="AE1075" i="1"/>
  <c r="T1075" i="1"/>
  <c r="K1075" i="1"/>
  <c r="H1075" i="1"/>
  <c r="C1075" i="1"/>
  <c r="BE1074" i="1"/>
  <c r="BC1074" i="1"/>
  <c r="BA1074" i="1"/>
  <c r="AY1074" i="1"/>
  <c r="AU1074" i="1"/>
  <c r="AS1074" i="1"/>
  <c r="AK1074" i="1"/>
  <c r="AG1074" i="1"/>
  <c r="AE1074" i="1"/>
  <c r="T1074" i="1"/>
  <c r="K1074" i="1"/>
  <c r="H1074" i="1"/>
  <c r="C1074" i="1"/>
  <c r="BE1073" i="1"/>
  <c r="BC1073" i="1"/>
  <c r="BA1073" i="1"/>
  <c r="AY1073" i="1"/>
  <c r="AU1073" i="1"/>
  <c r="AS1073" i="1"/>
  <c r="AK1073" i="1"/>
  <c r="AG1073" i="1"/>
  <c r="AE1073" i="1"/>
  <c r="T1073" i="1"/>
  <c r="K1073" i="1"/>
  <c r="H1073" i="1"/>
  <c r="C1073" i="1"/>
  <c r="BE1072" i="1"/>
  <c r="BC1072" i="1"/>
  <c r="BA1072" i="1"/>
  <c r="AY1072" i="1"/>
  <c r="AU1072" i="1"/>
  <c r="AS1072" i="1"/>
  <c r="AK1072" i="1"/>
  <c r="AG1072" i="1"/>
  <c r="AE1072" i="1"/>
  <c r="T1072" i="1"/>
  <c r="K1072" i="1"/>
  <c r="H1072" i="1"/>
  <c r="C1072" i="1"/>
  <c r="BE1071" i="1"/>
  <c r="BC1071" i="1"/>
  <c r="BA1071" i="1"/>
  <c r="AY1071" i="1"/>
  <c r="AU1071" i="1"/>
  <c r="AS1071" i="1"/>
  <c r="AK1071" i="1"/>
  <c r="AG1071" i="1"/>
  <c r="AE1071" i="1"/>
  <c r="T1071" i="1"/>
  <c r="K1071" i="1"/>
  <c r="H1071" i="1"/>
  <c r="C1071" i="1"/>
  <c r="BE1070" i="1"/>
  <c r="BC1070" i="1"/>
  <c r="BA1070" i="1"/>
  <c r="AY1070" i="1"/>
  <c r="AU1070" i="1"/>
  <c r="AS1070" i="1"/>
  <c r="AK1070" i="1"/>
  <c r="AG1070" i="1"/>
  <c r="AE1070" i="1"/>
  <c r="T1070" i="1"/>
  <c r="K1070" i="1"/>
  <c r="H1070" i="1"/>
  <c r="C1070" i="1"/>
  <c r="BE1069" i="1"/>
  <c r="BC1069" i="1"/>
  <c r="BA1069" i="1"/>
  <c r="AY1069" i="1"/>
  <c r="AU1069" i="1"/>
  <c r="AS1069" i="1"/>
  <c r="AK1069" i="1"/>
  <c r="AG1069" i="1"/>
  <c r="AE1069" i="1"/>
  <c r="T1069" i="1"/>
  <c r="K1069" i="1"/>
  <c r="H1069" i="1"/>
  <c r="C1069" i="1"/>
  <c r="BE1068" i="1"/>
  <c r="BC1068" i="1"/>
  <c r="BA1068" i="1"/>
  <c r="AY1068" i="1"/>
  <c r="AU1068" i="1"/>
  <c r="AS1068" i="1"/>
  <c r="AK1068" i="1"/>
  <c r="AG1068" i="1"/>
  <c r="AE1068" i="1"/>
  <c r="T1068" i="1"/>
  <c r="K1068" i="1"/>
  <c r="H1068" i="1"/>
  <c r="C1068" i="1"/>
  <c r="BE1067" i="1"/>
  <c r="BC1067" i="1"/>
  <c r="BA1067" i="1"/>
  <c r="AY1067" i="1"/>
  <c r="AU1067" i="1"/>
  <c r="AS1067" i="1"/>
  <c r="AK1067" i="1"/>
  <c r="AG1067" i="1"/>
  <c r="AE1067" i="1"/>
  <c r="T1067" i="1"/>
  <c r="K1067" i="1"/>
  <c r="H1067" i="1"/>
  <c r="C1067" i="1"/>
  <c r="BE1066" i="1"/>
  <c r="BC1066" i="1"/>
  <c r="BA1066" i="1"/>
  <c r="AY1066" i="1"/>
  <c r="AU1066" i="1"/>
  <c r="AS1066" i="1"/>
  <c r="AK1066" i="1"/>
  <c r="AG1066" i="1"/>
  <c r="AE1066" i="1"/>
  <c r="T1066" i="1"/>
  <c r="K1066" i="1"/>
  <c r="H1066" i="1"/>
  <c r="C1066" i="1"/>
  <c r="BE1065" i="1"/>
  <c r="BC1065" i="1"/>
  <c r="BA1065" i="1"/>
  <c r="AY1065" i="1"/>
  <c r="AU1065" i="1"/>
  <c r="AS1065" i="1"/>
  <c r="AK1065" i="1"/>
  <c r="AG1065" i="1"/>
  <c r="AE1065" i="1"/>
  <c r="T1065" i="1"/>
  <c r="K1065" i="1"/>
  <c r="H1065" i="1"/>
  <c r="C1065" i="1"/>
  <c r="BE1064" i="1"/>
  <c r="BC1064" i="1"/>
  <c r="BA1064" i="1"/>
  <c r="AY1064" i="1"/>
  <c r="AU1064" i="1"/>
  <c r="AS1064" i="1"/>
  <c r="AK1064" i="1"/>
  <c r="AG1064" i="1"/>
  <c r="AE1064" i="1"/>
  <c r="T1064" i="1"/>
  <c r="K1064" i="1"/>
  <c r="H1064" i="1"/>
  <c r="C1064" i="1"/>
  <c r="BE1063" i="1"/>
  <c r="BC1063" i="1"/>
  <c r="BA1063" i="1"/>
  <c r="AY1063" i="1"/>
  <c r="AU1063" i="1"/>
  <c r="AS1063" i="1"/>
  <c r="AK1063" i="1"/>
  <c r="AG1063" i="1"/>
  <c r="AE1063" i="1"/>
  <c r="T1063" i="1"/>
  <c r="K1063" i="1"/>
  <c r="H1063" i="1"/>
  <c r="C1063" i="1"/>
  <c r="BE1062" i="1"/>
  <c r="BC1062" i="1"/>
  <c r="BA1062" i="1"/>
  <c r="AY1062" i="1"/>
  <c r="AU1062" i="1"/>
  <c r="AS1062" i="1"/>
  <c r="AK1062" i="1"/>
  <c r="AG1062" i="1"/>
  <c r="AE1062" i="1"/>
  <c r="T1062" i="1"/>
  <c r="K1062" i="1"/>
  <c r="H1062" i="1"/>
  <c r="C1062" i="1"/>
  <c r="BE1061" i="1"/>
  <c r="BC1061" i="1"/>
  <c r="BA1061" i="1"/>
  <c r="AY1061" i="1"/>
  <c r="AU1061" i="1"/>
  <c r="AS1061" i="1"/>
  <c r="AK1061" i="1"/>
  <c r="AG1061" i="1"/>
  <c r="AE1061" i="1"/>
  <c r="T1061" i="1"/>
  <c r="K1061" i="1"/>
  <c r="H1061" i="1"/>
  <c r="C1061" i="1"/>
  <c r="BE1060" i="1"/>
  <c r="BC1060" i="1"/>
  <c r="BA1060" i="1"/>
  <c r="AY1060" i="1"/>
  <c r="AU1060" i="1"/>
  <c r="AS1060" i="1"/>
  <c r="AK1060" i="1"/>
  <c r="AG1060" i="1"/>
  <c r="AE1060" i="1"/>
  <c r="T1060" i="1"/>
  <c r="K1060" i="1"/>
  <c r="H1060" i="1"/>
  <c r="C1060" i="1"/>
  <c r="BE1059" i="1"/>
  <c r="BC1059" i="1"/>
  <c r="BA1059" i="1"/>
  <c r="AY1059" i="1"/>
  <c r="AU1059" i="1"/>
  <c r="AS1059" i="1"/>
  <c r="AK1059" i="1"/>
  <c r="AG1059" i="1"/>
  <c r="AE1059" i="1"/>
  <c r="T1059" i="1"/>
  <c r="K1059" i="1"/>
  <c r="H1059" i="1"/>
  <c r="C1059" i="1"/>
  <c r="BE1058" i="1"/>
  <c r="BC1058" i="1"/>
  <c r="BA1058" i="1"/>
  <c r="AY1058" i="1"/>
  <c r="AU1058" i="1"/>
  <c r="AS1058" i="1"/>
  <c r="AK1058" i="1"/>
  <c r="AG1058" i="1"/>
  <c r="AE1058" i="1"/>
  <c r="T1058" i="1"/>
  <c r="K1058" i="1"/>
  <c r="H1058" i="1"/>
  <c r="C1058" i="1"/>
  <c r="BE1057" i="1"/>
  <c r="BC1057" i="1"/>
  <c r="BA1057" i="1"/>
  <c r="AY1057" i="1"/>
  <c r="AU1057" i="1"/>
  <c r="AS1057" i="1"/>
  <c r="AK1057" i="1"/>
  <c r="AG1057" i="1"/>
  <c r="AE1057" i="1"/>
  <c r="T1057" i="1"/>
  <c r="K1057" i="1"/>
  <c r="H1057" i="1"/>
  <c r="C1057" i="1"/>
  <c r="BE1056" i="1"/>
  <c r="BC1056" i="1"/>
  <c r="BA1056" i="1"/>
  <c r="AY1056" i="1"/>
  <c r="AU1056" i="1"/>
  <c r="AS1056" i="1"/>
  <c r="AK1056" i="1"/>
  <c r="AG1056" i="1"/>
  <c r="AE1056" i="1"/>
  <c r="T1056" i="1"/>
  <c r="K1056" i="1"/>
  <c r="H1056" i="1"/>
  <c r="C1056" i="1"/>
  <c r="BE1055" i="1"/>
  <c r="BC1055" i="1"/>
  <c r="BA1055" i="1"/>
  <c r="AY1055" i="1"/>
  <c r="AU1055" i="1"/>
  <c r="AS1055" i="1"/>
  <c r="AK1055" i="1"/>
  <c r="AG1055" i="1"/>
  <c r="AE1055" i="1"/>
  <c r="T1055" i="1"/>
  <c r="K1055" i="1"/>
  <c r="H1055" i="1"/>
  <c r="C1055" i="1"/>
  <c r="BE1054" i="1"/>
  <c r="BC1054" i="1"/>
  <c r="BA1054" i="1"/>
  <c r="AY1054" i="1"/>
  <c r="AU1054" i="1"/>
  <c r="AS1054" i="1"/>
  <c r="AK1054" i="1"/>
  <c r="AG1054" i="1"/>
  <c r="AE1054" i="1"/>
  <c r="T1054" i="1"/>
  <c r="K1054" i="1"/>
  <c r="H1054" i="1"/>
  <c r="C1054" i="1"/>
  <c r="BE1053" i="1"/>
  <c r="BC1053" i="1"/>
  <c r="BA1053" i="1"/>
  <c r="AY1053" i="1"/>
  <c r="AU1053" i="1"/>
  <c r="AS1053" i="1"/>
  <c r="AK1053" i="1"/>
  <c r="AG1053" i="1"/>
  <c r="AE1053" i="1"/>
  <c r="T1053" i="1"/>
  <c r="K1053" i="1"/>
  <c r="H1053" i="1"/>
  <c r="C1053" i="1"/>
  <c r="BE1052" i="1"/>
  <c r="BC1052" i="1"/>
  <c r="BA1052" i="1"/>
  <c r="AY1052" i="1"/>
  <c r="AU1052" i="1"/>
  <c r="AS1052" i="1"/>
  <c r="AK1052" i="1"/>
  <c r="AG1052" i="1"/>
  <c r="AE1052" i="1"/>
  <c r="T1052" i="1"/>
  <c r="K1052" i="1"/>
  <c r="H1052" i="1"/>
  <c r="C1052" i="1"/>
  <c r="BE1051" i="1"/>
  <c r="BC1051" i="1"/>
  <c r="BA1051" i="1"/>
  <c r="AY1051" i="1"/>
  <c r="AU1051" i="1"/>
  <c r="AS1051" i="1"/>
  <c r="AK1051" i="1"/>
  <c r="AG1051" i="1"/>
  <c r="AE1051" i="1"/>
  <c r="T1051" i="1"/>
  <c r="K1051" i="1"/>
  <c r="H1051" i="1"/>
  <c r="C1051" i="1"/>
  <c r="BE1050" i="1"/>
  <c r="BC1050" i="1"/>
  <c r="BA1050" i="1"/>
  <c r="AY1050" i="1"/>
  <c r="AU1050" i="1"/>
  <c r="AS1050" i="1"/>
  <c r="AK1050" i="1"/>
  <c r="AG1050" i="1"/>
  <c r="AE1050" i="1"/>
  <c r="T1050" i="1"/>
  <c r="K1050" i="1"/>
  <c r="H1050" i="1"/>
  <c r="C1050" i="1"/>
  <c r="BE1049" i="1"/>
  <c r="BC1049" i="1"/>
  <c r="BA1049" i="1"/>
  <c r="AY1049" i="1"/>
  <c r="AU1049" i="1"/>
  <c r="AS1049" i="1"/>
  <c r="AK1049" i="1"/>
  <c r="AG1049" i="1"/>
  <c r="AE1049" i="1"/>
  <c r="T1049" i="1"/>
  <c r="K1049" i="1"/>
  <c r="H1049" i="1"/>
  <c r="C1049" i="1"/>
  <c r="BE1048" i="1"/>
  <c r="BC1048" i="1"/>
  <c r="BA1048" i="1"/>
  <c r="AY1048" i="1"/>
  <c r="AU1048" i="1"/>
  <c r="AS1048" i="1"/>
  <c r="AK1048" i="1"/>
  <c r="AG1048" i="1"/>
  <c r="AE1048" i="1"/>
  <c r="T1048" i="1"/>
  <c r="K1048" i="1"/>
  <c r="H1048" i="1"/>
  <c r="C1048" i="1"/>
  <c r="BE1047" i="1"/>
  <c r="BC1047" i="1"/>
  <c r="BA1047" i="1"/>
  <c r="AY1047" i="1"/>
  <c r="AU1047" i="1"/>
  <c r="AS1047" i="1"/>
  <c r="AK1047" i="1"/>
  <c r="AG1047" i="1"/>
  <c r="AE1047" i="1"/>
  <c r="T1047" i="1"/>
  <c r="K1047" i="1"/>
  <c r="H1047" i="1"/>
  <c r="C1047" i="1"/>
  <c r="BE1046" i="1"/>
  <c r="BC1046" i="1"/>
  <c r="BA1046" i="1"/>
  <c r="AY1046" i="1"/>
  <c r="AU1046" i="1"/>
  <c r="AS1046" i="1"/>
  <c r="AK1046" i="1"/>
  <c r="AG1046" i="1"/>
  <c r="AE1046" i="1"/>
  <c r="T1046" i="1"/>
  <c r="K1046" i="1"/>
  <c r="H1046" i="1"/>
  <c r="C1046" i="1"/>
  <c r="BE1045" i="1"/>
  <c r="BC1045" i="1"/>
  <c r="BA1045" i="1"/>
  <c r="AY1045" i="1"/>
  <c r="AU1045" i="1"/>
  <c r="AS1045" i="1"/>
  <c r="AK1045" i="1"/>
  <c r="AG1045" i="1"/>
  <c r="AE1045" i="1"/>
  <c r="T1045" i="1"/>
  <c r="K1045" i="1"/>
  <c r="H1045" i="1"/>
  <c r="C1045" i="1"/>
  <c r="BE1044" i="1"/>
  <c r="BC1044" i="1"/>
  <c r="BA1044" i="1"/>
  <c r="AY1044" i="1"/>
  <c r="AU1044" i="1"/>
  <c r="AS1044" i="1"/>
  <c r="AK1044" i="1"/>
  <c r="AG1044" i="1"/>
  <c r="AE1044" i="1"/>
  <c r="T1044" i="1"/>
  <c r="K1044" i="1"/>
  <c r="H1044" i="1"/>
  <c r="C1044" i="1"/>
  <c r="BE1043" i="1"/>
  <c r="BC1043" i="1"/>
  <c r="BA1043" i="1"/>
  <c r="AY1043" i="1"/>
  <c r="AU1043" i="1"/>
  <c r="AS1043" i="1"/>
  <c r="AK1043" i="1"/>
  <c r="AG1043" i="1"/>
  <c r="AE1043" i="1"/>
  <c r="T1043" i="1"/>
  <c r="K1043" i="1"/>
  <c r="H1043" i="1"/>
  <c r="C1043" i="1"/>
  <c r="BE1042" i="1"/>
  <c r="BC1042" i="1"/>
  <c r="BA1042" i="1"/>
  <c r="AY1042" i="1"/>
  <c r="AU1042" i="1"/>
  <c r="AS1042" i="1"/>
  <c r="AK1042" i="1"/>
  <c r="AG1042" i="1"/>
  <c r="AE1042" i="1"/>
  <c r="T1042" i="1"/>
  <c r="K1042" i="1"/>
  <c r="H1042" i="1"/>
  <c r="C1042" i="1"/>
  <c r="BE1041" i="1"/>
  <c r="BC1041" i="1"/>
  <c r="BA1041" i="1"/>
  <c r="AY1041" i="1"/>
  <c r="AU1041" i="1"/>
  <c r="AS1041" i="1"/>
  <c r="AK1041" i="1"/>
  <c r="AG1041" i="1"/>
  <c r="AE1041" i="1"/>
  <c r="T1041" i="1"/>
  <c r="K1041" i="1"/>
  <c r="H1041" i="1"/>
  <c r="C1041" i="1"/>
  <c r="BE1040" i="1"/>
  <c r="BC1040" i="1"/>
  <c r="BA1040" i="1"/>
  <c r="AY1040" i="1"/>
  <c r="AU1040" i="1"/>
  <c r="AS1040" i="1"/>
  <c r="AK1040" i="1"/>
  <c r="AG1040" i="1"/>
  <c r="AE1040" i="1"/>
  <c r="T1040" i="1"/>
  <c r="K1040" i="1"/>
  <c r="H1040" i="1"/>
  <c r="C1040" i="1"/>
  <c r="BE1039" i="1"/>
  <c r="BC1039" i="1"/>
  <c r="BA1039" i="1"/>
  <c r="AY1039" i="1"/>
  <c r="AU1039" i="1"/>
  <c r="AS1039" i="1"/>
  <c r="AK1039" i="1"/>
  <c r="AG1039" i="1"/>
  <c r="AE1039" i="1"/>
  <c r="T1039" i="1"/>
  <c r="K1039" i="1"/>
  <c r="H1039" i="1"/>
  <c r="C1039" i="1"/>
  <c r="BE1038" i="1"/>
  <c r="BC1038" i="1"/>
  <c r="BA1038" i="1"/>
  <c r="AY1038" i="1"/>
  <c r="AU1038" i="1"/>
  <c r="AS1038" i="1"/>
  <c r="AK1038" i="1"/>
  <c r="AG1038" i="1"/>
  <c r="AE1038" i="1"/>
  <c r="T1038" i="1"/>
  <c r="K1038" i="1"/>
  <c r="H1038" i="1"/>
  <c r="C1038" i="1"/>
  <c r="BE1037" i="1"/>
  <c r="BC1037" i="1"/>
  <c r="BA1037" i="1"/>
  <c r="AY1037" i="1"/>
  <c r="AU1037" i="1"/>
  <c r="AS1037" i="1"/>
  <c r="AK1037" i="1"/>
  <c r="AG1037" i="1"/>
  <c r="AE1037" i="1"/>
  <c r="T1037" i="1"/>
  <c r="K1037" i="1"/>
  <c r="H1037" i="1"/>
  <c r="C1037" i="1"/>
  <c r="BE1036" i="1"/>
  <c r="BC1036" i="1"/>
  <c r="BA1036" i="1"/>
  <c r="AY1036" i="1"/>
  <c r="AU1036" i="1"/>
  <c r="AS1036" i="1"/>
  <c r="AK1036" i="1"/>
  <c r="AG1036" i="1"/>
  <c r="AE1036" i="1"/>
  <c r="T1036" i="1"/>
  <c r="K1036" i="1"/>
  <c r="H1036" i="1"/>
  <c r="C1036" i="1"/>
  <c r="BE1035" i="1"/>
  <c r="BC1035" i="1"/>
  <c r="BA1035" i="1"/>
  <c r="AY1035" i="1"/>
  <c r="AU1035" i="1"/>
  <c r="AS1035" i="1"/>
  <c r="AK1035" i="1"/>
  <c r="AG1035" i="1"/>
  <c r="AE1035" i="1"/>
  <c r="T1035" i="1"/>
  <c r="K1035" i="1"/>
  <c r="H1035" i="1"/>
  <c r="C1035" i="1"/>
  <c r="BE1034" i="1"/>
  <c r="BC1034" i="1"/>
  <c r="BA1034" i="1"/>
  <c r="AY1034" i="1"/>
  <c r="AU1034" i="1"/>
  <c r="AS1034" i="1"/>
  <c r="AK1034" i="1"/>
  <c r="AG1034" i="1"/>
  <c r="AE1034" i="1"/>
  <c r="T1034" i="1"/>
  <c r="K1034" i="1"/>
  <c r="H1034" i="1"/>
  <c r="C1034" i="1"/>
  <c r="BE1033" i="1"/>
  <c r="BC1033" i="1"/>
  <c r="BA1033" i="1"/>
  <c r="AY1033" i="1"/>
  <c r="AU1033" i="1"/>
  <c r="AS1033" i="1"/>
  <c r="AK1033" i="1"/>
  <c r="AG1033" i="1"/>
  <c r="AE1033" i="1"/>
  <c r="T1033" i="1"/>
  <c r="K1033" i="1"/>
  <c r="H1033" i="1"/>
  <c r="C1033" i="1"/>
  <c r="BE1032" i="1"/>
  <c r="BC1032" i="1"/>
  <c r="BA1032" i="1"/>
  <c r="AY1032" i="1"/>
  <c r="AU1032" i="1"/>
  <c r="AS1032" i="1"/>
  <c r="AK1032" i="1"/>
  <c r="AG1032" i="1"/>
  <c r="AE1032" i="1"/>
  <c r="T1032" i="1"/>
  <c r="K1032" i="1"/>
  <c r="H1032" i="1"/>
  <c r="C1032" i="1"/>
  <c r="BE1031" i="1"/>
  <c r="BC1031" i="1"/>
  <c r="BA1031" i="1"/>
  <c r="AY1031" i="1"/>
  <c r="AU1031" i="1"/>
  <c r="AS1031" i="1"/>
  <c r="AK1031" i="1"/>
  <c r="AG1031" i="1"/>
  <c r="AE1031" i="1"/>
  <c r="T1031" i="1"/>
  <c r="K1031" i="1"/>
  <c r="H1031" i="1"/>
  <c r="C1031" i="1"/>
  <c r="BE1030" i="1"/>
  <c r="BC1030" i="1"/>
  <c r="BA1030" i="1"/>
  <c r="AY1030" i="1"/>
  <c r="AU1030" i="1"/>
  <c r="AS1030" i="1"/>
  <c r="AK1030" i="1"/>
  <c r="AG1030" i="1"/>
  <c r="AE1030" i="1"/>
  <c r="T1030" i="1"/>
  <c r="K1030" i="1"/>
  <c r="H1030" i="1"/>
  <c r="C1030" i="1"/>
  <c r="BE1029" i="1"/>
  <c r="BC1029" i="1"/>
  <c r="BA1029" i="1"/>
  <c r="AY1029" i="1"/>
  <c r="AU1029" i="1"/>
  <c r="AS1029" i="1"/>
  <c r="AK1029" i="1"/>
  <c r="AG1029" i="1"/>
  <c r="AE1029" i="1"/>
  <c r="T1029" i="1"/>
  <c r="K1029" i="1"/>
  <c r="H1029" i="1"/>
  <c r="C1029" i="1"/>
  <c r="BE1028" i="1"/>
  <c r="BC1028" i="1"/>
  <c r="BA1028" i="1"/>
  <c r="AY1028" i="1"/>
  <c r="AU1028" i="1"/>
  <c r="AS1028" i="1"/>
  <c r="AK1028" i="1"/>
  <c r="AG1028" i="1"/>
  <c r="AE1028" i="1"/>
  <c r="T1028" i="1"/>
  <c r="K1028" i="1"/>
  <c r="H1028" i="1"/>
  <c r="C1028" i="1"/>
  <c r="BE1027" i="1"/>
  <c r="BC1027" i="1"/>
  <c r="BA1027" i="1"/>
  <c r="AY1027" i="1"/>
  <c r="AU1027" i="1"/>
  <c r="AS1027" i="1"/>
  <c r="AK1027" i="1"/>
  <c r="AG1027" i="1"/>
  <c r="AE1027" i="1"/>
  <c r="T1027" i="1"/>
  <c r="K1027" i="1"/>
  <c r="H1027" i="1"/>
  <c r="C1027" i="1"/>
  <c r="BE1026" i="1"/>
  <c r="BC1026" i="1"/>
  <c r="BA1026" i="1"/>
  <c r="AY1026" i="1"/>
  <c r="AU1026" i="1"/>
  <c r="AS1026" i="1"/>
  <c r="AK1026" i="1"/>
  <c r="AG1026" i="1"/>
  <c r="AE1026" i="1"/>
  <c r="T1026" i="1"/>
  <c r="K1026" i="1"/>
  <c r="H1026" i="1"/>
  <c r="C1026" i="1"/>
  <c r="BE1025" i="1"/>
  <c r="BC1025" i="1"/>
  <c r="BA1025" i="1"/>
  <c r="AY1025" i="1"/>
  <c r="AU1025" i="1"/>
  <c r="AS1025" i="1"/>
  <c r="AK1025" i="1"/>
  <c r="AG1025" i="1"/>
  <c r="AE1025" i="1"/>
  <c r="T1025" i="1"/>
  <c r="K1025" i="1"/>
  <c r="H1025" i="1"/>
  <c r="C1025" i="1"/>
  <c r="BE1024" i="1"/>
  <c r="BC1024" i="1"/>
  <c r="BA1024" i="1"/>
  <c r="AY1024" i="1"/>
  <c r="AU1024" i="1"/>
  <c r="AS1024" i="1"/>
  <c r="AK1024" i="1"/>
  <c r="AG1024" i="1"/>
  <c r="AE1024" i="1"/>
  <c r="T1024" i="1"/>
  <c r="K1024" i="1"/>
  <c r="H1024" i="1"/>
  <c r="C1024" i="1"/>
  <c r="BE1023" i="1"/>
  <c r="BC1023" i="1"/>
  <c r="BA1023" i="1"/>
  <c r="AY1023" i="1"/>
  <c r="AU1023" i="1"/>
  <c r="AS1023" i="1"/>
  <c r="AK1023" i="1"/>
  <c r="AG1023" i="1"/>
  <c r="AE1023" i="1"/>
  <c r="T1023" i="1"/>
  <c r="K1023" i="1"/>
  <c r="H1023" i="1"/>
  <c r="C1023" i="1"/>
  <c r="BE1022" i="1"/>
  <c r="BC1022" i="1"/>
  <c r="BA1022" i="1"/>
  <c r="AY1022" i="1"/>
  <c r="AU1022" i="1"/>
  <c r="AS1022" i="1"/>
  <c r="AK1022" i="1"/>
  <c r="AG1022" i="1"/>
  <c r="AE1022" i="1"/>
  <c r="T1022" i="1"/>
  <c r="K1022" i="1"/>
  <c r="H1022" i="1"/>
  <c r="C1022" i="1"/>
  <c r="BE1021" i="1"/>
  <c r="BC1021" i="1"/>
  <c r="BA1021" i="1"/>
  <c r="AY1021" i="1"/>
  <c r="AU1021" i="1"/>
  <c r="AS1021" i="1"/>
  <c r="AK1021" i="1"/>
  <c r="AG1021" i="1"/>
  <c r="AE1021" i="1"/>
  <c r="T1021" i="1"/>
  <c r="K1021" i="1"/>
  <c r="H1021" i="1"/>
  <c r="C1021" i="1"/>
  <c r="BE1020" i="1"/>
  <c r="BC1020" i="1"/>
  <c r="BA1020" i="1"/>
  <c r="AY1020" i="1"/>
  <c r="AU1020" i="1"/>
  <c r="AS1020" i="1"/>
  <c r="AK1020" i="1"/>
  <c r="AG1020" i="1"/>
  <c r="AE1020" i="1"/>
  <c r="T1020" i="1"/>
  <c r="K1020" i="1"/>
  <c r="H1020" i="1"/>
  <c r="C1020" i="1"/>
  <c r="BE1019" i="1"/>
  <c r="BC1019" i="1"/>
  <c r="BA1019" i="1"/>
  <c r="AY1019" i="1"/>
  <c r="AU1019" i="1"/>
  <c r="AS1019" i="1"/>
  <c r="AK1019" i="1"/>
  <c r="AG1019" i="1"/>
  <c r="AE1019" i="1"/>
  <c r="T1019" i="1"/>
  <c r="K1019" i="1"/>
  <c r="H1019" i="1"/>
  <c r="C1019" i="1"/>
  <c r="BE1018" i="1"/>
  <c r="BC1018" i="1"/>
  <c r="BA1018" i="1"/>
  <c r="AY1018" i="1"/>
  <c r="AU1018" i="1"/>
  <c r="AS1018" i="1"/>
  <c r="AK1018" i="1"/>
  <c r="AG1018" i="1"/>
  <c r="AE1018" i="1"/>
  <c r="T1018" i="1"/>
  <c r="K1018" i="1"/>
  <c r="H1018" i="1"/>
  <c r="C1018" i="1"/>
  <c r="BE1017" i="1"/>
  <c r="BC1017" i="1"/>
  <c r="BA1017" i="1"/>
  <c r="AY1017" i="1"/>
  <c r="AU1017" i="1"/>
  <c r="AS1017" i="1"/>
  <c r="AK1017" i="1"/>
  <c r="AG1017" i="1"/>
  <c r="AE1017" i="1"/>
  <c r="T1017" i="1"/>
  <c r="K1017" i="1"/>
  <c r="H1017" i="1"/>
  <c r="C1017" i="1"/>
  <c r="BE1016" i="1"/>
  <c r="BC1016" i="1"/>
  <c r="BA1016" i="1"/>
  <c r="AY1016" i="1"/>
  <c r="AU1016" i="1"/>
  <c r="AS1016" i="1"/>
  <c r="AK1016" i="1"/>
  <c r="AG1016" i="1"/>
  <c r="AE1016" i="1"/>
  <c r="T1016" i="1"/>
  <c r="K1016" i="1"/>
  <c r="H1016" i="1"/>
  <c r="C1016" i="1"/>
  <c r="BE1015" i="1"/>
  <c r="BC1015" i="1"/>
  <c r="BA1015" i="1"/>
  <c r="AY1015" i="1"/>
  <c r="AU1015" i="1"/>
  <c r="AS1015" i="1"/>
  <c r="AK1015" i="1"/>
  <c r="AG1015" i="1"/>
  <c r="AE1015" i="1"/>
  <c r="T1015" i="1"/>
  <c r="K1015" i="1"/>
  <c r="H1015" i="1"/>
  <c r="C1015" i="1"/>
  <c r="BE1014" i="1"/>
  <c r="BC1014" i="1"/>
  <c r="BA1014" i="1"/>
  <c r="AY1014" i="1"/>
  <c r="AU1014" i="1"/>
  <c r="AS1014" i="1"/>
  <c r="AK1014" i="1"/>
  <c r="AG1014" i="1"/>
  <c r="AE1014" i="1"/>
  <c r="T1014" i="1"/>
  <c r="K1014" i="1"/>
  <c r="H1014" i="1"/>
  <c r="C1014" i="1"/>
  <c r="BE1013" i="1"/>
  <c r="BC1013" i="1"/>
  <c r="BA1013" i="1"/>
  <c r="AY1013" i="1"/>
  <c r="AU1013" i="1"/>
  <c r="AS1013" i="1"/>
  <c r="AK1013" i="1"/>
  <c r="AG1013" i="1"/>
  <c r="AE1013" i="1"/>
  <c r="T1013" i="1"/>
  <c r="K1013" i="1"/>
  <c r="H1013" i="1"/>
  <c r="C1013" i="1"/>
  <c r="BE1012" i="1"/>
  <c r="BC1012" i="1"/>
  <c r="BA1012" i="1"/>
  <c r="AY1012" i="1"/>
  <c r="AU1012" i="1"/>
  <c r="AS1012" i="1"/>
  <c r="AK1012" i="1"/>
  <c r="AG1012" i="1"/>
  <c r="AE1012" i="1"/>
  <c r="T1012" i="1"/>
  <c r="K1012" i="1"/>
  <c r="H1012" i="1"/>
  <c r="C1012" i="1"/>
  <c r="BE1011" i="1"/>
  <c r="BC1011" i="1"/>
  <c r="BA1011" i="1"/>
  <c r="AY1011" i="1"/>
  <c r="AU1011" i="1"/>
  <c r="AS1011" i="1"/>
  <c r="AK1011" i="1"/>
  <c r="AG1011" i="1"/>
  <c r="AE1011" i="1"/>
  <c r="T1011" i="1"/>
  <c r="K1011" i="1"/>
  <c r="H1011" i="1"/>
  <c r="C1011" i="1"/>
  <c r="BE1010" i="1"/>
  <c r="BC1010" i="1"/>
  <c r="BA1010" i="1"/>
  <c r="AY1010" i="1"/>
  <c r="AU1010" i="1"/>
  <c r="AS1010" i="1"/>
  <c r="AK1010" i="1"/>
  <c r="AG1010" i="1"/>
  <c r="AE1010" i="1"/>
  <c r="T1010" i="1"/>
  <c r="K1010" i="1"/>
  <c r="H1010" i="1"/>
  <c r="C1010" i="1"/>
  <c r="BE1009" i="1"/>
  <c r="BC1009" i="1"/>
  <c r="BA1009" i="1"/>
  <c r="AY1009" i="1"/>
  <c r="AU1009" i="1"/>
  <c r="AS1009" i="1"/>
  <c r="AK1009" i="1"/>
  <c r="AG1009" i="1"/>
  <c r="AE1009" i="1"/>
  <c r="T1009" i="1"/>
  <c r="K1009" i="1"/>
  <c r="H1009" i="1"/>
  <c r="C1009" i="1"/>
  <c r="BE1008" i="1"/>
  <c r="BC1008" i="1"/>
  <c r="BA1008" i="1"/>
  <c r="AY1008" i="1"/>
  <c r="AU1008" i="1"/>
  <c r="AS1008" i="1"/>
  <c r="AK1008" i="1"/>
  <c r="AG1008" i="1"/>
  <c r="AE1008" i="1"/>
  <c r="T1008" i="1"/>
  <c r="K1008" i="1"/>
  <c r="H1008" i="1"/>
  <c r="C1008" i="1"/>
  <c r="BE1007" i="1"/>
  <c r="BC1007" i="1"/>
  <c r="BA1007" i="1"/>
  <c r="AY1007" i="1"/>
  <c r="AU1007" i="1"/>
  <c r="AS1007" i="1"/>
  <c r="AK1007" i="1"/>
  <c r="AG1007" i="1"/>
  <c r="AE1007" i="1"/>
  <c r="T1007" i="1"/>
  <c r="K1007" i="1"/>
  <c r="H1007" i="1"/>
  <c r="C1007" i="1"/>
  <c r="BE1006" i="1"/>
  <c r="BC1006" i="1"/>
  <c r="BA1006" i="1"/>
  <c r="AY1006" i="1"/>
  <c r="AU1006" i="1"/>
  <c r="AS1006" i="1"/>
  <c r="AK1006" i="1"/>
  <c r="AG1006" i="1"/>
  <c r="AE1006" i="1"/>
  <c r="T1006" i="1"/>
  <c r="K1006" i="1"/>
  <c r="H1006" i="1"/>
  <c r="C1006" i="1"/>
  <c r="BE1005" i="1"/>
  <c r="BC1005" i="1"/>
  <c r="BA1005" i="1"/>
  <c r="AY1005" i="1"/>
  <c r="AU1005" i="1"/>
  <c r="AS1005" i="1"/>
  <c r="AK1005" i="1"/>
  <c r="AG1005" i="1"/>
  <c r="AE1005" i="1"/>
  <c r="T1005" i="1"/>
  <c r="K1005" i="1"/>
  <c r="H1005" i="1"/>
  <c r="C1005" i="1"/>
  <c r="BE1004" i="1"/>
  <c r="BC1004" i="1"/>
  <c r="BA1004" i="1"/>
  <c r="AY1004" i="1"/>
  <c r="AU1004" i="1"/>
  <c r="AS1004" i="1"/>
  <c r="AK1004" i="1"/>
  <c r="AG1004" i="1"/>
  <c r="AE1004" i="1"/>
  <c r="T1004" i="1"/>
  <c r="K1004" i="1"/>
  <c r="H1004" i="1"/>
  <c r="C1004" i="1"/>
  <c r="BE1003" i="1"/>
  <c r="BC1003" i="1"/>
  <c r="BA1003" i="1"/>
  <c r="AY1003" i="1"/>
  <c r="AU1003" i="1"/>
  <c r="AS1003" i="1"/>
  <c r="AK1003" i="1"/>
  <c r="AG1003" i="1"/>
  <c r="AE1003" i="1"/>
  <c r="T1003" i="1"/>
  <c r="K1003" i="1"/>
  <c r="H1003" i="1"/>
  <c r="C1003" i="1"/>
  <c r="BE1002" i="1"/>
  <c r="BC1002" i="1"/>
  <c r="BA1002" i="1"/>
  <c r="AY1002" i="1"/>
  <c r="AU1002" i="1"/>
  <c r="AS1002" i="1"/>
  <c r="AK1002" i="1"/>
  <c r="AG1002" i="1"/>
  <c r="AE1002" i="1"/>
  <c r="T1002" i="1"/>
  <c r="K1002" i="1"/>
  <c r="H1002" i="1"/>
  <c r="C1002" i="1"/>
  <c r="BE1001" i="1"/>
  <c r="BC1001" i="1"/>
  <c r="BA1001" i="1"/>
  <c r="AY1001" i="1"/>
  <c r="AU1001" i="1"/>
  <c r="AS1001" i="1"/>
  <c r="AK1001" i="1"/>
  <c r="AG1001" i="1"/>
  <c r="AE1001" i="1"/>
  <c r="T1001" i="1"/>
  <c r="K1001" i="1"/>
  <c r="H1001" i="1"/>
  <c r="C1001" i="1"/>
  <c r="BE1000" i="1"/>
  <c r="BC1000" i="1"/>
  <c r="BA1000" i="1"/>
  <c r="AY1000" i="1"/>
  <c r="AU1000" i="1"/>
  <c r="AS1000" i="1"/>
  <c r="AK1000" i="1"/>
  <c r="AG1000" i="1"/>
  <c r="AE1000" i="1"/>
  <c r="T1000" i="1"/>
  <c r="K1000" i="1"/>
  <c r="H1000" i="1"/>
  <c r="C1000" i="1"/>
  <c r="BE999" i="1"/>
  <c r="BC999" i="1"/>
  <c r="BA999" i="1"/>
  <c r="AY999" i="1"/>
  <c r="AU999" i="1"/>
  <c r="AS999" i="1"/>
  <c r="AK999" i="1"/>
  <c r="AG999" i="1"/>
  <c r="AE999" i="1"/>
  <c r="T999" i="1"/>
  <c r="K999" i="1"/>
  <c r="H999" i="1"/>
  <c r="C999" i="1"/>
  <c r="BE998" i="1"/>
  <c r="BC998" i="1"/>
  <c r="BA998" i="1"/>
  <c r="AY998" i="1"/>
  <c r="AU998" i="1"/>
  <c r="AS998" i="1"/>
  <c r="AK998" i="1"/>
  <c r="AG998" i="1"/>
  <c r="AE998" i="1"/>
  <c r="T998" i="1"/>
  <c r="K998" i="1"/>
  <c r="H998" i="1"/>
  <c r="C998" i="1"/>
  <c r="BE997" i="1"/>
  <c r="BC997" i="1"/>
  <c r="BA997" i="1"/>
  <c r="AY997" i="1"/>
  <c r="AU997" i="1"/>
  <c r="AS997" i="1"/>
  <c r="AK997" i="1"/>
  <c r="AG997" i="1"/>
  <c r="AE997" i="1"/>
  <c r="T997" i="1"/>
  <c r="K997" i="1"/>
  <c r="H997" i="1"/>
  <c r="C997" i="1"/>
  <c r="BE996" i="1"/>
  <c r="BC996" i="1"/>
  <c r="BA996" i="1"/>
  <c r="AY996" i="1"/>
  <c r="AU996" i="1"/>
  <c r="AS996" i="1"/>
  <c r="AK996" i="1"/>
  <c r="AG996" i="1"/>
  <c r="AE996" i="1"/>
  <c r="T996" i="1"/>
  <c r="K996" i="1"/>
  <c r="H996" i="1"/>
  <c r="C996" i="1"/>
  <c r="BE995" i="1"/>
  <c r="BC995" i="1"/>
  <c r="BA995" i="1"/>
  <c r="AY995" i="1"/>
  <c r="AU995" i="1"/>
  <c r="AS995" i="1"/>
  <c r="AK995" i="1"/>
  <c r="AG995" i="1"/>
  <c r="AE995" i="1"/>
  <c r="T995" i="1"/>
  <c r="K995" i="1"/>
  <c r="H995" i="1"/>
  <c r="C995" i="1"/>
  <c r="BE994" i="1"/>
  <c r="BC994" i="1"/>
  <c r="BA994" i="1"/>
  <c r="AY994" i="1"/>
  <c r="AU994" i="1"/>
  <c r="AS994" i="1"/>
  <c r="AK994" i="1"/>
  <c r="AG994" i="1"/>
  <c r="AE994" i="1"/>
  <c r="T994" i="1"/>
  <c r="K994" i="1"/>
  <c r="H994" i="1"/>
  <c r="C994" i="1"/>
  <c r="BE993" i="1"/>
  <c r="BC993" i="1"/>
  <c r="BA993" i="1"/>
  <c r="AY993" i="1"/>
  <c r="AU993" i="1"/>
  <c r="AS993" i="1"/>
  <c r="AK993" i="1"/>
  <c r="AG993" i="1"/>
  <c r="AE993" i="1"/>
  <c r="T993" i="1"/>
  <c r="K993" i="1"/>
  <c r="H993" i="1"/>
  <c r="C993" i="1"/>
  <c r="BE992" i="1"/>
  <c r="BC992" i="1"/>
  <c r="BA992" i="1"/>
  <c r="AY992" i="1"/>
  <c r="AU992" i="1"/>
  <c r="AS992" i="1"/>
  <c r="AK992" i="1"/>
  <c r="AG992" i="1"/>
  <c r="AE992" i="1"/>
  <c r="T992" i="1"/>
  <c r="K992" i="1"/>
  <c r="H992" i="1"/>
  <c r="C992" i="1"/>
  <c r="BE991" i="1"/>
  <c r="BC991" i="1"/>
  <c r="BA991" i="1"/>
  <c r="AY991" i="1"/>
  <c r="AU991" i="1"/>
  <c r="AS991" i="1"/>
  <c r="AK991" i="1"/>
  <c r="AG991" i="1"/>
  <c r="AE991" i="1"/>
  <c r="T991" i="1"/>
  <c r="K991" i="1"/>
  <c r="H991" i="1"/>
  <c r="C991" i="1"/>
  <c r="BE990" i="1"/>
  <c r="BC990" i="1"/>
  <c r="BA990" i="1"/>
  <c r="AY990" i="1"/>
  <c r="AU990" i="1"/>
  <c r="AS990" i="1"/>
  <c r="AK990" i="1"/>
  <c r="AG990" i="1"/>
  <c r="AE990" i="1"/>
  <c r="T990" i="1"/>
  <c r="K990" i="1"/>
  <c r="H990" i="1"/>
  <c r="C990" i="1"/>
  <c r="BE989" i="1"/>
  <c r="BC989" i="1"/>
  <c r="BA989" i="1"/>
  <c r="AY989" i="1"/>
  <c r="AU989" i="1"/>
  <c r="AS989" i="1"/>
  <c r="AK989" i="1"/>
  <c r="AG989" i="1"/>
  <c r="AE989" i="1"/>
  <c r="T989" i="1"/>
  <c r="K989" i="1"/>
  <c r="H989" i="1"/>
  <c r="C989" i="1"/>
  <c r="BE988" i="1"/>
  <c r="BC988" i="1"/>
  <c r="BA988" i="1"/>
  <c r="AY988" i="1"/>
  <c r="AU988" i="1"/>
  <c r="AS988" i="1"/>
  <c r="AK988" i="1"/>
  <c r="AG988" i="1"/>
  <c r="AE988" i="1"/>
  <c r="T988" i="1"/>
  <c r="K988" i="1"/>
  <c r="H988" i="1"/>
  <c r="C988" i="1"/>
  <c r="BE987" i="1"/>
  <c r="BC987" i="1"/>
  <c r="BA987" i="1"/>
  <c r="AY987" i="1"/>
  <c r="AU987" i="1"/>
  <c r="AS987" i="1"/>
  <c r="AK987" i="1"/>
  <c r="AG987" i="1"/>
  <c r="AE987" i="1"/>
  <c r="T987" i="1"/>
  <c r="K987" i="1"/>
  <c r="H987" i="1"/>
  <c r="C987" i="1"/>
  <c r="BE986" i="1"/>
  <c r="BC986" i="1"/>
  <c r="BA986" i="1"/>
  <c r="AY986" i="1"/>
  <c r="AU986" i="1"/>
  <c r="AS986" i="1"/>
  <c r="AK986" i="1"/>
  <c r="AG986" i="1"/>
  <c r="AE986" i="1"/>
  <c r="T986" i="1"/>
  <c r="K986" i="1"/>
  <c r="H986" i="1"/>
  <c r="C986" i="1"/>
  <c r="BE985" i="1"/>
  <c r="BC985" i="1"/>
  <c r="BA985" i="1"/>
  <c r="AY985" i="1"/>
  <c r="AU985" i="1"/>
  <c r="AS985" i="1"/>
  <c r="AK985" i="1"/>
  <c r="AG985" i="1"/>
  <c r="AE985" i="1"/>
  <c r="T985" i="1"/>
  <c r="K985" i="1"/>
  <c r="H985" i="1"/>
  <c r="C985" i="1"/>
  <c r="BE984" i="1"/>
  <c r="BC984" i="1"/>
  <c r="BA984" i="1"/>
  <c r="AY984" i="1"/>
  <c r="AU984" i="1"/>
  <c r="AS984" i="1"/>
  <c r="AK984" i="1"/>
  <c r="AG984" i="1"/>
  <c r="AE984" i="1"/>
  <c r="T984" i="1"/>
  <c r="K984" i="1"/>
  <c r="H984" i="1"/>
  <c r="C984" i="1"/>
  <c r="BE983" i="1"/>
  <c r="BC983" i="1"/>
  <c r="BA983" i="1"/>
  <c r="AY983" i="1"/>
  <c r="AU983" i="1"/>
  <c r="AS983" i="1"/>
  <c r="AK983" i="1"/>
  <c r="AG983" i="1"/>
  <c r="AE983" i="1"/>
  <c r="T983" i="1"/>
  <c r="K983" i="1"/>
  <c r="H983" i="1"/>
  <c r="C983" i="1"/>
  <c r="BE982" i="1"/>
  <c r="BC982" i="1"/>
  <c r="BA982" i="1"/>
  <c r="AY982" i="1"/>
  <c r="AU982" i="1"/>
  <c r="AS982" i="1"/>
  <c r="AK982" i="1"/>
  <c r="AG982" i="1"/>
  <c r="AE982" i="1"/>
  <c r="T982" i="1"/>
  <c r="K982" i="1"/>
  <c r="H982" i="1"/>
  <c r="C982" i="1"/>
  <c r="BE981" i="1"/>
  <c r="BC981" i="1"/>
  <c r="BA981" i="1"/>
  <c r="AY981" i="1"/>
  <c r="AU981" i="1"/>
  <c r="AS981" i="1"/>
  <c r="AK981" i="1"/>
  <c r="AG981" i="1"/>
  <c r="AE981" i="1"/>
  <c r="T981" i="1"/>
  <c r="K981" i="1"/>
  <c r="H981" i="1"/>
  <c r="C981" i="1"/>
  <c r="BE980" i="1"/>
  <c r="BC980" i="1"/>
  <c r="BA980" i="1"/>
  <c r="AY980" i="1"/>
  <c r="AU980" i="1"/>
  <c r="AS980" i="1"/>
  <c r="AK980" i="1"/>
  <c r="AG980" i="1"/>
  <c r="AE980" i="1"/>
  <c r="T980" i="1"/>
  <c r="K980" i="1"/>
  <c r="H980" i="1"/>
  <c r="C980" i="1"/>
  <c r="BE979" i="1"/>
  <c r="BC979" i="1"/>
  <c r="BA979" i="1"/>
  <c r="AY979" i="1"/>
  <c r="AU979" i="1"/>
  <c r="AS979" i="1"/>
  <c r="AK979" i="1"/>
  <c r="AG979" i="1"/>
  <c r="AE979" i="1"/>
  <c r="T979" i="1"/>
  <c r="K979" i="1"/>
  <c r="H979" i="1"/>
  <c r="C979" i="1"/>
  <c r="BE978" i="1"/>
  <c r="BC978" i="1"/>
  <c r="BA978" i="1"/>
  <c r="AY978" i="1"/>
  <c r="AU978" i="1"/>
  <c r="AS978" i="1"/>
  <c r="AK978" i="1"/>
  <c r="AG978" i="1"/>
  <c r="AE978" i="1"/>
  <c r="T978" i="1"/>
  <c r="K978" i="1"/>
  <c r="H978" i="1"/>
  <c r="C978" i="1"/>
  <c r="BE977" i="1"/>
  <c r="BC977" i="1"/>
  <c r="BA977" i="1"/>
  <c r="AY977" i="1"/>
  <c r="AU977" i="1"/>
  <c r="AS977" i="1"/>
  <c r="AK977" i="1"/>
  <c r="AG977" i="1"/>
  <c r="AE977" i="1"/>
  <c r="T977" i="1"/>
  <c r="K977" i="1"/>
  <c r="H977" i="1"/>
  <c r="C977" i="1"/>
  <c r="BE976" i="1"/>
  <c r="BC976" i="1"/>
  <c r="BA976" i="1"/>
  <c r="AY976" i="1"/>
  <c r="AU976" i="1"/>
  <c r="AS976" i="1"/>
  <c r="AK976" i="1"/>
  <c r="AG976" i="1"/>
  <c r="AE976" i="1"/>
  <c r="T976" i="1"/>
  <c r="K976" i="1"/>
  <c r="H976" i="1"/>
  <c r="C976" i="1"/>
  <c r="BE975" i="1"/>
  <c r="BC975" i="1"/>
  <c r="BA975" i="1"/>
  <c r="AY975" i="1"/>
  <c r="AU975" i="1"/>
  <c r="AS975" i="1"/>
  <c r="AK975" i="1"/>
  <c r="AG975" i="1"/>
  <c r="AE975" i="1"/>
  <c r="T975" i="1"/>
  <c r="K975" i="1"/>
  <c r="H975" i="1"/>
  <c r="C975" i="1"/>
  <c r="BE974" i="1"/>
  <c r="BC974" i="1"/>
  <c r="BA974" i="1"/>
  <c r="AY974" i="1"/>
  <c r="AU974" i="1"/>
  <c r="AS974" i="1"/>
  <c r="AK974" i="1"/>
  <c r="AG974" i="1"/>
  <c r="AE974" i="1"/>
  <c r="T974" i="1"/>
  <c r="K974" i="1"/>
  <c r="H974" i="1"/>
  <c r="C974" i="1"/>
  <c r="BE973" i="1"/>
  <c r="BC973" i="1"/>
  <c r="BA973" i="1"/>
  <c r="AY973" i="1"/>
  <c r="AU973" i="1"/>
  <c r="AS973" i="1"/>
  <c r="AK973" i="1"/>
  <c r="AG973" i="1"/>
  <c r="AE973" i="1"/>
  <c r="T973" i="1"/>
  <c r="K973" i="1"/>
  <c r="H973" i="1"/>
  <c r="C973" i="1"/>
  <c r="BE972" i="1"/>
  <c r="BC972" i="1"/>
  <c r="BA972" i="1"/>
  <c r="AY972" i="1"/>
  <c r="AU972" i="1"/>
  <c r="AS972" i="1"/>
  <c r="AK972" i="1"/>
  <c r="AG972" i="1"/>
  <c r="AE972" i="1"/>
  <c r="T972" i="1"/>
  <c r="K972" i="1"/>
  <c r="H972" i="1"/>
  <c r="C972" i="1"/>
  <c r="BE971" i="1"/>
  <c r="BC971" i="1"/>
  <c r="BA971" i="1"/>
  <c r="AY971" i="1"/>
  <c r="AU971" i="1"/>
  <c r="AS971" i="1"/>
  <c r="AK971" i="1"/>
  <c r="AG971" i="1"/>
  <c r="AE971" i="1"/>
  <c r="T971" i="1"/>
  <c r="K971" i="1"/>
  <c r="H971" i="1"/>
  <c r="C971" i="1"/>
  <c r="BE970" i="1"/>
  <c r="BC970" i="1"/>
  <c r="BA970" i="1"/>
  <c r="AY970" i="1"/>
  <c r="AU970" i="1"/>
  <c r="AS970" i="1"/>
  <c r="AK970" i="1"/>
  <c r="AG970" i="1"/>
  <c r="AE970" i="1"/>
  <c r="T970" i="1"/>
  <c r="K970" i="1"/>
  <c r="H970" i="1"/>
  <c r="C970" i="1"/>
  <c r="BE969" i="1"/>
  <c r="BC969" i="1"/>
  <c r="BA969" i="1"/>
  <c r="AY969" i="1"/>
  <c r="AU969" i="1"/>
  <c r="AS969" i="1"/>
  <c r="AK969" i="1"/>
  <c r="AG969" i="1"/>
  <c r="AE969" i="1"/>
  <c r="T969" i="1"/>
  <c r="K969" i="1"/>
  <c r="H969" i="1"/>
  <c r="C969" i="1"/>
  <c r="BE968" i="1"/>
  <c r="BC968" i="1"/>
  <c r="BA968" i="1"/>
  <c r="AY968" i="1"/>
  <c r="AU968" i="1"/>
  <c r="AS968" i="1"/>
  <c r="AK968" i="1"/>
  <c r="AG968" i="1"/>
  <c r="AE968" i="1"/>
  <c r="T968" i="1"/>
  <c r="K968" i="1"/>
  <c r="H968" i="1"/>
  <c r="C968" i="1"/>
  <c r="BE967" i="1"/>
  <c r="BC967" i="1"/>
  <c r="BA967" i="1"/>
  <c r="AY967" i="1"/>
  <c r="AU967" i="1"/>
  <c r="AS967" i="1"/>
  <c r="AK967" i="1"/>
  <c r="AG967" i="1"/>
  <c r="AE967" i="1"/>
  <c r="T967" i="1"/>
  <c r="K967" i="1"/>
  <c r="H967" i="1"/>
  <c r="C967" i="1"/>
  <c r="BE966" i="1"/>
  <c r="BC966" i="1"/>
  <c r="BA966" i="1"/>
  <c r="AY966" i="1"/>
  <c r="AU966" i="1"/>
  <c r="AS966" i="1"/>
  <c r="AK966" i="1"/>
  <c r="AG966" i="1"/>
  <c r="AE966" i="1"/>
  <c r="T966" i="1"/>
  <c r="K966" i="1"/>
  <c r="H966" i="1"/>
  <c r="C966" i="1"/>
  <c r="BE965" i="1"/>
  <c r="BC965" i="1"/>
  <c r="BA965" i="1"/>
  <c r="AY965" i="1"/>
  <c r="AU965" i="1"/>
  <c r="AS965" i="1"/>
  <c r="AK965" i="1"/>
  <c r="AG965" i="1"/>
  <c r="AE965" i="1"/>
  <c r="T965" i="1"/>
  <c r="K965" i="1"/>
  <c r="H965" i="1"/>
  <c r="C965" i="1"/>
  <c r="BE964" i="1"/>
  <c r="BC964" i="1"/>
  <c r="BA964" i="1"/>
  <c r="AY964" i="1"/>
  <c r="AU964" i="1"/>
  <c r="AS964" i="1"/>
  <c r="AK964" i="1"/>
  <c r="AG964" i="1"/>
  <c r="AE964" i="1"/>
  <c r="T964" i="1"/>
  <c r="K964" i="1"/>
  <c r="H964" i="1"/>
  <c r="C964" i="1"/>
  <c r="BE963" i="1"/>
  <c r="BC963" i="1"/>
  <c r="BA963" i="1"/>
  <c r="AY963" i="1"/>
  <c r="AU963" i="1"/>
  <c r="AS963" i="1"/>
  <c r="AK963" i="1"/>
  <c r="AG963" i="1"/>
  <c r="AE963" i="1"/>
  <c r="T963" i="1"/>
  <c r="K963" i="1"/>
  <c r="H963" i="1"/>
  <c r="C963" i="1"/>
  <c r="BE962" i="1"/>
  <c r="BC962" i="1"/>
  <c r="BA962" i="1"/>
  <c r="AY962" i="1"/>
  <c r="AU962" i="1"/>
  <c r="AS962" i="1"/>
  <c r="AK962" i="1"/>
  <c r="AG962" i="1"/>
  <c r="AE962" i="1"/>
  <c r="T962" i="1"/>
  <c r="K962" i="1"/>
  <c r="H962" i="1"/>
  <c r="C962" i="1"/>
  <c r="BE961" i="1"/>
  <c r="BC961" i="1"/>
  <c r="BA961" i="1"/>
  <c r="AY961" i="1"/>
  <c r="AU961" i="1"/>
  <c r="AS961" i="1"/>
  <c r="AK961" i="1"/>
  <c r="AG961" i="1"/>
  <c r="AE961" i="1"/>
  <c r="T961" i="1"/>
  <c r="K961" i="1"/>
  <c r="H961" i="1"/>
  <c r="C961" i="1"/>
  <c r="BE960" i="1"/>
  <c r="BC960" i="1"/>
  <c r="BA960" i="1"/>
  <c r="AY960" i="1"/>
  <c r="AU960" i="1"/>
  <c r="AS960" i="1"/>
  <c r="AK960" i="1"/>
  <c r="AG960" i="1"/>
  <c r="AE960" i="1"/>
  <c r="T960" i="1"/>
  <c r="K960" i="1"/>
  <c r="H960" i="1"/>
  <c r="C960" i="1"/>
  <c r="BE959" i="1"/>
  <c r="BC959" i="1"/>
  <c r="BA959" i="1"/>
  <c r="AY959" i="1"/>
  <c r="AU959" i="1"/>
  <c r="AS959" i="1"/>
  <c r="AK959" i="1"/>
  <c r="AG959" i="1"/>
  <c r="AE959" i="1"/>
  <c r="T959" i="1"/>
  <c r="K959" i="1"/>
  <c r="H959" i="1"/>
  <c r="C959" i="1"/>
  <c r="BE958" i="1"/>
  <c r="BC958" i="1"/>
  <c r="BA958" i="1"/>
  <c r="AY958" i="1"/>
  <c r="AU958" i="1"/>
  <c r="AS958" i="1"/>
  <c r="AK958" i="1"/>
  <c r="AG958" i="1"/>
  <c r="AE958" i="1"/>
  <c r="T958" i="1"/>
  <c r="K958" i="1"/>
  <c r="H958" i="1"/>
  <c r="C958" i="1"/>
  <c r="BE957" i="1"/>
  <c r="BC957" i="1"/>
  <c r="BA957" i="1"/>
  <c r="AY957" i="1"/>
  <c r="AU957" i="1"/>
  <c r="AS957" i="1"/>
  <c r="AK957" i="1"/>
  <c r="AG957" i="1"/>
  <c r="AE957" i="1"/>
  <c r="T957" i="1"/>
  <c r="K957" i="1"/>
  <c r="H957" i="1"/>
  <c r="C957" i="1"/>
  <c r="BE956" i="1"/>
  <c r="BC956" i="1"/>
  <c r="BA956" i="1"/>
  <c r="AY956" i="1"/>
  <c r="AU956" i="1"/>
  <c r="AS956" i="1"/>
  <c r="AK956" i="1"/>
  <c r="AG956" i="1"/>
  <c r="AE956" i="1"/>
  <c r="T956" i="1"/>
  <c r="K956" i="1"/>
  <c r="H956" i="1"/>
  <c r="C956" i="1"/>
  <c r="BE955" i="1"/>
  <c r="BC955" i="1"/>
  <c r="BA955" i="1"/>
  <c r="AY955" i="1"/>
  <c r="AU955" i="1"/>
  <c r="AS955" i="1"/>
  <c r="AK955" i="1"/>
  <c r="AG955" i="1"/>
  <c r="AE955" i="1"/>
  <c r="T955" i="1"/>
  <c r="K955" i="1"/>
  <c r="H955" i="1"/>
  <c r="C955" i="1"/>
  <c r="BE954" i="1"/>
  <c r="BC954" i="1"/>
  <c r="BA954" i="1"/>
  <c r="AY954" i="1"/>
  <c r="AU954" i="1"/>
  <c r="AS954" i="1"/>
  <c r="AK954" i="1"/>
  <c r="AG954" i="1"/>
  <c r="AE954" i="1"/>
  <c r="T954" i="1"/>
  <c r="K954" i="1"/>
  <c r="H954" i="1"/>
  <c r="C954" i="1"/>
  <c r="BE953" i="1"/>
  <c r="BC953" i="1"/>
  <c r="BA953" i="1"/>
  <c r="AY953" i="1"/>
  <c r="AU953" i="1"/>
  <c r="AS953" i="1"/>
  <c r="AK953" i="1"/>
  <c r="AG953" i="1"/>
  <c r="AE953" i="1"/>
  <c r="T953" i="1"/>
  <c r="K953" i="1"/>
  <c r="H953" i="1"/>
  <c r="C953" i="1"/>
  <c r="BE952" i="1"/>
  <c r="BC952" i="1"/>
  <c r="BA952" i="1"/>
  <c r="AY952" i="1"/>
  <c r="AU952" i="1"/>
  <c r="AS952" i="1"/>
  <c r="AK952" i="1"/>
  <c r="AG952" i="1"/>
  <c r="AE952" i="1"/>
  <c r="T952" i="1"/>
  <c r="K952" i="1"/>
  <c r="H952" i="1"/>
  <c r="C952" i="1"/>
  <c r="BE951" i="1"/>
  <c r="BC951" i="1"/>
  <c r="BA951" i="1"/>
  <c r="AY951" i="1"/>
  <c r="AU951" i="1"/>
  <c r="AS951" i="1"/>
  <c r="AK951" i="1"/>
  <c r="AG951" i="1"/>
  <c r="AE951" i="1"/>
  <c r="T951" i="1"/>
  <c r="K951" i="1"/>
  <c r="H951" i="1"/>
  <c r="C951" i="1"/>
  <c r="BE950" i="1"/>
  <c r="BC950" i="1"/>
  <c r="BA950" i="1"/>
  <c r="AY950" i="1"/>
  <c r="AU950" i="1"/>
  <c r="AS950" i="1"/>
  <c r="AK950" i="1"/>
  <c r="AG950" i="1"/>
  <c r="AE950" i="1"/>
  <c r="T950" i="1"/>
  <c r="K950" i="1"/>
  <c r="H950" i="1"/>
  <c r="C950" i="1"/>
  <c r="BE949" i="1"/>
  <c r="BC949" i="1"/>
  <c r="BA949" i="1"/>
  <c r="AY949" i="1"/>
  <c r="AU949" i="1"/>
  <c r="AS949" i="1"/>
  <c r="AK949" i="1"/>
  <c r="AG949" i="1"/>
  <c r="AE949" i="1"/>
  <c r="T949" i="1"/>
  <c r="K949" i="1"/>
  <c r="H949" i="1"/>
  <c r="C949" i="1"/>
  <c r="BE948" i="1"/>
  <c r="BC948" i="1"/>
  <c r="BA948" i="1"/>
  <c r="AY948" i="1"/>
  <c r="AU948" i="1"/>
  <c r="AS948" i="1"/>
  <c r="AK948" i="1"/>
  <c r="AG948" i="1"/>
  <c r="AE948" i="1"/>
  <c r="T948" i="1"/>
  <c r="K948" i="1"/>
  <c r="H948" i="1"/>
  <c r="C948" i="1"/>
  <c r="BE947" i="1"/>
  <c r="BC947" i="1"/>
  <c r="BA947" i="1"/>
  <c r="AY947" i="1"/>
  <c r="AU947" i="1"/>
  <c r="AS947" i="1"/>
  <c r="AK947" i="1"/>
  <c r="AG947" i="1"/>
  <c r="AE947" i="1"/>
  <c r="T947" i="1"/>
  <c r="K947" i="1"/>
  <c r="H947" i="1"/>
  <c r="C947" i="1"/>
  <c r="BE946" i="1"/>
  <c r="BC946" i="1"/>
  <c r="BA946" i="1"/>
  <c r="AY946" i="1"/>
  <c r="AU946" i="1"/>
  <c r="AS946" i="1"/>
  <c r="AK946" i="1"/>
  <c r="AG946" i="1"/>
  <c r="AE946" i="1"/>
  <c r="T946" i="1"/>
  <c r="K946" i="1"/>
  <c r="H946" i="1"/>
  <c r="C946" i="1"/>
  <c r="BE945" i="1"/>
  <c r="BC945" i="1"/>
  <c r="BA945" i="1"/>
  <c r="AY945" i="1"/>
  <c r="AU945" i="1"/>
  <c r="AS945" i="1"/>
  <c r="AK945" i="1"/>
  <c r="AG945" i="1"/>
  <c r="AE945" i="1"/>
  <c r="T945" i="1"/>
  <c r="K945" i="1"/>
  <c r="H945" i="1"/>
  <c r="C945" i="1"/>
  <c r="BE944" i="1"/>
  <c r="BC944" i="1"/>
  <c r="BA944" i="1"/>
  <c r="AY944" i="1"/>
  <c r="AU944" i="1"/>
  <c r="AS944" i="1"/>
  <c r="AK944" i="1"/>
  <c r="AG944" i="1"/>
  <c r="AE944" i="1"/>
  <c r="T944" i="1"/>
  <c r="K944" i="1"/>
  <c r="H944" i="1"/>
  <c r="C944" i="1"/>
  <c r="BE943" i="1"/>
  <c r="BC943" i="1"/>
  <c r="BA943" i="1"/>
  <c r="AY943" i="1"/>
  <c r="AU943" i="1"/>
  <c r="AS943" i="1"/>
  <c r="AK943" i="1"/>
  <c r="AG943" i="1"/>
  <c r="AE943" i="1"/>
  <c r="T943" i="1"/>
  <c r="K943" i="1"/>
  <c r="H943" i="1"/>
  <c r="C943" i="1"/>
  <c r="BE942" i="1"/>
  <c r="BC942" i="1"/>
  <c r="BA942" i="1"/>
  <c r="AY942" i="1"/>
  <c r="AU942" i="1"/>
  <c r="AS942" i="1"/>
  <c r="AK942" i="1"/>
  <c r="AG942" i="1"/>
  <c r="AE942" i="1"/>
  <c r="T942" i="1"/>
  <c r="K942" i="1"/>
  <c r="H942" i="1"/>
  <c r="C942" i="1"/>
  <c r="BE941" i="1"/>
  <c r="BC941" i="1"/>
  <c r="BA941" i="1"/>
  <c r="AY941" i="1"/>
  <c r="AU941" i="1"/>
  <c r="AS941" i="1"/>
  <c r="AK941" i="1"/>
  <c r="AG941" i="1"/>
  <c r="AE941" i="1"/>
  <c r="T941" i="1"/>
  <c r="K941" i="1"/>
  <c r="H941" i="1"/>
  <c r="C941" i="1"/>
  <c r="BE940" i="1"/>
  <c r="BC940" i="1"/>
  <c r="BA940" i="1"/>
  <c r="AY940" i="1"/>
  <c r="AU940" i="1"/>
  <c r="AS940" i="1"/>
  <c r="AK940" i="1"/>
  <c r="AG940" i="1"/>
  <c r="AE940" i="1"/>
  <c r="T940" i="1"/>
  <c r="K940" i="1"/>
  <c r="H940" i="1"/>
  <c r="C940" i="1"/>
  <c r="BE939" i="1"/>
  <c r="BC939" i="1"/>
  <c r="BA939" i="1"/>
  <c r="AY939" i="1"/>
  <c r="AU939" i="1"/>
  <c r="AS939" i="1"/>
  <c r="AK939" i="1"/>
  <c r="AG939" i="1"/>
  <c r="AE939" i="1"/>
  <c r="T939" i="1"/>
  <c r="K939" i="1"/>
  <c r="H939" i="1"/>
  <c r="C939" i="1"/>
  <c r="BE938" i="1"/>
  <c r="BC938" i="1"/>
  <c r="BA938" i="1"/>
  <c r="AY938" i="1"/>
  <c r="AU938" i="1"/>
  <c r="AS938" i="1"/>
  <c r="AK938" i="1"/>
  <c r="AG938" i="1"/>
  <c r="AE938" i="1"/>
  <c r="T938" i="1"/>
  <c r="K938" i="1"/>
  <c r="H938" i="1"/>
  <c r="C938" i="1"/>
  <c r="BE937" i="1"/>
  <c r="BC937" i="1"/>
  <c r="BA937" i="1"/>
  <c r="AY937" i="1"/>
  <c r="AU937" i="1"/>
  <c r="AS937" i="1"/>
  <c r="AK937" i="1"/>
  <c r="AG937" i="1"/>
  <c r="AE937" i="1"/>
  <c r="T937" i="1"/>
  <c r="K937" i="1"/>
  <c r="H937" i="1"/>
  <c r="C937" i="1"/>
  <c r="BE936" i="1"/>
  <c r="BC936" i="1"/>
  <c r="BA936" i="1"/>
  <c r="AY936" i="1"/>
  <c r="AU936" i="1"/>
  <c r="AS936" i="1"/>
  <c r="AK936" i="1"/>
  <c r="AG936" i="1"/>
  <c r="AE936" i="1"/>
  <c r="T936" i="1"/>
  <c r="K936" i="1"/>
  <c r="H936" i="1"/>
  <c r="C936" i="1"/>
  <c r="BE935" i="1"/>
  <c r="BC935" i="1"/>
  <c r="BA935" i="1"/>
  <c r="AY935" i="1"/>
  <c r="AU935" i="1"/>
  <c r="AS935" i="1"/>
  <c r="AK935" i="1"/>
  <c r="AG935" i="1"/>
  <c r="AE935" i="1"/>
  <c r="T935" i="1"/>
  <c r="K935" i="1"/>
  <c r="H935" i="1"/>
  <c r="C935" i="1"/>
  <c r="BE934" i="1"/>
  <c r="BC934" i="1"/>
  <c r="BA934" i="1"/>
  <c r="AY934" i="1"/>
  <c r="AU934" i="1"/>
  <c r="AS934" i="1"/>
  <c r="AK934" i="1"/>
  <c r="AG934" i="1"/>
  <c r="AE934" i="1"/>
  <c r="T934" i="1"/>
  <c r="K934" i="1"/>
  <c r="H934" i="1"/>
  <c r="C934" i="1"/>
  <c r="BE933" i="1"/>
  <c r="BC933" i="1"/>
  <c r="BA933" i="1"/>
  <c r="AY933" i="1"/>
  <c r="AU933" i="1"/>
  <c r="AS933" i="1"/>
  <c r="AK933" i="1"/>
  <c r="AG933" i="1"/>
  <c r="AE933" i="1"/>
  <c r="T933" i="1"/>
  <c r="K933" i="1"/>
  <c r="H933" i="1"/>
  <c r="C933" i="1"/>
  <c r="BE932" i="1"/>
  <c r="BC932" i="1"/>
  <c r="BA932" i="1"/>
  <c r="AY932" i="1"/>
  <c r="AU932" i="1"/>
  <c r="AS932" i="1"/>
  <c r="AK932" i="1"/>
  <c r="AG932" i="1"/>
  <c r="AE932" i="1"/>
  <c r="T932" i="1"/>
  <c r="K932" i="1"/>
  <c r="H932" i="1"/>
  <c r="C932" i="1"/>
  <c r="BE931" i="1"/>
  <c r="BC931" i="1"/>
  <c r="BA931" i="1"/>
  <c r="AY931" i="1"/>
  <c r="AU931" i="1"/>
  <c r="AS931" i="1"/>
  <c r="AK931" i="1"/>
  <c r="AG931" i="1"/>
  <c r="AE931" i="1"/>
  <c r="T931" i="1"/>
  <c r="K931" i="1"/>
  <c r="H931" i="1"/>
  <c r="C931" i="1"/>
  <c r="BE930" i="1"/>
  <c r="BC930" i="1"/>
  <c r="BA930" i="1"/>
  <c r="AY930" i="1"/>
  <c r="AU930" i="1"/>
  <c r="AS930" i="1"/>
  <c r="AK930" i="1"/>
  <c r="AG930" i="1"/>
  <c r="AE930" i="1"/>
  <c r="T930" i="1"/>
  <c r="K930" i="1"/>
  <c r="H930" i="1"/>
  <c r="C930" i="1"/>
  <c r="BE929" i="1"/>
  <c r="BC929" i="1"/>
  <c r="BA929" i="1"/>
  <c r="AY929" i="1"/>
  <c r="AU929" i="1"/>
  <c r="AS929" i="1"/>
  <c r="AK929" i="1"/>
  <c r="AG929" i="1"/>
  <c r="AE929" i="1"/>
  <c r="T929" i="1"/>
  <c r="K929" i="1"/>
  <c r="H929" i="1"/>
  <c r="C929" i="1"/>
  <c r="BE928" i="1"/>
  <c r="BC928" i="1"/>
  <c r="BA928" i="1"/>
  <c r="AY928" i="1"/>
  <c r="AU928" i="1"/>
  <c r="AS928" i="1"/>
  <c r="AK928" i="1"/>
  <c r="AG928" i="1"/>
  <c r="AE928" i="1"/>
  <c r="T928" i="1"/>
  <c r="K928" i="1"/>
  <c r="H928" i="1"/>
  <c r="C928" i="1"/>
  <c r="BE927" i="1"/>
  <c r="BC927" i="1"/>
  <c r="BA927" i="1"/>
  <c r="AY927" i="1"/>
  <c r="AU927" i="1"/>
  <c r="AS927" i="1"/>
  <c r="AK927" i="1"/>
  <c r="AG927" i="1"/>
  <c r="AE927" i="1"/>
  <c r="T927" i="1"/>
  <c r="K927" i="1"/>
  <c r="H927" i="1"/>
  <c r="C927" i="1"/>
  <c r="BE926" i="1"/>
  <c r="BC926" i="1"/>
  <c r="BA926" i="1"/>
  <c r="AY926" i="1"/>
  <c r="AU926" i="1"/>
  <c r="AS926" i="1"/>
  <c r="AK926" i="1"/>
  <c r="AG926" i="1"/>
  <c r="AE926" i="1"/>
  <c r="T926" i="1"/>
  <c r="K926" i="1"/>
  <c r="H926" i="1"/>
  <c r="C926" i="1"/>
  <c r="BE925" i="1"/>
  <c r="BC925" i="1"/>
  <c r="BA925" i="1"/>
  <c r="AY925" i="1"/>
  <c r="AU925" i="1"/>
  <c r="AS925" i="1"/>
  <c r="AK925" i="1"/>
  <c r="AG925" i="1"/>
  <c r="AE925" i="1"/>
  <c r="T925" i="1"/>
  <c r="K925" i="1"/>
  <c r="H925" i="1"/>
  <c r="C925" i="1"/>
  <c r="BE924" i="1"/>
  <c r="BC924" i="1"/>
  <c r="BA924" i="1"/>
  <c r="AY924" i="1"/>
  <c r="AU924" i="1"/>
  <c r="AS924" i="1"/>
  <c r="AK924" i="1"/>
  <c r="AG924" i="1"/>
  <c r="AE924" i="1"/>
  <c r="T924" i="1"/>
  <c r="K924" i="1"/>
  <c r="H924" i="1"/>
  <c r="C924" i="1"/>
  <c r="BE923" i="1"/>
  <c r="BC923" i="1"/>
  <c r="BA923" i="1"/>
  <c r="AY923" i="1"/>
  <c r="AU923" i="1"/>
  <c r="AS923" i="1"/>
  <c r="AK923" i="1"/>
  <c r="AG923" i="1"/>
  <c r="AE923" i="1"/>
  <c r="T923" i="1"/>
  <c r="K923" i="1"/>
  <c r="H923" i="1"/>
  <c r="C923" i="1"/>
  <c r="BE922" i="1"/>
  <c r="BC922" i="1"/>
  <c r="BA922" i="1"/>
  <c r="AY922" i="1"/>
  <c r="AU922" i="1"/>
  <c r="AS922" i="1"/>
  <c r="AK922" i="1"/>
  <c r="AG922" i="1"/>
  <c r="AE922" i="1"/>
  <c r="T922" i="1"/>
  <c r="K922" i="1"/>
  <c r="H922" i="1"/>
  <c r="C922" i="1"/>
  <c r="BE921" i="1"/>
  <c r="BC921" i="1"/>
  <c r="BA921" i="1"/>
  <c r="AY921" i="1"/>
  <c r="AU921" i="1"/>
  <c r="AS921" i="1"/>
  <c r="AK921" i="1"/>
  <c r="AG921" i="1"/>
  <c r="AE921" i="1"/>
  <c r="T921" i="1"/>
  <c r="K921" i="1"/>
  <c r="H921" i="1"/>
  <c r="C921" i="1"/>
  <c r="BE920" i="1"/>
  <c r="BC920" i="1"/>
  <c r="BA920" i="1"/>
  <c r="AY920" i="1"/>
  <c r="AU920" i="1"/>
  <c r="AS920" i="1"/>
  <c r="AK920" i="1"/>
  <c r="AG920" i="1"/>
  <c r="AE920" i="1"/>
  <c r="T920" i="1"/>
  <c r="K920" i="1"/>
  <c r="H920" i="1"/>
  <c r="C920" i="1"/>
  <c r="BE919" i="1"/>
  <c r="BC919" i="1"/>
  <c r="BA919" i="1"/>
  <c r="AY919" i="1"/>
  <c r="AU919" i="1"/>
  <c r="AS919" i="1"/>
  <c r="AK919" i="1"/>
  <c r="AG919" i="1"/>
  <c r="AE919" i="1"/>
  <c r="T919" i="1"/>
  <c r="K919" i="1"/>
  <c r="H919" i="1"/>
  <c r="C919" i="1"/>
  <c r="BE918" i="1"/>
  <c r="BC918" i="1"/>
  <c r="BA918" i="1"/>
  <c r="AY918" i="1"/>
  <c r="AU918" i="1"/>
  <c r="AS918" i="1"/>
  <c r="AK918" i="1"/>
  <c r="AG918" i="1"/>
  <c r="AE918" i="1"/>
  <c r="T918" i="1"/>
  <c r="K918" i="1"/>
  <c r="H918" i="1"/>
  <c r="C918" i="1"/>
  <c r="BE917" i="1"/>
  <c r="BC917" i="1"/>
  <c r="BA917" i="1"/>
  <c r="AY917" i="1"/>
  <c r="AU917" i="1"/>
  <c r="AS917" i="1"/>
  <c r="AK917" i="1"/>
  <c r="AG917" i="1"/>
  <c r="AE917" i="1"/>
  <c r="T917" i="1"/>
  <c r="K917" i="1"/>
  <c r="H917" i="1"/>
  <c r="C917" i="1"/>
  <c r="BE916" i="1"/>
  <c r="BC916" i="1"/>
  <c r="BA916" i="1"/>
  <c r="AY916" i="1"/>
  <c r="AU916" i="1"/>
  <c r="AS916" i="1"/>
  <c r="AK916" i="1"/>
  <c r="AG916" i="1"/>
  <c r="AE916" i="1"/>
  <c r="T916" i="1"/>
  <c r="K916" i="1"/>
  <c r="H916" i="1"/>
  <c r="C916" i="1"/>
  <c r="BE915" i="1"/>
  <c r="BC915" i="1"/>
  <c r="BA915" i="1"/>
  <c r="AY915" i="1"/>
  <c r="AU915" i="1"/>
  <c r="AS915" i="1"/>
  <c r="AK915" i="1"/>
  <c r="AG915" i="1"/>
  <c r="AE915" i="1"/>
  <c r="T915" i="1"/>
  <c r="K915" i="1"/>
  <c r="H915" i="1"/>
  <c r="C915" i="1"/>
  <c r="BE914" i="1"/>
  <c r="BC914" i="1"/>
  <c r="BA914" i="1"/>
  <c r="AY914" i="1"/>
  <c r="AU914" i="1"/>
  <c r="AS914" i="1"/>
  <c r="AK914" i="1"/>
  <c r="AG914" i="1"/>
  <c r="AE914" i="1"/>
  <c r="T914" i="1"/>
  <c r="K914" i="1"/>
  <c r="H914" i="1"/>
  <c r="C914" i="1"/>
  <c r="BE913" i="1"/>
  <c r="BC913" i="1"/>
  <c r="BA913" i="1"/>
  <c r="AY913" i="1"/>
  <c r="AU913" i="1"/>
  <c r="AS913" i="1"/>
  <c r="AK913" i="1"/>
  <c r="AG913" i="1"/>
  <c r="AE913" i="1"/>
  <c r="T913" i="1"/>
  <c r="K913" i="1"/>
  <c r="H913" i="1"/>
  <c r="C913" i="1"/>
  <c r="BE912" i="1"/>
  <c r="BC912" i="1"/>
  <c r="BA912" i="1"/>
  <c r="AY912" i="1"/>
  <c r="AU912" i="1"/>
  <c r="AS912" i="1"/>
  <c r="AK912" i="1"/>
  <c r="AG912" i="1"/>
  <c r="AE912" i="1"/>
  <c r="T912" i="1"/>
  <c r="K912" i="1"/>
  <c r="H912" i="1"/>
  <c r="C912" i="1"/>
  <c r="BE911" i="1"/>
  <c r="BC911" i="1"/>
  <c r="BA911" i="1"/>
  <c r="AY911" i="1"/>
  <c r="AU911" i="1"/>
  <c r="AS911" i="1"/>
  <c r="AK911" i="1"/>
  <c r="AG911" i="1"/>
  <c r="AE911" i="1"/>
  <c r="T911" i="1"/>
  <c r="K911" i="1"/>
  <c r="H911" i="1"/>
  <c r="C911" i="1"/>
  <c r="BE910" i="1"/>
  <c r="BC910" i="1"/>
  <c r="BA910" i="1"/>
  <c r="AY910" i="1"/>
  <c r="AU910" i="1"/>
  <c r="AS910" i="1"/>
  <c r="AK910" i="1"/>
  <c r="AG910" i="1"/>
  <c r="AE910" i="1"/>
  <c r="T910" i="1"/>
  <c r="K910" i="1"/>
  <c r="H910" i="1"/>
  <c r="C910" i="1"/>
  <c r="BE909" i="1"/>
  <c r="BC909" i="1"/>
  <c r="BA909" i="1"/>
  <c r="AY909" i="1"/>
  <c r="AU909" i="1"/>
  <c r="AS909" i="1"/>
  <c r="AK909" i="1"/>
  <c r="AG909" i="1"/>
  <c r="AE909" i="1"/>
  <c r="T909" i="1"/>
  <c r="K909" i="1"/>
  <c r="H909" i="1"/>
  <c r="C909" i="1"/>
  <c r="BE908" i="1"/>
  <c r="BC908" i="1"/>
  <c r="BA908" i="1"/>
  <c r="AY908" i="1"/>
  <c r="AU908" i="1"/>
  <c r="AS908" i="1"/>
  <c r="AK908" i="1"/>
  <c r="AG908" i="1"/>
  <c r="AE908" i="1"/>
  <c r="T908" i="1"/>
  <c r="K908" i="1"/>
  <c r="H908" i="1"/>
  <c r="C908" i="1"/>
  <c r="BE907" i="1"/>
  <c r="BC907" i="1"/>
  <c r="BA907" i="1"/>
  <c r="AY907" i="1"/>
  <c r="AU907" i="1"/>
  <c r="AS907" i="1"/>
  <c r="AK907" i="1"/>
  <c r="AG907" i="1"/>
  <c r="AE907" i="1"/>
  <c r="T907" i="1"/>
  <c r="K907" i="1"/>
  <c r="H907" i="1"/>
  <c r="C907" i="1"/>
  <c r="BE906" i="1"/>
  <c r="BC906" i="1"/>
  <c r="BA906" i="1"/>
  <c r="AY906" i="1"/>
  <c r="AU906" i="1"/>
  <c r="AS906" i="1"/>
  <c r="AK906" i="1"/>
  <c r="AG906" i="1"/>
  <c r="AE906" i="1"/>
  <c r="T906" i="1"/>
  <c r="K906" i="1"/>
  <c r="H906" i="1"/>
  <c r="C906" i="1"/>
  <c r="BE905" i="1"/>
  <c r="BC905" i="1"/>
  <c r="BA905" i="1"/>
  <c r="AY905" i="1"/>
  <c r="AU905" i="1"/>
  <c r="AS905" i="1"/>
  <c r="AK905" i="1"/>
  <c r="AG905" i="1"/>
  <c r="AE905" i="1"/>
  <c r="T905" i="1"/>
  <c r="K905" i="1"/>
  <c r="H905" i="1"/>
  <c r="C905" i="1"/>
  <c r="BE904" i="1"/>
  <c r="BC904" i="1"/>
  <c r="BA904" i="1"/>
  <c r="AY904" i="1"/>
  <c r="AU904" i="1"/>
  <c r="AS904" i="1"/>
  <c r="AK904" i="1"/>
  <c r="AG904" i="1"/>
  <c r="AE904" i="1"/>
  <c r="T904" i="1"/>
  <c r="K904" i="1"/>
  <c r="H904" i="1"/>
  <c r="C904" i="1"/>
  <c r="BE903" i="1"/>
  <c r="BC903" i="1"/>
  <c r="BA903" i="1"/>
  <c r="AY903" i="1"/>
  <c r="AU903" i="1"/>
  <c r="AS903" i="1"/>
  <c r="AK903" i="1"/>
  <c r="AG903" i="1"/>
  <c r="AE903" i="1"/>
  <c r="T903" i="1"/>
  <c r="K903" i="1"/>
  <c r="H903" i="1"/>
  <c r="C903" i="1"/>
  <c r="BE902" i="1"/>
  <c r="BC902" i="1"/>
  <c r="BA902" i="1"/>
  <c r="AY902" i="1"/>
  <c r="AU902" i="1"/>
  <c r="AS902" i="1"/>
  <c r="AK902" i="1"/>
  <c r="AG902" i="1"/>
  <c r="AE902" i="1"/>
  <c r="T902" i="1"/>
  <c r="K902" i="1"/>
  <c r="H902" i="1"/>
  <c r="C902" i="1"/>
  <c r="BE901" i="1"/>
  <c r="BC901" i="1"/>
  <c r="BA901" i="1"/>
  <c r="AY901" i="1"/>
  <c r="AU901" i="1"/>
  <c r="AS901" i="1"/>
  <c r="AK901" i="1"/>
  <c r="AG901" i="1"/>
  <c r="AE901" i="1"/>
  <c r="T901" i="1"/>
  <c r="K901" i="1"/>
  <c r="H901" i="1"/>
  <c r="C901" i="1"/>
  <c r="BE900" i="1"/>
  <c r="BC900" i="1"/>
  <c r="BA900" i="1"/>
  <c r="AY900" i="1"/>
  <c r="AU900" i="1"/>
  <c r="AS900" i="1"/>
  <c r="AK900" i="1"/>
  <c r="AG900" i="1"/>
  <c r="AE900" i="1"/>
  <c r="T900" i="1"/>
  <c r="K900" i="1"/>
  <c r="H900" i="1"/>
  <c r="C900" i="1"/>
  <c r="BE899" i="1"/>
  <c r="BC899" i="1"/>
  <c r="BA899" i="1"/>
  <c r="AY899" i="1"/>
  <c r="AU899" i="1"/>
  <c r="AS899" i="1"/>
  <c r="AK899" i="1"/>
  <c r="AG899" i="1"/>
  <c r="AE899" i="1"/>
  <c r="T899" i="1"/>
  <c r="K899" i="1"/>
  <c r="H899" i="1"/>
  <c r="C899" i="1"/>
  <c r="BE898" i="1"/>
  <c r="BC898" i="1"/>
  <c r="BA898" i="1"/>
  <c r="AY898" i="1"/>
  <c r="AU898" i="1"/>
  <c r="AS898" i="1"/>
  <c r="AK898" i="1"/>
  <c r="AG898" i="1"/>
  <c r="AE898" i="1"/>
  <c r="T898" i="1"/>
  <c r="K898" i="1"/>
  <c r="H898" i="1"/>
  <c r="C898" i="1"/>
  <c r="BE897" i="1"/>
  <c r="BC897" i="1"/>
  <c r="BA897" i="1"/>
  <c r="AY897" i="1"/>
  <c r="AU897" i="1"/>
  <c r="AS897" i="1"/>
  <c r="AK897" i="1"/>
  <c r="AG897" i="1"/>
  <c r="AE897" i="1"/>
  <c r="T897" i="1"/>
  <c r="K897" i="1"/>
  <c r="H897" i="1"/>
  <c r="C897" i="1"/>
  <c r="BE896" i="1"/>
  <c r="BC896" i="1"/>
  <c r="BA896" i="1"/>
  <c r="AY896" i="1"/>
  <c r="AU896" i="1"/>
  <c r="AS896" i="1"/>
  <c r="AK896" i="1"/>
  <c r="AG896" i="1"/>
  <c r="AE896" i="1"/>
  <c r="T896" i="1"/>
  <c r="K896" i="1"/>
  <c r="H896" i="1"/>
  <c r="C896" i="1"/>
  <c r="BE895" i="1"/>
  <c r="BC895" i="1"/>
  <c r="BA895" i="1"/>
  <c r="AY895" i="1"/>
  <c r="AU895" i="1"/>
  <c r="AS895" i="1"/>
  <c r="AK895" i="1"/>
  <c r="AG895" i="1"/>
  <c r="AE895" i="1"/>
  <c r="T895" i="1"/>
  <c r="K895" i="1"/>
  <c r="H895" i="1"/>
  <c r="C895" i="1"/>
  <c r="BE894" i="1"/>
  <c r="BC894" i="1"/>
  <c r="BA894" i="1"/>
  <c r="AY894" i="1"/>
  <c r="AU894" i="1"/>
  <c r="AS894" i="1"/>
  <c r="AK894" i="1"/>
  <c r="AG894" i="1"/>
  <c r="AE894" i="1"/>
  <c r="T894" i="1"/>
  <c r="K894" i="1"/>
  <c r="H894" i="1"/>
  <c r="C894" i="1"/>
  <c r="BE893" i="1"/>
  <c r="BC893" i="1"/>
  <c r="BA893" i="1"/>
  <c r="AY893" i="1"/>
  <c r="AU893" i="1"/>
  <c r="AS893" i="1"/>
  <c r="AK893" i="1"/>
  <c r="AG893" i="1"/>
  <c r="AE893" i="1"/>
  <c r="T893" i="1"/>
  <c r="K893" i="1"/>
  <c r="H893" i="1"/>
  <c r="C893" i="1"/>
  <c r="BE892" i="1"/>
  <c r="BC892" i="1"/>
  <c r="BA892" i="1"/>
  <c r="AY892" i="1"/>
  <c r="AU892" i="1"/>
  <c r="AS892" i="1"/>
  <c r="AK892" i="1"/>
  <c r="AG892" i="1"/>
  <c r="AE892" i="1"/>
  <c r="T892" i="1"/>
  <c r="K892" i="1"/>
  <c r="H892" i="1"/>
  <c r="C892" i="1"/>
  <c r="BE891" i="1"/>
  <c r="BC891" i="1"/>
  <c r="BA891" i="1"/>
  <c r="AY891" i="1"/>
  <c r="AU891" i="1"/>
  <c r="AS891" i="1"/>
  <c r="AK891" i="1"/>
  <c r="AG891" i="1"/>
  <c r="AE891" i="1"/>
  <c r="T891" i="1"/>
  <c r="K891" i="1"/>
  <c r="H891" i="1"/>
  <c r="C891" i="1"/>
  <c r="BE890" i="1"/>
  <c r="BC890" i="1"/>
  <c r="BA890" i="1"/>
  <c r="AY890" i="1"/>
  <c r="AU890" i="1"/>
  <c r="AS890" i="1"/>
  <c r="AK890" i="1"/>
  <c r="AG890" i="1"/>
  <c r="AE890" i="1"/>
  <c r="T890" i="1"/>
  <c r="K890" i="1"/>
  <c r="H890" i="1"/>
  <c r="C890" i="1"/>
  <c r="BE889" i="1"/>
  <c r="BC889" i="1"/>
  <c r="BA889" i="1"/>
  <c r="AY889" i="1"/>
  <c r="AU889" i="1"/>
  <c r="AS889" i="1"/>
  <c r="AK889" i="1"/>
  <c r="AG889" i="1"/>
  <c r="AE889" i="1"/>
  <c r="T889" i="1"/>
  <c r="K889" i="1"/>
  <c r="H889" i="1"/>
  <c r="C889" i="1"/>
  <c r="BE888" i="1"/>
  <c r="BC888" i="1"/>
  <c r="BA888" i="1"/>
  <c r="AY888" i="1"/>
  <c r="AU888" i="1"/>
  <c r="AS888" i="1"/>
  <c r="AK888" i="1"/>
  <c r="AG888" i="1"/>
  <c r="AE888" i="1"/>
  <c r="T888" i="1"/>
  <c r="K888" i="1"/>
  <c r="H888" i="1"/>
  <c r="C888" i="1"/>
  <c r="BE887" i="1"/>
  <c r="BC887" i="1"/>
  <c r="BA887" i="1"/>
  <c r="AY887" i="1"/>
  <c r="AU887" i="1"/>
  <c r="AS887" i="1"/>
  <c r="AK887" i="1"/>
  <c r="AG887" i="1"/>
  <c r="AE887" i="1"/>
  <c r="T887" i="1"/>
  <c r="K887" i="1"/>
  <c r="H887" i="1"/>
  <c r="C887" i="1"/>
  <c r="BE886" i="1"/>
  <c r="BC886" i="1"/>
  <c r="BA886" i="1"/>
  <c r="AY886" i="1"/>
  <c r="AU886" i="1"/>
  <c r="AS886" i="1"/>
  <c r="AK886" i="1"/>
  <c r="AG886" i="1"/>
  <c r="AE886" i="1"/>
  <c r="T886" i="1"/>
  <c r="K886" i="1"/>
  <c r="H886" i="1"/>
  <c r="C886" i="1"/>
  <c r="BE885" i="1"/>
  <c r="BC885" i="1"/>
  <c r="BA885" i="1"/>
  <c r="AY885" i="1"/>
  <c r="AU885" i="1"/>
  <c r="AS885" i="1"/>
  <c r="AK885" i="1"/>
  <c r="AG885" i="1"/>
  <c r="AE885" i="1"/>
  <c r="T885" i="1"/>
  <c r="K885" i="1"/>
  <c r="H885" i="1"/>
  <c r="C885" i="1"/>
  <c r="BE884" i="1"/>
  <c r="BC884" i="1"/>
  <c r="BA884" i="1"/>
  <c r="AY884" i="1"/>
  <c r="AU884" i="1"/>
  <c r="AS884" i="1"/>
  <c r="AK884" i="1"/>
  <c r="AG884" i="1"/>
  <c r="AE884" i="1"/>
  <c r="T884" i="1"/>
  <c r="K884" i="1"/>
  <c r="H884" i="1"/>
  <c r="C884" i="1"/>
  <c r="BE883" i="1"/>
  <c r="BC883" i="1"/>
  <c r="BA883" i="1"/>
  <c r="AY883" i="1"/>
  <c r="AU883" i="1"/>
  <c r="AS883" i="1"/>
  <c r="AK883" i="1"/>
  <c r="AG883" i="1"/>
  <c r="AE883" i="1"/>
  <c r="T883" i="1"/>
  <c r="K883" i="1"/>
  <c r="H883" i="1"/>
  <c r="C883" i="1"/>
  <c r="BE882" i="1"/>
  <c r="BC882" i="1"/>
  <c r="BA882" i="1"/>
  <c r="AY882" i="1"/>
  <c r="AU882" i="1"/>
  <c r="AS882" i="1"/>
  <c r="AK882" i="1"/>
  <c r="AG882" i="1"/>
  <c r="AE882" i="1"/>
  <c r="T882" i="1"/>
  <c r="K882" i="1"/>
  <c r="H882" i="1"/>
  <c r="C882" i="1"/>
  <c r="BE881" i="1"/>
  <c r="BC881" i="1"/>
  <c r="BA881" i="1"/>
  <c r="AY881" i="1"/>
  <c r="AU881" i="1"/>
  <c r="AS881" i="1"/>
  <c r="AK881" i="1"/>
  <c r="AG881" i="1"/>
  <c r="AE881" i="1"/>
  <c r="T881" i="1"/>
  <c r="K881" i="1"/>
  <c r="H881" i="1"/>
  <c r="C881" i="1"/>
  <c r="BE880" i="1"/>
  <c r="BC880" i="1"/>
  <c r="BA880" i="1"/>
  <c r="AY880" i="1"/>
  <c r="AU880" i="1"/>
  <c r="AS880" i="1"/>
  <c r="AK880" i="1"/>
  <c r="AG880" i="1"/>
  <c r="AE880" i="1"/>
  <c r="T880" i="1"/>
  <c r="K880" i="1"/>
  <c r="H880" i="1"/>
  <c r="C880" i="1"/>
  <c r="BE879" i="1"/>
  <c r="BC879" i="1"/>
  <c r="BA879" i="1"/>
  <c r="AY879" i="1"/>
  <c r="AU879" i="1"/>
  <c r="AS879" i="1"/>
  <c r="AK879" i="1"/>
  <c r="AG879" i="1"/>
  <c r="AE879" i="1"/>
  <c r="T879" i="1"/>
  <c r="K879" i="1"/>
  <c r="H879" i="1"/>
  <c r="C879" i="1"/>
  <c r="BE878" i="1"/>
  <c r="BC878" i="1"/>
  <c r="BA878" i="1"/>
  <c r="AY878" i="1"/>
  <c r="AU878" i="1"/>
  <c r="AS878" i="1"/>
  <c r="AK878" i="1"/>
  <c r="AG878" i="1"/>
  <c r="AE878" i="1"/>
  <c r="T878" i="1"/>
  <c r="K878" i="1"/>
  <c r="H878" i="1"/>
  <c r="C878" i="1"/>
  <c r="BE877" i="1"/>
  <c r="BC877" i="1"/>
  <c r="BA877" i="1"/>
  <c r="AY877" i="1"/>
  <c r="AU877" i="1"/>
  <c r="AS877" i="1"/>
  <c r="AK877" i="1"/>
  <c r="AG877" i="1"/>
  <c r="AE877" i="1"/>
  <c r="T877" i="1"/>
  <c r="K877" i="1"/>
  <c r="H877" i="1"/>
  <c r="C877" i="1"/>
  <c r="BE876" i="1"/>
  <c r="BC876" i="1"/>
  <c r="BA876" i="1"/>
  <c r="AY876" i="1"/>
  <c r="AU876" i="1"/>
  <c r="AS876" i="1"/>
  <c r="AK876" i="1"/>
  <c r="AG876" i="1"/>
  <c r="AE876" i="1"/>
  <c r="T876" i="1"/>
  <c r="K876" i="1"/>
  <c r="H876" i="1"/>
  <c r="C876" i="1"/>
  <c r="BE875" i="1"/>
  <c r="BC875" i="1"/>
  <c r="BA875" i="1"/>
  <c r="AY875" i="1"/>
  <c r="AU875" i="1"/>
  <c r="AS875" i="1"/>
  <c r="AK875" i="1"/>
  <c r="AG875" i="1"/>
  <c r="AE875" i="1"/>
  <c r="T875" i="1"/>
  <c r="K875" i="1"/>
  <c r="H875" i="1"/>
  <c r="C875" i="1"/>
  <c r="BE874" i="1"/>
  <c r="BC874" i="1"/>
  <c r="BA874" i="1"/>
  <c r="AY874" i="1"/>
  <c r="AU874" i="1"/>
  <c r="AS874" i="1"/>
  <c r="AK874" i="1"/>
  <c r="AG874" i="1"/>
  <c r="AE874" i="1"/>
  <c r="T874" i="1"/>
  <c r="K874" i="1"/>
  <c r="H874" i="1"/>
  <c r="C874" i="1"/>
  <c r="BE873" i="1"/>
  <c r="BC873" i="1"/>
  <c r="BA873" i="1"/>
  <c r="AY873" i="1"/>
  <c r="AU873" i="1"/>
  <c r="AS873" i="1"/>
  <c r="AK873" i="1"/>
  <c r="AG873" i="1"/>
  <c r="AE873" i="1"/>
  <c r="T873" i="1"/>
  <c r="K873" i="1"/>
  <c r="H873" i="1"/>
  <c r="C873" i="1"/>
  <c r="BE872" i="1"/>
  <c r="BC872" i="1"/>
  <c r="BA872" i="1"/>
  <c r="AY872" i="1"/>
  <c r="AU872" i="1"/>
  <c r="AS872" i="1"/>
  <c r="AK872" i="1"/>
  <c r="AG872" i="1"/>
  <c r="AE872" i="1"/>
  <c r="T872" i="1"/>
  <c r="K872" i="1"/>
  <c r="H872" i="1"/>
  <c r="C872" i="1"/>
  <c r="BE871" i="1"/>
  <c r="BC871" i="1"/>
  <c r="BA871" i="1"/>
  <c r="AY871" i="1"/>
  <c r="AU871" i="1"/>
  <c r="AS871" i="1"/>
  <c r="AK871" i="1"/>
  <c r="AG871" i="1"/>
  <c r="AE871" i="1"/>
  <c r="T871" i="1"/>
  <c r="K871" i="1"/>
  <c r="H871" i="1"/>
  <c r="C871" i="1"/>
  <c r="BE870" i="1"/>
  <c r="BC870" i="1"/>
  <c r="BA870" i="1"/>
  <c r="AY870" i="1"/>
  <c r="AU870" i="1"/>
  <c r="AS870" i="1"/>
  <c r="AK870" i="1"/>
  <c r="AG870" i="1"/>
  <c r="AE870" i="1"/>
  <c r="T870" i="1"/>
  <c r="K870" i="1"/>
  <c r="H870" i="1"/>
  <c r="C870" i="1"/>
  <c r="BE869" i="1"/>
  <c r="BC869" i="1"/>
  <c r="BA869" i="1"/>
  <c r="AY869" i="1"/>
  <c r="AU869" i="1"/>
  <c r="AS869" i="1"/>
  <c r="AK869" i="1"/>
  <c r="AG869" i="1"/>
  <c r="AE869" i="1"/>
  <c r="T869" i="1"/>
  <c r="K869" i="1"/>
  <c r="H869" i="1"/>
  <c r="C869" i="1"/>
  <c r="BE868" i="1"/>
  <c r="BC868" i="1"/>
  <c r="BA868" i="1"/>
  <c r="AY868" i="1"/>
  <c r="AU868" i="1"/>
  <c r="AS868" i="1"/>
  <c r="AK868" i="1"/>
  <c r="AG868" i="1"/>
  <c r="AE868" i="1"/>
  <c r="T868" i="1"/>
  <c r="K868" i="1"/>
  <c r="H868" i="1"/>
  <c r="C868" i="1"/>
  <c r="BE867" i="1"/>
  <c r="BC867" i="1"/>
  <c r="BA867" i="1"/>
  <c r="AY867" i="1"/>
  <c r="AU867" i="1"/>
  <c r="AS867" i="1"/>
  <c r="AK867" i="1"/>
  <c r="AG867" i="1"/>
  <c r="AE867" i="1"/>
  <c r="T867" i="1"/>
  <c r="K867" i="1"/>
  <c r="H867" i="1"/>
  <c r="C867" i="1"/>
  <c r="BE866" i="1"/>
  <c r="BC866" i="1"/>
  <c r="BA866" i="1"/>
  <c r="AY866" i="1"/>
  <c r="AU866" i="1"/>
  <c r="AS866" i="1"/>
  <c r="AK866" i="1"/>
  <c r="AG866" i="1"/>
  <c r="AE866" i="1"/>
  <c r="T866" i="1"/>
  <c r="K866" i="1"/>
  <c r="H866" i="1"/>
  <c r="C866" i="1"/>
  <c r="BE865" i="1"/>
  <c r="BC865" i="1"/>
  <c r="BA865" i="1"/>
  <c r="AY865" i="1"/>
  <c r="AU865" i="1"/>
  <c r="AS865" i="1"/>
  <c r="AK865" i="1"/>
  <c r="AG865" i="1"/>
  <c r="AE865" i="1"/>
  <c r="T865" i="1"/>
  <c r="K865" i="1"/>
  <c r="H865" i="1"/>
  <c r="C865" i="1"/>
  <c r="BE864" i="1"/>
  <c r="BC864" i="1"/>
  <c r="BA864" i="1"/>
  <c r="AY864" i="1"/>
  <c r="AU864" i="1"/>
  <c r="AS864" i="1"/>
  <c r="AK864" i="1"/>
  <c r="AG864" i="1"/>
  <c r="AE864" i="1"/>
  <c r="T864" i="1"/>
  <c r="K864" i="1"/>
  <c r="H864" i="1"/>
  <c r="C864" i="1"/>
  <c r="BE863" i="1"/>
  <c r="BC863" i="1"/>
  <c r="BA863" i="1"/>
  <c r="AY863" i="1"/>
  <c r="AU863" i="1"/>
  <c r="AS863" i="1"/>
  <c r="AK863" i="1"/>
  <c r="AG863" i="1"/>
  <c r="AE863" i="1"/>
  <c r="T863" i="1"/>
  <c r="K863" i="1"/>
  <c r="H863" i="1"/>
  <c r="C863" i="1"/>
  <c r="BE862" i="1"/>
  <c r="BC862" i="1"/>
  <c r="BA862" i="1"/>
  <c r="AY862" i="1"/>
  <c r="AU862" i="1"/>
  <c r="AS862" i="1"/>
  <c r="AK862" i="1"/>
  <c r="AG862" i="1"/>
  <c r="AE862" i="1"/>
  <c r="T862" i="1"/>
  <c r="K862" i="1"/>
  <c r="H862" i="1"/>
  <c r="C862" i="1"/>
  <c r="BE861" i="1"/>
  <c r="BC861" i="1"/>
  <c r="BA861" i="1"/>
  <c r="AY861" i="1"/>
  <c r="AU861" i="1"/>
  <c r="AS861" i="1"/>
  <c r="AK861" i="1"/>
  <c r="AG861" i="1"/>
  <c r="AE861" i="1"/>
  <c r="T861" i="1"/>
  <c r="K861" i="1"/>
  <c r="H861" i="1"/>
  <c r="C861" i="1"/>
  <c r="BE860" i="1"/>
  <c r="BC860" i="1"/>
  <c r="BA860" i="1"/>
  <c r="AY860" i="1"/>
  <c r="AU860" i="1"/>
  <c r="AS860" i="1"/>
  <c r="AK860" i="1"/>
  <c r="AG860" i="1"/>
  <c r="AE860" i="1"/>
  <c r="T860" i="1"/>
  <c r="K860" i="1"/>
  <c r="H860" i="1"/>
  <c r="C860" i="1"/>
  <c r="BE859" i="1"/>
  <c r="BC859" i="1"/>
  <c r="BA859" i="1"/>
  <c r="AY859" i="1"/>
  <c r="AU859" i="1"/>
  <c r="AS859" i="1"/>
  <c r="AK859" i="1"/>
  <c r="AG859" i="1"/>
  <c r="AE859" i="1"/>
  <c r="T859" i="1"/>
  <c r="K859" i="1"/>
  <c r="H859" i="1"/>
  <c r="C859" i="1"/>
  <c r="BE858" i="1"/>
  <c r="BC858" i="1"/>
  <c r="BA858" i="1"/>
  <c r="AY858" i="1"/>
  <c r="AU858" i="1"/>
  <c r="AS858" i="1"/>
  <c r="AK858" i="1"/>
  <c r="AG858" i="1"/>
  <c r="AE858" i="1"/>
  <c r="T858" i="1"/>
  <c r="K858" i="1"/>
  <c r="H858" i="1"/>
  <c r="C858" i="1"/>
  <c r="BE857" i="1"/>
  <c r="BC857" i="1"/>
  <c r="BA857" i="1"/>
  <c r="AY857" i="1"/>
  <c r="AU857" i="1"/>
  <c r="AS857" i="1"/>
  <c r="AK857" i="1"/>
  <c r="AG857" i="1"/>
  <c r="AE857" i="1"/>
  <c r="T857" i="1"/>
  <c r="K857" i="1"/>
  <c r="H857" i="1"/>
  <c r="C857" i="1"/>
  <c r="BE856" i="1"/>
  <c r="BC856" i="1"/>
  <c r="BA856" i="1"/>
  <c r="AY856" i="1"/>
  <c r="AU856" i="1"/>
  <c r="AS856" i="1"/>
  <c r="AK856" i="1"/>
  <c r="AG856" i="1"/>
  <c r="AE856" i="1"/>
  <c r="T856" i="1"/>
  <c r="K856" i="1"/>
  <c r="H856" i="1"/>
  <c r="C856" i="1"/>
  <c r="BE855" i="1"/>
  <c r="BC855" i="1"/>
  <c r="BA855" i="1"/>
  <c r="AY855" i="1"/>
  <c r="AU855" i="1"/>
  <c r="AS855" i="1"/>
  <c r="AK855" i="1"/>
  <c r="AG855" i="1"/>
  <c r="AE855" i="1"/>
  <c r="T855" i="1"/>
  <c r="K855" i="1"/>
  <c r="H855" i="1"/>
  <c r="C855" i="1"/>
  <c r="BE854" i="1"/>
  <c r="BC854" i="1"/>
  <c r="BA854" i="1"/>
  <c r="AY854" i="1"/>
  <c r="AU854" i="1"/>
  <c r="AS854" i="1"/>
  <c r="AK854" i="1"/>
  <c r="AG854" i="1"/>
  <c r="AE854" i="1"/>
  <c r="T854" i="1"/>
  <c r="K854" i="1"/>
  <c r="H854" i="1"/>
  <c r="C854" i="1"/>
  <c r="BE853" i="1"/>
  <c r="BC853" i="1"/>
  <c r="BA853" i="1"/>
  <c r="AY853" i="1"/>
  <c r="AU853" i="1"/>
  <c r="AS853" i="1"/>
  <c r="AK853" i="1"/>
  <c r="AG853" i="1"/>
  <c r="AE853" i="1"/>
  <c r="T853" i="1"/>
  <c r="K853" i="1"/>
  <c r="H853" i="1"/>
  <c r="C853" i="1"/>
  <c r="BE852" i="1"/>
  <c r="BC852" i="1"/>
  <c r="BA852" i="1"/>
  <c r="AY852" i="1"/>
  <c r="AU852" i="1"/>
  <c r="AS852" i="1"/>
  <c r="AK852" i="1"/>
  <c r="AG852" i="1"/>
  <c r="AE852" i="1"/>
  <c r="T852" i="1"/>
  <c r="K852" i="1"/>
  <c r="H852" i="1"/>
  <c r="C852" i="1"/>
  <c r="BE851" i="1"/>
  <c r="BC851" i="1"/>
  <c r="BA851" i="1"/>
  <c r="AY851" i="1"/>
  <c r="AU851" i="1"/>
  <c r="AS851" i="1"/>
  <c r="AK851" i="1"/>
  <c r="AG851" i="1"/>
  <c r="AE851" i="1"/>
  <c r="T851" i="1"/>
  <c r="K851" i="1"/>
  <c r="H851" i="1"/>
  <c r="C851" i="1"/>
  <c r="BE850" i="1"/>
  <c r="BC850" i="1"/>
  <c r="BA850" i="1"/>
  <c r="AY850" i="1"/>
  <c r="AU850" i="1"/>
  <c r="AS850" i="1"/>
  <c r="AK850" i="1"/>
  <c r="AG850" i="1"/>
  <c r="AE850" i="1"/>
  <c r="T850" i="1"/>
  <c r="K850" i="1"/>
  <c r="H850" i="1"/>
  <c r="C850" i="1"/>
  <c r="BE849" i="1"/>
  <c r="BC849" i="1"/>
  <c r="BA849" i="1"/>
  <c r="AY849" i="1"/>
  <c r="AU849" i="1"/>
  <c r="AS849" i="1"/>
  <c r="AK849" i="1"/>
  <c r="AG849" i="1"/>
  <c r="AE849" i="1"/>
  <c r="T849" i="1"/>
  <c r="K849" i="1"/>
  <c r="H849" i="1"/>
  <c r="C849" i="1"/>
  <c r="BE848" i="1"/>
  <c r="BC848" i="1"/>
  <c r="BA848" i="1"/>
  <c r="AY848" i="1"/>
  <c r="AU848" i="1"/>
  <c r="AS848" i="1"/>
  <c r="AK848" i="1"/>
  <c r="AG848" i="1"/>
  <c r="AE848" i="1"/>
  <c r="T848" i="1"/>
  <c r="K848" i="1"/>
  <c r="H848" i="1"/>
  <c r="C848" i="1"/>
  <c r="BE847" i="1"/>
  <c r="BC847" i="1"/>
  <c r="BA847" i="1"/>
  <c r="AY847" i="1"/>
  <c r="AU847" i="1"/>
  <c r="AS847" i="1"/>
  <c r="AK847" i="1"/>
  <c r="AG847" i="1"/>
  <c r="AE847" i="1"/>
  <c r="T847" i="1"/>
  <c r="K847" i="1"/>
  <c r="H847" i="1"/>
  <c r="C847" i="1"/>
  <c r="BE846" i="1"/>
  <c r="BC846" i="1"/>
  <c r="BA846" i="1"/>
  <c r="AY846" i="1"/>
  <c r="AU846" i="1"/>
  <c r="AS846" i="1"/>
  <c r="AK846" i="1"/>
  <c r="AG846" i="1"/>
  <c r="AE846" i="1"/>
  <c r="T846" i="1"/>
  <c r="K846" i="1"/>
  <c r="H846" i="1"/>
  <c r="C846" i="1"/>
  <c r="BE845" i="1"/>
  <c r="BC845" i="1"/>
  <c r="BA845" i="1"/>
  <c r="AY845" i="1"/>
  <c r="AU845" i="1"/>
  <c r="AS845" i="1"/>
  <c r="AK845" i="1"/>
  <c r="AG845" i="1"/>
  <c r="AE845" i="1"/>
  <c r="T845" i="1"/>
  <c r="K845" i="1"/>
  <c r="H845" i="1"/>
  <c r="C845" i="1"/>
  <c r="BE844" i="1"/>
  <c r="BC844" i="1"/>
  <c r="BA844" i="1"/>
  <c r="AY844" i="1"/>
  <c r="AU844" i="1"/>
  <c r="AS844" i="1"/>
  <c r="AK844" i="1"/>
  <c r="AG844" i="1"/>
  <c r="AE844" i="1"/>
  <c r="T844" i="1"/>
  <c r="K844" i="1"/>
  <c r="H844" i="1"/>
  <c r="C844" i="1"/>
  <c r="BE843" i="1"/>
  <c r="BC843" i="1"/>
  <c r="BA843" i="1"/>
  <c r="AY843" i="1"/>
  <c r="AU843" i="1"/>
  <c r="AS843" i="1"/>
  <c r="AK843" i="1"/>
  <c r="AG843" i="1"/>
  <c r="AE843" i="1"/>
  <c r="T843" i="1"/>
  <c r="K843" i="1"/>
  <c r="H843" i="1"/>
  <c r="C843" i="1"/>
  <c r="BE842" i="1"/>
  <c r="BC842" i="1"/>
  <c r="BA842" i="1"/>
  <c r="AY842" i="1"/>
  <c r="AU842" i="1"/>
  <c r="AS842" i="1"/>
  <c r="AK842" i="1"/>
  <c r="AG842" i="1"/>
  <c r="AE842" i="1"/>
  <c r="T842" i="1"/>
  <c r="K842" i="1"/>
  <c r="H842" i="1"/>
  <c r="C842" i="1"/>
  <c r="BE841" i="1"/>
  <c r="BC841" i="1"/>
  <c r="BA841" i="1"/>
  <c r="AY841" i="1"/>
  <c r="AU841" i="1"/>
  <c r="AS841" i="1"/>
  <c r="AK841" i="1"/>
  <c r="AG841" i="1"/>
  <c r="AE841" i="1"/>
  <c r="T841" i="1"/>
  <c r="K841" i="1"/>
  <c r="H841" i="1"/>
  <c r="C841" i="1"/>
  <c r="BE840" i="1"/>
  <c r="BC840" i="1"/>
  <c r="BA840" i="1"/>
  <c r="AY840" i="1"/>
  <c r="AU840" i="1"/>
  <c r="AS840" i="1"/>
  <c r="AK840" i="1"/>
  <c r="AG840" i="1"/>
  <c r="AE840" i="1"/>
  <c r="T840" i="1"/>
  <c r="K840" i="1"/>
  <c r="H840" i="1"/>
  <c r="C840" i="1"/>
  <c r="BE839" i="1"/>
  <c r="BC839" i="1"/>
  <c r="BA839" i="1"/>
  <c r="AY839" i="1"/>
  <c r="AU839" i="1"/>
  <c r="AS839" i="1"/>
  <c r="AK839" i="1"/>
  <c r="AG839" i="1"/>
  <c r="AE839" i="1"/>
  <c r="T839" i="1"/>
  <c r="K839" i="1"/>
  <c r="H839" i="1"/>
  <c r="C839" i="1"/>
  <c r="BE838" i="1"/>
  <c r="BC838" i="1"/>
  <c r="BA838" i="1"/>
  <c r="AY838" i="1"/>
  <c r="AU838" i="1"/>
  <c r="AS838" i="1"/>
  <c r="AK838" i="1"/>
  <c r="AG838" i="1"/>
  <c r="AE838" i="1"/>
  <c r="T838" i="1"/>
  <c r="K838" i="1"/>
  <c r="H838" i="1"/>
  <c r="C838" i="1"/>
  <c r="BE837" i="1"/>
  <c r="BC837" i="1"/>
  <c r="BA837" i="1"/>
  <c r="AY837" i="1"/>
  <c r="AU837" i="1"/>
  <c r="AS837" i="1"/>
  <c r="AK837" i="1"/>
  <c r="AG837" i="1"/>
  <c r="AE837" i="1"/>
  <c r="T837" i="1"/>
  <c r="K837" i="1"/>
  <c r="H837" i="1"/>
  <c r="C837" i="1"/>
  <c r="BE836" i="1"/>
  <c r="BC836" i="1"/>
  <c r="BA836" i="1"/>
  <c r="AY836" i="1"/>
  <c r="AU836" i="1"/>
  <c r="AS836" i="1"/>
  <c r="AK836" i="1"/>
  <c r="AG836" i="1"/>
  <c r="AE836" i="1"/>
  <c r="T836" i="1"/>
  <c r="K836" i="1"/>
  <c r="H836" i="1"/>
  <c r="C836" i="1"/>
  <c r="BE835" i="1"/>
  <c r="BC835" i="1"/>
  <c r="BA835" i="1"/>
  <c r="AY835" i="1"/>
  <c r="AU835" i="1"/>
  <c r="AS835" i="1"/>
  <c r="AK835" i="1"/>
  <c r="AG835" i="1"/>
  <c r="AE835" i="1"/>
  <c r="T835" i="1"/>
  <c r="K835" i="1"/>
  <c r="H835" i="1"/>
  <c r="C835" i="1"/>
  <c r="BE834" i="1"/>
  <c r="BC834" i="1"/>
  <c r="BA834" i="1"/>
  <c r="AY834" i="1"/>
  <c r="AU834" i="1"/>
  <c r="AS834" i="1"/>
  <c r="AK834" i="1"/>
  <c r="AG834" i="1"/>
  <c r="AE834" i="1"/>
  <c r="T834" i="1"/>
  <c r="K834" i="1"/>
  <c r="H834" i="1"/>
  <c r="C834" i="1"/>
  <c r="BE833" i="1"/>
  <c r="BC833" i="1"/>
  <c r="BA833" i="1"/>
  <c r="AY833" i="1"/>
  <c r="AU833" i="1"/>
  <c r="AS833" i="1"/>
  <c r="AK833" i="1"/>
  <c r="AG833" i="1"/>
  <c r="AE833" i="1"/>
  <c r="T833" i="1"/>
  <c r="K833" i="1"/>
  <c r="H833" i="1"/>
  <c r="C833" i="1"/>
  <c r="BE832" i="1"/>
  <c r="BC832" i="1"/>
  <c r="BA832" i="1"/>
  <c r="AY832" i="1"/>
  <c r="AU832" i="1"/>
  <c r="AS832" i="1"/>
  <c r="AK832" i="1"/>
  <c r="AG832" i="1"/>
  <c r="AE832" i="1"/>
  <c r="T832" i="1"/>
  <c r="K832" i="1"/>
  <c r="H832" i="1"/>
  <c r="C832" i="1"/>
  <c r="BE831" i="1"/>
  <c r="BC831" i="1"/>
  <c r="BA831" i="1"/>
  <c r="AY831" i="1"/>
  <c r="AU831" i="1"/>
  <c r="AS831" i="1"/>
  <c r="AK831" i="1"/>
  <c r="AG831" i="1"/>
  <c r="AE831" i="1"/>
  <c r="T831" i="1"/>
  <c r="K831" i="1"/>
  <c r="H831" i="1"/>
  <c r="C831" i="1"/>
  <c r="BE830" i="1"/>
  <c r="BC830" i="1"/>
  <c r="BA830" i="1"/>
  <c r="AY830" i="1"/>
  <c r="AU830" i="1"/>
  <c r="AS830" i="1"/>
  <c r="AK830" i="1"/>
  <c r="AG830" i="1"/>
  <c r="AE830" i="1"/>
  <c r="T830" i="1"/>
  <c r="K830" i="1"/>
  <c r="H830" i="1"/>
  <c r="C830" i="1"/>
  <c r="BE829" i="1"/>
  <c r="BC829" i="1"/>
  <c r="BA829" i="1"/>
  <c r="AY829" i="1"/>
  <c r="AU829" i="1"/>
  <c r="AS829" i="1"/>
  <c r="AK829" i="1"/>
  <c r="AG829" i="1"/>
  <c r="AE829" i="1"/>
  <c r="T829" i="1"/>
  <c r="K829" i="1"/>
  <c r="H829" i="1"/>
  <c r="C829" i="1"/>
  <c r="BE828" i="1"/>
  <c r="BC828" i="1"/>
  <c r="BA828" i="1"/>
  <c r="AY828" i="1"/>
  <c r="AU828" i="1"/>
  <c r="AS828" i="1"/>
  <c r="AK828" i="1"/>
  <c r="AG828" i="1"/>
  <c r="AE828" i="1"/>
  <c r="T828" i="1"/>
  <c r="K828" i="1"/>
  <c r="H828" i="1"/>
  <c r="C828" i="1"/>
  <c r="BE827" i="1"/>
  <c r="BC827" i="1"/>
  <c r="BA827" i="1"/>
  <c r="AY827" i="1"/>
  <c r="AU827" i="1"/>
  <c r="AS827" i="1"/>
  <c r="AK827" i="1"/>
  <c r="AG827" i="1"/>
  <c r="AE827" i="1"/>
  <c r="T827" i="1"/>
  <c r="K827" i="1"/>
  <c r="H827" i="1"/>
  <c r="C827" i="1"/>
  <c r="BE826" i="1"/>
  <c r="BC826" i="1"/>
  <c r="BA826" i="1"/>
  <c r="AY826" i="1"/>
  <c r="AU826" i="1"/>
  <c r="AS826" i="1"/>
  <c r="AK826" i="1"/>
  <c r="AG826" i="1"/>
  <c r="AE826" i="1"/>
  <c r="T826" i="1"/>
  <c r="K826" i="1"/>
  <c r="H826" i="1"/>
  <c r="C826" i="1"/>
  <c r="BE825" i="1"/>
  <c r="BC825" i="1"/>
  <c r="BA825" i="1"/>
  <c r="AY825" i="1"/>
  <c r="AU825" i="1"/>
  <c r="AS825" i="1"/>
  <c r="AK825" i="1"/>
  <c r="AG825" i="1"/>
  <c r="AE825" i="1"/>
  <c r="T825" i="1"/>
  <c r="K825" i="1"/>
  <c r="H825" i="1"/>
  <c r="C825" i="1"/>
  <c r="BE824" i="1"/>
  <c r="BC824" i="1"/>
  <c r="BA824" i="1"/>
  <c r="AY824" i="1"/>
  <c r="AU824" i="1"/>
  <c r="AS824" i="1"/>
  <c r="AK824" i="1"/>
  <c r="AG824" i="1"/>
  <c r="AE824" i="1"/>
  <c r="T824" i="1"/>
  <c r="K824" i="1"/>
  <c r="H824" i="1"/>
  <c r="C824" i="1"/>
  <c r="BE823" i="1"/>
  <c r="BC823" i="1"/>
  <c r="BA823" i="1"/>
  <c r="AY823" i="1"/>
  <c r="AU823" i="1"/>
  <c r="AS823" i="1"/>
  <c r="AK823" i="1"/>
  <c r="AG823" i="1"/>
  <c r="AE823" i="1"/>
  <c r="T823" i="1"/>
  <c r="K823" i="1"/>
  <c r="H823" i="1"/>
  <c r="C823" i="1"/>
  <c r="BE822" i="1"/>
  <c r="BC822" i="1"/>
  <c r="BA822" i="1"/>
  <c r="AY822" i="1"/>
  <c r="AU822" i="1"/>
  <c r="AS822" i="1"/>
  <c r="AK822" i="1"/>
  <c r="AG822" i="1"/>
  <c r="AE822" i="1"/>
  <c r="T822" i="1"/>
  <c r="K822" i="1"/>
  <c r="H822" i="1"/>
  <c r="C822" i="1"/>
  <c r="BE821" i="1"/>
  <c r="BC821" i="1"/>
  <c r="BA821" i="1"/>
  <c r="AY821" i="1"/>
  <c r="AU821" i="1"/>
  <c r="AS821" i="1"/>
  <c r="AK821" i="1"/>
  <c r="AG821" i="1"/>
  <c r="AE821" i="1"/>
  <c r="T821" i="1"/>
  <c r="K821" i="1"/>
  <c r="H821" i="1"/>
  <c r="C821" i="1"/>
  <c r="BE820" i="1"/>
  <c r="BC820" i="1"/>
  <c r="BA820" i="1"/>
  <c r="AY820" i="1"/>
  <c r="AU820" i="1"/>
  <c r="AS820" i="1"/>
  <c r="AK820" i="1"/>
  <c r="AG820" i="1"/>
  <c r="AE820" i="1"/>
  <c r="T820" i="1"/>
  <c r="K820" i="1"/>
  <c r="H820" i="1"/>
  <c r="C820" i="1"/>
  <c r="BE819" i="1"/>
  <c r="BC819" i="1"/>
  <c r="BA819" i="1"/>
  <c r="AY819" i="1"/>
  <c r="AU819" i="1"/>
  <c r="AS819" i="1"/>
  <c r="AK819" i="1"/>
  <c r="AG819" i="1"/>
  <c r="AE819" i="1"/>
  <c r="T819" i="1"/>
  <c r="K819" i="1"/>
  <c r="H819" i="1"/>
  <c r="C819" i="1"/>
  <c r="BE818" i="1"/>
  <c r="BC818" i="1"/>
  <c r="BA818" i="1"/>
  <c r="AY818" i="1"/>
  <c r="AU818" i="1"/>
  <c r="AS818" i="1"/>
  <c r="AK818" i="1"/>
  <c r="AG818" i="1"/>
  <c r="AE818" i="1"/>
  <c r="T818" i="1"/>
  <c r="K818" i="1"/>
  <c r="H818" i="1"/>
  <c r="C818" i="1"/>
  <c r="BE817" i="1"/>
  <c r="BC817" i="1"/>
  <c r="BA817" i="1"/>
  <c r="AY817" i="1"/>
  <c r="AU817" i="1"/>
  <c r="AS817" i="1"/>
  <c r="AK817" i="1"/>
  <c r="AG817" i="1"/>
  <c r="AE817" i="1"/>
  <c r="T817" i="1"/>
  <c r="K817" i="1"/>
  <c r="H817" i="1"/>
  <c r="C817" i="1"/>
  <c r="BE816" i="1"/>
  <c r="BC816" i="1"/>
  <c r="BA816" i="1"/>
  <c r="AY816" i="1"/>
  <c r="AU816" i="1"/>
  <c r="AS816" i="1"/>
  <c r="AK816" i="1"/>
  <c r="AG816" i="1"/>
  <c r="AE816" i="1"/>
  <c r="T816" i="1"/>
  <c r="K816" i="1"/>
  <c r="H816" i="1"/>
  <c r="C816" i="1"/>
  <c r="BE815" i="1"/>
  <c r="BC815" i="1"/>
  <c r="BA815" i="1"/>
  <c r="AY815" i="1"/>
  <c r="AU815" i="1"/>
  <c r="AS815" i="1"/>
  <c r="AK815" i="1"/>
  <c r="AG815" i="1"/>
  <c r="AE815" i="1"/>
  <c r="T815" i="1"/>
  <c r="K815" i="1"/>
  <c r="H815" i="1"/>
  <c r="C815" i="1"/>
  <c r="BE814" i="1"/>
  <c r="BC814" i="1"/>
  <c r="BA814" i="1"/>
  <c r="AY814" i="1"/>
  <c r="AU814" i="1"/>
  <c r="AS814" i="1"/>
  <c r="AK814" i="1"/>
  <c r="AG814" i="1"/>
  <c r="AE814" i="1"/>
  <c r="T814" i="1"/>
  <c r="K814" i="1"/>
  <c r="H814" i="1"/>
  <c r="C814" i="1"/>
  <c r="BE813" i="1"/>
  <c r="BC813" i="1"/>
  <c r="BA813" i="1"/>
  <c r="AY813" i="1"/>
  <c r="AU813" i="1"/>
  <c r="AS813" i="1"/>
  <c r="AK813" i="1"/>
  <c r="AG813" i="1"/>
  <c r="AE813" i="1"/>
  <c r="T813" i="1"/>
  <c r="K813" i="1"/>
  <c r="H813" i="1"/>
  <c r="C813" i="1"/>
  <c r="BE812" i="1"/>
  <c r="BC812" i="1"/>
  <c r="BA812" i="1"/>
  <c r="AY812" i="1"/>
  <c r="AU812" i="1"/>
  <c r="AS812" i="1"/>
  <c r="AK812" i="1"/>
  <c r="AG812" i="1"/>
  <c r="AE812" i="1"/>
  <c r="T812" i="1"/>
  <c r="K812" i="1"/>
  <c r="H812" i="1"/>
  <c r="C812" i="1"/>
  <c r="BE811" i="1"/>
  <c r="BC811" i="1"/>
  <c r="BA811" i="1"/>
  <c r="AY811" i="1"/>
  <c r="AU811" i="1"/>
  <c r="AS811" i="1"/>
  <c r="AK811" i="1"/>
  <c r="AG811" i="1"/>
  <c r="AE811" i="1"/>
  <c r="T811" i="1"/>
  <c r="K811" i="1"/>
  <c r="H811" i="1"/>
  <c r="C811" i="1"/>
  <c r="BE810" i="1"/>
  <c r="BC810" i="1"/>
  <c r="BA810" i="1"/>
  <c r="AY810" i="1"/>
  <c r="AU810" i="1"/>
  <c r="AS810" i="1"/>
  <c r="AK810" i="1"/>
  <c r="AG810" i="1"/>
  <c r="AE810" i="1"/>
  <c r="T810" i="1"/>
  <c r="K810" i="1"/>
  <c r="H810" i="1"/>
  <c r="C810" i="1"/>
  <c r="BE809" i="1"/>
  <c r="BC809" i="1"/>
  <c r="BA809" i="1"/>
  <c r="AY809" i="1"/>
  <c r="AU809" i="1"/>
  <c r="AS809" i="1"/>
  <c r="AK809" i="1"/>
  <c r="AG809" i="1"/>
  <c r="AE809" i="1"/>
  <c r="T809" i="1"/>
  <c r="K809" i="1"/>
  <c r="H809" i="1"/>
  <c r="C809" i="1"/>
  <c r="BE808" i="1"/>
  <c r="BC808" i="1"/>
  <c r="BA808" i="1"/>
  <c r="AY808" i="1"/>
  <c r="AU808" i="1"/>
  <c r="AS808" i="1"/>
  <c r="AK808" i="1"/>
  <c r="AG808" i="1"/>
  <c r="AE808" i="1"/>
  <c r="T808" i="1"/>
  <c r="K808" i="1"/>
  <c r="H808" i="1"/>
  <c r="C808" i="1"/>
  <c r="BE807" i="1"/>
  <c r="BC807" i="1"/>
  <c r="BA807" i="1"/>
  <c r="AY807" i="1"/>
  <c r="AU807" i="1"/>
  <c r="AS807" i="1"/>
  <c r="AK807" i="1"/>
  <c r="AG807" i="1"/>
  <c r="AE807" i="1"/>
  <c r="T807" i="1"/>
  <c r="K807" i="1"/>
  <c r="H807" i="1"/>
  <c r="C807" i="1"/>
  <c r="BE806" i="1"/>
  <c r="BC806" i="1"/>
  <c r="BA806" i="1"/>
  <c r="AY806" i="1"/>
  <c r="AU806" i="1"/>
  <c r="AS806" i="1"/>
  <c r="AK806" i="1"/>
  <c r="AG806" i="1"/>
  <c r="AE806" i="1"/>
  <c r="T806" i="1"/>
  <c r="K806" i="1"/>
  <c r="H806" i="1"/>
  <c r="C806" i="1"/>
  <c r="BE805" i="1"/>
  <c r="BC805" i="1"/>
  <c r="BA805" i="1"/>
  <c r="AY805" i="1"/>
  <c r="AU805" i="1"/>
  <c r="AS805" i="1"/>
  <c r="AK805" i="1"/>
  <c r="AG805" i="1"/>
  <c r="AE805" i="1"/>
  <c r="T805" i="1"/>
  <c r="K805" i="1"/>
  <c r="H805" i="1"/>
  <c r="C805" i="1"/>
  <c r="BE804" i="1"/>
  <c r="BC804" i="1"/>
  <c r="BA804" i="1"/>
  <c r="AY804" i="1"/>
  <c r="AU804" i="1"/>
  <c r="AS804" i="1"/>
  <c r="AK804" i="1"/>
  <c r="AG804" i="1"/>
  <c r="AE804" i="1"/>
  <c r="T804" i="1"/>
  <c r="K804" i="1"/>
  <c r="H804" i="1"/>
  <c r="C804" i="1"/>
  <c r="BE803" i="1"/>
  <c r="BC803" i="1"/>
  <c r="BA803" i="1"/>
  <c r="AY803" i="1"/>
  <c r="AU803" i="1"/>
  <c r="AS803" i="1"/>
  <c r="AK803" i="1"/>
  <c r="AG803" i="1"/>
  <c r="AE803" i="1"/>
  <c r="T803" i="1"/>
  <c r="K803" i="1"/>
  <c r="H803" i="1"/>
  <c r="C803" i="1"/>
  <c r="BE802" i="1"/>
  <c r="BC802" i="1"/>
  <c r="BA802" i="1"/>
  <c r="AY802" i="1"/>
  <c r="AU802" i="1"/>
  <c r="AS802" i="1"/>
  <c r="AK802" i="1"/>
  <c r="AG802" i="1"/>
  <c r="AE802" i="1"/>
  <c r="T802" i="1"/>
  <c r="K802" i="1"/>
  <c r="H802" i="1"/>
  <c r="C802" i="1"/>
  <c r="BE801" i="1"/>
  <c r="BC801" i="1"/>
  <c r="BA801" i="1"/>
  <c r="AY801" i="1"/>
  <c r="AU801" i="1"/>
  <c r="AS801" i="1"/>
  <c r="AK801" i="1"/>
  <c r="AG801" i="1"/>
  <c r="AE801" i="1"/>
  <c r="T801" i="1"/>
  <c r="K801" i="1"/>
  <c r="H801" i="1"/>
  <c r="C801" i="1"/>
  <c r="BE800" i="1"/>
  <c r="BC800" i="1"/>
  <c r="BA800" i="1"/>
  <c r="AY800" i="1"/>
  <c r="AU800" i="1"/>
  <c r="AS800" i="1"/>
  <c r="AK800" i="1"/>
  <c r="AG800" i="1"/>
  <c r="AE800" i="1"/>
  <c r="T800" i="1"/>
  <c r="K800" i="1"/>
  <c r="H800" i="1"/>
  <c r="C800" i="1"/>
  <c r="BE799" i="1"/>
  <c r="BC799" i="1"/>
  <c r="BA799" i="1"/>
  <c r="AY799" i="1"/>
  <c r="AU799" i="1"/>
  <c r="AS799" i="1"/>
  <c r="AK799" i="1"/>
  <c r="AG799" i="1"/>
  <c r="AE799" i="1"/>
  <c r="T799" i="1"/>
  <c r="K799" i="1"/>
  <c r="H799" i="1"/>
  <c r="C799" i="1"/>
  <c r="BE798" i="1"/>
  <c r="BC798" i="1"/>
  <c r="BA798" i="1"/>
  <c r="AY798" i="1"/>
  <c r="AU798" i="1"/>
  <c r="AS798" i="1"/>
  <c r="AK798" i="1"/>
  <c r="AG798" i="1"/>
  <c r="AE798" i="1"/>
  <c r="T798" i="1"/>
  <c r="K798" i="1"/>
  <c r="H798" i="1"/>
  <c r="C798" i="1"/>
  <c r="BE797" i="1"/>
  <c r="BC797" i="1"/>
  <c r="BA797" i="1"/>
  <c r="AY797" i="1"/>
  <c r="AU797" i="1"/>
  <c r="AS797" i="1"/>
  <c r="AK797" i="1"/>
  <c r="AG797" i="1"/>
  <c r="AE797" i="1"/>
  <c r="T797" i="1"/>
  <c r="K797" i="1"/>
  <c r="H797" i="1"/>
  <c r="C797" i="1"/>
  <c r="BE796" i="1"/>
  <c r="BC796" i="1"/>
  <c r="BA796" i="1"/>
  <c r="AY796" i="1"/>
  <c r="AU796" i="1"/>
  <c r="AS796" i="1"/>
  <c r="AK796" i="1"/>
  <c r="AG796" i="1"/>
  <c r="AE796" i="1"/>
  <c r="T796" i="1"/>
  <c r="K796" i="1"/>
  <c r="H796" i="1"/>
  <c r="C796" i="1"/>
  <c r="BE795" i="1"/>
  <c r="BC795" i="1"/>
  <c r="BA795" i="1"/>
  <c r="AY795" i="1"/>
  <c r="AU795" i="1"/>
  <c r="AS795" i="1"/>
  <c r="AK795" i="1"/>
  <c r="AG795" i="1"/>
  <c r="AE795" i="1"/>
  <c r="T795" i="1"/>
  <c r="K795" i="1"/>
  <c r="H795" i="1"/>
  <c r="C795" i="1"/>
  <c r="BE794" i="1"/>
  <c r="BC794" i="1"/>
  <c r="BA794" i="1"/>
  <c r="AY794" i="1"/>
  <c r="AU794" i="1"/>
  <c r="AS794" i="1"/>
  <c r="AK794" i="1"/>
  <c r="AG794" i="1"/>
  <c r="AE794" i="1"/>
  <c r="T794" i="1"/>
  <c r="K794" i="1"/>
  <c r="H794" i="1"/>
  <c r="C794" i="1"/>
  <c r="BE793" i="1"/>
  <c r="BC793" i="1"/>
  <c r="BA793" i="1"/>
  <c r="AY793" i="1"/>
  <c r="AU793" i="1"/>
  <c r="AS793" i="1"/>
  <c r="AK793" i="1"/>
  <c r="AG793" i="1"/>
  <c r="AE793" i="1"/>
  <c r="T793" i="1"/>
  <c r="K793" i="1"/>
  <c r="H793" i="1"/>
  <c r="C793" i="1"/>
  <c r="BE792" i="1"/>
  <c r="BC792" i="1"/>
  <c r="BA792" i="1"/>
  <c r="AY792" i="1"/>
  <c r="AU792" i="1"/>
  <c r="AS792" i="1"/>
  <c r="AK792" i="1"/>
  <c r="AG792" i="1"/>
  <c r="AE792" i="1"/>
  <c r="T792" i="1"/>
  <c r="K792" i="1"/>
  <c r="H792" i="1"/>
  <c r="C792" i="1"/>
  <c r="BE791" i="1"/>
  <c r="BC791" i="1"/>
  <c r="BA791" i="1"/>
  <c r="AY791" i="1"/>
  <c r="AU791" i="1"/>
  <c r="AS791" i="1"/>
  <c r="AK791" i="1"/>
  <c r="AG791" i="1"/>
  <c r="AE791" i="1"/>
  <c r="T791" i="1"/>
  <c r="K791" i="1"/>
  <c r="H791" i="1"/>
  <c r="C791" i="1"/>
  <c r="BE790" i="1"/>
  <c r="BC790" i="1"/>
  <c r="BA790" i="1"/>
  <c r="AY790" i="1"/>
  <c r="AU790" i="1"/>
  <c r="AS790" i="1"/>
  <c r="AK790" i="1"/>
  <c r="AG790" i="1"/>
  <c r="AE790" i="1"/>
  <c r="T790" i="1"/>
  <c r="K790" i="1"/>
  <c r="H790" i="1"/>
  <c r="C790" i="1"/>
  <c r="BE789" i="1"/>
  <c r="BC789" i="1"/>
  <c r="BA789" i="1"/>
  <c r="AY789" i="1"/>
  <c r="AU789" i="1"/>
  <c r="AS789" i="1"/>
  <c r="AK789" i="1"/>
  <c r="AG789" i="1"/>
  <c r="AE789" i="1"/>
  <c r="T789" i="1"/>
  <c r="K789" i="1"/>
  <c r="H789" i="1"/>
  <c r="C789" i="1"/>
  <c r="BE788" i="1"/>
  <c r="BC788" i="1"/>
  <c r="BA788" i="1"/>
  <c r="AY788" i="1"/>
  <c r="AU788" i="1"/>
  <c r="AS788" i="1"/>
  <c r="AK788" i="1"/>
  <c r="AG788" i="1"/>
  <c r="AE788" i="1"/>
  <c r="T788" i="1"/>
  <c r="K788" i="1"/>
  <c r="H788" i="1"/>
  <c r="C788" i="1"/>
  <c r="BE787" i="1"/>
  <c r="BC787" i="1"/>
  <c r="BA787" i="1"/>
  <c r="AY787" i="1"/>
  <c r="AU787" i="1"/>
  <c r="AS787" i="1"/>
  <c r="AK787" i="1"/>
  <c r="AG787" i="1"/>
  <c r="AE787" i="1"/>
  <c r="T787" i="1"/>
  <c r="K787" i="1"/>
  <c r="H787" i="1"/>
  <c r="C787" i="1"/>
  <c r="BE786" i="1"/>
  <c r="BC786" i="1"/>
  <c r="BA786" i="1"/>
  <c r="AY786" i="1"/>
  <c r="AU786" i="1"/>
  <c r="AS786" i="1"/>
  <c r="AK786" i="1"/>
  <c r="AG786" i="1"/>
  <c r="AE786" i="1"/>
  <c r="T786" i="1"/>
  <c r="K786" i="1"/>
  <c r="H786" i="1"/>
  <c r="C786" i="1"/>
  <c r="BE785" i="1"/>
  <c r="BC785" i="1"/>
  <c r="BA785" i="1"/>
  <c r="AY785" i="1"/>
  <c r="AU785" i="1"/>
  <c r="AS785" i="1"/>
  <c r="AK785" i="1"/>
  <c r="AG785" i="1"/>
  <c r="AE785" i="1"/>
  <c r="T785" i="1"/>
  <c r="K785" i="1"/>
  <c r="H785" i="1"/>
  <c r="C785" i="1"/>
  <c r="BE784" i="1"/>
  <c r="BC784" i="1"/>
  <c r="BA784" i="1"/>
  <c r="AY784" i="1"/>
  <c r="AU784" i="1"/>
  <c r="AS784" i="1"/>
  <c r="AK784" i="1"/>
  <c r="AG784" i="1"/>
  <c r="AE784" i="1"/>
  <c r="T784" i="1"/>
  <c r="K784" i="1"/>
  <c r="H784" i="1"/>
  <c r="C784" i="1"/>
  <c r="BE783" i="1"/>
  <c r="BC783" i="1"/>
  <c r="BA783" i="1"/>
  <c r="AY783" i="1"/>
  <c r="AU783" i="1"/>
  <c r="AS783" i="1"/>
  <c r="AK783" i="1"/>
  <c r="AG783" i="1"/>
  <c r="AE783" i="1"/>
  <c r="T783" i="1"/>
  <c r="K783" i="1"/>
  <c r="H783" i="1"/>
  <c r="C783" i="1"/>
  <c r="BE782" i="1"/>
  <c r="BC782" i="1"/>
  <c r="BA782" i="1"/>
  <c r="AY782" i="1"/>
  <c r="AU782" i="1"/>
  <c r="AS782" i="1"/>
  <c r="AK782" i="1"/>
  <c r="AG782" i="1"/>
  <c r="AE782" i="1"/>
  <c r="T782" i="1"/>
  <c r="K782" i="1"/>
  <c r="H782" i="1"/>
  <c r="C782" i="1"/>
  <c r="BE781" i="1"/>
  <c r="BC781" i="1"/>
  <c r="BA781" i="1"/>
  <c r="AY781" i="1"/>
  <c r="AU781" i="1"/>
  <c r="AS781" i="1"/>
  <c r="AK781" i="1"/>
  <c r="AG781" i="1"/>
  <c r="AE781" i="1"/>
  <c r="T781" i="1"/>
  <c r="K781" i="1"/>
  <c r="H781" i="1"/>
  <c r="C781" i="1"/>
  <c r="BE780" i="1"/>
  <c r="BC780" i="1"/>
  <c r="BA780" i="1"/>
  <c r="AY780" i="1"/>
  <c r="AU780" i="1"/>
  <c r="AS780" i="1"/>
  <c r="AK780" i="1"/>
  <c r="AG780" i="1"/>
  <c r="AE780" i="1"/>
  <c r="T780" i="1"/>
  <c r="K780" i="1"/>
  <c r="H780" i="1"/>
  <c r="C780" i="1"/>
  <c r="BE779" i="1"/>
  <c r="BC779" i="1"/>
  <c r="BA779" i="1"/>
  <c r="AY779" i="1"/>
  <c r="AU779" i="1"/>
  <c r="AS779" i="1"/>
  <c r="AK779" i="1"/>
  <c r="AG779" i="1"/>
  <c r="AE779" i="1"/>
  <c r="T779" i="1"/>
  <c r="K779" i="1"/>
  <c r="H779" i="1"/>
  <c r="C779" i="1"/>
  <c r="BE778" i="1"/>
  <c r="BC778" i="1"/>
  <c r="BA778" i="1"/>
  <c r="AY778" i="1"/>
  <c r="AU778" i="1"/>
  <c r="AS778" i="1"/>
  <c r="AK778" i="1"/>
  <c r="AG778" i="1"/>
  <c r="AE778" i="1"/>
  <c r="T778" i="1"/>
  <c r="K778" i="1"/>
  <c r="H778" i="1"/>
  <c r="C778" i="1"/>
  <c r="BE777" i="1"/>
  <c r="BC777" i="1"/>
  <c r="BA777" i="1"/>
  <c r="AY777" i="1"/>
  <c r="AU777" i="1"/>
  <c r="AS777" i="1"/>
  <c r="AK777" i="1"/>
  <c r="AG777" i="1"/>
  <c r="AE777" i="1"/>
  <c r="T777" i="1"/>
  <c r="K777" i="1"/>
  <c r="H777" i="1"/>
  <c r="C777" i="1"/>
  <c r="BE776" i="1"/>
  <c r="BC776" i="1"/>
  <c r="BA776" i="1"/>
  <c r="AY776" i="1"/>
  <c r="AU776" i="1"/>
  <c r="AS776" i="1"/>
  <c r="AK776" i="1"/>
  <c r="AG776" i="1"/>
  <c r="AE776" i="1"/>
  <c r="T776" i="1"/>
  <c r="K776" i="1"/>
  <c r="H776" i="1"/>
  <c r="C776" i="1"/>
  <c r="BE775" i="1"/>
  <c r="BC775" i="1"/>
  <c r="BA775" i="1"/>
  <c r="AY775" i="1"/>
  <c r="AU775" i="1"/>
  <c r="AS775" i="1"/>
  <c r="AK775" i="1"/>
  <c r="AG775" i="1"/>
  <c r="AE775" i="1"/>
  <c r="T775" i="1"/>
  <c r="K775" i="1"/>
  <c r="H775" i="1"/>
  <c r="C775" i="1"/>
  <c r="BE774" i="1"/>
  <c r="BC774" i="1"/>
  <c r="BA774" i="1"/>
  <c r="AY774" i="1"/>
  <c r="AU774" i="1"/>
  <c r="AS774" i="1"/>
  <c r="AK774" i="1"/>
  <c r="AG774" i="1"/>
  <c r="AE774" i="1"/>
  <c r="T774" i="1"/>
  <c r="K774" i="1"/>
  <c r="H774" i="1"/>
  <c r="C774" i="1"/>
  <c r="BE773" i="1"/>
  <c r="BC773" i="1"/>
  <c r="BA773" i="1"/>
  <c r="AY773" i="1"/>
  <c r="AU773" i="1"/>
  <c r="AS773" i="1"/>
  <c r="AK773" i="1"/>
  <c r="AG773" i="1"/>
  <c r="AE773" i="1"/>
  <c r="T773" i="1"/>
  <c r="K773" i="1"/>
  <c r="H773" i="1"/>
  <c r="C773" i="1"/>
  <c r="BE772" i="1"/>
  <c r="BC772" i="1"/>
  <c r="BA772" i="1"/>
  <c r="AY772" i="1"/>
  <c r="AU772" i="1"/>
  <c r="AS772" i="1"/>
  <c r="AK772" i="1"/>
  <c r="AG772" i="1"/>
  <c r="AE772" i="1"/>
  <c r="T772" i="1"/>
  <c r="K772" i="1"/>
  <c r="H772" i="1"/>
  <c r="C772" i="1"/>
  <c r="BE771" i="1"/>
  <c r="BC771" i="1"/>
  <c r="BA771" i="1"/>
  <c r="AY771" i="1"/>
  <c r="AU771" i="1"/>
  <c r="AS771" i="1"/>
  <c r="AK771" i="1"/>
  <c r="AG771" i="1"/>
  <c r="AE771" i="1"/>
  <c r="T771" i="1"/>
  <c r="K771" i="1"/>
  <c r="H771" i="1"/>
  <c r="C771" i="1"/>
  <c r="BE770" i="1"/>
  <c r="BC770" i="1"/>
  <c r="BA770" i="1"/>
  <c r="AY770" i="1"/>
  <c r="AU770" i="1"/>
  <c r="AS770" i="1"/>
  <c r="AK770" i="1"/>
  <c r="AG770" i="1"/>
  <c r="AE770" i="1"/>
  <c r="T770" i="1"/>
  <c r="K770" i="1"/>
  <c r="H770" i="1"/>
  <c r="C770" i="1"/>
  <c r="BE769" i="1"/>
  <c r="BC769" i="1"/>
  <c r="BA769" i="1"/>
  <c r="AY769" i="1"/>
  <c r="AU769" i="1"/>
  <c r="AS769" i="1"/>
  <c r="AK769" i="1"/>
  <c r="AG769" i="1"/>
  <c r="AE769" i="1"/>
  <c r="T769" i="1"/>
  <c r="K769" i="1"/>
  <c r="H769" i="1"/>
  <c r="C769" i="1"/>
  <c r="BE768" i="1"/>
  <c r="BC768" i="1"/>
  <c r="BA768" i="1"/>
  <c r="AY768" i="1"/>
  <c r="AU768" i="1"/>
  <c r="AS768" i="1"/>
  <c r="AK768" i="1"/>
  <c r="AG768" i="1"/>
  <c r="AE768" i="1"/>
  <c r="T768" i="1"/>
  <c r="K768" i="1"/>
  <c r="H768" i="1"/>
  <c r="C768" i="1"/>
  <c r="BE767" i="1"/>
  <c r="BC767" i="1"/>
  <c r="BA767" i="1"/>
  <c r="AY767" i="1"/>
  <c r="AU767" i="1"/>
  <c r="AS767" i="1"/>
  <c r="AK767" i="1"/>
  <c r="AG767" i="1"/>
  <c r="AE767" i="1"/>
  <c r="T767" i="1"/>
  <c r="K767" i="1"/>
  <c r="H767" i="1"/>
  <c r="C767" i="1"/>
  <c r="BE766" i="1"/>
  <c r="BC766" i="1"/>
  <c r="BA766" i="1"/>
  <c r="AY766" i="1"/>
  <c r="AU766" i="1"/>
  <c r="AS766" i="1"/>
  <c r="AK766" i="1"/>
  <c r="AG766" i="1"/>
  <c r="AE766" i="1"/>
  <c r="T766" i="1"/>
  <c r="K766" i="1"/>
  <c r="H766" i="1"/>
  <c r="C766" i="1"/>
  <c r="BE765" i="1"/>
  <c r="BC765" i="1"/>
  <c r="BA765" i="1"/>
  <c r="AY765" i="1"/>
  <c r="AU765" i="1"/>
  <c r="AS765" i="1"/>
  <c r="AK765" i="1"/>
  <c r="AG765" i="1"/>
  <c r="AE765" i="1"/>
  <c r="T765" i="1"/>
  <c r="K765" i="1"/>
  <c r="H765" i="1"/>
  <c r="C765" i="1"/>
  <c r="BE764" i="1"/>
  <c r="BC764" i="1"/>
  <c r="BA764" i="1"/>
  <c r="AY764" i="1"/>
  <c r="AU764" i="1"/>
  <c r="AS764" i="1"/>
  <c r="AK764" i="1"/>
  <c r="AG764" i="1"/>
  <c r="AE764" i="1"/>
  <c r="T764" i="1"/>
  <c r="K764" i="1"/>
  <c r="H764" i="1"/>
  <c r="C764" i="1"/>
  <c r="BE763" i="1"/>
  <c r="BC763" i="1"/>
  <c r="BA763" i="1"/>
  <c r="AY763" i="1"/>
  <c r="AU763" i="1"/>
  <c r="AS763" i="1"/>
  <c r="AK763" i="1"/>
  <c r="AG763" i="1"/>
  <c r="AE763" i="1"/>
  <c r="T763" i="1"/>
  <c r="K763" i="1"/>
  <c r="H763" i="1"/>
  <c r="C763" i="1"/>
  <c r="BE762" i="1"/>
  <c r="BC762" i="1"/>
  <c r="BA762" i="1"/>
  <c r="AY762" i="1"/>
  <c r="AU762" i="1"/>
  <c r="AS762" i="1"/>
  <c r="AK762" i="1"/>
  <c r="AG762" i="1"/>
  <c r="AE762" i="1"/>
  <c r="T762" i="1"/>
  <c r="K762" i="1"/>
  <c r="H762" i="1"/>
  <c r="C762" i="1"/>
  <c r="BE761" i="1"/>
  <c r="BC761" i="1"/>
  <c r="BA761" i="1"/>
  <c r="AY761" i="1"/>
  <c r="AU761" i="1"/>
  <c r="AS761" i="1"/>
  <c r="AK761" i="1"/>
  <c r="AG761" i="1"/>
  <c r="AE761" i="1"/>
  <c r="T761" i="1"/>
  <c r="K761" i="1"/>
  <c r="H761" i="1"/>
  <c r="C761" i="1"/>
  <c r="BE760" i="1"/>
  <c r="BC760" i="1"/>
  <c r="BA760" i="1"/>
  <c r="AY760" i="1"/>
  <c r="AU760" i="1"/>
  <c r="AS760" i="1"/>
  <c r="AK760" i="1"/>
  <c r="AG760" i="1"/>
  <c r="AE760" i="1"/>
  <c r="T760" i="1"/>
  <c r="K760" i="1"/>
  <c r="H760" i="1"/>
  <c r="C760" i="1"/>
  <c r="BE759" i="1"/>
  <c r="BC759" i="1"/>
  <c r="BA759" i="1"/>
  <c r="AY759" i="1"/>
  <c r="AU759" i="1"/>
  <c r="AS759" i="1"/>
  <c r="AK759" i="1"/>
  <c r="AG759" i="1"/>
  <c r="AE759" i="1"/>
  <c r="T759" i="1"/>
  <c r="K759" i="1"/>
  <c r="H759" i="1"/>
  <c r="C759" i="1"/>
  <c r="BE758" i="1"/>
  <c r="BC758" i="1"/>
  <c r="BA758" i="1"/>
  <c r="AY758" i="1"/>
  <c r="AU758" i="1"/>
  <c r="AS758" i="1"/>
  <c r="AK758" i="1"/>
  <c r="AG758" i="1"/>
  <c r="AE758" i="1"/>
  <c r="T758" i="1"/>
  <c r="K758" i="1"/>
  <c r="H758" i="1"/>
  <c r="C758" i="1"/>
  <c r="BE757" i="1"/>
  <c r="BC757" i="1"/>
  <c r="BA757" i="1"/>
  <c r="AY757" i="1"/>
  <c r="AU757" i="1"/>
  <c r="AS757" i="1"/>
  <c r="AK757" i="1"/>
  <c r="AG757" i="1"/>
  <c r="AE757" i="1"/>
  <c r="T757" i="1"/>
  <c r="K757" i="1"/>
  <c r="H757" i="1"/>
  <c r="C757" i="1"/>
  <c r="BE756" i="1"/>
  <c r="BC756" i="1"/>
  <c r="BA756" i="1"/>
  <c r="AY756" i="1"/>
  <c r="AU756" i="1"/>
  <c r="AS756" i="1"/>
  <c r="AK756" i="1"/>
  <c r="AG756" i="1"/>
  <c r="AE756" i="1"/>
  <c r="T756" i="1"/>
  <c r="K756" i="1"/>
  <c r="H756" i="1"/>
  <c r="C756" i="1"/>
  <c r="BE755" i="1"/>
  <c r="BC755" i="1"/>
  <c r="BA755" i="1"/>
  <c r="AY755" i="1"/>
  <c r="AU755" i="1"/>
  <c r="AS755" i="1"/>
  <c r="AK755" i="1"/>
  <c r="AG755" i="1"/>
  <c r="AE755" i="1"/>
  <c r="T755" i="1"/>
  <c r="K755" i="1"/>
  <c r="H755" i="1"/>
  <c r="C755" i="1"/>
  <c r="BE754" i="1"/>
  <c r="BC754" i="1"/>
  <c r="BA754" i="1"/>
  <c r="AY754" i="1"/>
  <c r="AU754" i="1"/>
  <c r="AS754" i="1"/>
  <c r="AK754" i="1"/>
  <c r="AG754" i="1"/>
  <c r="AE754" i="1"/>
  <c r="T754" i="1"/>
  <c r="K754" i="1"/>
  <c r="H754" i="1"/>
  <c r="C754" i="1"/>
  <c r="BE753" i="1"/>
  <c r="BC753" i="1"/>
  <c r="BA753" i="1"/>
  <c r="AY753" i="1"/>
  <c r="AU753" i="1"/>
  <c r="AS753" i="1"/>
  <c r="AK753" i="1"/>
  <c r="AG753" i="1"/>
  <c r="AE753" i="1"/>
  <c r="T753" i="1"/>
  <c r="K753" i="1"/>
  <c r="H753" i="1"/>
  <c r="C753" i="1"/>
  <c r="BE752" i="1"/>
  <c r="BC752" i="1"/>
  <c r="BA752" i="1"/>
  <c r="AY752" i="1"/>
  <c r="AU752" i="1"/>
  <c r="AS752" i="1"/>
  <c r="AK752" i="1"/>
  <c r="AG752" i="1"/>
  <c r="AE752" i="1"/>
  <c r="T752" i="1"/>
  <c r="K752" i="1"/>
  <c r="H752" i="1"/>
  <c r="C752" i="1"/>
  <c r="BE751" i="1"/>
  <c r="BC751" i="1"/>
  <c r="BA751" i="1"/>
  <c r="AY751" i="1"/>
  <c r="AU751" i="1"/>
  <c r="AS751" i="1"/>
  <c r="AK751" i="1"/>
  <c r="AG751" i="1"/>
  <c r="AE751" i="1"/>
  <c r="T751" i="1"/>
  <c r="K751" i="1"/>
  <c r="H751" i="1"/>
  <c r="C751" i="1"/>
  <c r="BE750" i="1"/>
  <c r="BC750" i="1"/>
  <c r="BA750" i="1"/>
  <c r="AY750" i="1"/>
  <c r="AU750" i="1"/>
  <c r="AS750" i="1"/>
  <c r="AK750" i="1"/>
  <c r="AG750" i="1"/>
  <c r="AE750" i="1"/>
  <c r="T750" i="1"/>
  <c r="K750" i="1"/>
  <c r="H750" i="1"/>
  <c r="C750" i="1"/>
  <c r="BE749" i="1"/>
  <c r="BC749" i="1"/>
  <c r="BA749" i="1"/>
  <c r="AY749" i="1"/>
  <c r="AU749" i="1"/>
  <c r="AS749" i="1"/>
  <c r="AK749" i="1"/>
  <c r="AG749" i="1"/>
  <c r="AE749" i="1"/>
  <c r="T749" i="1"/>
  <c r="K749" i="1"/>
  <c r="H749" i="1"/>
  <c r="C749" i="1"/>
  <c r="BE748" i="1"/>
  <c r="BC748" i="1"/>
  <c r="BA748" i="1"/>
  <c r="AY748" i="1"/>
  <c r="AU748" i="1"/>
  <c r="AS748" i="1"/>
  <c r="AK748" i="1"/>
  <c r="AG748" i="1"/>
  <c r="AE748" i="1"/>
  <c r="T748" i="1"/>
  <c r="K748" i="1"/>
  <c r="H748" i="1"/>
  <c r="C748" i="1"/>
  <c r="BE747" i="1"/>
  <c r="BC747" i="1"/>
  <c r="BA747" i="1"/>
  <c r="AY747" i="1"/>
  <c r="AU747" i="1"/>
  <c r="AS747" i="1"/>
  <c r="AK747" i="1"/>
  <c r="AG747" i="1"/>
  <c r="AE747" i="1"/>
  <c r="T747" i="1"/>
  <c r="K747" i="1"/>
  <c r="H747" i="1"/>
  <c r="C747" i="1"/>
  <c r="BE746" i="1"/>
  <c r="BC746" i="1"/>
  <c r="BA746" i="1"/>
  <c r="AY746" i="1"/>
  <c r="AU746" i="1"/>
  <c r="AS746" i="1"/>
  <c r="AK746" i="1"/>
  <c r="AG746" i="1"/>
  <c r="AE746" i="1"/>
  <c r="T746" i="1"/>
  <c r="K746" i="1"/>
  <c r="H746" i="1"/>
  <c r="C746" i="1"/>
  <c r="BE745" i="1"/>
  <c r="BC745" i="1"/>
  <c r="BA745" i="1"/>
  <c r="AY745" i="1"/>
  <c r="AU745" i="1"/>
  <c r="AS745" i="1"/>
  <c r="AK745" i="1"/>
  <c r="AG745" i="1"/>
  <c r="AE745" i="1"/>
  <c r="T745" i="1"/>
  <c r="K745" i="1"/>
  <c r="H745" i="1"/>
  <c r="C745" i="1"/>
  <c r="BE744" i="1"/>
  <c r="BC744" i="1"/>
  <c r="BA744" i="1"/>
  <c r="AY744" i="1"/>
  <c r="AU744" i="1"/>
  <c r="AS744" i="1"/>
  <c r="AK744" i="1"/>
  <c r="AG744" i="1"/>
  <c r="AE744" i="1"/>
  <c r="T744" i="1"/>
  <c r="K744" i="1"/>
  <c r="H744" i="1"/>
  <c r="C744" i="1"/>
  <c r="BE743" i="1"/>
  <c r="BC743" i="1"/>
  <c r="BA743" i="1"/>
  <c r="AY743" i="1"/>
  <c r="AU743" i="1"/>
  <c r="AS743" i="1"/>
  <c r="AK743" i="1"/>
  <c r="AG743" i="1"/>
  <c r="AE743" i="1"/>
  <c r="T743" i="1"/>
  <c r="K743" i="1"/>
  <c r="H743" i="1"/>
  <c r="C743" i="1"/>
  <c r="BE742" i="1"/>
  <c r="BC742" i="1"/>
  <c r="BA742" i="1"/>
  <c r="AY742" i="1"/>
  <c r="AU742" i="1"/>
  <c r="AS742" i="1"/>
  <c r="AK742" i="1"/>
  <c r="AG742" i="1"/>
  <c r="AE742" i="1"/>
  <c r="T742" i="1"/>
  <c r="K742" i="1"/>
  <c r="H742" i="1"/>
  <c r="C742" i="1"/>
  <c r="BE741" i="1"/>
  <c r="BC741" i="1"/>
  <c r="BA741" i="1"/>
  <c r="AY741" i="1"/>
  <c r="AU741" i="1"/>
  <c r="AS741" i="1"/>
  <c r="AK741" i="1"/>
  <c r="AG741" i="1"/>
  <c r="AE741" i="1"/>
  <c r="T741" i="1"/>
  <c r="K741" i="1"/>
  <c r="H741" i="1"/>
  <c r="C741" i="1"/>
  <c r="BE740" i="1"/>
  <c r="BC740" i="1"/>
  <c r="BA740" i="1"/>
  <c r="AY740" i="1"/>
  <c r="AU740" i="1"/>
  <c r="AS740" i="1"/>
  <c r="AK740" i="1"/>
  <c r="AG740" i="1"/>
  <c r="AE740" i="1"/>
  <c r="T740" i="1"/>
  <c r="K740" i="1"/>
  <c r="H740" i="1"/>
  <c r="C740" i="1"/>
  <c r="BE739" i="1"/>
  <c r="BC739" i="1"/>
  <c r="BA739" i="1"/>
  <c r="AY739" i="1"/>
  <c r="AU739" i="1"/>
  <c r="AS739" i="1"/>
  <c r="AK739" i="1"/>
  <c r="AG739" i="1"/>
  <c r="AE739" i="1"/>
  <c r="T739" i="1"/>
  <c r="K739" i="1"/>
  <c r="H739" i="1"/>
  <c r="C739" i="1"/>
  <c r="BE738" i="1"/>
  <c r="BC738" i="1"/>
  <c r="BA738" i="1"/>
  <c r="AY738" i="1"/>
  <c r="AU738" i="1"/>
  <c r="AS738" i="1"/>
  <c r="AK738" i="1"/>
  <c r="AG738" i="1"/>
  <c r="AE738" i="1"/>
  <c r="T738" i="1"/>
  <c r="K738" i="1"/>
  <c r="H738" i="1"/>
  <c r="C738" i="1"/>
  <c r="BE737" i="1"/>
  <c r="BC737" i="1"/>
  <c r="BA737" i="1"/>
  <c r="AY737" i="1"/>
  <c r="AU737" i="1"/>
  <c r="AS737" i="1"/>
  <c r="AK737" i="1"/>
  <c r="AG737" i="1"/>
  <c r="AE737" i="1"/>
  <c r="T737" i="1"/>
  <c r="K737" i="1"/>
  <c r="H737" i="1"/>
  <c r="C737" i="1"/>
  <c r="BE736" i="1"/>
  <c r="BC736" i="1"/>
  <c r="BA736" i="1"/>
  <c r="AY736" i="1"/>
  <c r="AU736" i="1"/>
  <c r="AS736" i="1"/>
  <c r="AK736" i="1"/>
  <c r="AG736" i="1"/>
  <c r="AE736" i="1"/>
  <c r="T736" i="1"/>
  <c r="K736" i="1"/>
  <c r="H736" i="1"/>
  <c r="C736" i="1"/>
  <c r="BE735" i="1"/>
  <c r="BC735" i="1"/>
  <c r="BA735" i="1"/>
  <c r="AY735" i="1"/>
  <c r="AU735" i="1"/>
  <c r="AS735" i="1"/>
  <c r="AK735" i="1"/>
  <c r="AG735" i="1"/>
  <c r="AE735" i="1"/>
  <c r="T735" i="1"/>
  <c r="K735" i="1"/>
  <c r="H735" i="1"/>
  <c r="C735" i="1"/>
  <c r="BE734" i="1"/>
  <c r="BC734" i="1"/>
  <c r="BA734" i="1"/>
  <c r="AY734" i="1"/>
  <c r="AU734" i="1"/>
  <c r="AS734" i="1"/>
  <c r="AK734" i="1"/>
  <c r="AG734" i="1"/>
  <c r="AE734" i="1"/>
  <c r="T734" i="1"/>
  <c r="K734" i="1"/>
  <c r="H734" i="1"/>
  <c r="C734" i="1"/>
  <c r="BE733" i="1"/>
  <c r="BC733" i="1"/>
  <c r="BA733" i="1"/>
  <c r="AY733" i="1"/>
  <c r="AU733" i="1"/>
  <c r="AS733" i="1"/>
  <c r="AK733" i="1"/>
  <c r="AG733" i="1"/>
  <c r="AE733" i="1"/>
  <c r="T733" i="1"/>
  <c r="K733" i="1"/>
  <c r="H733" i="1"/>
  <c r="C733" i="1"/>
  <c r="BE732" i="1"/>
  <c r="BC732" i="1"/>
  <c r="BA732" i="1"/>
  <c r="AY732" i="1"/>
  <c r="AU732" i="1"/>
  <c r="AS732" i="1"/>
  <c r="AK732" i="1"/>
  <c r="AG732" i="1"/>
  <c r="AE732" i="1"/>
  <c r="T732" i="1"/>
  <c r="K732" i="1"/>
  <c r="H732" i="1"/>
  <c r="C732" i="1"/>
  <c r="BE731" i="1"/>
  <c r="BC731" i="1"/>
  <c r="BA731" i="1"/>
  <c r="AY731" i="1"/>
  <c r="AU731" i="1"/>
  <c r="AS731" i="1"/>
  <c r="AK731" i="1"/>
  <c r="AG731" i="1"/>
  <c r="AE731" i="1"/>
  <c r="T731" i="1"/>
  <c r="K731" i="1"/>
  <c r="H731" i="1"/>
  <c r="C731" i="1"/>
  <c r="BE730" i="1"/>
  <c r="BC730" i="1"/>
  <c r="BA730" i="1"/>
  <c r="AY730" i="1"/>
  <c r="AU730" i="1"/>
  <c r="AS730" i="1"/>
  <c r="AK730" i="1"/>
  <c r="AG730" i="1"/>
  <c r="AE730" i="1"/>
  <c r="T730" i="1"/>
  <c r="K730" i="1"/>
  <c r="H730" i="1"/>
  <c r="C730" i="1"/>
  <c r="BE729" i="1"/>
  <c r="BC729" i="1"/>
  <c r="BA729" i="1"/>
  <c r="AY729" i="1"/>
  <c r="AU729" i="1"/>
  <c r="AS729" i="1"/>
  <c r="AK729" i="1"/>
  <c r="AG729" i="1"/>
  <c r="AE729" i="1"/>
  <c r="T729" i="1"/>
  <c r="K729" i="1"/>
  <c r="H729" i="1"/>
  <c r="C729" i="1"/>
  <c r="BE728" i="1"/>
  <c r="BC728" i="1"/>
  <c r="BA728" i="1"/>
  <c r="AY728" i="1"/>
  <c r="AU728" i="1"/>
  <c r="AS728" i="1"/>
  <c r="AK728" i="1"/>
  <c r="AG728" i="1"/>
  <c r="AE728" i="1"/>
  <c r="T728" i="1"/>
  <c r="K728" i="1"/>
  <c r="H728" i="1"/>
  <c r="C728" i="1"/>
  <c r="BE727" i="1"/>
  <c r="BC727" i="1"/>
  <c r="BA727" i="1"/>
  <c r="AY727" i="1"/>
  <c r="AU727" i="1"/>
  <c r="AS727" i="1"/>
  <c r="AK727" i="1"/>
  <c r="AG727" i="1"/>
  <c r="AE727" i="1"/>
  <c r="T727" i="1"/>
  <c r="K727" i="1"/>
  <c r="H727" i="1"/>
  <c r="C727" i="1"/>
  <c r="BE726" i="1"/>
  <c r="BC726" i="1"/>
  <c r="BA726" i="1"/>
  <c r="AY726" i="1"/>
  <c r="AU726" i="1"/>
  <c r="AS726" i="1"/>
  <c r="AK726" i="1"/>
  <c r="AG726" i="1"/>
  <c r="AE726" i="1"/>
  <c r="T726" i="1"/>
  <c r="K726" i="1"/>
  <c r="H726" i="1"/>
  <c r="C726" i="1"/>
  <c r="BE725" i="1"/>
  <c r="BC725" i="1"/>
  <c r="BA725" i="1"/>
  <c r="AY725" i="1"/>
  <c r="AU725" i="1"/>
  <c r="AS725" i="1"/>
  <c r="AK725" i="1"/>
  <c r="AG725" i="1"/>
  <c r="AE725" i="1"/>
  <c r="T725" i="1"/>
  <c r="K725" i="1"/>
  <c r="H725" i="1"/>
  <c r="C725" i="1"/>
  <c r="BE724" i="1"/>
  <c r="BC724" i="1"/>
  <c r="BA724" i="1"/>
  <c r="AY724" i="1"/>
  <c r="AU724" i="1"/>
  <c r="AS724" i="1"/>
  <c r="AK724" i="1"/>
  <c r="AG724" i="1"/>
  <c r="AE724" i="1"/>
  <c r="T724" i="1"/>
  <c r="K724" i="1"/>
  <c r="H724" i="1"/>
  <c r="C724" i="1"/>
  <c r="BE723" i="1"/>
  <c r="BC723" i="1"/>
  <c r="BA723" i="1"/>
  <c r="AY723" i="1"/>
  <c r="AU723" i="1"/>
  <c r="AS723" i="1"/>
  <c r="AK723" i="1"/>
  <c r="AG723" i="1"/>
  <c r="AE723" i="1"/>
  <c r="T723" i="1"/>
  <c r="K723" i="1"/>
  <c r="H723" i="1"/>
  <c r="C723" i="1"/>
  <c r="BE722" i="1"/>
  <c r="BC722" i="1"/>
  <c r="BA722" i="1"/>
  <c r="AY722" i="1"/>
  <c r="AU722" i="1"/>
  <c r="AS722" i="1"/>
  <c r="AK722" i="1"/>
  <c r="AG722" i="1"/>
  <c r="AE722" i="1"/>
  <c r="T722" i="1"/>
  <c r="K722" i="1"/>
  <c r="H722" i="1"/>
  <c r="C722" i="1"/>
  <c r="BE721" i="1"/>
  <c r="BC721" i="1"/>
  <c r="BA721" i="1"/>
  <c r="AY721" i="1"/>
  <c r="AU721" i="1"/>
  <c r="AS721" i="1"/>
  <c r="AK721" i="1"/>
  <c r="AG721" i="1"/>
  <c r="AE721" i="1"/>
  <c r="T721" i="1"/>
  <c r="K721" i="1"/>
  <c r="H721" i="1"/>
  <c r="C721" i="1"/>
  <c r="BE720" i="1"/>
  <c r="BC720" i="1"/>
  <c r="BA720" i="1"/>
  <c r="AY720" i="1"/>
  <c r="AU720" i="1"/>
  <c r="AS720" i="1"/>
  <c r="AK720" i="1"/>
  <c r="AG720" i="1"/>
  <c r="AE720" i="1"/>
  <c r="T720" i="1"/>
  <c r="K720" i="1"/>
  <c r="H720" i="1"/>
  <c r="C720" i="1"/>
  <c r="BE719" i="1"/>
  <c r="BC719" i="1"/>
  <c r="BA719" i="1"/>
  <c r="AY719" i="1"/>
  <c r="AU719" i="1"/>
  <c r="AS719" i="1"/>
  <c r="AK719" i="1"/>
  <c r="AG719" i="1"/>
  <c r="AE719" i="1"/>
  <c r="T719" i="1"/>
  <c r="K719" i="1"/>
  <c r="H719" i="1"/>
  <c r="C719" i="1"/>
  <c r="BE718" i="1"/>
  <c r="BC718" i="1"/>
  <c r="BA718" i="1"/>
  <c r="AY718" i="1"/>
  <c r="AU718" i="1"/>
  <c r="AS718" i="1"/>
  <c r="AK718" i="1"/>
  <c r="AG718" i="1"/>
  <c r="AE718" i="1"/>
  <c r="T718" i="1"/>
  <c r="K718" i="1"/>
  <c r="H718" i="1"/>
  <c r="C718" i="1"/>
  <c r="BE717" i="1"/>
  <c r="BC717" i="1"/>
  <c r="BA717" i="1"/>
  <c r="AY717" i="1"/>
  <c r="AU717" i="1"/>
  <c r="AS717" i="1"/>
  <c r="AK717" i="1"/>
  <c r="AG717" i="1"/>
  <c r="AE717" i="1"/>
  <c r="T717" i="1"/>
  <c r="K717" i="1"/>
  <c r="H717" i="1"/>
  <c r="C717" i="1"/>
  <c r="BE716" i="1"/>
  <c r="BC716" i="1"/>
  <c r="BA716" i="1"/>
  <c r="AY716" i="1"/>
  <c r="AU716" i="1"/>
  <c r="AS716" i="1"/>
  <c r="AK716" i="1"/>
  <c r="AG716" i="1"/>
  <c r="AE716" i="1"/>
  <c r="T716" i="1"/>
  <c r="K716" i="1"/>
  <c r="H716" i="1"/>
  <c r="C716" i="1"/>
  <c r="BE715" i="1"/>
  <c r="BC715" i="1"/>
  <c r="BA715" i="1"/>
  <c r="AY715" i="1"/>
  <c r="AU715" i="1"/>
  <c r="AS715" i="1"/>
  <c r="AK715" i="1"/>
  <c r="AG715" i="1"/>
  <c r="AE715" i="1"/>
  <c r="T715" i="1"/>
  <c r="K715" i="1"/>
  <c r="H715" i="1"/>
  <c r="C715" i="1"/>
  <c r="BE714" i="1"/>
  <c r="BC714" i="1"/>
  <c r="BA714" i="1"/>
  <c r="AY714" i="1"/>
  <c r="AU714" i="1"/>
  <c r="AS714" i="1"/>
  <c r="AK714" i="1"/>
  <c r="AG714" i="1"/>
  <c r="AE714" i="1"/>
  <c r="T714" i="1"/>
  <c r="K714" i="1"/>
  <c r="H714" i="1"/>
  <c r="C714" i="1"/>
  <c r="BE713" i="1"/>
  <c r="BC713" i="1"/>
  <c r="BA713" i="1"/>
  <c r="AY713" i="1"/>
  <c r="AU713" i="1"/>
  <c r="AS713" i="1"/>
  <c r="AK713" i="1"/>
  <c r="AG713" i="1"/>
  <c r="AE713" i="1"/>
  <c r="T713" i="1"/>
  <c r="K713" i="1"/>
  <c r="H713" i="1"/>
  <c r="C713" i="1"/>
  <c r="BE712" i="1"/>
  <c r="BC712" i="1"/>
  <c r="BA712" i="1"/>
  <c r="AY712" i="1"/>
  <c r="AU712" i="1"/>
  <c r="AS712" i="1"/>
  <c r="AK712" i="1"/>
  <c r="AG712" i="1"/>
  <c r="AE712" i="1"/>
  <c r="T712" i="1"/>
  <c r="K712" i="1"/>
  <c r="H712" i="1"/>
  <c r="C712" i="1"/>
  <c r="BE711" i="1"/>
  <c r="BC711" i="1"/>
  <c r="BA711" i="1"/>
  <c r="AY711" i="1"/>
  <c r="AU711" i="1"/>
  <c r="AS711" i="1"/>
  <c r="AK711" i="1"/>
  <c r="AG711" i="1"/>
  <c r="AE711" i="1"/>
  <c r="T711" i="1"/>
  <c r="K711" i="1"/>
  <c r="H711" i="1"/>
  <c r="C711" i="1"/>
  <c r="BE710" i="1"/>
  <c r="BC710" i="1"/>
  <c r="BA710" i="1"/>
  <c r="AY710" i="1"/>
  <c r="AU710" i="1"/>
  <c r="AS710" i="1"/>
  <c r="AK710" i="1"/>
  <c r="AG710" i="1"/>
  <c r="AE710" i="1"/>
  <c r="T710" i="1"/>
  <c r="K710" i="1"/>
  <c r="H710" i="1"/>
  <c r="C710" i="1"/>
  <c r="BE709" i="1"/>
  <c r="BC709" i="1"/>
  <c r="BA709" i="1"/>
  <c r="AY709" i="1"/>
  <c r="AU709" i="1"/>
  <c r="AS709" i="1"/>
  <c r="AK709" i="1"/>
  <c r="AG709" i="1"/>
  <c r="AE709" i="1"/>
  <c r="T709" i="1"/>
  <c r="K709" i="1"/>
  <c r="H709" i="1"/>
  <c r="C709" i="1"/>
  <c r="BE708" i="1"/>
  <c r="BC708" i="1"/>
  <c r="BA708" i="1"/>
  <c r="AY708" i="1"/>
  <c r="AU708" i="1"/>
  <c r="AS708" i="1"/>
  <c r="AK708" i="1"/>
  <c r="AG708" i="1"/>
  <c r="AE708" i="1"/>
  <c r="T708" i="1"/>
  <c r="K708" i="1"/>
  <c r="H708" i="1"/>
  <c r="C708" i="1"/>
  <c r="BE707" i="1"/>
  <c r="BC707" i="1"/>
  <c r="BA707" i="1"/>
  <c r="AY707" i="1"/>
  <c r="AU707" i="1"/>
  <c r="AS707" i="1"/>
  <c r="AK707" i="1"/>
  <c r="AG707" i="1"/>
  <c r="AE707" i="1"/>
  <c r="T707" i="1"/>
  <c r="K707" i="1"/>
  <c r="H707" i="1"/>
  <c r="C707" i="1"/>
  <c r="BE706" i="1"/>
  <c r="BC706" i="1"/>
  <c r="BA706" i="1"/>
  <c r="AY706" i="1"/>
  <c r="AU706" i="1"/>
  <c r="AS706" i="1"/>
  <c r="AK706" i="1"/>
  <c r="AG706" i="1"/>
  <c r="AE706" i="1"/>
  <c r="T706" i="1"/>
  <c r="K706" i="1"/>
  <c r="H706" i="1"/>
  <c r="C706" i="1"/>
  <c r="BE705" i="1"/>
  <c r="BC705" i="1"/>
  <c r="BA705" i="1"/>
  <c r="AY705" i="1"/>
  <c r="AU705" i="1"/>
  <c r="AS705" i="1"/>
  <c r="AK705" i="1"/>
  <c r="AG705" i="1"/>
  <c r="AE705" i="1"/>
  <c r="T705" i="1"/>
  <c r="K705" i="1"/>
  <c r="H705" i="1"/>
  <c r="C705" i="1"/>
  <c r="BE704" i="1"/>
  <c r="BC704" i="1"/>
  <c r="BA704" i="1"/>
  <c r="AY704" i="1"/>
  <c r="AU704" i="1"/>
  <c r="AS704" i="1"/>
  <c r="AK704" i="1"/>
  <c r="AG704" i="1"/>
  <c r="AE704" i="1"/>
  <c r="T704" i="1"/>
  <c r="K704" i="1"/>
  <c r="H704" i="1"/>
  <c r="C704" i="1"/>
  <c r="BE703" i="1"/>
  <c r="BC703" i="1"/>
  <c r="BA703" i="1"/>
  <c r="AY703" i="1"/>
  <c r="AU703" i="1"/>
  <c r="AS703" i="1"/>
  <c r="AK703" i="1"/>
  <c r="AG703" i="1"/>
  <c r="AE703" i="1"/>
  <c r="T703" i="1"/>
  <c r="K703" i="1"/>
  <c r="H703" i="1"/>
  <c r="C703" i="1"/>
  <c r="BE702" i="1"/>
  <c r="BC702" i="1"/>
  <c r="BA702" i="1"/>
  <c r="AY702" i="1"/>
  <c r="AU702" i="1"/>
  <c r="AS702" i="1"/>
  <c r="AK702" i="1"/>
  <c r="AG702" i="1"/>
  <c r="AE702" i="1"/>
  <c r="T702" i="1"/>
  <c r="K702" i="1"/>
  <c r="H702" i="1"/>
  <c r="C702" i="1"/>
  <c r="BE701" i="1"/>
  <c r="BC701" i="1"/>
  <c r="BA701" i="1"/>
  <c r="AY701" i="1"/>
  <c r="AU701" i="1"/>
  <c r="AS701" i="1"/>
  <c r="AK701" i="1"/>
  <c r="AG701" i="1"/>
  <c r="AE701" i="1"/>
  <c r="T701" i="1"/>
  <c r="K701" i="1"/>
  <c r="H701" i="1"/>
  <c r="C701" i="1"/>
  <c r="BE700" i="1"/>
  <c r="BC700" i="1"/>
  <c r="BA700" i="1"/>
  <c r="AY700" i="1"/>
  <c r="AU700" i="1"/>
  <c r="AS700" i="1"/>
  <c r="AK700" i="1"/>
  <c r="AG700" i="1"/>
  <c r="AE700" i="1"/>
  <c r="T700" i="1"/>
  <c r="K700" i="1"/>
  <c r="H700" i="1"/>
  <c r="C700" i="1"/>
  <c r="BE699" i="1"/>
  <c r="BC699" i="1"/>
  <c r="BA699" i="1"/>
  <c r="AY699" i="1"/>
  <c r="AU699" i="1"/>
  <c r="AS699" i="1"/>
  <c r="AK699" i="1"/>
  <c r="AG699" i="1"/>
  <c r="AE699" i="1"/>
  <c r="T699" i="1"/>
  <c r="K699" i="1"/>
  <c r="H699" i="1"/>
  <c r="C699" i="1"/>
  <c r="BE698" i="1"/>
  <c r="BC698" i="1"/>
  <c r="BA698" i="1"/>
  <c r="AY698" i="1"/>
  <c r="AU698" i="1"/>
  <c r="AS698" i="1"/>
  <c r="AK698" i="1"/>
  <c r="AG698" i="1"/>
  <c r="AE698" i="1"/>
  <c r="T698" i="1"/>
  <c r="K698" i="1"/>
  <c r="H698" i="1"/>
  <c r="C698" i="1"/>
  <c r="BE697" i="1"/>
  <c r="BC697" i="1"/>
  <c r="BA697" i="1"/>
  <c r="AY697" i="1"/>
  <c r="AU697" i="1"/>
  <c r="AS697" i="1"/>
  <c r="AK697" i="1"/>
  <c r="AG697" i="1"/>
  <c r="AE697" i="1"/>
  <c r="T697" i="1"/>
  <c r="K697" i="1"/>
  <c r="H697" i="1"/>
  <c r="C697" i="1"/>
  <c r="BE696" i="1"/>
  <c r="BC696" i="1"/>
  <c r="BA696" i="1"/>
  <c r="AY696" i="1"/>
  <c r="AU696" i="1"/>
  <c r="AS696" i="1"/>
  <c r="AK696" i="1"/>
  <c r="AG696" i="1"/>
  <c r="AE696" i="1"/>
  <c r="T696" i="1"/>
  <c r="K696" i="1"/>
  <c r="H696" i="1"/>
  <c r="C696" i="1"/>
  <c r="BE695" i="1"/>
  <c r="BC695" i="1"/>
  <c r="BA695" i="1"/>
  <c r="AY695" i="1"/>
  <c r="AU695" i="1"/>
  <c r="AS695" i="1"/>
  <c r="AK695" i="1"/>
  <c r="AG695" i="1"/>
  <c r="AE695" i="1"/>
  <c r="T695" i="1"/>
  <c r="K695" i="1"/>
  <c r="H695" i="1"/>
  <c r="C695" i="1"/>
  <c r="BE694" i="1"/>
  <c r="BC694" i="1"/>
  <c r="BA694" i="1"/>
  <c r="AY694" i="1"/>
  <c r="AU694" i="1"/>
  <c r="AS694" i="1"/>
  <c r="AK694" i="1"/>
  <c r="AG694" i="1"/>
  <c r="AE694" i="1"/>
  <c r="T694" i="1"/>
  <c r="K694" i="1"/>
  <c r="H694" i="1"/>
  <c r="C694" i="1"/>
  <c r="BE693" i="1"/>
  <c r="BC693" i="1"/>
  <c r="BA693" i="1"/>
  <c r="AY693" i="1"/>
  <c r="AU693" i="1"/>
  <c r="AS693" i="1"/>
  <c r="AK693" i="1"/>
  <c r="AG693" i="1"/>
  <c r="AE693" i="1"/>
  <c r="T693" i="1"/>
  <c r="K693" i="1"/>
  <c r="H693" i="1"/>
  <c r="C693" i="1"/>
  <c r="BE692" i="1"/>
  <c r="BC692" i="1"/>
  <c r="BA692" i="1"/>
  <c r="AY692" i="1"/>
  <c r="AU692" i="1"/>
  <c r="AS692" i="1"/>
  <c r="AK692" i="1"/>
  <c r="AG692" i="1"/>
  <c r="AE692" i="1"/>
  <c r="T692" i="1"/>
  <c r="K692" i="1"/>
  <c r="H692" i="1"/>
  <c r="C692" i="1"/>
  <c r="BE691" i="1"/>
  <c r="BC691" i="1"/>
  <c r="BA691" i="1"/>
  <c r="AY691" i="1"/>
  <c r="AU691" i="1"/>
  <c r="AS691" i="1"/>
  <c r="AK691" i="1"/>
  <c r="AG691" i="1"/>
  <c r="AE691" i="1"/>
  <c r="T691" i="1"/>
  <c r="K691" i="1"/>
  <c r="H691" i="1"/>
  <c r="C691" i="1"/>
  <c r="BE690" i="1"/>
  <c r="BC690" i="1"/>
  <c r="BA690" i="1"/>
  <c r="AY690" i="1"/>
  <c r="AU690" i="1"/>
  <c r="AS690" i="1"/>
  <c r="AK690" i="1"/>
  <c r="AG690" i="1"/>
  <c r="AE690" i="1"/>
  <c r="T690" i="1"/>
  <c r="K690" i="1"/>
  <c r="H690" i="1"/>
  <c r="C690" i="1"/>
  <c r="BE689" i="1"/>
  <c r="BC689" i="1"/>
  <c r="BA689" i="1"/>
  <c r="AY689" i="1"/>
  <c r="AU689" i="1"/>
  <c r="AS689" i="1"/>
  <c r="AK689" i="1"/>
  <c r="AG689" i="1"/>
  <c r="AE689" i="1"/>
  <c r="T689" i="1"/>
  <c r="K689" i="1"/>
  <c r="H689" i="1"/>
  <c r="C689" i="1"/>
  <c r="BE688" i="1"/>
  <c r="BC688" i="1"/>
  <c r="BA688" i="1"/>
  <c r="AY688" i="1"/>
  <c r="AU688" i="1"/>
  <c r="AS688" i="1"/>
  <c r="AK688" i="1"/>
  <c r="AG688" i="1"/>
  <c r="AE688" i="1"/>
  <c r="T688" i="1"/>
  <c r="K688" i="1"/>
  <c r="H688" i="1"/>
  <c r="C688" i="1"/>
  <c r="BE687" i="1"/>
  <c r="BC687" i="1"/>
  <c r="BA687" i="1"/>
  <c r="AY687" i="1"/>
  <c r="AU687" i="1"/>
  <c r="AS687" i="1"/>
  <c r="AK687" i="1"/>
  <c r="AG687" i="1"/>
  <c r="AE687" i="1"/>
  <c r="T687" i="1"/>
  <c r="K687" i="1"/>
  <c r="H687" i="1"/>
  <c r="C687" i="1"/>
  <c r="BE686" i="1"/>
  <c r="BC686" i="1"/>
  <c r="BA686" i="1"/>
  <c r="AY686" i="1"/>
  <c r="AU686" i="1"/>
  <c r="AS686" i="1"/>
  <c r="AK686" i="1"/>
  <c r="AG686" i="1"/>
  <c r="AE686" i="1"/>
  <c r="T686" i="1"/>
  <c r="K686" i="1"/>
  <c r="H686" i="1"/>
  <c r="C686" i="1"/>
  <c r="BE685" i="1"/>
  <c r="BC685" i="1"/>
  <c r="BA685" i="1"/>
  <c r="AY685" i="1"/>
  <c r="AU685" i="1"/>
  <c r="AS685" i="1"/>
  <c r="AK685" i="1"/>
  <c r="AG685" i="1"/>
  <c r="AE685" i="1"/>
  <c r="T685" i="1"/>
  <c r="K685" i="1"/>
  <c r="H685" i="1"/>
  <c r="C685" i="1"/>
  <c r="BE684" i="1"/>
  <c r="BC684" i="1"/>
  <c r="BA684" i="1"/>
  <c r="AY684" i="1"/>
  <c r="AU684" i="1"/>
  <c r="AS684" i="1"/>
  <c r="AK684" i="1"/>
  <c r="AG684" i="1"/>
  <c r="AE684" i="1"/>
  <c r="T684" i="1"/>
  <c r="K684" i="1"/>
  <c r="H684" i="1"/>
  <c r="C684" i="1"/>
  <c r="BE683" i="1"/>
  <c r="BC683" i="1"/>
  <c r="BA683" i="1"/>
  <c r="AY683" i="1"/>
  <c r="AU683" i="1"/>
  <c r="AS683" i="1"/>
  <c r="AK683" i="1"/>
  <c r="AG683" i="1"/>
  <c r="AE683" i="1"/>
  <c r="T683" i="1"/>
  <c r="K683" i="1"/>
  <c r="H683" i="1"/>
  <c r="C683" i="1"/>
  <c r="BE682" i="1"/>
  <c r="BC682" i="1"/>
  <c r="BA682" i="1"/>
  <c r="AY682" i="1"/>
  <c r="AU682" i="1"/>
  <c r="AS682" i="1"/>
  <c r="AK682" i="1"/>
  <c r="AG682" i="1"/>
  <c r="AE682" i="1"/>
  <c r="T682" i="1"/>
  <c r="K682" i="1"/>
  <c r="H682" i="1"/>
  <c r="C682" i="1"/>
  <c r="BE681" i="1"/>
  <c r="BC681" i="1"/>
  <c r="BA681" i="1"/>
  <c r="AY681" i="1"/>
  <c r="AU681" i="1"/>
  <c r="AS681" i="1"/>
  <c r="AK681" i="1"/>
  <c r="AG681" i="1"/>
  <c r="AE681" i="1"/>
  <c r="T681" i="1"/>
  <c r="K681" i="1"/>
  <c r="H681" i="1"/>
  <c r="C681" i="1"/>
  <c r="BE680" i="1"/>
  <c r="BC680" i="1"/>
  <c r="BA680" i="1"/>
  <c r="AY680" i="1"/>
  <c r="AU680" i="1"/>
  <c r="AS680" i="1"/>
  <c r="AK680" i="1"/>
  <c r="AG680" i="1"/>
  <c r="AE680" i="1"/>
  <c r="T680" i="1"/>
  <c r="K680" i="1"/>
  <c r="H680" i="1"/>
  <c r="C680" i="1"/>
  <c r="BE679" i="1"/>
  <c r="BC679" i="1"/>
  <c r="BA679" i="1"/>
  <c r="AY679" i="1"/>
  <c r="AU679" i="1"/>
  <c r="AS679" i="1"/>
  <c r="AK679" i="1"/>
  <c r="AG679" i="1"/>
  <c r="AE679" i="1"/>
  <c r="T679" i="1"/>
  <c r="K679" i="1"/>
  <c r="H679" i="1"/>
  <c r="C679" i="1"/>
  <c r="BE678" i="1"/>
  <c r="BC678" i="1"/>
  <c r="BA678" i="1"/>
  <c r="AY678" i="1"/>
  <c r="AU678" i="1"/>
  <c r="AS678" i="1"/>
  <c r="AK678" i="1"/>
  <c r="AG678" i="1"/>
  <c r="AE678" i="1"/>
  <c r="T678" i="1"/>
  <c r="K678" i="1"/>
  <c r="H678" i="1"/>
  <c r="C678" i="1"/>
  <c r="BE677" i="1"/>
  <c r="BC677" i="1"/>
  <c r="BA677" i="1"/>
  <c r="AY677" i="1"/>
  <c r="AU677" i="1"/>
  <c r="AS677" i="1"/>
  <c r="AK677" i="1"/>
  <c r="AG677" i="1"/>
  <c r="AE677" i="1"/>
  <c r="T677" i="1"/>
  <c r="K677" i="1"/>
  <c r="H677" i="1"/>
  <c r="C677" i="1"/>
  <c r="BE676" i="1"/>
  <c r="BC676" i="1"/>
  <c r="BA676" i="1"/>
  <c r="AY676" i="1"/>
  <c r="AU676" i="1"/>
  <c r="AS676" i="1"/>
  <c r="AK676" i="1"/>
  <c r="AG676" i="1"/>
  <c r="AE676" i="1"/>
  <c r="T676" i="1"/>
  <c r="K676" i="1"/>
  <c r="H676" i="1"/>
  <c r="C676" i="1"/>
  <c r="BE675" i="1"/>
  <c r="BC675" i="1"/>
  <c r="BA675" i="1"/>
  <c r="AY675" i="1"/>
  <c r="AU675" i="1"/>
  <c r="AS675" i="1"/>
  <c r="AK675" i="1"/>
  <c r="AG675" i="1"/>
  <c r="AE675" i="1"/>
  <c r="T675" i="1"/>
  <c r="K675" i="1"/>
  <c r="H675" i="1"/>
  <c r="C675" i="1"/>
  <c r="BE674" i="1"/>
  <c r="BC674" i="1"/>
  <c r="BA674" i="1"/>
  <c r="AY674" i="1"/>
  <c r="AU674" i="1"/>
  <c r="AS674" i="1"/>
  <c r="AK674" i="1"/>
  <c r="AG674" i="1"/>
  <c r="AE674" i="1"/>
  <c r="T674" i="1"/>
  <c r="K674" i="1"/>
  <c r="H674" i="1"/>
  <c r="C674" i="1"/>
  <c r="BE673" i="1"/>
  <c r="BC673" i="1"/>
  <c r="BA673" i="1"/>
  <c r="AY673" i="1"/>
  <c r="AU673" i="1"/>
  <c r="AS673" i="1"/>
  <c r="AK673" i="1"/>
  <c r="AG673" i="1"/>
  <c r="AE673" i="1"/>
  <c r="T673" i="1"/>
  <c r="K673" i="1"/>
  <c r="H673" i="1"/>
  <c r="C673" i="1"/>
  <c r="BE672" i="1"/>
  <c r="BC672" i="1"/>
  <c r="BA672" i="1"/>
  <c r="AY672" i="1"/>
  <c r="AU672" i="1"/>
  <c r="AS672" i="1"/>
  <c r="AK672" i="1"/>
  <c r="AG672" i="1"/>
  <c r="AE672" i="1"/>
  <c r="T672" i="1"/>
  <c r="K672" i="1"/>
  <c r="H672" i="1"/>
  <c r="C672" i="1"/>
  <c r="BE671" i="1"/>
  <c r="BC671" i="1"/>
  <c r="BA671" i="1"/>
  <c r="AY671" i="1"/>
  <c r="AU671" i="1"/>
  <c r="AS671" i="1"/>
  <c r="AK671" i="1"/>
  <c r="AG671" i="1"/>
  <c r="AE671" i="1"/>
  <c r="T671" i="1"/>
  <c r="K671" i="1"/>
  <c r="H671" i="1"/>
  <c r="C671" i="1"/>
  <c r="BE670" i="1"/>
  <c r="BC670" i="1"/>
  <c r="BA670" i="1"/>
  <c r="AY670" i="1"/>
  <c r="AU670" i="1"/>
  <c r="AS670" i="1"/>
  <c r="AK670" i="1"/>
  <c r="AG670" i="1"/>
  <c r="AE670" i="1"/>
  <c r="T670" i="1"/>
  <c r="K670" i="1"/>
  <c r="H670" i="1"/>
  <c r="C670" i="1"/>
  <c r="BE669" i="1"/>
  <c r="BC669" i="1"/>
  <c r="BA669" i="1"/>
  <c r="AY669" i="1"/>
  <c r="AU669" i="1"/>
  <c r="AS669" i="1"/>
  <c r="AK669" i="1"/>
  <c r="AG669" i="1"/>
  <c r="AE669" i="1"/>
  <c r="T669" i="1"/>
  <c r="K669" i="1"/>
  <c r="H669" i="1"/>
  <c r="C669" i="1"/>
  <c r="BE668" i="1"/>
  <c r="BC668" i="1"/>
  <c r="BA668" i="1"/>
  <c r="AY668" i="1"/>
  <c r="AU668" i="1"/>
  <c r="AS668" i="1"/>
  <c r="AK668" i="1"/>
  <c r="AG668" i="1"/>
  <c r="AE668" i="1"/>
  <c r="T668" i="1"/>
  <c r="K668" i="1"/>
  <c r="H668" i="1"/>
  <c r="C668" i="1"/>
  <c r="BE667" i="1"/>
  <c r="BC667" i="1"/>
  <c r="BA667" i="1"/>
  <c r="AY667" i="1"/>
  <c r="AU667" i="1"/>
  <c r="AS667" i="1"/>
  <c r="AK667" i="1"/>
  <c r="AG667" i="1"/>
  <c r="AE667" i="1"/>
  <c r="T667" i="1"/>
  <c r="K667" i="1"/>
  <c r="H667" i="1"/>
  <c r="C667" i="1"/>
  <c r="BE666" i="1"/>
  <c r="BC666" i="1"/>
  <c r="BA666" i="1"/>
  <c r="AY666" i="1"/>
  <c r="AU666" i="1"/>
  <c r="AS666" i="1"/>
  <c r="AK666" i="1"/>
  <c r="AG666" i="1"/>
  <c r="AE666" i="1"/>
  <c r="T666" i="1"/>
  <c r="K666" i="1"/>
  <c r="H666" i="1"/>
  <c r="C666" i="1"/>
  <c r="BE665" i="1"/>
  <c r="BC665" i="1"/>
  <c r="BA665" i="1"/>
  <c r="AY665" i="1"/>
  <c r="AU665" i="1"/>
  <c r="AS665" i="1"/>
  <c r="AK665" i="1"/>
  <c r="AG665" i="1"/>
  <c r="AE665" i="1"/>
  <c r="T665" i="1"/>
  <c r="K665" i="1"/>
  <c r="H665" i="1"/>
  <c r="C665" i="1"/>
  <c r="BE664" i="1"/>
  <c r="BC664" i="1"/>
  <c r="BA664" i="1"/>
  <c r="AY664" i="1"/>
  <c r="AU664" i="1"/>
  <c r="AS664" i="1"/>
  <c r="AK664" i="1"/>
  <c r="AG664" i="1"/>
  <c r="AE664" i="1"/>
  <c r="T664" i="1"/>
  <c r="K664" i="1"/>
  <c r="H664" i="1"/>
  <c r="C664" i="1"/>
  <c r="BE663" i="1"/>
  <c r="BC663" i="1"/>
  <c r="BA663" i="1"/>
  <c r="AY663" i="1"/>
  <c r="AU663" i="1"/>
  <c r="AS663" i="1"/>
  <c r="AK663" i="1"/>
  <c r="AG663" i="1"/>
  <c r="AE663" i="1"/>
  <c r="T663" i="1"/>
  <c r="K663" i="1"/>
  <c r="H663" i="1"/>
  <c r="C663" i="1"/>
  <c r="BE662" i="1"/>
  <c r="BC662" i="1"/>
  <c r="BA662" i="1"/>
  <c r="AY662" i="1"/>
  <c r="AU662" i="1"/>
  <c r="AS662" i="1"/>
  <c r="AK662" i="1"/>
  <c r="AG662" i="1"/>
  <c r="AE662" i="1"/>
  <c r="T662" i="1"/>
  <c r="K662" i="1"/>
  <c r="H662" i="1"/>
  <c r="C662" i="1"/>
  <c r="BE661" i="1"/>
  <c r="BC661" i="1"/>
  <c r="BA661" i="1"/>
  <c r="AY661" i="1"/>
  <c r="AU661" i="1"/>
  <c r="AS661" i="1"/>
  <c r="AK661" i="1"/>
  <c r="AG661" i="1"/>
  <c r="AE661" i="1"/>
  <c r="T661" i="1"/>
  <c r="K661" i="1"/>
  <c r="H661" i="1"/>
  <c r="C661" i="1"/>
  <c r="BE660" i="1"/>
  <c r="BC660" i="1"/>
  <c r="BA660" i="1"/>
  <c r="AY660" i="1"/>
  <c r="AU660" i="1"/>
  <c r="AS660" i="1"/>
  <c r="AK660" i="1"/>
  <c r="AG660" i="1"/>
  <c r="AE660" i="1"/>
  <c r="T660" i="1"/>
  <c r="K660" i="1"/>
  <c r="H660" i="1"/>
  <c r="C660" i="1"/>
  <c r="BE659" i="1"/>
  <c r="BC659" i="1"/>
  <c r="BA659" i="1"/>
  <c r="AY659" i="1"/>
  <c r="AU659" i="1"/>
  <c r="AS659" i="1"/>
  <c r="AK659" i="1"/>
  <c r="AG659" i="1"/>
  <c r="AE659" i="1"/>
  <c r="T659" i="1"/>
  <c r="K659" i="1"/>
  <c r="H659" i="1"/>
  <c r="C659" i="1"/>
  <c r="BE658" i="1"/>
  <c r="BC658" i="1"/>
  <c r="BA658" i="1"/>
  <c r="AY658" i="1"/>
  <c r="AU658" i="1"/>
  <c r="AS658" i="1"/>
  <c r="AK658" i="1"/>
  <c r="AG658" i="1"/>
  <c r="AE658" i="1"/>
  <c r="T658" i="1"/>
  <c r="K658" i="1"/>
  <c r="H658" i="1"/>
  <c r="C658" i="1"/>
  <c r="BE657" i="1"/>
  <c r="BC657" i="1"/>
  <c r="BA657" i="1"/>
  <c r="AY657" i="1"/>
  <c r="AU657" i="1"/>
  <c r="AS657" i="1"/>
  <c r="AK657" i="1"/>
  <c r="AG657" i="1"/>
  <c r="AE657" i="1"/>
  <c r="T657" i="1"/>
  <c r="K657" i="1"/>
  <c r="H657" i="1"/>
  <c r="C657" i="1"/>
  <c r="BE656" i="1"/>
  <c r="BC656" i="1"/>
  <c r="BA656" i="1"/>
  <c r="AY656" i="1"/>
  <c r="AU656" i="1"/>
  <c r="AS656" i="1"/>
  <c r="AK656" i="1"/>
  <c r="AG656" i="1"/>
  <c r="AE656" i="1"/>
  <c r="T656" i="1"/>
  <c r="K656" i="1"/>
  <c r="H656" i="1"/>
  <c r="C656" i="1"/>
  <c r="BE655" i="1"/>
  <c r="BC655" i="1"/>
  <c r="BA655" i="1"/>
  <c r="AY655" i="1"/>
  <c r="AU655" i="1"/>
  <c r="AS655" i="1"/>
  <c r="AK655" i="1"/>
  <c r="AG655" i="1"/>
  <c r="AE655" i="1"/>
  <c r="T655" i="1"/>
  <c r="K655" i="1"/>
  <c r="H655" i="1"/>
  <c r="C655" i="1"/>
  <c r="BE654" i="1"/>
  <c r="BC654" i="1"/>
  <c r="BA654" i="1"/>
  <c r="AY654" i="1"/>
  <c r="AU654" i="1"/>
  <c r="AS654" i="1"/>
  <c r="AK654" i="1"/>
  <c r="AG654" i="1"/>
  <c r="AE654" i="1"/>
  <c r="T654" i="1"/>
  <c r="K654" i="1"/>
  <c r="H654" i="1"/>
  <c r="C654" i="1"/>
  <c r="BE653" i="1"/>
  <c r="BC653" i="1"/>
  <c r="BA653" i="1"/>
  <c r="AY653" i="1"/>
  <c r="AU653" i="1"/>
  <c r="AS653" i="1"/>
  <c r="AK653" i="1"/>
  <c r="AG653" i="1"/>
  <c r="AE653" i="1"/>
  <c r="T653" i="1"/>
  <c r="K653" i="1"/>
  <c r="H653" i="1"/>
  <c r="C653" i="1"/>
  <c r="BE652" i="1"/>
  <c r="BC652" i="1"/>
  <c r="BA652" i="1"/>
  <c r="AY652" i="1"/>
  <c r="AU652" i="1"/>
  <c r="AS652" i="1"/>
  <c r="AK652" i="1"/>
  <c r="AG652" i="1"/>
  <c r="AE652" i="1"/>
  <c r="T652" i="1"/>
  <c r="K652" i="1"/>
  <c r="H652" i="1"/>
  <c r="C652" i="1"/>
  <c r="BE651" i="1"/>
  <c r="BC651" i="1"/>
  <c r="BA651" i="1"/>
  <c r="AY651" i="1"/>
  <c r="AU651" i="1"/>
  <c r="AS651" i="1"/>
  <c r="AK651" i="1"/>
  <c r="AG651" i="1"/>
  <c r="AE651" i="1"/>
  <c r="T651" i="1"/>
  <c r="K651" i="1"/>
  <c r="H651" i="1"/>
  <c r="C651" i="1"/>
  <c r="BE650" i="1"/>
  <c r="BC650" i="1"/>
  <c r="BA650" i="1"/>
  <c r="AY650" i="1"/>
  <c r="AU650" i="1"/>
  <c r="AS650" i="1"/>
  <c r="AK650" i="1"/>
  <c r="AG650" i="1"/>
  <c r="AE650" i="1"/>
  <c r="T650" i="1"/>
  <c r="K650" i="1"/>
  <c r="H650" i="1"/>
  <c r="C650" i="1"/>
  <c r="BE649" i="1"/>
  <c r="BC649" i="1"/>
  <c r="BA649" i="1"/>
  <c r="AY649" i="1"/>
  <c r="AU649" i="1"/>
  <c r="AS649" i="1"/>
  <c r="AK649" i="1"/>
  <c r="AG649" i="1"/>
  <c r="AE649" i="1"/>
  <c r="T649" i="1"/>
  <c r="K649" i="1"/>
  <c r="H649" i="1"/>
  <c r="C649" i="1"/>
  <c r="BE648" i="1"/>
  <c r="BC648" i="1"/>
  <c r="BA648" i="1"/>
  <c r="AY648" i="1"/>
  <c r="AU648" i="1"/>
  <c r="AS648" i="1"/>
  <c r="AK648" i="1"/>
  <c r="AG648" i="1"/>
  <c r="AE648" i="1"/>
  <c r="T648" i="1"/>
  <c r="K648" i="1"/>
  <c r="H648" i="1"/>
  <c r="C648" i="1"/>
  <c r="BE647" i="1"/>
  <c r="BC647" i="1"/>
  <c r="BA647" i="1"/>
  <c r="AY647" i="1"/>
  <c r="AU647" i="1"/>
  <c r="AS647" i="1"/>
  <c r="AK647" i="1"/>
  <c r="AG647" i="1"/>
  <c r="AE647" i="1"/>
  <c r="T647" i="1"/>
  <c r="K647" i="1"/>
  <c r="H647" i="1"/>
  <c r="C647" i="1"/>
  <c r="BE646" i="1"/>
  <c r="BC646" i="1"/>
  <c r="BA646" i="1"/>
  <c r="AY646" i="1"/>
  <c r="AU646" i="1"/>
  <c r="AS646" i="1"/>
  <c r="AK646" i="1"/>
  <c r="AG646" i="1"/>
  <c r="AE646" i="1"/>
  <c r="T646" i="1"/>
  <c r="K646" i="1"/>
  <c r="H646" i="1"/>
  <c r="C646" i="1"/>
  <c r="BE645" i="1"/>
  <c r="BC645" i="1"/>
  <c r="BA645" i="1"/>
  <c r="AY645" i="1"/>
  <c r="AU645" i="1"/>
  <c r="AS645" i="1"/>
  <c r="AK645" i="1"/>
  <c r="AG645" i="1"/>
  <c r="AE645" i="1"/>
  <c r="T645" i="1"/>
  <c r="K645" i="1"/>
  <c r="H645" i="1"/>
  <c r="C645" i="1"/>
  <c r="BE644" i="1"/>
  <c r="BC644" i="1"/>
  <c r="BA644" i="1"/>
  <c r="AY644" i="1"/>
  <c r="AU644" i="1"/>
  <c r="AS644" i="1"/>
  <c r="AK644" i="1"/>
  <c r="AG644" i="1"/>
  <c r="AE644" i="1"/>
  <c r="T644" i="1"/>
  <c r="K644" i="1"/>
  <c r="H644" i="1"/>
  <c r="C644" i="1"/>
  <c r="BE643" i="1"/>
  <c r="BC643" i="1"/>
  <c r="BA643" i="1"/>
  <c r="AY643" i="1"/>
  <c r="AU643" i="1"/>
  <c r="AS643" i="1"/>
  <c r="AK643" i="1"/>
  <c r="AG643" i="1"/>
  <c r="AE643" i="1"/>
  <c r="T643" i="1"/>
  <c r="K643" i="1"/>
  <c r="H643" i="1"/>
  <c r="C643" i="1"/>
  <c r="BE642" i="1"/>
  <c r="BC642" i="1"/>
  <c r="BA642" i="1"/>
  <c r="AY642" i="1"/>
  <c r="AU642" i="1"/>
  <c r="AS642" i="1"/>
  <c r="AK642" i="1"/>
  <c r="AG642" i="1"/>
  <c r="AE642" i="1"/>
  <c r="T642" i="1"/>
  <c r="K642" i="1"/>
  <c r="H642" i="1"/>
  <c r="C642" i="1"/>
  <c r="BE641" i="1"/>
  <c r="BC641" i="1"/>
  <c r="BA641" i="1"/>
  <c r="AY641" i="1"/>
  <c r="AU641" i="1"/>
  <c r="AS641" i="1"/>
  <c r="AK641" i="1"/>
  <c r="AG641" i="1"/>
  <c r="AE641" i="1"/>
  <c r="T641" i="1"/>
  <c r="K641" i="1"/>
  <c r="H641" i="1"/>
  <c r="C641" i="1"/>
  <c r="BE640" i="1"/>
  <c r="BC640" i="1"/>
  <c r="BA640" i="1"/>
  <c r="AY640" i="1"/>
  <c r="AU640" i="1"/>
  <c r="AS640" i="1"/>
  <c r="AK640" i="1"/>
  <c r="AG640" i="1"/>
  <c r="AE640" i="1"/>
  <c r="T640" i="1"/>
  <c r="K640" i="1"/>
  <c r="H640" i="1"/>
  <c r="C640" i="1"/>
  <c r="BE639" i="1"/>
  <c r="BC639" i="1"/>
  <c r="BA639" i="1"/>
  <c r="AY639" i="1"/>
  <c r="AU639" i="1"/>
  <c r="AS639" i="1"/>
  <c r="AK639" i="1"/>
  <c r="AG639" i="1"/>
  <c r="AE639" i="1"/>
  <c r="T639" i="1"/>
  <c r="K639" i="1"/>
  <c r="H639" i="1"/>
  <c r="C639" i="1"/>
  <c r="BE638" i="1"/>
  <c r="BC638" i="1"/>
  <c r="BA638" i="1"/>
  <c r="AY638" i="1"/>
  <c r="AU638" i="1"/>
  <c r="AS638" i="1"/>
  <c r="AK638" i="1"/>
  <c r="AG638" i="1"/>
  <c r="AE638" i="1"/>
  <c r="T638" i="1"/>
  <c r="K638" i="1"/>
  <c r="H638" i="1"/>
  <c r="C638" i="1"/>
  <c r="BE637" i="1"/>
  <c r="BC637" i="1"/>
  <c r="BA637" i="1"/>
  <c r="AY637" i="1"/>
  <c r="AU637" i="1"/>
  <c r="AS637" i="1"/>
  <c r="AK637" i="1"/>
  <c r="AG637" i="1"/>
  <c r="AE637" i="1"/>
  <c r="T637" i="1"/>
  <c r="K637" i="1"/>
  <c r="H637" i="1"/>
  <c r="C637" i="1"/>
  <c r="BE636" i="1"/>
  <c r="BC636" i="1"/>
  <c r="BA636" i="1"/>
  <c r="AY636" i="1"/>
  <c r="AU636" i="1"/>
  <c r="AS636" i="1"/>
  <c r="AK636" i="1"/>
  <c r="AG636" i="1"/>
  <c r="AE636" i="1"/>
  <c r="T636" i="1"/>
  <c r="K636" i="1"/>
  <c r="H636" i="1"/>
  <c r="C636" i="1"/>
  <c r="BE635" i="1"/>
  <c r="BC635" i="1"/>
  <c r="BA635" i="1"/>
  <c r="AY635" i="1"/>
  <c r="AU635" i="1"/>
  <c r="AS635" i="1"/>
  <c r="AK635" i="1"/>
  <c r="AG635" i="1"/>
  <c r="AE635" i="1"/>
  <c r="T635" i="1"/>
  <c r="K635" i="1"/>
  <c r="H635" i="1"/>
  <c r="C635" i="1"/>
  <c r="BE634" i="1"/>
  <c r="BC634" i="1"/>
  <c r="BA634" i="1"/>
  <c r="AY634" i="1"/>
  <c r="AU634" i="1"/>
  <c r="AS634" i="1"/>
  <c r="AK634" i="1"/>
  <c r="AG634" i="1"/>
  <c r="AE634" i="1"/>
  <c r="T634" i="1"/>
  <c r="K634" i="1"/>
  <c r="H634" i="1"/>
  <c r="C634" i="1"/>
  <c r="BE633" i="1"/>
  <c r="BC633" i="1"/>
  <c r="BA633" i="1"/>
  <c r="AY633" i="1"/>
  <c r="AU633" i="1"/>
  <c r="AS633" i="1"/>
  <c r="AK633" i="1"/>
  <c r="AG633" i="1"/>
  <c r="AE633" i="1"/>
  <c r="T633" i="1"/>
  <c r="K633" i="1"/>
  <c r="H633" i="1"/>
  <c r="C633" i="1"/>
  <c r="BE632" i="1"/>
  <c r="BC632" i="1"/>
  <c r="BA632" i="1"/>
  <c r="AY632" i="1"/>
  <c r="AU632" i="1"/>
  <c r="AS632" i="1"/>
  <c r="AK632" i="1"/>
  <c r="AG632" i="1"/>
  <c r="AE632" i="1"/>
  <c r="T632" i="1"/>
  <c r="K632" i="1"/>
  <c r="H632" i="1"/>
  <c r="C632" i="1"/>
  <c r="BE631" i="1"/>
  <c r="BC631" i="1"/>
  <c r="BA631" i="1"/>
  <c r="AY631" i="1"/>
  <c r="AU631" i="1"/>
  <c r="AS631" i="1"/>
  <c r="AK631" i="1"/>
  <c r="AG631" i="1"/>
  <c r="AE631" i="1"/>
  <c r="T631" i="1"/>
  <c r="K631" i="1"/>
  <c r="H631" i="1"/>
  <c r="C631" i="1"/>
  <c r="BE630" i="1"/>
  <c r="BC630" i="1"/>
  <c r="BA630" i="1"/>
  <c r="AY630" i="1"/>
  <c r="AU630" i="1"/>
  <c r="AS630" i="1"/>
  <c r="AK630" i="1"/>
  <c r="AG630" i="1"/>
  <c r="AE630" i="1"/>
  <c r="T630" i="1"/>
  <c r="K630" i="1"/>
  <c r="H630" i="1"/>
  <c r="C630" i="1"/>
  <c r="BE629" i="1"/>
  <c r="BC629" i="1"/>
  <c r="BA629" i="1"/>
  <c r="AY629" i="1"/>
  <c r="AU629" i="1"/>
  <c r="AS629" i="1"/>
  <c r="AK629" i="1"/>
  <c r="AG629" i="1"/>
  <c r="AE629" i="1"/>
  <c r="T629" i="1"/>
  <c r="K629" i="1"/>
  <c r="H629" i="1"/>
  <c r="C629" i="1"/>
  <c r="BE628" i="1"/>
  <c r="BC628" i="1"/>
  <c r="BA628" i="1"/>
  <c r="AY628" i="1"/>
  <c r="AU628" i="1"/>
  <c r="AS628" i="1"/>
  <c r="AK628" i="1"/>
  <c r="AG628" i="1"/>
  <c r="AE628" i="1"/>
  <c r="T628" i="1"/>
  <c r="K628" i="1"/>
  <c r="H628" i="1"/>
  <c r="C628" i="1"/>
  <c r="BE627" i="1"/>
  <c r="BC627" i="1"/>
  <c r="BA627" i="1"/>
  <c r="AY627" i="1"/>
  <c r="AU627" i="1"/>
  <c r="AS627" i="1"/>
  <c r="AK627" i="1"/>
  <c r="AG627" i="1"/>
  <c r="AE627" i="1"/>
  <c r="T627" i="1"/>
  <c r="K627" i="1"/>
  <c r="H627" i="1"/>
  <c r="C627" i="1"/>
  <c r="BE626" i="1"/>
  <c r="BC626" i="1"/>
  <c r="BA626" i="1"/>
  <c r="AY626" i="1"/>
  <c r="AU626" i="1"/>
  <c r="AS626" i="1"/>
  <c r="AK626" i="1"/>
  <c r="AG626" i="1"/>
  <c r="AE626" i="1"/>
  <c r="T626" i="1"/>
  <c r="K626" i="1"/>
  <c r="H626" i="1"/>
  <c r="C626" i="1"/>
  <c r="BE625" i="1"/>
  <c r="BC625" i="1"/>
  <c r="BA625" i="1"/>
  <c r="AY625" i="1"/>
  <c r="AU625" i="1"/>
  <c r="AS625" i="1"/>
  <c r="AK625" i="1"/>
  <c r="AG625" i="1"/>
  <c r="AE625" i="1"/>
  <c r="T625" i="1"/>
  <c r="K625" i="1"/>
  <c r="H625" i="1"/>
  <c r="C625" i="1"/>
  <c r="BE624" i="1"/>
  <c r="BC624" i="1"/>
  <c r="BA624" i="1"/>
  <c r="AY624" i="1"/>
  <c r="AU624" i="1"/>
  <c r="AS624" i="1"/>
  <c r="AK624" i="1"/>
  <c r="AG624" i="1"/>
  <c r="AE624" i="1"/>
  <c r="T624" i="1"/>
  <c r="K624" i="1"/>
  <c r="H624" i="1"/>
  <c r="C624" i="1"/>
  <c r="BE623" i="1"/>
  <c r="BC623" i="1"/>
  <c r="BA623" i="1"/>
  <c r="AY623" i="1"/>
  <c r="AU623" i="1"/>
  <c r="AS623" i="1"/>
  <c r="AK623" i="1"/>
  <c r="AG623" i="1"/>
  <c r="AE623" i="1"/>
  <c r="T623" i="1"/>
  <c r="K623" i="1"/>
  <c r="H623" i="1"/>
  <c r="C623" i="1"/>
  <c r="BE622" i="1"/>
  <c r="BC622" i="1"/>
  <c r="BA622" i="1"/>
  <c r="AY622" i="1"/>
  <c r="AU622" i="1"/>
  <c r="AS622" i="1"/>
  <c r="AK622" i="1"/>
  <c r="AG622" i="1"/>
  <c r="AE622" i="1"/>
  <c r="T622" i="1"/>
  <c r="K622" i="1"/>
  <c r="H622" i="1"/>
  <c r="C622" i="1"/>
  <c r="BE621" i="1"/>
  <c r="BC621" i="1"/>
  <c r="BA621" i="1"/>
  <c r="AY621" i="1"/>
  <c r="AU621" i="1"/>
  <c r="AS621" i="1"/>
  <c r="AK621" i="1"/>
  <c r="AG621" i="1"/>
  <c r="AE621" i="1"/>
  <c r="T621" i="1"/>
  <c r="K621" i="1"/>
  <c r="H621" i="1"/>
  <c r="C621" i="1"/>
  <c r="BE620" i="1"/>
  <c r="BC620" i="1"/>
  <c r="BA620" i="1"/>
  <c r="AY620" i="1"/>
  <c r="AU620" i="1"/>
  <c r="AS620" i="1"/>
  <c r="AK620" i="1"/>
  <c r="AG620" i="1"/>
  <c r="AE620" i="1"/>
  <c r="T620" i="1"/>
  <c r="K620" i="1"/>
  <c r="H620" i="1"/>
  <c r="C620" i="1"/>
  <c r="BE619" i="1"/>
  <c r="BC619" i="1"/>
  <c r="BA619" i="1"/>
  <c r="AY619" i="1"/>
  <c r="AU619" i="1"/>
  <c r="AS619" i="1"/>
  <c r="AK619" i="1"/>
  <c r="AG619" i="1"/>
  <c r="AE619" i="1"/>
  <c r="T619" i="1"/>
  <c r="K619" i="1"/>
  <c r="H619" i="1"/>
  <c r="C619" i="1"/>
  <c r="BE618" i="1"/>
  <c r="BC618" i="1"/>
  <c r="BA618" i="1"/>
  <c r="AY618" i="1"/>
  <c r="AU618" i="1"/>
  <c r="AS618" i="1"/>
  <c r="AK618" i="1"/>
  <c r="AG618" i="1"/>
  <c r="AE618" i="1"/>
  <c r="T618" i="1"/>
  <c r="K618" i="1"/>
  <c r="H618" i="1"/>
  <c r="C618" i="1"/>
  <c r="BE617" i="1"/>
  <c r="BC617" i="1"/>
  <c r="BA617" i="1"/>
  <c r="AY617" i="1"/>
  <c r="AU617" i="1"/>
  <c r="AS617" i="1"/>
  <c r="AK617" i="1"/>
  <c r="AG617" i="1"/>
  <c r="AE617" i="1"/>
  <c r="T617" i="1"/>
  <c r="K617" i="1"/>
  <c r="H617" i="1"/>
  <c r="C617" i="1"/>
  <c r="BE616" i="1"/>
  <c r="BC616" i="1"/>
  <c r="BA616" i="1"/>
  <c r="AY616" i="1"/>
  <c r="AU616" i="1"/>
  <c r="AS616" i="1"/>
  <c r="AK616" i="1"/>
  <c r="AG616" i="1"/>
  <c r="AE616" i="1"/>
  <c r="T616" i="1"/>
  <c r="K616" i="1"/>
  <c r="H616" i="1"/>
  <c r="C616" i="1"/>
  <c r="BE615" i="1"/>
  <c r="BC615" i="1"/>
  <c r="BA615" i="1"/>
  <c r="AY615" i="1"/>
  <c r="AU615" i="1"/>
  <c r="AS615" i="1"/>
  <c r="AK615" i="1"/>
  <c r="AG615" i="1"/>
  <c r="AE615" i="1"/>
  <c r="T615" i="1"/>
  <c r="K615" i="1"/>
  <c r="H615" i="1"/>
  <c r="C615" i="1"/>
  <c r="BE614" i="1"/>
  <c r="BC614" i="1"/>
  <c r="BA614" i="1"/>
  <c r="AY614" i="1"/>
  <c r="AU614" i="1"/>
  <c r="AS614" i="1"/>
  <c r="AK614" i="1"/>
  <c r="AG614" i="1"/>
  <c r="AE614" i="1"/>
  <c r="T614" i="1"/>
  <c r="K614" i="1"/>
  <c r="H614" i="1"/>
  <c r="C614" i="1"/>
  <c r="BE613" i="1"/>
  <c r="BC613" i="1"/>
  <c r="BA613" i="1"/>
  <c r="AY613" i="1"/>
  <c r="AU613" i="1"/>
  <c r="AS613" i="1"/>
  <c r="AK613" i="1"/>
  <c r="AG613" i="1"/>
  <c r="AE613" i="1"/>
  <c r="T613" i="1"/>
  <c r="K613" i="1"/>
  <c r="H613" i="1"/>
  <c r="C613" i="1"/>
  <c r="BE612" i="1"/>
  <c r="BC612" i="1"/>
  <c r="BA612" i="1"/>
  <c r="AY612" i="1"/>
  <c r="AU612" i="1"/>
  <c r="AS612" i="1"/>
  <c r="AK612" i="1"/>
  <c r="AG612" i="1"/>
  <c r="AE612" i="1"/>
  <c r="T612" i="1"/>
  <c r="K612" i="1"/>
  <c r="H612" i="1"/>
  <c r="C612" i="1"/>
  <c r="BE611" i="1"/>
  <c r="BC611" i="1"/>
  <c r="BA611" i="1"/>
  <c r="AY611" i="1"/>
  <c r="AU611" i="1"/>
  <c r="AS611" i="1"/>
  <c r="AK611" i="1"/>
  <c r="AG611" i="1"/>
  <c r="AE611" i="1"/>
  <c r="T611" i="1"/>
  <c r="K611" i="1"/>
  <c r="H611" i="1"/>
  <c r="C611" i="1"/>
  <c r="BE610" i="1"/>
  <c r="BC610" i="1"/>
  <c r="BA610" i="1"/>
  <c r="AY610" i="1"/>
  <c r="AU610" i="1"/>
  <c r="AS610" i="1"/>
  <c r="AK610" i="1"/>
  <c r="AG610" i="1"/>
  <c r="AE610" i="1"/>
  <c r="T610" i="1"/>
  <c r="K610" i="1"/>
  <c r="H610" i="1"/>
  <c r="C610" i="1"/>
  <c r="BE609" i="1"/>
  <c r="BC609" i="1"/>
  <c r="BA609" i="1"/>
  <c r="AY609" i="1"/>
  <c r="AU609" i="1"/>
  <c r="AS609" i="1"/>
  <c r="AK609" i="1"/>
  <c r="AG609" i="1"/>
  <c r="AE609" i="1"/>
  <c r="T609" i="1"/>
  <c r="K609" i="1"/>
  <c r="H609" i="1"/>
  <c r="C609" i="1"/>
  <c r="BE608" i="1"/>
  <c r="BC608" i="1"/>
  <c r="BA608" i="1"/>
  <c r="AY608" i="1"/>
  <c r="AU608" i="1"/>
  <c r="AS608" i="1"/>
  <c r="AK608" i="1"/>
  <c r="AG608" i="1"/>
  <c r="AE608" i="1"/>
  <c r="T608" i="1"/>
  <c r="K608" i="1"/>
  <c r="H608" i="1"/>
  <c r="C608" i="1"/>
  <c r="BE607" i="1"/>
  <c r="BC607" i="1"/>
  <c r="BA607" i="1"/>
  <c r="AY607" i="1"/>
  <c r="AU607" i="1"/>
  <c r="AS607" i="1"/>
  <c r="AK607" i="1"/>
  <c r="AG607" i="1"/>
  <c r="AE607" i="1"/>
  <c r="T607" i="1"/>
  <c r="K607" i="1"/>
  <c r="H607" i="1"/>
  <c r="C607" i="1"/>
  <c r="BE606" i="1"/>
  <c r="BC606" i="1"/>
  <c r="BA606" i="1"/>
  <c r="AY606" i="1"/>
  <c r="AU606" i="1"/>
  <c r="AS606" i="1"/>
  <c r="AK606" i="1"/>
  <c r="AG606" i="1"/>
  <c r="AE606" i="1"/>
  <c r="T606" i="1"/>
  <c r="K606" i="1"/>
  <c r="H606" i="1"/>
  <c r="C606" i="1"/>
  <c r="BE605" i="1"/>
  <c r="BC605" i="1"/>
  <c r="BA605" i="1"/>
  <c r="AY605" i="1"/>
  <c r="AU605" i="1"/>
  <c r="AS605" i="1"/>
  <c r="AK605" i="1"/>
  <c r="AG605" i="1"/>
  <c r="AE605" i="1"/>
  <c r="T605" i="1"/>
  <c r="K605" i="1"/>
  <c r="H605" i="1"/>
  <c r="C605" i="1"/>
  <c r="BE604" i="1"/>
  <c r="BC604" i="1"/>
  <c r="BA604" i="1"/>
  <c r="AY604" i="1"/>
  <c r="AU604" i="1"/>
  <c r="AS604" i="1"/>
  <c r="AK604" i="1"/>
  <c r="AG604" i="1"/>
  <c r="AE604" i="1"/>
  <c r="T604" i="1"/>
  <c r="K604" i="1"/>
  <c r="H604" i="1"/>
  <c r="C604" i="1"/>
  <c r="BE603" i="1"/>
  <c r="BC603" i="1"/>
  <c r="BA603" i="1"/>
  <c r="AY603" i="1"/>
  <c r="AU603" i="1"/>
  <c r="AS603" i="1"/>
  <c r="AK603" i="1"/>
  <c r="AG603" i="1"/>
  <c r="AE603" i="1"/>
  <c r="T603" i="1"/>
  <c r="K603" i="1"/>
  <c r="H603" i="1"/>
  <c r="C603" i="1"/>
  <c r="BE602" i="1"/>
  <c r="BC602" i="1"/>
  <c r="BA602" i="1"/>
  <c r="AY602" i="1"/>
  <c r="AU602" i="1"/>
  <c r="AS602" i="1"/>
  <c r="AK602" i="1"/>
  <c r="AG602" i="1"/>
  <c r="AE602" i="1"/>
  <c r="T602" i="1"/>
  <c r="K602" i="1"/>
  <c r="H602" i="1"/>
  <c r="C602" i="1"/>
  <c r="BE601" i="1"/>
  <c r="BC601" i="1"/>
  <c r="BA601" i="1"/>
  <c r="AY601" i="1"/>
  <c r="AU601" i="1"/>
  <c r="AS601" i="1"/>
  <c r="AK601" i="1"/>
  <c r="AG601" i="1"/>
  <c r="AE601" i="1"/>
  <c r="T601" i="1"/>
  <c r="K601" i="1"/>
  <c r="H601" i="1"/>
  <c r="C601" i="1"/>
  <c r="BE600" i="1"/>
  <c r="BC600" i="1"/>
  <c r="BA600" i="1"/>
  <c r="AY600" i="1"/>
  <c r="AU600" i="1"/>
  <c r="AS600" i="1"/>
  <c r="AK600" i="1"/>
  <c r="AG600" i="1"/>
  <c r="AE600" i="1"/>
  <c r="T600" i="1"/>
  <c r="K600" i="1"/>
  <c r="H600" i="1"/>
  <c r="C600" i="1"/>
  <c r="BE599" i="1"/>
  <c r="BC599" i="1"/>
  <c r="BA599" i="1"/>
  <c r="AY599" i="1"/>
  <c r="AU599" i="1"/>
  <c r="AS599" i="1"/>
  <c r="AK599" i="1"/>
  <c r="AG599" i="1"/>
  <c r="AE599" i="1"/>
  <c r="T599" i="1"/>
  <c r="K599" i="1"/>
  <c r="H599" i="1"/>
  <c r="C599" i="1"/>
  <c r="BE598" i="1"/>
  <c r="BC598" i="1"/>
  <c r="BA598" i="1"/>
  <c r="AY598" i="1"/>
  <c r="AU598" i="1"/>
  <c r="AS598" i="1"/>
  <c r="AK598" i="1"/>
  <c r="AG598" i="1"/>
  <c r="AE598" i="1"/>
  <c r="T598" i="1"/>
  <c r="K598" i="1"/>
  <c r="H598" i="1"/>
  <c r="C598" i="1"/>
  <c r="BE597" i="1"/>
  <c r="BC597" i="1"/>
  <c r="BA597" i="1"/>
  <c r="AY597" i="1"/>
  <c r="AU597" i="1"/>
  <c r="AS597" i="1"/>
  <c r="AK597" i="1"/>
  <c r="AG597" i="1"/>
  <c r="AE597" i="1"/>
  <c r="T597" i="1"/>
  <c r="K597" i="1"/>
  <c r="H597" i="1"/>
  <c r="C597" i="1"/>
  <c r="BE596" i="1"/>
  <c r="BC596" i="1"/>
  <c r="BA596" i="1"/>
  <c r="AY596" i="1"/>
  <c r="AU596" i="1"/>
  <c r="AS596" i="1"/>
  <c r="AK596" i="1"/>
  <c r="AG596" i="1"/>
  <c r="AE596" i="1"/>
  <c r="T596" i="1"/>
  <c r="K596" i="1"/>
  <c r="H596" i="1"/>
  <c r="C596" i="1"/>
  <c r="BE595" i="1"/>
  <c r="BC595" i="1"/>
  <c r="BA595" i="1"/>
  <c r="AY595" i="1"/>
  <c r="AU595" i="1"/>
  <c r="AS595" i="1"/>
  <c r="AK595" i="1"/>
  <c r="AG595" i="1"/>
  <c r="AE595" i="1"/>
  <c r="T595" i="1"/>
  <c r="K595" i="1"/>
  <c r="H595" i="1"/>
  <c r="C595" i="1"/>
  <c r="BE594" i="1"/>
  <c r="BC594" i="1"/>
  <c r="BA594" i="1"/>
  <c r="AY594" i="1"/>
  <c r="AU594" i="1"/>
  <c r="AS594" i="1"/>
  <c r="AK594" i="1"/>
  <c r="AG594" i="1"/>
  <c r="AE594" i="1"/>
  <c r="T594" i="1"/>
  <c r="K594" i="1"/>
  <c r="H594" i="1"/>
  <c r="C594" i="1"/>
  <c r="BE593" i="1"/>
  <c r="BC593" i="1"/>
  <c r="BA593" i="1"/>
  <c r="AY593" i="1"/>
  <c r="AU593" i="1"/>
  <c r="AS593" i="1"/>
  <c r="AK593" i="1"/>
  <c r="AG593" i="1"/>
  <c r="AE593" i="1"/>
  <c r="T593" i="1"/>
  <c r="K593" i="1"/>
  <c r="H593" i="1"/>
  <c r="C593" i="1"/>
  <c r="BE592" i="1"/>
  <c r="BC592" i="1"/>
  <c r="BA592" i="1"/>
  <c r="AY592" i="1"/>
  <c r="AU592" i="1"/>
  <c r="AS592" i="1"/>
  <c r="AK592" i="1"/>
  <c r="AG592" i="1"/>
  <c r="AE592" i="1"/>
  <c r="T592" i="1"/>
  <c r="K592" i="1"/>
  <c r="H592" i="1"/>
  <c r="C592" i="1"/>
  <c r="BE591" i="1"/>
  <c r="BC591" i="1"/>
  <c r="BA591" i="1"/>
  <c r="AY591" i="1"/>
  <c r="AU591" i="1"/>
  <c r="AS591" i="1"/>
  <c r="AK591" i="1"/>
  <c r="AG591" i="1"/>
  <c r="AE591" i="1"/>
  <c r="T591" i="1"/>
  <c r="K591" i="1"/>
  <c r="H591" i="1"/>
  <c r="C591" i="1"/>
  <c r="BE590" i="1"/>
  <c r="BC590" i="1"/>
  <c r="BA590" i="1"/>
  <c r="AY590" i="1"/>
  <c r="AU590" i="1"/>
  <c r="AS590" i="1"/>
  <c r="AK590" i="1"/>
  <c r="AG590" i="1"/>
  <c r="AE590" i="1"/>
  <c r="T590" i="1"/>
  <c r="K590" i="1"/>
  <c r="H590" i="1"/>
  <c r="C590" i="1"/>
  <c r="BE589" i="1"/>
  <c r="BC589" i="1"/>
  <c r="BA589" i="1"/>
  <c r="AY589" i="1"/>
  <c r="AU589" i="1"/>
  <c r="AS589" i="1"/>
  <c r="AK589" i="1"/>
  <c r="AG589" i="1"/>
  <c r="AE589" i="1"/>
  <c r="T589" i="1"/>
  <c r="K589" i="1"/>
  <c r="H589" i="1"/>
  <c r="C589" i="1"/>
  <c r="BE588" i="1"/>
  <c r="BC588" i="1"/>
  <c r="BA588" i="1"/>
  <c r="AY588" i="1"/>
  <c r="AU588" i="1"/>
  <c r="AS588" i="1"/>
  <c r="AK588" i="1"/>
  <c r="AG588" i="1"/>
  <c r="AE588" i="1"/>
  <c r="T588" i="1"/>
  <c r="K588" i="1"/>
  <c r="H588" i="1"/>
  <c r="C588" i="1"/>
  <c r="BE587" i="1"/>
  <c r="BC587" i="1"/>
  <c r="BA587" i="1"/>
  <c r="AY587" i="1"/>
  <c r="AU587" i="1"/>
  <c r="AS587" i="1"/>
  <c r="AK587" i="1"/>
  <c r="AG587" i="1"/>
  <c r="AE587" i="1"/>
  <c r="T587" i="1"/>
  <c r="K587" i="1"/>
  <c r="H587" i="1"/>
  <c r="C587" i="1"/>
  <c r="BE586" i="1"/>
  <c r="BC586" i="1"/>
  <c r="BA586" i="1"/>
  <c r="AY586" i="1"/>
  <c r="AU586" i="1"/>
  <c r="AS586" i="1"/>
  <c r="AK586" i="1"/>
  <c r="AG586" i="1"/>
  <c r="AE586" i="1"/>
  <c r="T586" i="1"/>
  <c r="K586" i="1"/>
  <c r="H586" i="1"/>
  <c r="C586" i="1"/>
  <c r="BE585" i="1"/>
  <c r="BC585" i="1"/>
  <c r="BA585" i="1"/>
  <c r="AY585" i="1"/>
  <c r="AU585" i="1"/>
  <c r="AS585" i="1"/>
  <c r="AK585" i="1"/>
  <c r="AG585" i="1"/>
  <c r="AE585" i="1"/>
  <c r="T585" i="1"/>
  <c r="K585" i="1"/>
  <c r="H585" i="1"/>
  <c r="C585" i="1"/>
  <c r="BE584" i="1"/>
  <c r="BC584" i="1"/>
  <c r="BA584" i="1"/>
  <c r="AY584" i="1"/>
  <c r="AU584" i="1"/>
  <c r="AS584" i="1"/>
  <c r="AK584" i="1"/>
  <c r="AG584" i="1"/>
  <c r="AE584" i="1"/>
  <c r="T584" i="1"/>
  <c r="K584" i="1"/>
  <c r="H584" i="1"/>
  <c r="C584" i="1"/>
  <c r="BE583" i="1"/>
  <c r="BC583" i="1"/>
  <c r="BA583" i="1"/>
  <c r="AY583" i="1"/>
  <c r="AU583" i="1"/>
  <c r="AS583" i="1"/>
  <c r="AK583" i="1"/>
  <c r="AG583" i="1"/>
  <c r="AE583" i="1"/>
  <c r="T583" i="1"/>
  <c r="K583" i="1"/>
  <c r="H583" i="1"/>
  <c r="C583" i="1"/>
  <c r="BE582" i="1"/>
  <c r="BC582" i="1"/>
  <c r="BA582" i="1"/>
  <c r="AY582" i="1"/>
  <c r="AU582" i="1"/>
  <c r="AS582" i="1"/>
  <c r="AK582" i="1"/>
  <c r="AG582" i="1"/>
  <c r="AE582" i="1"/>
  <c r="T582" i="1"/>
  <c r="K582" i="1"/>
  <c r="H582" i="1"/>
  <c r="C582" i="1"/>
  <c r="BE581" i="1"/>
  <c r="BC581" i="1"/>
  <c r="BA581" i="1"/>
  <c r="AY581" i="1"/>
  <c r="AU581" i="1"/>
  <c r="AS581" i="1"/>
  <c r="AK581" i="1"/>
  <c r="AG581" i="1"/>
  <c r="AE581" i="1"/>
  <c r="T581" i="1"/>
  <c r="K581" i="1"/>
  <c r="H581" i="1"/>
  <c r="C581" i="1"/>
  <c r="BE580" i="1"/>
  <c r="BC580" i="1"/>
  <c r="BA580" i="1"/>
  <c r="AY580" i="1"/>
  <c r="AU580" i="1"/>
  <c r="AS580" i="1"/>
  <c r="AK580" i="1"/>
  <c r="AG580" i="1"/>
  <c r="AE580" i="1"/>
  <c r="T580" i="1"/>
  <c r="K580" i="1"/>
  <c r="H580" i="1"/>
  <c r="C580" i="1"/>
  <c r="BE579" i="1"/>
  <c r="BC579" i="1"/>
  <c r="BA579" i="1"/>
  <c r="AY579" i="1"/>
  <c r="AU579" i="1"/>
  <c r="AS579" i="1"/>
  <c r="AK579" i="1"/>
  <c r="AG579" i="1"/>
  <c r="AE579" i="1"/>
  <c r="T579" i="1"/>
  <c r="K579" i="1"/>
  <c r="H579" i="1"/>
  <c r="C579" i="1"/>
  <c r="BE578" i="1"/>
  <c r="BC578" i="1"/>
  <c r="BA578" i="1"/>
  <c r="AY578" i="1"/>
  <c r="AU578" i="1"/>
  <c r="AS578" i="1"/>
  <c r="AK578" i="1"/>
  <c r="AG578" i="1"/>
  <c r="AE578" i="1"/>
  <c r="T578" i="1"/>
  <c r="K578" i="1"/>
  <c r="H578" i="1"/>
  <c r="C578" i="1"/>
  <c r="BE577" i="1"/>
  <c r="BC577" i="1"/>
  <c r="BA577" i="1"/>
  <c r="AY577" i="1"/>
  <c r="AU577" i="1"/>
  <c r="AS577" i="1"/>
  <c r="AK577" i="1"/>
  <c r="AG577" i="1"/>
  <c r="AE577" i="1"/>
  <c r="T577" i="1"/>
  <c r="K577" i="1"/>
  <c r="H577" i="1"/>
  <c r="C577" i="1"/>
  <c r="BE576" i="1"/>
  <c r="BC576" i="1"/>
  <c r="BA576" i="1"/>
  <c r="AY576" i="1"/>
  <c r="AU576" i="1"/>
  <c r="AS576" i="1"/>
  <c r="AK576" i="1"/>
  <c r="AG576" i="1"/>
  <c r="AE576" i="1"/>
  <c r="T576" i="1"/>
  <c r="K576" i="1"/>
  <c r="H576" i="1"/>
  <c r="C576" i="1"/>
  <c r="BE575" i="1"/>
  <c r="BC575" i="1"/>
  <c r="BA575" i="1"/>
  <c r="AY575" i="1"/>
  <c r="AU575" i="1"/>
  <c r="AS575" i="1"/>
  <c r="AK575" i="1"/>
  <c r="AG575" i="1"/>
  <c r="AE575" i="1"/>
  <c r="T575" i="1"/>
  <c r="K575" i="1"/>
  <c r="H575" i="1"/>
  <c r="C575" i="1"/>
  <c r="BE574" i="1"/>
  <c r="BC574" i="1"/>
  <c r="BA574" i="1"/>
  <c r="AY574" i="1"/>
  <c r="AU574" i="1"/>
  <c r="AS574" i="1"/>
  <c r="AK574" i="1"/>
  <c r="AG574" i="1"/>
  <c r="AE574" i="1"/>
  <c r="T574" i="1"/>
  <c r="K574" i="1"/>
  <c r="H574" i="1"/>
  <c r="C574" i="1"/>
  <c r="BE573" i="1"/>
  <c r="BC573" i="1"/>
  <c r="BA573" i="1"/>
  <c r="AY573" i="1"/>
  <c r="AU573" i="1"/>
  <c r="AS573" i="1"/>
  <c r="AK573" i="1"/>
  <c r="AG573" i="1"/>
  <c r="AE573" i="1"/>
  <c r="T573" i="1"/>
  <c r="K573" i="1"/>
  <c r="H573" i="1"/>
  <c r="C573" i="1"/>
  <c r="BE572" i="1"/>
  <c r="BC572" i="1"/>
  <c r="BA572" i="1"/>
  <c r="AY572" i="1"/>
  <c r="AU572" i="1"/>
  <c r="AS572" i="1"/>
  <c r="AK572" i="1"/>
  <c r="AG572" i="1"/>
  <c r="AE572" i="1"/>
  <c r="T572" i="1"/>
  <c r="K572" i="1"/>
  <c r="H572" i="1"/>
  <c r="C572" i="1"/>
  <c r="BE571" i="1"/>
  <c r="BC571" i="1"/>
  <c r="BA571" i="1"/>
  <c r="AY571" i="1"/>
  <c r="AU571" i="1"/>
  <c r="AS571" i="1"/>
  <c r="AK571" i="1"/>
  <c r="AG571" i="1"/>
  <c r="AE571" i="1"/>
  <c r="T571" i="1"/>
  <c r="K571" i="1"/>
  <c r="H571" i="1"/>
  <c r="C571" i="1"/>
  <c r="BE570" i="1"/>
  <c r="BC570" i="1"/>
  <c r="BA570" i="1"/>
  <c r="AY570" i="1"/>
  <c r="AU570" i="1"/>
  <c r="AS570" i="1"/>
  <c r="AK570" i="1"/>
  <c r="AG570" i="1"/>
  <c r="AE570" i="1"/>
  <c r="T570" i="1"/>
  <c r="K570" i="1"/>
  <c r="H570" i="1"/>
  <c r="C570" i="1"/>
  <c r="BE569" i="1"/>
  <c r="BC569" i="1"/>
  <c r="BA569" i="1"/>
  <c r="AY569" i="1"/>
  <c r="AU569" i="1"/>
  <c r="AS569" i="1"/>
  <c r="AK569" i="1"/>
  <c r="AG569" i="1"/>
  <c r="AE569" i="1"/>
  <c r="T569" i="1"/>
  <c r="K569" i="1"/>
  <c r="H569" i="1"/>
  <c r="C569" i="1"/>
  <c r="BE568" i="1"/>
  <c r="BC568" i="1"/>
  <c r="BA568" i="1"/>
  <c r="AY568" i="1"/>
  <c r="AU568" i="1"/>
  <c r="AS568" i="1"/>
  <c r="AK568" i="1"/>
  <c r="AG568" i="1"/>
  <c r="AE568" i="1"/>
  <c r="T568" i="1"/>
  <c r="K568" i="1"/>
  <c r="H568" i="1"/>
  <c r="C568" i="1"/>
  <c r="BE567" i="1"/>
  <c r="BC567" i="1"/>
  <c r="BA567" i="1"/>
  <c r="AY567" i="1"/>
  <c r="AU567" i="1"/>
  <c r="AS567" i="1"/>
  <c r="AK567" i="1"/>
  <c r="AG567" i="1"/>
  <c r="AE567" i="1"/>
  <c r="T567" i="1"/>
  <c r="K567" i="1"/>
  <c r="H567" i="1"/>
  <c r="C567" i="1"/>
  <c r="BE566" i="1"/>
  <c r="BC566" i="1"/>
  <c r="BA566" i="1"/>
  <c r="AY566" i="1"/>
  <c r="AU566" i="1"/>
  <c r="AS566" i="1"/>
  <c r="AK566" i="1"/>
  <c r="AG566" i="1"/>
  <c r="AE566" i="1"/>
  <c r="T566" i="1"/>
  <c r="K566" i="1"/>
  <c r="H566" i="1"/>
  <c r="C566" i="1"/>
  <c r="BE565" i="1"/>
  <c r="BC565" i="1"/>
  <c r="BA565" i="1"/>
  <c r="AY565" i="1"/>
  <c r="AU565" i="1"/>
  <c r="AS565" i="1"/>
  <c r="AK565" i="1"/>
  <c r="AG565" i="1"/>
  <c r="AE565" i="1"/>
  <c r="T565" i="1"/>
  <c r="K565" i="1"/>
  <c r="H565" i="1"/>
  <c r="C565" i="1"/>
  <c r="BE564" i="1"/>
  <c r="BC564" i="1"/>
  <c r="BA564" i="1"/>
  <c r="AY564" i="1"/>
  <c r="AU564" i="1"/>
  <c r="AS564" i="1"/>
  <c r="AK564" i="1"/>
  <c r="AG564" i="1"/>
  <c r="AE564" i="1"/>
  <c r="T564" i="1"/>
  <c r="K564" i="1"/>
  <c r="H564" i="1"/>
  <c r="C564" i="1"/>
  <c r="BE563" i="1"/>
  <c r="BC563" i="1"/>
  <c r="BA563" i="1"/>
  <c r="AY563" i="1"/>
  <c r="AU563" i="1"/>
  <c r="AS563" i="1"/>
  <c r="AK563" i="1"/>
  <c r="AG563" i="1"/>
  <c r="AE563" i="1"/>
  <c r="T563" i="1"/>
  <c r="K563" i="1"/>
  <c r="H563" i="1"/>
  <c r="C563" i="1"/>
  <c r="BE562" i="1"/>
  <c r="BC562" i="1"/>
  <c r="BA562" i="1"/>
  <c r="AY562" i="1"/>
  <c r="AU562" i="1"/>
  <c r="AS562" i="1"/>
  <c r="AK562" i="1"/>
  <c r="AG562" i="1"/>
  <c r="AE562" i="1"/>
  <c r="T562" i="1"/>
  <c r="K562" i="1"/>
  <c r="H562" i="1"/>
  <c r="C562" i="1"/>
  <c r="BE561" i="1"/>
  <c r="BC561" i="1"/>
  <c r="BA561" i="1"/>
  <c r="AY561" i="1"/>
  <c r="AU561" i="1"/>
  <c r="AS561" i="1"/>
  <c r="AK561" i="1"/>
  <c r="AG561" i="1"/>
  <c r="AE561" i="1"/>
  <c r="T561" i="1"/>
  <c r="K561" i="1"/>
  <c r="H561" i="1"/>
  <c r="C561" i="1"/>
  <c r="BE560" i="1"/>
  <c r="BC560" i="1"/>
  <c r="BA560" i="1"/>
  <c r="AY560" i="1"/>
  <c r="AU560" i="1"/>
  <c r="AS560" i="1"/>
  <c r="AK560" i="1"/>
  <c r="AG560" i="1"/>
  <c r="AE560" i="1"/>
  <c r="T560" i="1"/>
  <c r="K560" i="1"/>
  <c r="H560" i="1"/>
  <c r="C560" i="1"/>
  <c r="BE559" i="1"/>
  <c r="BC559" i="1"/>
  <c r="BA559" i="1"/>
  <c r="AY559" i="1"/>
  <c r="AU559" i="1"/>
  <c r="AS559" i="1"/>
  <c r="AK559" i="1"/>
  <c r="AG559" i="1"/>
  <c r="AE559" i="1"/>
  <c r="T559" i="1"/>
  <c r="K559" i="1"/>
  <c r="H559" i="1"/>
  <c r="C559" i="1"/>
  <c r="BE558" i="1"/>
  <c r="BC558" i="1"/>
  <c r="BA558" i="1"/>
  <c r="AY558" i="1"/>
  <c r="AU558" i="1"/>
  <c r="AS558" i="1"/>
  <c r="AK558" i="1"/>
  <c r="AG558" i="1"/>
  <c r="AE558" i="1"/>
  <c r="T558" i="1"/>
  <c r="K558" i="1"/>
  <c r="H558" i="1"/>
  <c r="C558" i="1"/>
  <c r="BE557" i="1"/>
  <c r="BC557" i="1"/>
  <c r="BA557" i="1"/>
  <c r="AY557" i="1"/>
  <c r="AU557" i="1"/>
  <c r="AS557" i="1"/>
  <c r="AK557" i="1"/>
  <c r="AG557" i="1"/>
  <c r="AE557" i="1"/>
  <c r="T557" i="1"/>
  <c r="K557" i="1"/>
  <c r="H557" i="1"/>
  <c r="C557" i="1"/>
  <c r="BE556" i="1"/>
  <c r="BC556" i="1"/>
  <c r="BA556" i="1"/>
  <c r="AY556" i="1"/>
  <c r="AU556" i="1"/>
  <c r="AS556" i="1"/>
  <c r="AK556" i="1"/>
  <c r="AG556" i="1"/>
  <c r="AE556" i="1"/>
  <c r="T556" i="1"/>
  <c r="K556" i="1"/>
  <c r="H556" i="1"/>
  <c r="C556" i="1"/>
  <c r="BE555" i="1"/>
  <c r="BC555" i="1"/>
  <c r="BA555" i="1"/>
  <c r="AY555" i="1"/>
  <c r="AU555" i="1"/>
  <c r="AS555" i="1"/>
  <c r="AK555" i="1"/>
  <c r="AG555" i="1"/>
  <c r="AE555" i="1"/>
  <c r="T555" i="1"/>
  <c r="K555" i="1"/>
  <c r="H555" i="1"/>
  <c r="C555" i="1"/>
  <c r="BE554" i="1"/>
  <c r="BC554" i="1"/>
  <c r="BA554" i="1"/>
  <c r="AY554" i="1"/>
  <c r="AU554" i="1"/>
  <c r="AS554" i="1"/>
  <c r="AK554" i="1"/>
  <c r="AG554" i="1"/>
  <c r="AE554" i="1"/>
  <c r="T554" i="1"/>
  <c r="K554" i="1"/>
  <c r="H554" i="1"/>
  <c r="C554" i="1"/>
  <c r="BE553" i="1"/>
  <c r="BC553" i="1"/>
  <c r="BA553" i="1"/>
  <c r="AY553" i="1"/>
  <c r="AU553" i="1"/>
  <c r="AS553" i="1"/>
  <c r="AK553" i="1"/>
  <c r="AG553" i="1"/>
  <c r="AE553" i="1"/>
  <c r="T553" i="1"/>
  <c r="K553" i="1"/>
  <c r="H553" i="1"/>
  <c r="C553" i="1"/>
  <c r="BE552" i="1"/>
  <c r="BC552" i="1"/>
  <c r="BA552" i="1"/>
  <c r="AY552" i="1"/>
  <c r="AU552" i="1"/>
  <c r="AS552" i="1"/>
  <c r="AK552" i="1"/>
  <c r="AG552" i="1"/>
  <c r="AE552" i="1"/>
  <c r="T552" i="1"/>
  <c r="K552" i="1"/>
  <c r="H552" i="1"/>
  <c r="C552" i="1"/>
  <c r="BE551" i="1"/>
  <c r="BC551" i="1"/>
  <c r="BA551" i="1"/>
  <c r="AY551" i="1"/>
  <c r="AU551" i="1"/>
  <c r="AS551" i="1"/>
  <c r="AK551" i="1"/>
  <c r="AG551" i="1"/>
  <c r="AE551" i="1"/>
  <c r="T551" i="1"/>
  <c r="K551" i="1"/>
  <c r="H551" i="1"/>
  <c r="C551" i="1"/>
  <c r="BE550" i="1"/>
  <c r="BC550" i="1"/>
  <c r="BA550" i="1"/>
  <c r="AY550" i="1"/>
  <c r="AU550" i="1"/>
  <c r="AS550" i="1"/>
  <c r="AK550" i="1"/>
  <c r="AG550" i="1"/>
  <c r="AE550" i="1"/>
  <c r="T550" i="1"/>
  <c r="K550" i="1"/>
  <c r="H550" i="1"/>
  <c r="C550" i="1"/>
  <c r="BE549" i="1"/>
  <c r="BC549" i="1"/>
  <c r="BA549" i="1"/>
  <c r="AY549" i="1"/>
  <c r="AU549" i="1"/>
  <c r="AS549" i="1"/>
  <c r="AK549" i="1"/>
  <c r="AG549" i="1"/>
  <c r="AE549" i="1"/>
  <c r="T549" i="1"/>
  <c r="K549" i="1"/>
  <c r="H549" i="1"/>
  <c r="C549" i="1"/>
  <c r="BE548" i="1"/>
  <c r="BC548" i="1"/>
  <c r="BA548" i="1"/>
  <c r="AY548" i="1"/>
  <c r="AU548" i="1"/>
  <c r="AS548" i="1"/>
  <c r="AK548" i="1"/>
  <c r="AG548" i="1"/>
  <c r="AE548" i="1"/>
  <c r="T548" i="1"/>
  <c r="K548" i="1"/>
  <c r="H548" i="1"/>
  <c r="C548" i="1"/>
  <c r="BE547" i="1"/>
  <c r="BC547" i="1"/>
  <c r="BA547" i="1"/>
  <c r="AY547" i="1"/>
  <c r="AU547" i="1"/>
  <c r="AS547" i="1"/>
  <c r="AK547" i="1"/>
  <c r="AG547" i="1"/>
  <c r="AE547" i="1"/>
  <c r="T547" i="1"/>
  <c r="K547" i="1"/>
  <c r="H547" i="1"/>
  <c r="C547" i="1"/>
  <c r="BE546" i="1"/>
  <c r="BC546" i="1"/>
  <c r="BA546" i="1"/>
  <c r="AY546" i="1"/>
  <c r="AU546" i="1"/>
  <c r="AS546" i="1"/>
  <c r="AK546" i="1"/>
  <c r="AG546" i="1"/>
  <c r="AE546" i="1"/>
  <c r="T546" i="1"/>
  <c r="K546" i="1"/>
  <c r="H546" i="1"/>
  <c r="C546" i="1"/>
  <c r="BE545" i="1"/>
  <c r="BC545" i="1"/>
  <c r="BA545" i="1"/>
  <c r="AY545" i="1"/>
  <c r="AU545" i="1"/>
  <c r="AS545" i="1"/>
  <c r="AK545" i="1"/>
  <c r="AG545" i="1"/>
  <c r="AE545" i="1"/>
  <c r="T545" i="1"/>
  <c r="K545" i="1"/>
  <c r="H545" i="1"/>
  <c r="C545" i="1"/>
  <c r="BE544" i="1"/>
  <c r="BC544" i="1"/>
  <c r="BA544" i="1"/>
  <c r="AY544" i="1"/>
  <c r="AU544" i="1"/>
  <c r="AS544" i="1"/>
  <c r="AK544" i="1"/>
  <c r="AG544" i="1"/>
  <c r="AE544" i="1"/>
  <c r="T544" i="1"/>
  <c r="K544" i="1"/>
  <c r="H544" i="1"/>
  <c r="C544" i="1"/>
  <c r="BE543" i="1"/>
  <c r="BC543" i="1"/>
  <c r="BA543" i="1"/>
  <c r="AY543" i="1"/>
  <c r="AU543" i="1"/>
  <c r="AS543" i="1"/>
  <c r="AK543" i="1"/>
  <c r="AG543" i="1"/>
  <c r="AE543" i="1"/>
  <c r="T543" i="1"/>
  <c r="K543" i="1"/>
  <c r="H543" i="1"/>
  <c r="C543" i="1"/>
  <c r="BE542" i="1"/>
  <c r="BC542" i="1"/>
  <c r="BA542" i="1"/>
  <c r="AY542" i="1"/>
  <c r="AU542" i="1"/>
  <c r="AS542" i="1"/>
  <c r="AK542" i="1"/>
  <c r="AG542" i="1"/>
  <c r="AE542" i="1"/>
  <c r="T542" i="1"/>
  <c r="K542" i="1"/>
  <c r="H542" i="1"/>
  <c r="C542" i="1"/>
  <c r="BE541" i="1"/>
  <c r="BC541" i="1"/>
  <c r="BA541" i="1"/>
  <c r="AY541" i="1"/>
  <c r="AU541" i="1"/>
  <c r="AS541" i="1"/>
  <c r="AK541" i="1"/>
  <c r="AG541" i="1"/>
  <c r="AE541" i="1"/>
  <c r="T541" i="1"/>
  <c r="K541" i="1"/>
  <c r="H541" i="1"/>
  <c r="C541" i="1"/>
  <c r="BE540" i="1"/>
  <c r="BC540" i="1"/>
  <c r="BA540" i="1"/>
  <c r="AY540" i="1"/>
  <c r="AU540" i="1"/>
  <c r="AS540" i="1"/>
  <c r="AK540" i="1"/>
  <c r="AG540" i="1"/>
  <c r="AE540" i="1"/>
  <c r="T540" i="1"/>
  <c r="K540" i="1"/>
  <c r="H540" i="1"/>
  <c r="C540" i="1"/>
  <c r="BE539" i="1"/>
  <c r="BC539" i="1"/>
  <c r="BA539" i="1"/>
  <c r="AY539" i="1"/>
  <c r="AU539" i="1"/>
  <c r="AS539" i="1"/>
  <c r="AK539" i="1"/>
  <c r="AG539" i="1"/>
  <c r="AE539" i="1"/>
  <c r="T539" i="1"/>
  <c r="K539" i="1"/>
  <c r="H539" i="1"/>
  <c r="C539" i="1"/>
  <c r="BE538" i="1"/>
  <c r="BC538" i="1"/>
  <c r="BA538" i="1"/>
  <c r="AY538" i="1"/>
  <c r="AU538" i="1"/>
  <c r="AS538" i="1"/>
  <c r="AK538" i="1"/>
  <c r="AG538" i="1"/>
  <c r="AE538" i="1"/>
  <c r="T538" i="1"/>
  <c r="K538" i="1"/>
  <c r="H538" i="1"/>
  <c r="C538" i="1"/>
  <c r="BE537" i="1"/>
  <c r="BC537" i="1"/>
  <c r="BA537" i="1"/>
  <c r="AY537" i="1"/>
  <c r="AU537" i="1"/>
  <c r="AS537" i="1"/>
  <c r="AK537" i="1"/>
  <c r="AG537" i="1"/>
  <c r="AE537" i="1"/>
  <c r="T537" i="1"/>
  <c r="K537" i="1"/>
  <c r="H537" i="1"/>
  <c r="C537" i="1"/>
  <c r="BE536" i="1"/>
  <c r="BC536" i="1"/>
  <c r="BA536" i="1"/>
  <c r="AY536" i="1"/>
  <c r="AU536" i="1"/>
  <c r="AS536" i="1"/>
  <c r="AK536" i="1"/>
  <c r="AG536" i="1"/>
  <c r="AE536" i="1"/>
  <c r="T536" i="1"/>
  <c r="K536" i="1"/>
  <c r="H536" i="1"/>
  <c r="C536" i="1"/>
  <c r="BE535" i="1"/>
  <c r="BC535" i="1"/>
  <c r="BA535" i="1"/>
  <c r="AY535" i="1"/>
  <c r="AU535" i="1"/>
  <c r="AS535" i="1"/>
  <c r="AK535" i="1"/>
  <c r="AG535" i="1"/>
  <c r="AE535" i="1"/>
  <c r="T535" i="1"/>
  <c r="K535" i="1"/>
  <c r="H535" i="1"/>
  <c r="C535" i="1"/>
  <c r="BE534" i="1"/>
  <c r="BC534" i="1"/>
  <c r="BA534" i="1"/>
  <c r="AY534" i="1"/>
  <c r="AU534" i="1"/>
  <c r="AS534" i="1"/>
  <c r="AK534" i="1"/>
  <c r="AG534" i="1"/>
  <c r="AE534" i="1"/>
  <c r="T534" i="1"/>
  <c r="K534" i="1"/>
  <c r="H534" i="1"/>
  <c r="C534" i="1"/>
  <c r="BE533" i="1"/>
  <c r="BC533" i="1"/>
  <c r="BA533" i="1"/>
  <c r="AY533" i="1"/>
  <c r="AU533" i="1"/>
  <c r="AS533" i="1"/>
  <c r="AK533" i="1"/>
  <c r="AG533" i="1"/>
  <c r="AE533" i="1"/>
  <c r="T533" i="1"/>
  <c r="K533" i="1"/>
  <c r="H533" i="1"/>
  <c r="C533" i="1"/>
  <c r="BE532" i="1"/>
  <c r="BC532" i="1"/>
  <c r="BA532" i="1"/>
  <c r="AY532" i="1"/>
  <c r="AU532" i="1"/>
  <c r="AS532" i="1"/>
  <c r="AK532" i="1"/>
  <c r="AG532" i="1"/>
  <c r="AE532" i="1"/>
  <c r="T532" i="1"/>
  <c r="K532" i="1"/>
  <c r="H532" i="1"/>
  <c r="C532" i="1"/>
  <c r="BE531" i="1"/>
  <c r="BC531" i="1"/>
  <c r="BA531" i="1"/>
  <c r="AY531" i="1"/>
  <c r="AU531" i="1"/>
  <c r="AS531" i="1"/>
  <c r="AK531" i="1"/>
  <c r="AG531" i="1"/>
  <c r="AE531" i="1"/>
  <c r="T531" i="1"/>
  <c r="K531" i="1"/>
  <c r="H531" i="1"/>
  <c r="C531" i="1"/>
  <c r="BE530" i="1"/>
  <c r="BC530" i="1"/>
  <c r="BA530" i="1"/>
  <c r="AY530" i="1"/>
  <c r="AU530" i="1"/>
  <c r="AS530" i="1"/>
  <c r="AK530" i="1"/>
  <c r="AG530" i="1"/>
  <c r="AE530" i="1"/>
  <c r="T530" i="1"/>
  <c r="K530" i="1"/>
  <c r="H530" i="1"/>
  <c r="C530" i="1"/>
  <c r="BE529" i="1"/>
  <c r="BC529" i="1"/>
  <c r="BA529" i="1"/>
  <c r="AY529" i="1"/>
  <c r="AU529" i="1"/>
  <c r="AS529" i="1"/>
  <c r="AK529" i="1"/>
  <c r="AG529" i="1"/>
  <c r="AE529" i="1"/>
  <c r="T529" i="1"/>
  <c r="K529" i="1"/>
  <c r="H529" i="1"/>
  <c r="C529" i="1"/>
  <c r="BE528" i="1"/>
  <c r="BC528" i="1"/>
  <c r="BA528" i="1"/>
  <c r="AY528" i="1"/>
  <c r="AU528" i="1"/>
  <c r="AS528" i="1"/>
  <c r="AK528" i="1"/>
  <c r="AG528" i="1"/>
  <c r="AE528" i="1"/>
  <c r="T528" i="1"/>
  <c r="K528" i="1"/>
  <c r="H528" i="1"/>
  <c r="C528" i="1"/>
  <c r="BE527" i="1"/>
  <c r="BC527" i="1"/>
  <c r="BA527" i="1"/>
  <c r="AY527" i="1"/>
  <c r="AU527" i="1"/>
  <c r="AS527" i="1"/>
  <c r="AK527" i="1"/>
  <c r="AG527" i="1"/>
  <c r="AE527" i="1"/>
  <c r="T527" i="1"/>
  <c r="K527" i="1"/>
  <c r="H527" i="1"/>
  <c r="C527" i="1"/>
  <c r="BE526" i="1"/>
  <c r="BC526" i="1"/>
  <c r="BA526" i="1"/>
  <c r="AY526" i="1"/>
  <c r="AU526" i="1"/>
  <c r="AS526" i="1"/>
  <c r="AK526" i="1"/>
  <c r="AG526" i="1"/>
  <c r="AE526" i="1"/>
  <c r="T526" i="1"/>
  <c r="K526" i="1"/>
  <c r="H526" i="1"/>
  <c r="C526" i="1"/>
  <c r="BE525" i="1"/>
  <c r="BC525" i="1"/>
  <c r="BA525" i="1"/>
  <c r="AY525" i="1"/>
  <c r="AU525" i="1"/>
  <c r="AS525" i="1"/>
  <c r="AK525" i="1"/>
  <c r="AG525" i="1"/>
  <c r="AE525" i="1"/>
  <c r="T525" i="1"/>
  <c r="K525" i="1"/>
  <c r="H525" i="1"/>
  <c r="C525" i="1"/>
  <c r="BE524" i="1"/>
  <c r="BC524" i="1"/>
  <c r="BA524" i="1"/>
  <c r="AY524" i="1"/>
  <c r="AU524" i="1"/>
  <c r="AS524" i="1"/>
  <c r="AK524" i="1"/>
  <c r="AG524" i="1"/>
  <c r="AE524" i="1"/>
  <c r="T524" i="1"/>
  <c r="K524" i="1"/>
  <c r="H524" i="1"/>
  <c r="C524" i="1"/>
  <c r="BE523" i="1"/>
  <c r="BC523" i="1"/>
  <c r="BA523" i="1"/>
  <c r="AY523" i="1"/>
  <c r="AU523" i="1"/>
  <c r="AS523" i="1"/>
  <c r="AK523" i="1"/>
  <c r="AG523" i="1"/>
  <c r="AE523" i="1"/>
  <c r="T523" i="1"/>
  <c r="K523" i="1"/>
  <c r="H523" i="1"/>
  <c r="C523" i="1"/>
  <c r="BE522" i="1"/>
  <c r="BC522" i="1"/>
  <c r="BA522" i="1"/>
  <c r="AY522" i="1"/>
  <c r="AU522" i="1"/>
  <c r="AS522" i="1"/>
  <c r="AK522" i="1"/>
  <c r="AG522" i="1"/>
  <c r="AE522" i="1"/>
  <c r="T522" i="1"/>
  <c r="K522" i="1"/>
  <c r="H522" i="1"/>
  <c r="C522" i="1"/>
  <c r="BE521" i="1"/>
  <c r="BC521" i="1"/>
  <c r="BA521" i="1"/>
  <c r="AY521" i="1"/>
  <c r="AU521" i="1"/>
  <c r="AS521" i="1"/>
  <c r="AK521" i="1"/>
  <c r="AG521" i="1"/>
  <c r="AE521" i="1"/>
  <c r="T521" i="1"/>
  <c r="K521" i="1"/>
  <c r="H521" i="1"/>
  <c r="C521" i="1"/>
  <c r="BE520" i="1"/>
  <c r="BC520" i="1"/>
  <c r="BA520" i="1"/>
  <c r="AY520" i="1"/>
  <c r="AU520" i="1"/>
  <c r="AS520" i="1"/>
  <c r="AK520" i="1"/>
  <c r="AG520" i="1"/>
  <c r="AE520" i="1"/>
  <c r="T520" i="1"/>
  <c r="K520" i="1"/>
  <c r="H520" i="1"/>
  <c r="C520" i="1"/>
  <c r="BE519" i="1"/>
  <c r="BC519" i="1"/>
  <c r="BA519" i="1"/>
  <c r="AY519" i="1"/>
  <c r="AU519" i="1"/>
  <c r="AS519" i="1"/>
  <c r="AK519" i="1"/>
  <c r="AG519" i="1"/>
  <c r="AE519" i="1"/>
  <c r="T519" i="1"/>
  <c r="K519" i="1"/>
  <c r="H519" i="1"/>
  <c r="C519" i="1"/>
  <c r="BE518" i="1"/>
  <c r="BC518" i="1"/>
  <c r="BA518" i="1"/>
  <c r="AY518" i="1"/>
  <c r="AU518" i="1"/>
  <c r="AS518" i="1"/>
  <c r="AK518" i="1"/>
  <c r="AG518" i="1"/>
  <c r="AE518" i="1"/>
  <c r="T518" i="1"/>
  <c r="K518" i="1"/>
  <c r="H518" i="1"/>
  <c r="C518" i="1"/>
  <c r="BE517" i="1"/>
  <c r="BC517" i="1"/>
  <c r="BA517" i="1"/>
  <c r="AY517" i="1"/>
  <c r="AU517" i="1"/>
  <c r="AS517" i="1"/>
  <c r="AK517" i="1"/>
  <c r="AG517" i="1"/>
  <c r="AE517" i="1"/>
  <c r="T517" i="1"/>
  <c r="K517" i="1"/>
  <c r="H517" i="1"/>
  <c r="C517" i="1"/>
  <c r="BE516" i="1"/>
  <c r="BC516" i="1"/>
  <c r="BA516" i="1"/>
  <c r="AY516" i="1"/>
  <c r="AU516" i="1"/>
  <c r="AS516" i="1"/>
  <c r="AK516" i="1"/>
  <c r="AG516" i="1"/>
  <c r="AE516" i="1"/>
  <c r="T516" i="1"/>
  <c r="K516" i="1"/>
  <c r="H516" i="1"/>
  <c r="C516" i="1"/>
  <c r="BE515" i="1"/>
  <c r="BC515" i="1"/>
  <c r="BA515" i="1"/>
  <c r="AY515" i="1"/>
  <c r="AU515" i="1"/>
  <c r="AS515" i="1"/>
  <c r="AK515" i="1"/>
  <c r="AG515" i="1"/>
  <c r="AE515" i="1"/>
  <c r="T515" i="1"/>
  <c r="K515" i="1"/>
  <c r="H515" i="1"/>
  <c r="C515" i="1"/>
  <c r="BE514" i="1"/>
  <c r="BC514" i="1"/>
  <c r="BA514" i="1"/>
  <c r="AY514" i="1"/>
  <c r="AU514" i="1"/>
  <c r="AS514" i="1"/>
  <c r="AK514" i="1"/>
  <c r="AG514" i="1"/>
  <c r="AE514" i="1"/>
  <c r="T514" i="1"/>
  <c r="K514" i="1"/>
  <c r="H514" i="1"/>
  <c r="C514" i="1"/>
  <c r="BE513" i="1"/>
  <c r="BC513" i="1"/>
  <c r="BA513" i="1"/>
  <c r="AY513" i="1"/>
  <c r="AU513" i="1"/>
  <c r="AS513" i="1"/>
  <c r="AK513" i="1"/>
  <c r="AG513" i="1"/>
  <c r="AE513" i="1"/>
  <c r="T513" i="1"/>
  <c r="K513" i="1"/>
  <c r="H513" i="1"/>
  <c r="C513" i="1"/>
  <c r="BE512" i="1"/>
  <c r="BC512" i="1"/>
  <c r="BA512" i="1"/>
  <c r="AY512" i="1"/>
  <c r="AU512" i="1"/>
  <c r="AS512" i="1"/>
  <c r="AK512" i="1"/>
  <c r="AG512" i="1"/>
  <c r="AE512" i="1"/>
  <c r="T512" i="1"/>
  <c r="K512" i="1"/>
  <c r="H512" i="1"/>
  <c r="C512" i="1"/>
  <c r="BE511" i="1"/>
  <c r="BC511" i="1"/>
  <c r="BA511" i="1"/>
  <c r="AY511" i="1"/>
  <c r="AU511" i="1"/>
  <c r="AS511" i="1"/>
  <c r="AK511" i="1"/>
  <c r="AG511" i="1"/>
  <c r="AE511" i="1"/>
  <c r="T511" i="1"/>
  <c r="K511" i="1"/>
  <c r="H511" i="1"/>
  <c r="C511" i="1"/>
  <c r="BE510" i="1"/>
  <c r="BC510" i="1"/>
  <c r="BA510" i="1"/>
  <c r="AY510" i="1"/>
  <c r="AU510" i="1"/>
  <c r="AS510" i="1"/>
  <c r="AK510" i="1"/>
  <c r="AG510" i="1"/>
  <c r="AE510" i="1"/>
  <c r="T510" i="1"/>
  <c r="K510" i="1"/>
  <c r="H510" i="1"/>
  <c r="C510" i="1"/>
  <c r="BE509" i="1"/>
  <c r="BC509" i="1"/>
  <c r="BA509" i="1"/>
  <c r="AY509" i="1"/>
  <c r="AU509" i="1"/>
  <c r="AS509" i="1"/>
  <c r="AK509" i="1"/>
  <c r="AG509" i="1"/>
  <c r="AE509" i="1"/>
  <c r="T509" i="1"/>
  <c r="K509" i="1"/>
  <c r="H509" i="1"/>
  <c r="C509" i="1"/>
  <c r="BE508" i="1"/>
  <c r="BC508" i="1"/>
  <c r="BA508" i="1"/>
  <c r="AY508" i="1"/>
  <c r="AU508" i="1"/>
  <c r="AS508" i="1"/>
  <c r="AK508" i="1"/>
  <c r="AG508" i="1"/>
  <c r="AE508" i="1"/>
  <c r="T508" i="1"/>
  <c r="K508" i="1"/>
  <c r="H508" i="1"/>
  <c r="C508" i="1"/>
  <c r="BE507" i="1"/>
  <c r="BC507" i="1"/>
  <c r="BA507" i="1"/>
  <c r="AY507" i="1"/>
  <c r="AU507" i="1"/>
  <c r="AS507" i="1"/>
  <c r="AK507" i="1"/>
  <c r="AG507" i="1"/>
  <c r="AE507" i="1"/>
  <c r="T507" i="1"/>
  <c r="K507" i="1"/>
  <c r="H507" i="1"/>
  <c r="C507" i="1"/>
  <c r="BE506" i="1"/>
  <c r="BC506" i="1"/>
  <c r="BA506" i="1"/>
  <c r="AY506" i="1"/>
  <c r="AU506" i="1"/>
  <c r="AS506" i="1"/>
  <c r="AK506" i="1"/>
  <c r="AG506" i="1"/>
  <c r="AE506" i="1"/>
  <c r="T506" i="1"/>
  <c r="K506" i="1"/>
  <c r="H506" i="1"/>
  <c r="C506" i="1"/>
  <c r="BE505" i="1"/>
  <c r="BC505" i="1"/>
  <c r="BA505" i="1"/>
  <c r="AY505" i="1"/>
  <c r="AU505" i="1"/>
  <c r="AS505" i="1"/>
  <c r="AK505" i="1"/>
  <c r="AG505" i="1"/>
  <c r="AE505" i="1"/>
  <c r="T505" i="1"/>
  <c r="K505" i="1"/>
  <c r="H505" i="1"/>
  <c r="C505" i="1"/>
  <c r="BE504" i="1"/>
  <c r="BC504" i="1"/>
  <c r="BA504" i="1"/>
  <c r="AY504" i="1"/>
  <c r="AU504" i="1"/>
  <c r="AS504" i="1"/>
  <c r="AK504" i="1"/>
  <c r="AG504" i="1"/>
  <c r="AE504" i="1"/>
  <c r="T504" i="1"/>
  <c r="K504" i="1"/>
  <c r="H504" i="1"/>
  <c r="C504" i="1"/>
  <c r="BE503" i="1"/>
  <c r="BC503" i="1"/>
  <c r="BA503" i="1"/>
  <c r="AY503" i="1"/>
  <c r="AU503" i="1"/>
  <c r="AS503" i="1"/>
  <c r="AK503" i="1"/>
  <c r="AG503" i="1"/>
  <c r="AE503" i="1"/>
  <c r="T503" i="1"/>
  <c r="K503" i="1"/>
  <c r="H503" i="1"/>
  <c r="C503" i="1"/>
  <c r="BE502" i="1"/>
  <c r="BC502" i="1"/>
  <c r="BA502" i="1"/>
  <c r="AY502" i="1"/>
  <c r="AU502" i="1"/>
  <c r="AS502" i="1"/>
  <c r="AK502" i="1"/>
  <c r="AG502" i="1"/>
  <c r="AE502" i="1"/>
  <c r="T502" i="1"/>
  <c r="K502" i="1"/>
  <c r="H502" i="1"/>
  <c r="C502" i="1"/>
  <c r="BE501" i="1"/>
  <c r="BC501" i="1"/>
  <c r="BA501" i="1"/>
  <c r="AY501" i="1"/>
  <c r="AU501" i="1"/>
  <c r="AS501" i="1"/>
  <c r="AK501" i="1"/>
  <c r="AG501" i="1"/>
  <c r="AE501" i="1"/>
  <c r="T501" i="1"/>
  <c r="K501" i="1"/>
  <c r="H501" i="1"/>
  <c r="C501" i="1"/>
  <c r="BE500" i="1"/>
  <c r="BC500" i="1"/>
  <c r="BA500" i="1"/>
  <c r="AY500" i="1"/>
  <c r="AU500" i="1"/>
  <c r="AS500" i="1"/>
  <c r="AK500" i="1"/>
  <c r="AG500" i="1"/>
  <c r="AE500" i="1"/>
  <c r="T500" i="1"/>
  <c r="K500" i="1"/>
  <c r="H500" i="1"/>
  <c r="C500" i="1"/>
  <c r="BE499" i="1"/>
  <c r="BC499" i="1"/>
  <c r="BA499" i="1"/>
  <c r="AY499" i="1"/>
  <c r="AU499" i="1"/>
  <c r="AS499" i="1"/>
  <c r="AK499" i="1"/>
  <c r="AG499" i="1"/>
  <c r="AE499" i="1"/>
  <c r="T499" i="1"/>
  <c r="K499" i="1"/>
  <c r="H499" i="1"/>
  <c r="C499" i="1"/>
  <c r="BE498" i="1"/>
  <c r="BC498" i="1"/>
  <c r="BA498" i="1"/>
  <c r="AY498" i="1"/>
  <c r="AU498" i="1"/>
  <c r="AS498" i="1"/>
  <c r="AK498" i="1"/>
  <c r="AG498" i="1"/>
  <c r="AE498" i="1"/>
  <c r="T498" i="1"/>
  <c r="K498" i="1"/>
  <c r="H498" i="1"/>
  <c r="C498" i="1"/>
  <c r="BE497" i="1"/>
  <c r="BC497" i="1"/>
  <c r="BA497" i="1"/>
  <c r="AY497" i="1"/>
  <c r="AU497" i="1"/>
  <c r="AS497" i="1"/>
  <c r="AK497" i="1"/>
  <c r="AG497" i="1"/>
  <c r="AE497" i="1"/>
  <c r="T497" i="1"/>
  <c r="K497" i="1"/>
  <c r="H497" i="1"/>
  <c r="C497" i="1"/>
  <c r="BE496" i="1"/>
  <c r="BC496" i="1"/>
  <c r="BA496" i="1"/>
  <c r="AY496" i="1"/>
  <c r="AU496" i="1"/>
  <c r="AS496" i="1"/>
  <c r="AK496" i="1"/>
  <c r="AG496" i="1"/>
  <c r="AE496" i="1"/>
  <c r="T496" i="1"/>
  <c r="K496" i="1"/>
  <c r="H496" i="1"/>
  <c r="C496" i="1"/>
  <c r="BE495" i="1"/>
  <c r="BC495" i="1"/>
  <c r="BA495" i="1"/>
  <c r="AY495" i="1"/>
  <c r="AU495" i="1"/>
  <c r="AS495" i="1"/>
  <c r="AK495" i="1"/>
  <c r="AG495" i="1"/>
  <c r="AE495" i="1"/>
  <c r="T495" i="1"/>
  <c r="K495" i="1"/>
  <c r="H495" i="1"/>
  <c r="C495" i="1"/>
  <c r="BE494" i="1"/>
  <c r="BC494" i="1"/>
  <c r="BA494" i="1"/>
  <c r="AY494" i="1"/>
  <c r="AU494" i="1"/>
  <c r="AS494" i="1"/>
  <c r="AK494" i="1"/>
  <c r="AG494" i="1"/>
  <c r="AE494" i="1"/>
  <c r="T494" i="1"/>
  <c r="K494" i="1"/>
  <c r="H494" i="1"/>
  <c r="C494" i="1"/>
  <c r="BE493" i="1"/>
  <c r="BC493" i="1"/>
  <c r="BA493" i="1"/>
  <c r="AY493" i="1"/>
  <c r="AU493" i="1"/>
  <c r="AS493" i="1"/>
  <c r="AK493" i="1"/>
  <c r="AG493" i="1"/>
  <c r="AE493" i="1"/>
  <c r="T493" i="1"/>
  <c r="K493" i="1"/>
  <c r="H493" i="1"/>
  <c r="C493" i="1"/>
  <c r="BE492" i="1"/>
  <c r="BC492" i="1"/>
  <c r="BA492" i="1"/>
  <c r="AY492" i="1"/>
  <c r="AU492" i="1"/>
  <c r="AS492" i="1"/>
  <c r="AK492" i="1"/>
  <c r="AG492" i="1"/>
  <c r="AE492" i="1"/>
  <c r="T492" i="1"/>
  <c r="K492" i="1"/>
  <c r="H492" i="1"/>
  <c r="C492" i="1"/>
  <c r="BE491" i="1"/>
  <c r="BC491" i="1"/>
  <c r="BA491" i="1"/>
  <c r="AY491" i="1"/>
  <c r="AU491" i="1"/>
  <c r="AS491" i="1"/>
  <c r="AK491" i="1"/>
  <c r="AG491" i="1"/>
  <c r="AE491" i="1"/>
  <c r="T491" i="1"/>
  <c r="K491" i="1"/>
  <c r="H491" i="1"/>
  <c r="C491" i="1"/>
  <c r="BE490" i="1"/>
  <c r="BC490" i="1"/>
  <c r="BA490" i="1"/>
  <c r="AY490" i="1"/>
  <c r="AU490" i="1"/>
  <c r="AS490" i="1"/>
  <c r="AK490" i="1"/>
  <c r="AG490" i="1"/>
  <c r="AE490" i="1"/>
  <c r="T490" i="1"/>
  <c r="K490" i="1"/>
  <c r="H490" i="1"/>
  <c r="C490" i="1"/>
  <c r="BE489" i="1"/>
  <c r="BC489" i="1"/>
  <c r="BA489" i="1"/>
  <c r="AY489" i="1"/>
  <c r="AU489" i="1"/>
  <c r="AS489" i="1"/>
  <c r="AK489" i="1"/>
  <c r="AG489" i="1"/>
  <c r="AE489" i="1"/>
  <c r="T489" i="1"/>
  <c r="K489" i="1"/>
  <c r="H489" i="1"/>
  <c r="C489" i="1"/>
  <c r="BE488" i="1"/>
  <c r="BC488" i="1"/>
  <c r="BA488" i="1"/>
  <c r="AY488" i="1"/>
  <c r="AU488" i="1"/>
  <c r="AS488" i="1"/>
  <c r="AK488" i="1"/>
  <c r="AG488" i="1"/>
  <c r="AE488" i="1"/>
  <c r="T488" i="1"/>
  <c r="K488" i="1"/>
  <c r="H488" i="1"/>
  <c r="C488" i="1"/>
  <c r="BE487" i="1"/>
  <c r="BC487" i="1"/>
  <c r="BA487" i="1"/>
  <c r="AY487" i="1"/>
  <c r="AU487" i="1"/>
  <c r="AS487" i="1"/>
  <c r="AK487" i="1"/>
  <c r="AG487" i="1"/>
  <c r="AE487" i="1"/>
  <c r="T487" i="1"/>
  <c r="K487" i="1"/>
  <c r="H487" i="1"/>
  <c r="C487" i="1"/>
  <c r="BE486" i="1"/>
  <c r="BC486" i="1"/>
  <c r="BA486" i="1"/>
  <c r="AY486" i="1"/>
  <c r="AU486" i="1"/>
  <c r="AS486" i="1"/>
  <c r="AK486" i="1"/>
  <c r="AG486" i="1"/>
  <c r="AE486" i="1"/>
  <c r="T486" i="1"/>
  <c r="K486" i="1"/>
  <c r="H486" i="1"/>
  <c r="C486" i="1"/>
  <c r="BE485" i="1"/>
  <c r="BC485" i="1"/>
  <c r="BA485" i="1"/>
  <c r="AY485" i="1"/>
  <c r="AU485" i="1"/>
  <c r="AS485" i="1"/>
  <c r="AK485" i="1"/>
  <c r="AG485" i="1"/>
  <c r="AE485" i="1"/>
  <c r="T485" i="1"/>
  <c r="K485" i="1"/>
  <c r="H485" i="1"/>
  <c r="C485" i="1"/>
  <c r="BE484" i="1"/>
  <c r="BC484" i="1"/>
  <c r="BA484" i="1"/>
  <c r="AY484" i="1"/>
  <c r="AU484" i="1"/>
  <c r="AS484" i="1"/>
  <c r="AK484" i="1"/>
  <c r="AG484" i="1"/>
  <c r="AE484" i="1"/>
  <c r="T484" i="1"/>
  <c r="K484" i="1"/>
  <c r="H484" i="1"/>
  <c r="C484" i="1"/>
  <c r="BE483" i="1"/>
  <c r="BC483" i="1"/>
  <c r="BA483" i="1"/>
  <c r="AY483" i="1"/>
  <c r="AU483" i="1"/>
  <c r="AS483" i="1"/>
  <c r="AK483" i="1"/>
  <c r="AG483" i="1"/>
  <c r="AE483" i="1"/>
  <c r="T483" i="1"/>
  <c r="K483" i="1"/>
  <c r="H483" i="1"/>
  <c r="C483" i="1"/>
  <c r="BE482" i="1"/>
  <c r="BC482" i="1"/>
  <c r="BA482" i="1"/>
  <c r="AY482" i="1"/>
  <c r="AU482" i="1"/>
  <c r="AS482" i="1"/>
  <c r="AK482" i="1"/>
  <c r="AG482" i="1"/>
  <c r="AE482" i="1"/>
  <c r="T482" i="1"/>
  <c r="K482" i="1"/>
  <c r="H482" i="1"/>
  <c r="C482" i="1"/>
  <c r="BE481" i="1"/>
  <c r="BC481" i="1"/>
  <c r="BA481" i="1"/>
  <c r="AY481" i="1"/>
  <c r="AU481" i="1"/>
  <c r="AS481" i="1"/>
  <c r="AK481" i="1"/>
  <c r="AG481" i="1"/>
  <c r="AE481" i="1"/>
  <c r="T481" i="1"/>
  <c r="K481" i="1"/>
  <c r="H481" i="1"/>
  <c r="C481" i="1"/>
  <c r="BE480" i="1"/>
  <c r="BC480" i="1"/>
  <c r="BA480" i="1"/>
  <c r="AY480" i="1"/>
  <c r="AU480" i="1"/>
  <c r="AS480" i="1"/>
  <c r="AK480" i="1"/>
  <c r="AG480" i="1"/>
  <c r="AE480" i="1"/>
  <c r="T480" i="1"/>
  <c r="K480" i="1"/>
  <c r="H480" i="1"/>
  <c r="C480" i="1"/>
  <c r="BE479" i="1"/>
  <c r="BC479" i="1"/>
  <c r="BA479" i="1"/>
  <c r="AY479" i="1"/>
  <c r="AU479" i="1"/>
  <c r="AS479" i="1"/>
  <c r="AK479" i="1"/>
  <c r="AG479" i="1"/>
  <c r="AE479" i="1"/>
  <c r="T479" i="1"/>
  <c r="K479" i="1"/>
  <c r="H479" i="1"/>
  <c r="C479" i="1"/>
  <c r="BE478" i="1"/>
  <c r="BC478" i="1"/>
  <c r="BA478" i="1"/>
  <c r="AY478" i="1"/>
  <c r="AU478" i="1"/>
  <c r="AS478" i="1"/>
  <c r="AK478" i="1"/>
  <c r="AG478" i="1"/>
  <c r="AE478" i="1"/>
  <c r="T478" i="1"/>
  <c r="K478" i="1"/>
  <c r="H478" i="1"/>
  <c r="C478" i="1"/>
  <c r="BE477" i="1"/>
  <c r="BC477" i="1"/>
  <c r="BA477" i="1"/>
  <c r="AY477" i="1"/>
  <c r="AU477" i="1"/>
  <c r="AS477" i="1"/>
  <c r="AK477" i="1"/>
  <c r="AG477" i="1"/>
  <c r="AE477" i="1"/>
  <c r="T477" i="1"/>
  <c r="K477" i="1"/>
  <c r="H477" i="1"/>
  <c r="C477" i="1"/>
  <c r="BE476" i="1"/>
  <c r="BC476" i="1"/>
  <c r="BA476" i="1"/>
  <c r="AY476" i="1"/>
  <c r="AU476" i="1"/>
  <c r="AS476" i="1"/>
  <c r="AK476" i="1"/>
  <c r="AG476" i="1"/>
  <c r="AE476" i="1"/>
  <c r="T476" i="1"/>
  <c r="K476" i="1"/>
  <c r="H476" i="1"/>
  <c r="C476" i="1"/>
  <c r="BE475" i="1"/>
  <c r="BC475" i="1"/>
  <c r="BA475" i="1"/>
  <c r="AY475" i="1"/>
  <c r="AU475" i="1"/>
  <c r="AS475" i="1"/>
  <c r="AK475" i="1"/>
  <c r="AG475" i="1"/>
  <c r="AE475" i="1"/>
  <c r="T475" i="1"/>
  <c r="K475" i="1"/>
  <c r="H475" i="1"/>
  <c r="C475" i="1"/>
  <c r="BE474" i="1"/>
  <c r="BC474" i="1"/>
  <c r="BA474" i="1"/>
  <c r="AY474" i="1"/>
  <c r="AU474" i="1"/>
  <c r="AS474" i="1"/>
  <c r="AK474" i="1"/>
  <c r="AG474" i="1"/>
  <c r="AE474" i="1"/>
  <c r="T474" i="1"/>
  <c r="K474" i="1"/>
  <c r="H474" i="1"/>
  <c r="C474" i="1"/>
  <c r="BE473" i="1"/>
  <c r="BC473" i="1"/>
  <c r="BA473" i="1"/>
  <c r="AY473" i="1"/>
  <c r="AU473" i="1"/>
  <c r="AS473" i="1"/>
  <c r="AK473" i="1"/>
  <c r="AG473" i="1"/>
  <c r="AE473" i="1"/>
  <c r="T473" i="1"/>
  <c r="K473" i="1"/>
  <c r="H473" i="1"/>
  <c r="C473" i="1"/>
  <c r="BE472" i="1"/>
  <c r="BC472" i="1"/>
  <c r="BA472" i="1"/>
  <c r="AY472" i="1"/>
  <c r="AU472" i="1"/>
  <c r="AS472" i="1"/>
  <c r="AK472" i="1"/>
  <c r="AG472" i="1"/>
  <c r="AE472" i="1"/>
  <c r="T472" i="1"/>
  <c r="K472" i="1"/>
  <c r="H472" i="1"/>
  <c r="C472" i="1"/>
  <c r="BE471" i="1"/>
  <c r="BC471" i="1"/>
  <c r="BA471" i="1"/>
  <c r="AY471" i="1"/>
  <c r="AU471" i="1"/>
  <c r="AS471" i="1"/>
  <c r="AK471" i="1"/>
  <c r="AG471" i="1"/>
  <c r="AE471" i="1"/>
  <c r="T471" i="1"/>
  <c r="K471" i="1"/>
  <c r="H471" i="1"/>
  <c r="C471" i="1"/>
  <c r="BE470" i="1"/>
  <c r="BC470" i="1"/>
  <c r="BA470" i="1"/>
  <c r="AY470" i="1"/>
  <c r="AU470" i="1"/>
  <c r="AS470" i="1"/>
  <c r="AK470" i="1"/>
  <c r="AG470" i="1"/>
  <c r="AE470" i="1"/>
  <c r="T470" i="1"/>
  <c r="K470" i="1"/>
  <c r="H470" i="1"/>
  <c r="C470" i="1"/>
  <c r="BE469" i="1"/>
  <c r="BC469" i="1"/>
  <c r="BA469" i="1"/>
  <c r="AY469" i="1"/>
  <c r="AU469" i="1"/>
  <c r="AS469" i="1"/>
  <c r="AK469" i="1"/>
  <c r="AG469" i="1"/>
  <c r="AE469" i="1"/>
  <c r="T469" i="1"/>
  <c r="K469" i="1"/>
  <c r="H469" i="1"/>
  <c r="C469" i="1"/>
  <c r="BE468" i="1"/>
  <c r="BC468" i="1"/>
  <c r="BA468" i="1"/>
  <c r="AY468" i="1"/>
  <c r="AU468" i="1"/>
  <c r="AS468" i="1"/>
  <c r="AK468" i="1"/>
  <c r="AG468" i="1"/>
  <c r="AE468" i="1"/>
  <c r="T468" i="1"/>
  <c r="K468" i="1"/>
  <c r="H468" i="1"/>
  <c r="C468" i="1"/>
  <c r="BE467" i="1"/>
  <c r="BC467" i="1"/>
  <c r="BA467" i="1"/>
  <c r="AY467" i="1"/>
  <c r="AU467" i="1"/>
  <c r="AS467" i="1"/>
  <c r="AK467" i="1"/>
  <c r="AG467" i="1"/>
  <c r="AE467" i="1"/>
  <c r="T467" i="1"/>
  <c r="K467" i="1"/>
  <c r="H467" i="1"/>
  <c r="C467" i="1"/>
  <c r="BE466" i="1"/>
  <c r="BC466" i="1"/>
  <c r="BA466" i="1"/>
  <c r="AY466" i="1"/>
  <c r="AU466" i="1"/>
  <c r="AS466" i="1"/>
  <c r="AK466" i="1"/>
  <c r="AG466" i="1"/>
  <c r="AE466" i="1"/>
  <c r="T466" i="1"/>
  <c r="K466" i="1"/>
  <c r="H466" i="1"/>
  <c r="C466" i="1"/>
  <c r="BE465" i="1"/>
  <c r="BC465" i="1"/>
  <c r="BA465" i="1"/>
  <c r="AY465" i="1"/>
  <c r="AU465" i="1"/>
  <c r="AS465" i="1"/>
  <c r="AK465" i="1"/>
  <c r="AG465" i="1"/>
  <c r="AE465" i="1"/>
  <c r="T465" i="1"/>
  <c r="K465" i="1"/>
  <c r="H465" i="1"/>
  <c r="C465" i="1"/>
  <c r="BE464" i="1"/>
  <c r="BC464" i="1"/>
  <c r="BA464" i="1"/>
  <c r="AY464" i="1"/>
  <c r="AU464" i="1"/>
  <c r="AS464" i="1"/>
  <c r="AK464" i="1"/>
  <c r="AG464" i="1"/>
  <c r="AE464" i="1"/>
  <c r="T464" i="1"/>
  <c r="K464" i="1"/>
  <c r="H464" i="1"/>
  <c r="C464" i="1"/>
  <c r="BE463" i="1"/>
  <c r="BC463" i="1"/>
  <c r="BA463" i="1"/>
  <c r="AY463" i="1"/>
  <c r="AU463" i="1"/>
  <c r="AS463" i="1"/>
  <c r="AK463" i="1"/>
  <c r="AG463" i="1"/>
  <c r="AE463" i="1"/>
  <c r="T463" i="1"/>
  <c r="K463" i="1"/>
  <c r="H463" i="1"/>
  <c r="C463" i="1"/>
  <c r="BE462" i="1"/>
  <c r="BC462" i="1"/>
  <c r="BA462" i="1"/>
  <c r="AY462" i="1"/>
  <c r="AU462" i="1"/>
  <c r="AS462" i="1"/>
  <c r="AK462" i="1"/>
  <c r="AG462" i="1"/>
  <c r="AE462" i="1"/>
  <c r="T462" i="1"/>
  <c r="K462" i="1"/>
  <c r="H462" i="1"/>
  <c r="C462" i="1"/>
  <c r="BE461" i="1"/>
  <c r="BC461" i="1"/>
  <c r="BA461" i="1"/>
  <c r="AY461" i="1"/>
  <c r="AU461" i="1"/>
  <c r="AS461" i="1"/>
  <c r="AK461" i="1"/>
  <c r="AG461" i="1"/>
  <c r="AE461" i="1"/>
  <c r="T461" i="1"/>
  <c r="K461" i="1"/>
  <c r="H461" i="1"/>
  <c r="C461" i="1"/>
  <c r="BE460" i="1"/>
  <c r="BC460" i="1"/>
  <c r="BA460" i="1"/>
  <c r="AY460" i="1"/>
  <c r="AU460" i="1"/>
  <c r="AS460" i="1"/>
  <c r="AK460" i="1"/>
  <c r="AG460" i="1"/>
  <c r="AE460" i="1"/>
  <c r="T460" i="1"/>
  <c r="K460" i="1"/>
  <c r="H460" i="1"/>
  <c r="C460" i="1"/>
  <c r="BE459" i="1"/>
  <c r="BC459" i="1"/>
  <c r="BA459" i="1"/>
  <c r="AY459" i="1"/>
  <c r="AU459" i="1"/>
  <c r="AS459" i="1"/>
  <c r="AK459" i="1"/>
  <c r="AG459" i="1"/>
  <c r="AE459" i="1"/>
  <c r="T459" i="1"/>
  <c r="K459" i="1"/>
  <c r="H459" i="1"/>
  <c r="C459" i="1"/>
  <c r="BE458" i="1"/>
  <c r="BC458" i="1"/>
  <c r="BA458" i="1"/>
  <c r="AY458" i="1"/>
  <c r="AU458" i="1"/>
  <c r="AS458" i="1"/>
  <c r="AK458" i="1"/>
  <c r="AG458" i="1"/>
  <c r="AE458" i="1"/>
  <c r="T458" i="1"/>
  <c r="K458" i="1"/>
  <c r="H458" i="1"/>
  <c r="C458" i="1"/>
  <c r="BE457" i="1"/>
  <c r="BC457" i="1"/>
  <c r="BA457" i="1"/>
  <c r="AY457" i="1"/>
  <c r="AU457" i="1"/>
  <c r="AS457" i="1"/>
  <c r="AK457" i="1"/>
  <c r="AG457" i="1"/>
  <c r="AE457" i="1"/>
  <c r="T457" i="1"/>
  <c r="K457" i="1"/>
  <c r="H457" i="1"/>
  <c r="C457" i="1"/>
  <c r="BE456" i="1"/>
  <c r="BC456" i="1"/>
  <c r="BA456" i="1"/>
  <c r="AY456" i="1"/>
  <c r="AU456" i="1"/>
  <c r="AS456" i="1"/>
  <c r="AK456" i="1"/>
  <c r="AG456" i="1"/>
  <c r="AE456" i="1"/>
  <c r="T456" i="1"/>
  <c r="K456" i="1"/>
  <c r="H456" i="1"/>
  <c r="C456" i="1"/>
  <c r="BE455" i="1"/>
  <c r="BC455" i="1"/>
  <c r="BA455" i="1"/>
  <c r="AY455" i="1"/>
  <c r="AU455" i="1"/>
  <c r="AS455" i="1"/>
  <c r="AK455" i="1"/>
  <c r="AG455" i="1"/>
  <c r="AE455" i="1"/>
  <c r="T455" i="1"/>
  <c r="K455" i="1"/>
  <c r="H455" i="1"/>
  <c r="C455" i="1"/>
  <c r="BE454" i="1"/>
  <c r="BC454" i="1"/>
  <c r="BA454" i="1"/>
  <c r="AY454" i="1"/>
  <c r="AU454" i="1"/>
  <c r="AS454" i="1"/>
  <c r="AK454" i="1"/>
  <c r="AG454" i="1"/>
  <c r="AE454" i="1"/>
  <c r="T454" i="1"/>
  <c r="K454" i="1"/>
  <c r="H454" i="1"/>
  <c r="C454" i="1"/>
  <c r="BE453" i="1"/>
  <c r="BC453" i="1"/>
  <c r="BA453" i="1"/>
  <c r="AY453" i="1"/>
  <c r="AU453" i="1"/>
  <c r="AS453" i="1"/>
  <c r="AK453" i="1"/>
  <c r="AG453" i="1"/>
  <c r="AE453" i="1"/>
  <c r="T453" i="1"/>
  <c r="K453" i="1"/>
  <c r="H453" i="1"/>
  <c r="C453" i="1"/>
  <c r="BE452" i="1"/>
  <c r="BC452" i="1"/>
  <c r="BA452" i="1"/>
  <c r="AY452" i="1"/>
  <c r="AU452" i="1"/>
  <c r="AS452" i="1"/>
  <c r="AK452" i="1"/>
  <c r="AG452" i="1"/>
  <c r="AE452" i="1"/>
  <c r="T452" i="1"/>
  <c r="K452" i="1"/>
  <c r="H452" i="1"/>
  <c r="C452" i="1"/>
  <c r="BE451" i="1"/>
  <c r="BC451" i="1"/>
  <c r="BA451" i="1"/>
  <c r="AY451" i="1"/>
  <c r="AU451" i="1"/>
  <c r="AS451" i="1"/>
  <c r="AK451" i="1"/>
  <c r="AG451" i="1"/>
  <c r="AE451" i="1"/>
  <c r="T451" i="1"/>
  <c r="K451" i="1"/>
  <c r="H451" i="1"/>
  <c r="C451" i="1"/>
  <c r="BE450" i="1"/>
  <c r="BC450" i="1"/>
  <c r="BA450" i="1"/>
  <c r="AY450" i="1"/>
  <c r="AU450" i="1"/>
  <c r="AS450" i="1"/>
  <c r="AK450" i="1"/>
  <c r="AG450" i="1"/>
  <c r="AE450" i="1"/>
  <c r="T450" i="1"/>
  <c r="K450" i="1"/>
  <c r="H450" i="1"/>
  <c r="C450" i="1"/>
  <c r="BE449" i="1"/>
  <c r="BC449" i="1"/>
  <c r="BA449" i="1"/>
  <c r="AY449" i="1"/>
  <c r="AU449" i="1"/>
  <c r="AS449" i="1"/>
  <c r="AK449" i="1"/>
  <c r="AG449" i="1"/>
  <c r="AE449" i="1"/>
  <c r="T449" i="1"/>
  <c r="K449" i="1"/>
  <c r="H449" i="1"/>
  <c r="C449" i="1"/>
  <c r="BE448" i="1"/>
  <c r="BC448" i="1"/>
  <c r="BA448" i="1"/>
  <c r="AY448" i="1"/>
  <c r="AU448" i="1"/>
  <c r="AS448" i="1"/>
  <c r="AK448" i="1"/>
  <c r="AG448" i="1"/>
  <c r="AE448" i="1"/>
  <c r="T448" i="1"/>
  <c r="K448" i="1"/>
  <c r="H448" i="1"/>
  <c r="C448" i="1"/>
  <c r="BE447" i="1"/>
  <c r="BC447" i="1"/>
  <c r="BA447" i="1"/>
  <c r="AY447" i="1"/>
  <c r="AU447" i="1"/>
  <c r="AS447" i="1"/>
  <c r="AK447" i="1"/>
  <c r="AG447" i="1"/>
  <c r="AE447" i="1"/>
  <c r="T447" i="1"/>
  <c r="K447" i="1"/>
  <c r="H447" i="1"/>
  <c r="C447" i="1"/>
  <c r="BE446" i="1"/>
  <c r="BC446" i="1"/>
  <c r="BA446" i="1"/>
  <c r="AY446" i="1"/>
  <c r="AU446" i="1"/>
  <c r="AS446" i="1"/>
  <c r="AK446" i="1"/>
  <c r="AG446" i="1"/>
  <c r="AE446" i="1"/>
  <c r="T446" i="1"/>
  <c r="K446" i="1"/>
  <c r="H446" i="1"/>
  <c r="C446" i="1"/>
  <c r="BE445" i="1"/>
  <c r="BC445" i="1"/>
  <c r="BA445" i="1"/>
  <c r="AY445" i="1"/>
  <c r="AU445" i="1"/>
  <c r="AS445" i="1"/>
  <c r="AK445" i="1"/>
  <c r="AG445" i="1"/>
  <c r="AE445" i="1"/>
  <c r="T445" i="1"/>
  <c r="K445" i="1"/>
  <c r="H445" i="1"/>
  <c r="C445" i="1"/>
  <c r="BE444" i="1"/>
  <c r="BC444" i="1"/>
  <c r="BA444" i="1"/>
  <c r="AY444" i="1"/>
  <c r="AU444" i="1"/>
  <c r="AS444" i="1"/>
  <c r="AK444" i="1"/>
  <c r="AG444" i="1"/>
  <c r="AE444" i="1"/>
  <c r="T444" i="1"/>
  <c r="K444" i="1"/>
  <c r="H444" i="1"/>
  <c r="C444" i="1"/>
  <c r="BE443" i="1"/>
  <c r="BC443" i="1"/>
  <c r="BA443" i="1"/>
  <c r="AY443" i="1"/>
  <c r="AU443" i="1"/>
  <c r="AS443" i="1"/>
  <c r="AK443" i="1"/>
  <c r="AG443" i="1"/>
  <c r="AE443" i="1"/>
  <c r="T443" i="1"/>
  <c r="K443" i="1"/>
  <c r="H443" i="1"/>
  <c r="C443" i="1"/>
  <c r="BE442" i="1"/>
  <c r="BC442" i="1"/>
  <c r="BA442" i="1"/>
  <c r="AY442" i="1"/>
  <c r="AU442" i="1"/>
  <c r="AS442" i="1"/>
  <c r="AK442" i="1"/>
  <c r="AG442" i="1"/>
  <c r="AE442" i="1"/>
  <c r="T442" i="1"/>
  <c r="K442" i="1"/>
  <c r="H442" i="1"/>
  <c r="C442" i="1"/>
  <c r="BE441" i="1"/>
  <c r="BC441" i="1"/>
  <c r="BA441" i="1"/>
  <c r="AY441" i="1"/>
  <c r="AU441" i="1"/>
  <c r="AS441" i="1"/>
  <c r="AK441" i="1"/>
  <c r="AG441" i="1"/>
  <c r="AE441" i="1"/>
  <c r="T441" i="1"/>
  <c r="K441" i="1"/>
  <c r="H441" i="1"/>
  <c r="C441" i="1"/>
  <c r="BE440" i="1"/>
  <c r="BC440" i="1"/>
  <c r="BA440" i="1"/>
  <c r="AY440" i="1"/>
  <c r="AU440" i="1"/>
  <c r="AS440" i="1"/>
  <c r="AK440" i="1"/>
  <c r="AG440" i="1"/>
  <c r="AE440" i="1"/>
  <c r="T440" i="1"/>
  <c r="K440" i="1"/>
  <c r="H440" i="1"/>
  <c r="C440" i="1"/>
  <c r="BE439" i="1"/>
  <c r="BC439" i="1"/>
  <c r="BA439" i="1"/>
  <c r="AY439" i="1"/>
  <c r="AU439" i="1"/>
  <c r="AS439" i="1"/>
  <c r="AK439" i="1"/>
  <c r="AG439" i="1"/>
  <c r="AE439" i="1"/>
  <c r="T439" i="1"/>
  <c r="K439" i="1"/>
  <c r="H439" i="1"/>
  <c r="C439" i="1"/>
  <c r="BE438" i="1"/>
  <c r="BC438" i="1"/>
  <c r="BA438" i="1"/>
  <c r="AY438" i="1"/>
  <c r="AU438" i="1"/>
  <c r="AS438" i="1"/>
  <c r="AK438" i="1"/>
  <c r="AG438" i="1"/>
  <c r="AE438" i="1"/>
  <c r="T438" i="1"/>
  <c r="K438" i="1"/>
  <c r="H438" i="1"/>
  <c r="C438" i="1"/>
  <c r="BE437" i="1"/>
  <c r="BC437" i="1"/>
  <c r="BA437" i="1"/>
  <c r="AY437" i="1"/>
  <c r="AU437" i="1"/>
  <c r="AS437" i="1"/>
  <c r="AK437" i="1"/>
  <c r="AG437" i="1"/>
  <c r="AE437" i="1"/>
  <c r="T437" i="1"/>
  <c r="K437" i="1"/>
  <c r="H437" i="1"/>
  <c r="C437" i="1"/>
  <c r="BE436" i="1"/>
  <c r="BC436" i="1"/>
  <c r="BA436" i="1"/>
  <c r="AY436" i="1"/>
  <c r="AU436" i="1"/>
  <c r="AS436" i="1"/>
  <c r="AK436" i="1"/>
  <c r="AG436" i="1"/>
  <c r="AE436" i="1"/>
  <c r="T436" i="1"/>
  <c r="K436" i="1"/>
  <c r="H436" i="1"/>
  <c r="C436" i="1"/>
  <c r="BE435" i="1"/>
  <c r="BC435" i="1"/>
  <c r="BA435" i="1"/>
  <c r="AY435" i="1"/>
  <c r="AU435" i="1"/>
  <c r="AS435" i="1"/>
  <c r="AK435" i="1"/>
  <c r="AG435" i="1"/>
  <c r="AE435" i="1"/>
  <c r="T435" i="1"/>
  <c r="K435" i="1"/>
  <c r="H435" i="1"/>
  <c r="C435" i="1"/>
  <c r="BE434" i="1"/>
  <c r="BC434" i="1"/>
  <c r="BA434" i="1"/>
  <c r="AY434" i="1"/>
  <c r="AU434" i="1"/>
  <c r="AS434" i="1"/>
  <c r="AK434" i="1"/>
  <c r="AG434" i="1"/>
  <c r="AE434" i="1"/>
  <c r="T434" i="1"/>
  <c r="K434" i="1"/>
  <c r="H434" i="1"/>
  <c r="C434" i="1"/>
  <c r="BE433" i="1"/>
  <c r="BC433" i="1"/>
  <c r="BA433" i="1"/>
  <c r="AY433" i="1"/>
  <c r="AU433" i="1"/>
  <c r="AS433" i="1"/>
  <c r="AK433" i="1"/>
  <c r="AG433" i="1"/>
  <c r="AE433" i="1"/>
  <c r="T433" i="1"/>
  <c r="K433" i="1"/>
  <c r="H433" i="1"/>
  <c r="C433" i="1"/>
  <c r="BE432" i="1"/>
  <c r="BC432" i="1"/>
  <c r="BA432" i="1"/>
  <c r="AY432" i="1"/>
  <c r="AU432" i="1"/>
  <c r="AS432" i="1"/>
  <c r="AK432" i="1"/>
  <c r="AG432" i="1"/>
  <c r="AE432" i="1"/>
  <c r="T432" i="1"/>
  <c r="K432" i="1"/>
  <c r="H432" i="1"/>
  <c r="C432" i="1"/>
  <c r="BE431" i="1"/>
  <c r="BC431" i="1"/>
  <c r="BA431" i="1"/>
  <c r="AY431" i="1"/>
  <c r="AU431" i="1"/>
  <c r="AS431" i="1"/>
  <c r="AK431" i="1"/>
  <c r="AG431" i="1"/>
  <c r="AE431" i="1"/>
  <c r="T431" i="1"/>
  <c r="K431" i="1"/>
  <c r="H431" i="1"/>
  <c r="C431" i="1"/>
  <c r="BE430" i="1"/>
  <c r="BC430" i="1"/>
  <c r="BA430" i="1"/>
  <c r="AY430" i="1"/>
  <c r="AU430" i="1"/>
  <c r="AS430" i="1"/>
  <c r="AK430" i="1"/>
  <c r="AG430" i="1"/>
  <c r="AE430" i="1"/>
  <c r="T430" i="1"/>
  <c r="K430" i="1"/>
  <c r="H430" i="1"/>
  <c r="C430" i="1"/>
  <c r="BE429" i="1"/>
  <c r="BC429" i="1"/>
  <c r="BA429" i="1"/>
  <c r="AY429" i="1"/>
  <c r="AU429" i="1"/>
  <c r="AS429" i="1"/>
  <c r="AK429" i="1"/>
  <c r="AG429" i="1"/>
  <c r="AE429" i="1"/>
  <c r="T429" i="1"/>
  <c r="K429" i="1"/>
  <c r="H429" i="1"/>
  <c r="C429" i="1"/>
  <c r="BE428" i="1"/>
  <c r="BC428" i="1"/>
  <c r="BA428" i="1"/>
  <c r="AY428" i="1"/>
  <c r="AU428" i="1"/>
  <c r="AS428" i="1"/>
  <c r="AK428" i="1"/>
  <c r="AG428" i="1"/>
  <c r="AE428" i="1"/>
  <c r="T428" i="1"/>
  <c r="K428" i="1"/>
  <c r="H428" i="1"/>
  <c r="C428" i="1"/>
  <c r="BE427" i="1"/>
  <c r="BC427" i="1"/>
  <c r="BA427" i="1"/>
  <c r="AY427" i="1"/>
  <c r="AU427" i="1"/>
  <c r="AS427" i="1"/>
  <c r="AK427" i="1"/>
  <c r="AG427" i="1"/>
  <c r="AE427" i="1"/>
  <c r="T427" i="1"/>
  <c r="K427" i="1"/>
  <c r="H427" i="1"/>
  <c r="C427" i="1"/>
  <c r="BE426" i="1"/>
  <c r="BC426" i="1"/>
  <c r="BA426" i="1"/>
  <c r="AY426" i="1"/>
  <c r="AU426" i="1"/>
  <c r="AS426" i="1"/>
  <c r="AK426" i="1"/>
  <c r="AG426" i="1"/>
  <c r="AE426" i="1"/>
  <c r="T426" i="1"/>
  <c r="K426" i="1"/>
  <c r="H426" i="1"/>
  <c r="C426" i="1"/>
  <c r="BE425" i="1"/>
  <c r="BC425" i="1"/>
  <c r="BA425" i="1"/>
  <c r="AY425" i="1"/>
  <c r="AU425" i="1"/>
  <c r="AS425" i="1"/>
  <c r="AK425" i="1"/>
  <c r="AG425" i="1"/>
  <c r="AE425" i="1"/>
  <c r="T425" i="1"/>
  <c r="K425" i="1"/>
  <c r="H425" i="1"/>
  <c r="C425" i="1"/>
  <c r="BE424" i="1"/>
  <c r="BC424" i="1"/>
  <c r="BA424" i="1"/>
  <c r="AY424" i="1"/>
  <c r="AU424" i="1"/>
  <c r="AS424" i="1"/>
  <c r="AK424" i="1"/>
  <c r="AG424" i="1"/>
  <c r="AE424" i="1"/>
  <c r="T424" i="1"/>
  <c r="K424" i="1"/>
  <c r="H424" i="1"/>
  <c r="C424" i="1"/>
  <c r="BE423" i="1"/>
  <c r="BC423" i="1"/>
  <c r="BA423" i="1"/>
  <c r="AY423" i="1"/>
  <c r="AU423" i="1"/>
  <c r="AS423" i="1"/>
  <c r="AK423" i="1"/>
  <c r="AG423" i="1"/>
  <c r="AE423" i="1"/>
  <c r="T423" i="1"/>
  <c r="K423" i="1"/>
  <c r="H423" i="1"/>
  <c r="C423" i="1"/>
  <c r="BE422" i="1"/>
  <c r="BC422" i="1"/>
  <c r="BA422" i="1"/>
  <c r="AY422" i="1"/>
  <c r="AU422" i="1"/>
  <c r="AS422" i="1"/>
  <c r="AK422" i="1"/>
  <c r="AG422" i="1"/>
  <c r="AE422" i="1"/>
  <c r="T422" i="1"/>
  <c r="K422" i="1"/>
  <c r="H422" i="1"/>
  <c r="C422" i="1"/>
  <c r="BE421" i="1"/>
  <c r="BC421" i="1"/>
  <c r="BA421" i="1"/>
  <c r="AY421" i="1"/>
  <c r="AU421" i="1"/>
  <c r="AS421" i="1"/>
  <c r="AK421" i="1"/>
  <c r="AG421" i="1"/>
  <c r="AE421" i="1"/>
  <c r="T421" i="1"/>
  <c r="K421" i="1"/>
  <c r="H421" i="1"/>
  <c r="C421" i="1"/>
  <c r="BE420" i="1"/>
  <c r="BC420" i="1"/>
  <c r="BA420" i="1"/>
  <c r="AY420" i="1"/>
  <c r="AU420" i="1"/>
  <c r="AS420" i="1"/>
  <c r="AK420" i="1"/>
  <c r="AG420" i="1"/>
  <c r="AE420" i="1"/>
  <c r="T420" i="1"/>
  <c r="K420" i="1"/>
  <c r="H420" i="1"/>
  <c r="C420" i="1"/>
  <c r="BE419" i="1"/>
  <c r="BC419" i="1"/>
  <c r="BA419" i="1"/>
  <c r="AY419" i="1"/>
  <c r="AU419" i="1"/>
  <c r="AS419" i="1"/>
  <c r="AK419" i="1"/>
  <c r="AG419" i="1"/>
  <c r="AE419" i="1"/>
  <c r="T419" i="1"/>
  <c r="K419" i="1"/>
  <c r="H419" i="1"/>
  <c r="C419" i="1"/>
  <c r="BE418" i="1"/>
  <c r="BC418" i="1"/>
  <c r="BA418" i="1"/>
  <c r="AY418" i="1"/>
  <c r="AU418" i="1"/>
  <c r="AS418" i="1"/>
  <c r="AK418" i="1"/>
  <c r="AG418" i="1"/>
  <c r="AE418" i="1"/>
  <c r="T418" i="1"/>
  <c r="K418" i="1"/>
  <c r="H418" i="1"/>
  <c r="C418" i="1"/>
  <c r="BE417" i="1"/>
  <c r="BC417" i="1"/>
  <c r="BA417" i="1"/>
  <c r="AY417" i="1"/>
  <c r="AU417" i="1"/>
  <c r="AS417" i="1"/>
  <c r="AK417" i="1"/>
  <c r="AG417" i="1"/>
  <c r="AE417" i="1"/>
  <c r="T417" i="1"/>
  <c r="K417" i="1"/>
  <c r="H417" i="1"/>
  <c r="C417" i="1"/>
  <c r="BE416" i="1"/>
  <c r="BC416" i="1"/>
  <c r="BA416" i="1"/>
  <c r="AY416" i="1"/>
  <c r="AU416" i="1"/>
  <c r="AS416" i="1"/>
  <c r="AK416" i="1"/>
  <c r="AG416" i="1"/>
  <c r="AE416" i="1"/>
  <c r="T416" i="1"/>
  <c r="K416" i="1"/>
  <c r="H416" i="1"/>
  <c r="C416" i="1"/>
  <c r="BE415" i="1"/>
  <c r="BC415" i="1"/>
  <c r="BA415" i="1"/>
  <c r="AY415" i="1"/>
  <c r="AU415" i="1"/>
  <c r="AS415" i="1"/>
  <c r="AK415" i="1"/>
  <c r="AG415" i="1"/>
  <c r="AE415" i="1"/>
  <c r="T415" i="1"/>
  <c r="K415" i="1"/>
  <c r="H415" i="1"/>
  <c r="C415" i="1"/>
  <c r="BE414" i="1"/>
  <c r="BC414" i="1"/>
  <c r="BA414" i="1"/>
  <c r="AY414" i="1"/>
  <c r="AU414" i="1"/>
  <c r="AS414" i="1"/>
  <c r="AK414" i="1"/>
  <c r="AG414" i="1"/>
  <c r="AE414" i="1"/>
  <c r="T414" i="1"/>
  <c r="K414" i="1"/>
  <c r="H414" i="1"/>
  <c r="C414" i="1"/>
  <c r="BE413" i="1"/>
  <c r="BC413" i="1"/>
  <c r="BA413" i="1"/>
  <c r="AY413" i="1"/>
  <c r="AU413" i="1"/>
  <c r="AS413" i="1"/>
  <c r="AK413" i="1"/>
  <c r="AG413" i="1"/>
  <c r="AE413" i="1"/>
  <c r="T413" i="1"/>
  <c r="K413" i="1"/>
  <c r="H413" i="1"/>
  <c r="C413" i="1"/>
  <c r="BE412" i="1"/>
  <c r="BC412" i="1"/>
  <c r="BA412" i="1"/>
  <c r="AY412" i="1"/>
  <c r="AU412" i="1"/>
  <c r="AS412" i="1"/>
  <c r="AK412" i="1"/>
  <c r="AG412" i="1"/>
  <c r="AE412" i="1"/>
  <c r="T412" i="1"/>
  <c r="K412" i="1"/>
  <c r="H412" i="1"/>
  <c r="C412" i="1"/>
  <c r="BE411" i="1"/>
  <c r="BC411" i="1"/>
  <c r="BA411" i="1"/>
  <c r="AY411" i="1"/>
  <c r="AU411" i="1"/>
  <c r="AS411" i="1"/>
  <c r="AK411" i="1"/>
  <c r="AG411" i="1"/>
  <c r="AE411" i="1"/>
  <c r="T411" i="1"/>
  <c r="K411" i="1"/>
  <c r="H411" i="1"/>
  <c r="C411" i="1"/>
  <c r="BE410" i="1"/>
  <c r="BC410" i="1"/>
  <c r="BA410" i="1"/>
  <c r="AY410" i="1"/>
  <c r="AU410" i="1"/>
  <c r="AS410" i="1"/>
  <c r="AK410" i="1"/>
  <c r="AG410" i="1"/>
  <c r="AE410" i="1"/>
  <c r="T410" i="1"/>
  <c r="K410" i="1"/>
  <c r="H410" i="1"/>
  <c r="C410" i="1"/>
  <c r="BE409" i="1"/>
  <c r="BC409" i="1"/>
  <c r="BA409" i="1"/>
  <c r="AY409" i="1"/>
  <c r="AU409" i="1"/>
  <c r="AS409" i="1"/>
  <c r="AK409" i="1"/>
  <c r="AG409" i="1"/>
  <c r="AE409" i="1"/>
  <c r="T409" i="1"/>
  <c r="K409" i="1"/>
  <c r="H409" i="1"/>
  <c r="C409" i="1"/>
  <c r="BE408" i="1"/>
  <c r="BC408" i="1"/>
  <c r="BA408" i="1"/>
  <c r="AY408" i="1"/>
  <c r="AU408" i="1"/>
  <c r="AS408" i="1"/>
  <c r="AK408" i="1"/>
  <c r="AG408" i="1"/>
  <c r="AE408" i="1"/>
  <c r="T408" i="1"/>
  <c r="K408" i="1"/>
  <c r="H408" i="1"/>
  <c r="C408" i="1"/>
  <c r="BE407" i="1"/>
  <c r="BC407" i="1"/>
  <c r="BA407" i="1"/>
  <c r="AY407" i="1"/>
  <c r="AU407" i="1"/>
  <c r="AS407" i="1"/>
  <c r="AK407" i="1"/>
  <c r="AG407" i="1"/>
  <c r="AE407" i="1"/>
  <c r="T407" i="1"/>
  <c r="K407" i="1"/>
  <c r="H407" i="1"/>
  <c r="C407" i="1"/>
  <c r="BE406" i="1"/>
  <c r="BC406" i="1"/>
  <c r="BA406" i="1"/>
  <c r="AY406" i="1"/>
  <c r="AU406" i="1"/>
  <c r="AS406" i="1"/>
  <c r="AK406" i="1"/>
  <c r="AG406" i="1"/>
  <c r="AE406" i="1"/>
  <c r="T406" i="1"/>
  <c r="K406" i="1"/>
  <c r="H406" i="1"/>
  <c r="C406" i="1"/>
  <c r="BE405" i="1"/>
  <c r="BC405" i="1"/>
  <c r="BA405" i="1"/>
  <c r="AY405" i="1"/>
  <c r="AU405" i="1"/>
  <c r="AS405" i="1"/>
  <c r="AK405" i="1"/>
  <c r="AG405" i="1"/>
  <c r="AE405" i="1"/>
  <c r="T405" i="1"/>
  <c r="K405" i="1"/>
  <c r="H405" i="1"/>
  <c r="C405" i="1"/>
  <c r="BE404" i="1"/>
  <c r="BC404" i="1"/>
  <c r="BA404" i="1"/>
  <c r="AY404" i="1"/>
  <c r="AU404" i="1"/>
  <c r="AS404" i="1"/>
  <c r="AK404" i="1"/>
  <c r="AG404" i="1"/>
  <c r="AE404" i="1"/>
  <c r="T404" i="1"/>
  <c r="K404" i="1"/>
  <c r="H404" i="1"/>
  <c r="C404" i="1"/>
  <c r="BE403" i="1"/>
  <c r="BC403" i="1"/>
  <c r="BA403" i="1"/>
  <c r="AY403" i="1"/>
  <c r="AU403" i="1"/>
  <c r="AS403" i="1"/>
  <c r="AK403" i="1"/>
  <c r="AG403" i="1"/>
  <c r="AE403" i="1"/>
  <c r="T403" i="1"/>
  <c r="K403" i="1"/>
  <c r="H403" i="1"/>
  <c r="C403" i="1"/>
  <c r="BE402" i="1"/>
  <c r="BC402" i="1"/>
  <c r="BA402" i="1"/>
  <c r="AY402" i="1"/>
  <c r="AU402" i="1"/>
  <c r="AS402" i="1"/>
  <c r="AK402" i="1"/>
  <c r="AG402" i="1"/>
  <c r="AE402" i="1"/>
  <c r="T402" i="1"/>
  <c r="K402" i="1"/>
  <c r="H402" i="1"/>
  <c r="C402" i="1"/>
  <c r="BE401" i="1"/>
  <c r="BC401" i="1"/>
  <c r="BA401" i="1"/>
  <c r="AY401" i="1"/>
  <c r="AU401" i="1"/>
  <c r="AS401" i="1"/>
  <c r="AK401" i="1"/>
  <c r="AG401" i="1"/>
  <c r="AE401" i="1"/>
  <c r="T401" i="1"/>
  <c r="K401" i="1"/>
  <c r="H401" i="1"/>
  <c r="C401" i="1"/>
  <c r="BE400" i="1"/>
  <c r="BC400" i="1"/>
  <c r="BA400" i="1"/>
  <c r="AY400" i="1"/>
  <c r="AU400" i="1"/>
  <c r="AS400" i="1"/>
  <c r="AK400" i="1"/>
  <c r="AG400" i="1"/>
  <c r="AE400" i="1"/>
  <c r="T400" i="1"/>
  <c r="K400" i="1"/>
  <c r="H400" i="1"/>
  <c r="C400" i="1"/>
  <c r="BE399" i="1"/>
  <c r="BC399" i="1"/>
  <c r="BA399" i="1"/>
  <c r="AY399" i="1"/>
  <c r="AU399" i="1"/>
  <c r="AS399" i="1"/>
  <c r="AK399" i="1"/>
  <c r="AG399" i="1"/>
  <c r="AE399" i="1"/>
  <c r="T399" i="1"/>
  <c r="K399" i="1"/>
  <c r="H399" i="1"/>
  <c r="C399" i="1"/>
  <c r="BE398" i="1"/>
  <c r="BC398" i="1"/>
  <c r="BA398" i="1"/>
  <c r="AY398" i="1"/>
  <c r="AU398" i="1"/>
  <c r="AS398" i="1"/>
  <c r="AK398" i="1"/>
  <c r="AG398" i="1"/>
  <c r="AE398" i="1"/>
  <c r="T398" i="1"/>
  <c r="K398" i="1"/>
  <c r="H398" i="1"/>
  <c r="C398" i="1"/>
  <c r="BE397" i="1"/>
  <c r="BC397" i="1"/>
  <c r="BA397" i="1"/>
  <c r="AY397" i="1"/>
  <c r="AU397" i="1"/>
  <c r="AS397" i="1"/>
  <c r="AK397" i="1"/>
  <c r="AG397" i="1"/>
  <c r="AE397" i="1"/>
  <c r="T397" i="1"/>
  <c r="K397" i="1"/>
  <c r="H397" i="1"/>
  <c r="C397" i="1"/>
  <c r="BE396" i="1"/>
  <c r="BC396" i="1"/>
  <c r="BA396" i="1"/>
  <c r="AY396" i="1"/>
  <c r="AU396" i="1"/>
  <c r="AS396" i="1"/>
  <c r="AK396" i="1"/>
  <c r="AG396" i="1"/>
  <c r="AE396" i="1"/>
  <c r="T396" i="1"/>
  <c r="K396" i="1"/>
  <c r="H396" i="1"/>
  <c r="C396" i="1"/>
  <c r="BE395" i="1"/>
  <c r="BC395" i="1"/>
  <c r="BA395" i="1"/>
  <c r="AY395" i="1"/>
  <c r="AU395" i="1"/>
  <c r="AS395" i="1"/>
  <c r="AK395" i="1"/>
  <c r="AG395" i="1"/>
  <c r="AE395" i="1"/>
  <c r="T395" i="1"/>
  <c r="K395" i="1"/>
  <c r="H395" i="1"/>
  <c r="C395" i="1"/>
  <c r="BE394" i="1"/>
  <c r="BC394" i="1"/>
  <c r="BA394" i="1"/>
  <c r="AY394" i="1"/>
  <c r="AU394" i="1"/>
  <c r="AS394" i="1"/>
  <c r="AK394" i="1"/>
  <c r="AG394" i="1"/>
  <c r="AE394" i="1"/>
  <c r="T394" i="1"/>
  <c r="K394" i="1"/>
  <c r="H394" i="1"/>
  <c r="C394" i="1"/>
  <c r="BE393" i="1"/>
  <c r="BC393" i="1"/>
  <c r="BA393" i="1"/>
  <c r="AY393" i="1"/>
  <c r="AU393" i="1"/>
  <c r="AS393" i="1"/>
  <c r="AK393" i="1"/>
  <c r="AG393" i="1"/>
  <c r="AE393" i="1"/>
  <c r="T393" i="1"/>
  <c r="K393" i="1"/>
  <c r="H393" i="1"/>
  <c r="C393" i="1"/>
  <c r="BE392" i="1"/>
  <c r="BC392" i="1"/>
  <c r="BA392" i="1"/>
  <c r="AY392" i="1"/>
  <c r="AU392" i="1"/>
  <c r="AS392" i="1"/>
  <c r="AK392" i="1"/>
  <c r="AG392" i="1"/>
  <c r="AE392" i="1"/>
  <c r="T392" i="1"/>
  <c r="K392" i="1"/>
  <c r="H392" i="1"/>
  <c r="C392" i="1"/>
  <c r="BE391" i="1"/>
  <c r="BC391" i="1"/>
  <c r="BA391" i="1"/>
  <c r="AY391" i="1"/>
  <c r="AU391" i="1"/>
  <c r="AS391" i="1"/>
  <c r="AK391" i="1"/>
  <c r="AG391" i="1"/>
  <c r="AE391" i="1"/>
  <c r="T391" i="1"/>
  <c r="K391" i="1"/>
  <c r="H391" i="1"/>
  <c r="C391" i="1"/>
  <c r="BE390" i="1"/>
  <c r="BC390" i="1"/>
  <c r="BA390" i="1"/>
  <c r="AY390" i="1"/>
  <c r="AU390" i="1"/>
  <c r="AS390" i="1"/>
  <c r="AK390" i="1"/>
  <c r="AG390" i="1"/>
  <c r="AE390" i="1"/>
  <c r="T390" i="1"/>
  <c r="K390" i="1"/>
  <c r="H390" i="1"/>
  <c r="C390" i="1"/>
  <c r="BE389" i="1"/>
  <c r="BC389" i="1"/>
  <c r="BA389" i="1"/>
  <c r="AY389" i="1"/>
  <c r="AU389" i="1"/>
  <c r="AS389" i="1"/>
  <c r="AK389" i="1"/>
  <c r="AG389" i="1"/>
  <c r="AE389" i="1"/>
  <c r="T389" i="1"/>
  <c r="K389" i="1"/>
  <c r="H389" i="1"/>
  <c r="C389" i="1"/>
  <c r="BE388" i="1"/>
  <c r="BC388" i="1"/>
  <c r="BA388" i="1"/>
  <c r="AY388" i="1"/>
  <c r="AU388" i="1"/>
  <c r="AS388" i="1"/>
  <c r="AK388" i="1"/>
  <c r="AG388" i="1"/>
  <c r="AE388" i="1"/>
  <c r="T388" i="1"/>
  <c r="K388" i="1"/>
  <c r="H388" i="1"/>
  <c r="C388" i="1"/>
  <c r="BE387" i="1"/>
  <c r="BC387" i="1"/>
  <c r="BA387" i="1"/>
  <c r="AY387" i="1"/>
  <c r="AU387" i="1"/>
  <c r="AS387" i="1"/>
  <c r="AK387" i="1"/>
  <c r="AG387" i="1"/>
  <c r="AE387" i="1"/>
  <c r="T387" i="1"/>
  <c r="K387" i="1"/>
  <c r="H387" i="1"/>
  <c r="C387" i="1"/>
  <c r="BE386" i="1"/>
  <c r="BC386" i="1"/>
  <c r="BA386" i="1"/>
  <c r="AY386" i="1"/>
  <c r="AU386" i="1"/>
  <c r="AS386" i="1"/>
  <c r="AK386" i="1"/>
  <c r="AG386" i="1"/>
  <c r="AE386" i="1"/>
  <c r="T386" i="1"/>
  <c r="K386" i="1"/>
  <c r="H386" i="1"/>
  <c r="C386" i="1"/>
  <c r="BE385" i="1"/>
  <c r="BC385" i="1"/>
  <c r="BA385" i="1"/>
  <c r="AY385" i="1"/>
  <c r="AU385" i="1"/>
  <c r="AS385" i="1"/>
  <c r="AK385" i="1"/>
  <c r="AG385" i="1"/>
  <c r="AE385" i="1"/>
  <c r="T385" i="1"/>
  <c r="K385" i="1"/>
  <c r="H385" i="1"/>
  <c r="C385" i="1"/>
  <c r="BE384" i="1"/>
  <c r="BC384" i="1"/>
  <c r="BA384" i="1"/>
  <c r="AY384" i="1"/>
  <c r="AU384" i="1"/>
  <c r="AS384" i="1"/>
  <c r="AK384" i="1"/>
  <c r="AG384" i="1"/>
  <c r="AE384" i="1"/>
  <c r="T384" i="1"/>
  <c r="K384" i="1"/>
  <c r="H384" i="1"/>
  <c r="C384" i="1"/>
  <c r="BE383" i="1"/>
  <c r="BC383" i="1"/>
  <c r="BA383" i="1"/>
  <c r="AY383" i="1"/>
  <c r="AU383" i="1"/>
  <c r="AS383" i="1"/>
  <c r="AK383" i="1"/>
  <c r="AG383" i="1"/>
  <c r="AE383" i="1"/>
  <c r="T383" i="1"/>
  <c r="K383" i="1"/>
  <c r="H383" i="1"/>
  <c r="C383" i="1"/>
  <c r="BE382" i="1"/>
  <c r="BC382" i="1"/>
  <c r="BA382" i="1"/>
  <c r="AY382" i="1"/>
  <c r="AU382" i="1"/>
  <c r="AS382" i="1"/>
  <c r="AK382" i="1"/>
  <c r="AG382" i="1"/>
  <c r="AE382" i="1"/>
  <c r="T382" i="1"/>
  <c r="K382" i="1"/>
  <c r="H382" i="1"/>
  <c r="C382" i="1"/>
  <c r="BE381" i="1"/>
  <c r="BC381" i="1"/>
  <c r="BA381" i="1"/>
  <c r="AY381" i="1"/>
  <c r="AU381" i="1"/>
  <c r="AS381" i="1"/>
  <c r="AK381" i="1"/>
  <c r="AG381" i="1"/>
  <c r="AE381" i="1"/>
  <c r="T381" i="1"/>
  <c r="K381" i="1"/>
  <c r="H381" i="1"/>
  <c r="C381" i="1"/>
  <c r="BE380" i="1"/>
  <c r="BC380" i="1"/>
  <c r="BA380" i="1"/>
  <c r="AY380" i="1"/>
  <c r="AU380" i="1"/>
  <c r="AS380" i="1"/>
  <c r="AK380" i="1"/>
  <c r="AG380" i="1"/>
  <c r="AE380" i="1"/>
  <c r="T380" i="1"/>
  <c r="K380" i="1"/>
  <c r="H380" i="1"/>
  <c r="C380" i="1"/>
  <c r="BE379" i="1"/>
  <c r="BC379" i="1"/>
  <c r="BA379" i="1"/>
  <c r="AY379" i="1"/>
  <c r="AU379" i="1"/>
  <c r="AS379" i="1"/>
  <c r="AK379" i="1"/>
  <c r="AG379" i="1"/>
  <c r="AE379" i="1"/>
  <c r="T379" i="1"/>
  <c r="K379" i="1"/>
  <c r="H379" i="1"/>
  <c r="C379" i="1"/>
  <c r="BE378" i="1"/>
  <c r="BC378" i="1"/>
  <c r="BA378" i="1"/>
  <c r="AY378" i="1"/>
  <c r="AU378" i="1"/>
  <c r="AS378" i="1"/>
  <c r="AK378" i="1"/>
  <c r="AG378" i="1"/>
  <c r="AE378" i="1"/>
  <c r="T378" i="1"/>
  <c r="K378" i="1"/>
  <c r="H378" i="1"/>
  <c r="C378" i="1"/>
  <c r="BE377" i="1"/>
  <c r="BC377" i="1"/>
  <c r="BA377" i="1"/>
  <c r="AY377" i="1"/>
  <c r="AU377" i="1"/>
  <c r="AS377" i="1"/>
  <c r="AK377" i="1"/>
  <c r="AG377" i="1"/>
  <c r="AE377" i="1"/>
  <c r="T377" i="1"/>
  <c r="K377" i="1"/>
  <c r="H377" i="1"/>
  <c r="C377" i="1"/>
  <c r="BE376" i="1"/>
  <c r="BC376" i="1"/>
  <c r="BA376" i="1"/>
  <c r="AY376" i="1"/>
  <c r="AU376" i="1"/>
  <c r="AS376" i="1"/>
  <c r="AK376" i="1"/>
  <c r="AG376" i="1"/>
  <c r="AE376" i="1"/>
  <c r="T376" i="1"/>
  <c r="K376" i="1"/>
  <c r="H376" i="1"/>
  <c r="C376" i="1"/>
  <c r="BE375" i="1"/>
  <c r="BC375" i="1"/>
  <c r="BA375" i="1"/>
  <c r="AY375" i="1"/>
  <c r="AU375" i="1"/>
  <c r="AS375" i="1"/>
  <c r="AK375" i="1"/>
  <c r="AG375" i="1"/>
  <c r="AE375" i="1"/>
  <c r="T375" i="1"/>
  <c r="K375" i="1"/>
  <c r="H375" i="1"/>
  <c r="C375" i="1"/>
  <c r="BE374" i="1"/>
  <c r="BC374" i="1"/>
  <c r="BA374" i="1"/>
  <c r="AY374" i="1"/>
  <c r="AU374" i="1"/>
  <c r="AS374" i="1"/>
  <c r="AK374" i="1"/>
  <c r="AG374" i="1"/>
  <c r="AE374" i="1"/>
  <c r="T374" i="1"/>
  <c r="K374" i="1"/>
  <c r="H374" i="1"/>
  <c r="C374" i="1"/>
  <c r="BE373" i="1"/>
  <c r="BC373" i="1"/>
  <c r="BA373" i="1"/>
  <c r="AY373" i="1"/>
  <c r="AU373" i="1"/>
  <c r="AS373" i="1"/>
  <c r="AK373" i="1"/>
  <c r="AG373" i="1"/>
  <c r="AE373" i="1"/>
  <c r="T373" i="1"/>
  <c r="K373" i="1"/>
  <c r="H373" i="1"/>
  <c r="C373" i="1"/>
  <c r="BE372" i="1"/>
  <c r="BC372" i="1"/>
  <c r="BA372" i="1"/>
  <c r="AY372" i="1"/>
  <c r="AU372" i="1"/>
  <c r="AS372" i="1"/>
  <c r="AK372" i="1"/>
  <c r="AG372" i="1"/>
  <c r="AE372" i="1"/>
  <c r="T372" i="1"/>
  <c r="K372" i="1"/>
  <c r="H372" i="1"/>
  <c r="C372" i="1"/>
  <c r="BE371" i="1"/>
  <c r="BC371" i="1"/>
  <c r="BA371" i="1"/>
  <c r="AY371" i="1"/>
  <c r="AU371" i="1"/>
  <c r="AS371" i="1"/>
  <c r="AK371" i="1"/>
  <c r="AG371" i="1"/>
  <c r="AE371" i="1"/>
  <c r="T371" i="1"/>
  <c r="K371" i="1"/>
  <c r="H371" i="1"/>
  <c r="C371" i="1"/>
  <c r="BE370" i="1"/>
  <c r="BC370" i="1"/>
  <c r="BA370" i="1"/>
  <c r="AY370" i="1"/>
  <c r="AU370" i="1"/>
  <c r="AS370" i="1"/>
  <c r="AK370" i="1"/>
  <c r="AG370" i="1"/>
  <c r="AE370" i="1"/>
  <c r="T370" i="1"/>
  <c r="K370" i="1"/>
  <c r="H370" i="1"/>
  <c r="C370" i="1"/>
  <c r="BE369" i="1"/>
  <c r="BC369" i="1"/>
  <c r="BA369" i="1"/>
  <c r="AY369" i="1"/>
  <c r="AU369" i="1"/>
  <c r="AS369" i="1"/>
  <c r="AK369" i="1"/>
  <c r="AG369" i="1"/>
  <c r="AE369" i="1"/>
  <c r="T369" i="1"/>
  <c r="K369" i="1"/>
  <c r="H369" i="1"/>
  <c r="C369" i="1"/>
  <c r="BE368" i="1"/>
  <c r="BC368" i="1"/>
  <c r="BA368" i="1"/>
  <c r="AY368" i="1"/>
  <c r="AU368" i="1"/>
  <c r="AS368" i="1"/>
  <c r="AK368" i="1"/>
  <c r="AG368" i="1"/>
  <c r="AE368" i="1"/>
  <c r="T368" i="1"/>
  <c r="K368" i="1"/>
  <c r="H368" i="1"/>
  <c r="C368" i="1"/>
  <c r="BE367" i="1"/>
  <c r="BC367" i="1"/>
  <c r="BA367" i="1"/>
  <c r="AY367" i="1"/>
  <c r="AU367" i="1"/>
  <c r="AS367" i="1"/>
  <c r="AK367" i="1"/>
  <c r="AG367" i="1"/>
  <c r="AE367" i="1"/>
  <c r="T367" i="1"/>
  <c r="K367" i="1"/>
  <c r="H367" i="1"/>
  <c r="C367" i="1"/>
  <c r="BE366" i="1"/>
  <c r="BC366" i="1"/>
  <c r="BA366" i="1"/>
  <c r="AY366" i="1"/>
  <c r="AU366" i="1"/>
  <c r="AS366" i="1"/>
  <c r="AK366" i="1"/>
  <c r="AG366" i="1"/>
  <c r="AE366" i="1"/>
  <c r="T366" i="1"/>
  <c r="K366" i="1"/>
  <c r="H366" i="1"/>
  <c r="C366" i="1"/>
  <c r="BE365" i="1"/>
  <c r="BC365" i="1"/>
  <c r="BA365" i="1"/>
  <c r="AY365" i="1"/>
  <c r="AU365" i="1"/>
  <c r="AS365" i="1"/>
  <c r="AK365" i="1"/>
  <c r="AG365" i="1"/>
  <c r="AE365" i="1"/>
  <c r="T365" i="1"/>
  <c r="K365" i="1"/>
  <c r="H365" i="1"/>
  <c r="C365" i="1"/>
  <c r="BE364" i="1"/>
  <c r="BC364" i="1"/>
  <c r="BA364" i="1"/>
  <c r="AY364" i="1"/>
  <c r="AU364" i="1"/>
  <c r="AS364" i="1"/>
  <c r="AK364" i="1"/>
  <c r="AG364" i="1"/>
  <c r="AE364" i="1"/>
  <c r="T364" i="1"/>
  <c r="K364" i="1"/>
  <c r="H364" i="1"/>
  <c r="C364" i="1"/>
  <c r="BE363" i="1"/>
  <c r="BC363" i="1"/>
  <c r="BA363" i="1"/>
  <c r="AY363" i="1"/>
  <c r="AU363" i="1"/>
  <c r="AS363" i="1"/>
  <c r="AK363" i="1"/>
  <c r="AG363" i="1"/>
  <c r="AE363" i="1"/>
  <c r="T363" i="1"/>
  <c r="K363" i="1"/>
  <c r="H363" i="1"/>
  <c r="C363" i="1"/>
  <c r="BE362" i="1"/>
  <c r="BC362" i="1"/>
  <c r="BA362" i="1"/>
  <c r="AY362" i="1"/>
  <c r="AU362" i="1"/>
  <c r="AS362" i="1"/>
  <c r="AK362" i="1"/>
  <c r="AG362" i="1"/>
  <c r="AE362" i="1"/>
  <c r="T362" i="1"/>
  <c r="K362" i="1"/>
  <c r="H362" i="1"/>
  <c r="C362" i="1"/>
  <c r="BE361" i="1"/>
  <c r="BC361" i="1"/>
  <c r="BA361" i="1"/>
  <c r="AY361" i="1"/>
  <c r="AU361" i="1"/>
  <c r="AS361" i="1"/>
  <c r="AK361" i="1"/>
  <c r="AG361" i="1"/>
  <c r="AE361" i="1"/>
  <c r="T361" i="1"/>
  <c r="K361" i="1"/>
  <c r="H361" i="1"/>
  <c r="C361" i="1"/>
  <c r="BE360" i="1"/>
  <c r="BC360" i="1"/>
  <c r="BA360" i="1"/>
  <c r="AY360" i="1"/>
  <c r="AU360" i="1"/>
  <c r="AS360" i="1"/>
  <c r="AK360" i="1"/>
  <c r="AG360" i="1"/>
  <c r="AE360" i="1"/>
  <c r="T360" i="1"/>
  <c r="K360" i="1"/>
  <c r="H360" i="1"/>
  <c r="C360" i="1"/>
  <c r="BE359" i="1"/>
  <c r="BC359" i="1"/>
  <c r="BA359" i="1"/>
  <c r="AY359" i="1"/>
  <c r="AU359" i="1"/>
  <c r="AS359" i="1"/>
  <c r="AK359" i="1"/>
  <c r="AG359" i="1"/>
  <c r="AE359" i="1"/>
  <c r="T359" i="1"/>
  <c r="K359" i="1"/>
  <c r="H359" i="1"/>
  <c r="C359" i="1"/>
  <c r="BE358" i="1"/>
  <c r="BC358" i="1"/>
  <c r="BA358" i="1"/>
  <c r="AY358" i="1"/>
  <c r="AU358" i="1"/>
  <c r="AS358" i="1"/>
  <c r="AK358" i="1"/>
  <c r="AG358" i="1"/>
  <c r="AE358" i="1"/>
  <c r="T358" i="1"/>
  <c r="K358" i="1"/>
  <c r="H358" i="1"/>
  <c r="C358" i="1"/>
  <c r="BE357" i="1"/>
  <c r="BC357" i="1"/>
  <c r="BA357" i="1"/>
  <c r="AY357" i="1"/>
  <c r="AU357" i="1"/>
  <c r="AS357" i="1"/>
  <c r="AK357" i="1"/>
  <c r="AG357" i="1"/>
  <c r="AE357" i="1"/>
  <c r="T357" i="1"/>
  <c r="K357" i="1"/>
  <c r="H357" i="1"/>
  <c r="C357" i="1"/>
  <c r="BE356" i="1"/>
  <c r="BC356" i="1"/>
  <c r="BA356" i="1"/>
  <c r="AY356" i="1"/>
  <c r="AU356" i="1"/>
  <c r="AS356" i="1"/>
  <c r="AK356" i="1"/>
  <c r="AG356" i="1"/>
  <c r="AE356" i="1"/>
  <c r="T356" i="1"/>
  <c r="K356" i="1"/>
  <c r="H356" i="1"/>
  <c r="C356" i="1"/>
  <c r="BE355" i="1"/>
  <c r="BC355" i="1"/>
  <c r="BA355" i="1"/>
  <c r="AY355" i="1"/>
  <c r="AU355" i="1"/>
  <c r="AS355" i="1"/>
  <c r="AK355" i="1"/>
  <c r="AG355" i="1"/>
  <c r="AE355" i="1"/>
  <c r="T355" i="1"/>
  <c r="K355" i="1"/>
  <c r="H355" i="1"/>
  <c r="C355" i="1"/>
  <c r="BE354" i="1"/>
  <c r="BC354" i="1"/>
  <c r="BA354" i="1"/>
  <c r="AY354" i="1"/>
  <c r="AU354" i="1"/>
  <c r="AS354" i="1"/>
  <c r="AK354" i="1"/>
  <c r="AG354" i="1"/>
  <c r="AE354" i="1"/>
  <c r="T354" i="1"/>
  <c r="K354" i="1"/>
  <c r="H354" i="1"/>
  <c r="C354" i="1"/>
  <c r="BE353" i="1"/>
  <c r="BC353" i="1"/>
  <c r="BA353" i="1"/>
  <c r="AY353" i="1"/>
  <c r="AU353" i="1"/>
  <c r="AS353" i="1"/>
  <c r="AK353" i="1"/>
  <c r="AG353" i="1"/>
  <c r="AE353" i="1"/>
  <c r="T353" i="1"/>
  <c r="K353" i="1"/>
  <c r="H353" i="1"/>
  <c r="C353" i="1"/>
  <c r="BE352" i="1"/>
  <c r="BC352" i="1"/>
  <c r="BA352" i="1"/>
  <c r="AY352" i="1"/>
  <c r="AU352" i="1"/>
  <c r="AS352" i="1"/>
  <c r="AK352" i="1"/>
  <c r="AG352" i="1"/>
  <c r="AE352" i="1"/>
  <c r="T352" i="1"/>
  <c r="K352" i="1"/>
  <c r="H352" i="1"/>
  <c r="C352" i="1"/>
  <c r="BE351" i="1"/>
  <c r="BC351" i="1"/>
  <c r="BA351" i="1"/>
  <c r="AY351" i="1"/>
  <c r="AU351" i="1"/>
  <c r="AS351" i="1"/>
  <c r="AK351" i="1"/>
  <c r="AG351" i="1"/>
  <c r="AE351" i="1"/>
  <c r="T351" i="1"/>
  <c r="K351" i="1"/>
  <c r="H351" i="1"/>
  <c r="C351" i="1"/>
  <c r="BE350" i="1"/>
  <c r="BC350" i="1"/>
  <c r="BA350" i="1"/>
  <c r="AY350" i="1"/>
  <c r="AU350" i="1"/>
  <c r="AS350" i="1"/>
  <c r="AK350" i="1"/>
  <c r="AG350" i="1"/>
  <c r="AE350" i="1"/>
  <c r="T350" i="1"/>
  <c r="K350" i="1"/>
  <c r="H350" i="1"/>
  <c r="C350" i="1"/>
  <c r="BE349" i="1"/>
  <c r="BC349" i="1"/>
  <c r="BA349" i="1"/>
  <c r="AY349" i="1"/>
  <c r="AU349" i="1"/>
  <c r="AS349" i="1"/>
  <c r="AK349" i="1"/>
  <c r="AG349" i="1"/>
  <c r="AE349" i="1"/>
  <c r="T349" i="1"/>
  <c r="K349" i="1"/>
  <c r="H349" i="1"/>
  <c r="C349" i="1"/>
  <c r="BE348" i="1"/>
  <c r="BC348" i="1"/>
  <c r="BA348" i="1"/>
  <c r="AY348" i="1"/>
  <c r="AU348" i="1"/>
  <c r="AS348" i="1"/>
  <c r="AK348" i="1"/>
  <c r="AG348" i="1"/>
  <c r="AE348" i="1"/>
  <c r="T348" i="1"/>
  <c r="K348" i="1"/>
  <c r="H348" i="1"/>
  <c r="C348" i="1"/>
  <c r="BE347" i="1"/>
  <c r="BC347" i="1"/>
  <c r="BA347" i="1"/>
  <c r="AY347" i="1"/>
  <c r="AU347" i="1"/>
  <c r="AS347" i="1"/>
  <c r="AK347" i="1"/>
  <c r="AG347" i="1"/>
  <c r="AE347" i="1"/>
  <c r="T347" i="1"/>
  <c r="K347" i="1"/>
  <c r="H347" i="1"/>
  <c r="C347" i="1"/>
  <c r="BE346" i="1"/>
  <c r="BC346" i="1"/>
  <c r="BA346" i="1"/>
  <c r="AY346" i="1"/>
  <c r="AU346" i="1"/>
  <c r="AS346" i="1"/>
  <c r="AK346" i="1"/>
  <c r="AG346" i="1"/>
  <c r="AE346" i="1"/>
  <c r="T346" i="1"/>
  <c r="K346" i="1"/>
  <c r="H346" i="1"/>
  <c r="C346" i="1"/>
  <c r="BE345" i="1"/>
  <c r="BC345" i="1"/>
  <c r="BA345" i="1"/>
  <c r="AY345" i="1"/>
  <c r="AU345" i="1"/>
  <c r="AS345" i="1"/>
  <c r="AK345" i="1"/>
  <c r="AG345" i="1"/>
  <c r="AE345" i="1"/>
  <c r="T345" i="1"/>
  <c r="K345" i="1"/>
  <c r="H345" i="1"/>
  <c r="C345" i="1"/>
  <c r="BE344" i="1"/>
  <c r="BC344" i="1"/>
  <c r="BA344" i="1"/>
  <c r="AY344" i="1"/>
  <c r="AU344" i="1"/>
  <c r="AS344" i="1"/>
  <c r="AK344" i="1"/>
  <c r="AG344" i="1"/>
  <c r="AE344" i="1"/>
  <c r="T344" i="1"/>
  <c r="K344" i="1"/>
  <c r="H344" i="1"/>
  <c r="C344" i="1"/>
  <c r="BE343" i="1"/>
  <c r="BC343" i="1"/>
  <c r="BA343" i="1"/>
  <c r="AY343" i="1"/>
  <c r="AU343" i="1"/>
  <c r="AS343" i="1"/>
  <c r="AK343" i="1"/>
  <c r="AG343" i="1"/>
  <c r="AE343" i="1"/>
  <c r="T343" i="1"/>
  <c r="K343" i="1"/>
  <c r="H343" i="1"/>
  <c r="C343" i="1"/>
  <c r="BE342" i="1"/>
  <c r="BC342" i="1"/>
  <c r="BA342" i="1"/>
  <c r="AY342" i="1"/>
  <c r="AU342" i="1"/>
  <c r="AS342" i="1"/>
  <c r="AK342" i="1"/>
  <c r="AG342" i="1"/>
  <c r="AE342" i="1"/>
  <c r="T342" i="1"/>
  <c r="K342" i="1"/>
  <c r="H342" i="1"/>
  <c r="C342" i="1"/>
  <c r="BE341" i="1"/>
  <c r="BC341" i="1"/>
  <c r="BA341" i="1"/>
  <c r="AY341" i="1"/>
  <c r="AU341" i="1"/>
  <c r="AS341" i="1"/>
  <c r="AK341" i="1"/>
  <c r="AG341" i="1"/>
  <c r="AE341" i="1"/>
  <c r="T341" i="1"/>
  <c r="K341" i="1"/>
  <c r="H341" i="1"/>
  <c r="C341" i="1"/>
  <c r="BE340" i="1"/>
  <c r="BC340" i="1"/>
  <c r="BA340" i="1"/>
  <c r="AY340" i="1"/>
  <c r="AU340" i="1"/>
  <c r="AS340" i="1"/>
  <c r="AK340" i="1"/>
  <c r="AG340" i="1"/>
  <c r="AE340" i="1"/>
  <c r="T340" i="1"/>
  <c r="K340" i="1"/>
  <c r="H340" i="1"/>
  <c r="C340" i="1"/>
  <c r="BE339" i="1"/>
  <c r="BC339" i="1"/>
  <c r="BA339" i="1"/>
  <c r="AY339" i="1"/>
  <c r="AU339" i="1"/>
  <c r="AS339" i="1"/>
  <c r="AK339" i="1"/>
  <c r="AG339" i="1"/>
  <c r="AE339" i="1"/>
  <c r="T339" i="1"/>
  <c r="K339" i="1"/>
  <c r="H339" i="1"/>
  <c r="C339" i="1"/>
  <c r="BE338" i="1"/>
  <c r="BC338" i="1"/>
  <c r="BA338" i="1"/>
  <c r="AY338" i="1"/>
  <c r="AU338" i="1"/>
  <c r="AS338" i="1"/>
  <c r="AK338" i="1"/>
  <c r="AG338" i="1"/>
  <c r="AE338" i="1"/>
  <c r="T338" i="1"/>
  <c r="K338" i="1"/>
  <c r="H338" i="1"/>
  <c r="C338" i="1"/>
  <c r="BE337" i="1"/>
  <c r="BC337" i="1"/>
  <c r="BA337" i="1"/>
  <c r="AY337" i="1"/>
  <c r="AU337" i="1"/>
  <c r="AS337" i="1"/>
  <c r="AK337" i="1"/>
  <c r="AG337" i="1"/>
  <c r="AE337" i="1"/>
  <c r="T337" i="1"/>
  <c r="K337" i="1"/>
  <c r="H337" i="1"/>
  <c r="C337" i="1"/>
  <c r="BE336" i="1"/>
  <c r="BC336" i="1"/>
  <c r="BA336" i="1"/>
  <c r="AY336" i="1"/>
  <c r="AU336" i="1"/>
  <c r="AS336" i="1"/>
  <c r="AK336" i="1"/>
  <c r="AG336" i="1"/>
  <c r="AE336" i="1"/>
  <c r="T336" i="1"/>
  <c r="K336" i="1"/>
  <c r="H336" i="1"/>
  <c r="C336" i="1"/>
  <c r="BE335" i="1"/>
  <c r="BC335" i="1"/>
  <c r="BA335" i="1"/>
  <c r="AY335" i="1"/>
  <c r="AU335" i="1"/>
  <c r="AS335" i="1"/>
  <c r="AK335" i="1"/>
  <c r="AG335" i="1"/>
  <c r="AE335" i="1"/>
  <c r="T335" i="1"/>
  <c r="K335" i="1"/>
  <c r="H335" i="1"/>
  <c r="C335" i="1"/>
  <c r="BE334" i="1"/>
  <c r="BC334" i="1"/>
  <c r="BA334" i="1"/>
  <c r="AY334" i="1"/>
  <c r="AU334" i="1"/>
  <c r="AS334" i="1"/>
  <c r="AK334" i="1"/>
  <c r="AG334" i="1"/>
  <c r="AE334" i="1"/>
  <c r="T334" i="1"/>
  <c r="K334" i="1"/>
  <c r="H334" i="1"/>
  <c r="C334" i="1"/>
  <c r="BE333" i="1"/>
  <c r="BC333" i="1"/>
  <c r="BA333" i="1"/>
  <c r="AY333" i="1"/>
  <c r="AU333" i="1"/>
  <c r="AS333" i="1"/>
  <c r="AK333" i="1"/>
  <c r="AG333" i="1"/>
  <c r="AE333" i="1"/>
  <c r="T333" i="1"/>
  <c r="K333" i="1"/>
  <c r="H333" i="1"/>
  <c r="C333" i="1"/>
  <c r="BE332" i="1"/>
  <c r="BC332" i="1"/>
  <c r="BA332" i="1"/>
  <c r="AY332" i="1"/>
  <c r="AU332" i="1"/>
  <c r="AS332" i="1"/>
  <c r="AK332" i="1"/>
  <c r="AG332" i="1"/>
  <c r="AE332" i="1"/>
  <c r="T332" i="1"/>
  <c r="K332" i="1"/>
  <c r="H332" i="1"/>
  <c r="C332" i="1"/>
  <c r="BE331" i="1"/>
  <c r="BC331" i="1"/>
  <c r="BA331" i="1"/>
  <c r="AY331" i="1"/>
  <c r="AU331" i="1"/>
  <c r="AS331" i="1"/>
  <c r="AK331" i="1"/>
  <c r="AG331" i="1"/>
  <c r="AE331" i="1"/>
  <c r="T331" i="1"/>
  <c r="K331" i="1"/>
  <c r="H331" i="1"/>
  <c r="C331" i="1"/>
  <c r="BE330" i="1"/>
  <c r="BC330" i="1"/>
  <c r="BA330" i="1"/>
  <c r="AY330" i="1"/>
  <c r="AU330" i="1"/>
  <c r="AS330" i="1"/>
  <c r="AK330" i="1"/>
  <c r="AG330" i="1"/>
  <c r="AE330" i="1"/>
  <c r="T330" i="1"/>
  <c r="K330" i="1"/>
  <c r="H330" i="1"/>
  <c r="C330" i="1"/>
  <c r="BE329" i="1"/>
  <c r="BC329" i="1"/>
  <c r="BA329" i="1"/>
  <c r="AY329" i="1"/>
  <c r="AU329" i="1"/>
  <c r="AS329" i="1"/>
  <c r="AK329" i="1"/>
  <c r="AG329" i="1"/>
  <c r="AE329" i="1"/>
  <c r="T329" i="1"/>
  <c r="K329" i="1"/>
  <c r="H329" i="1"/>
  <c r="C329" i="1"/>
  <c r="BE328" i="1"/>
  <c r="BC328" i="1"/>
  <c r="BA328" i="1"/>
  <c r="AY328" i="1"/>
  <c r="AU328" i="1"/>
  <c r="AS328" i="1"/>
  <c r="AK328" i="1"/>
  <c r="AG328" i="1"/>
  <c r="AE328" i="1"/>
  <c r="T328" i="1"/>
  <c r="K328" i="1"/>
  <c r="H328" i="1"/>
  <c r="C328" i="1"/>
  <c r="BE327" i="1"/>
  <c r="BC327" i="1"/>
  <c r="BA327" i="1"/>
  <c r="AY327" i="1"/>
  <c r="AU327" i="1"/>
  <c r="AS327" i="1"/>
  <c r="AK327" i="1"/>
  <c r="AG327" i="1"/>
  <c r="AE327" i="1"/>
  <c r="T327" i="1"/>
  <c r="K327" i="1"/>
  <c r="H327" i="1"/>
  <c r="C327" i="1"/>
  <c r="BE326" i="1"/>
  <c r="BC326" i="1"/>
  <c r="BA326" i="1"/>
  <c r="AY326" i="1"/>
  <c r="AU326" i="1"/>
  <c r="AS326" i="1"/>
  <c r="AK326" i="1"/>
  <c r="AG326" i="1"/>
  <c r="AE326" i="1"/>
  <c r="T326" i="1"/>
  <c r="K326" i="1"/>
  <c r="H326" i="1"/>
  <c r="C326" i="1"/>
  <c r="BE325" i="1"/>
  <c r="BC325" i="1"/>
  <c r="BA325" i="1"/>
  <c r="AY325" i="1"/>
  <c r="AU325" i="1"/>
  <c r="AS325" i="1"/>
  <c r="AK325" i="1"/>
  <c r="AG325" i="1"/>
  <c r="AE325" i="1"/>
  <c r="T325" i="1"/>
  <c r="K325" i="1"/>
  <c r="H325" i="1"/>
  <c r="C325" i="1"/>
  <c r="BE324" i="1"/>
  <c r="BC324" i="1"/>
  <c r="BA324" i="1"/>
  <c r="AY324" i="1"/>
  <c r="AU324" i="1"/>
  <c r="AS324" i="1"/>
  <c r="AK324" i="1"/>
  <c r="AG324" i="1"/>
  <c r="AE324" i="1"/>
  <c r="T324" i="1"/>
  <c r="K324" i="1"/>
  <c r="H324" i="1"/>
  <c r="C324" i="1"/>
  <c r="BE323" i="1"/>
  <c r="BC323" i="1"/>
  <c r="BA323" i="1"/>
  <c r="AY323" i="1"/>
  <c r="AU323" i="1"/>
  <c r="AS323" i="1"/>
  <c r="AK323" i="1"/>
  <c r="AG323" i="1"/>
  <c r="AE323" i="1"/>
  <c r="T323" i="1"/>
  <c r="K323" i="1"/>
  <c r="H323" i="1"/>
  <c r="C323" i="1"/>
  <c r="BE322" i="1"/>
  <c r="BC322" i="1"/>
  <c r="BA322" i="1"/>
  <c r="AY322" i="1"/>
  <c r="AU322" i="1"/>
  <c r="AS322" i="1"/>
  <c r="AK322" i="1"/>
  <c r="AG322" i="1"/>
  <c r="AE322" i="1"/>
  <c r="T322" i="1"/>
  <c r="K322" i="1"/>
  <c r="H322" i="1"/>
  <c r="C322" i="1"/>
  <c r="BE321" i="1"/>
  <c r="BC321" i="1"/>
  <c r="BA321" i="1"/>
  <c r="AY321" i="1"/>
  <c r="AU321" i="1"/>
  <c r="AS321" i="1"/>
  <c r="AK321" i="1"/>
  <c r="AG321" i="1"/>
  <c r="AE321" i="1"/>
  <c r="T321" i="1"/>
  <c r="K321" i="1"/>
  <c r="H321" i="1"/>
  <c r="C321" i="1"/>
  <c r="BE320" i="1"/>
  <c r="BC320" i="1"/>
  <c r="BA320" i="1"/>
  <c r="AY320" i="1"/>
  <c r="AU320" i="1"/>
  <c r="AS320" i="1"/>
  <c r="AK320" i="1"/>
  <c r="AG320" i="1"/>
  <c r="AE320" i="1"/>
  <c r="T320" i="1"/>
  <c r="K320" i="1"/>
  <c r="H320" i="1"/>
  <c r="C320" i="1"/>
  <c r="BE319" i="1"/>
  <c r="BC319" i="1"/>
  <c r="BA319" i="1"/>
  <c r="AY319" i="1"/>
  <c r="AU319" i="1"/>
  <c r="AS319" i="1"/>
  <c r="AK319" i="1"/>
  <c r="AG319" i="1"/>
  <c r="AE319" i="1"/>
  <c r="T319" i="1"/>
  <c r="K319" i="1"/>
  <c r="H319" i="1"/>
  <c r="C319" i="1"/>
  <c r="BE318" i="1"/>
  <c r="BC318" i="1"/>
  <c r="BA318" i="1"/>
  <c r="AY318" i="1"/>
  <c r="AU318" i="1"/>
  <c r="AS318" i="1"/>
  <c r="AK318" i="1"/>
  <c r="AG318" i="1"/>
  <c r="AE318" i="1"/>
  <c r="T318" i="1"/>
  <c r="K318" i="1"/>
  <c r="H318" i="1"/>
  <c r="C318" i="1"/>
  <c r="BE317" i="1"/>
  <c r="BC317" i="1"/>
  <c r="BA317" i="1"/>
  <c r="AY317" i="1"/>
  <c r="AU317" i="1"/>
  <c r="AS317" i="1"/>
  <c r="AK317" i="1"/>
  <c r="AG317" i="1"/>
  <c r="AE317" i="1"/>
  <c r="T317" i="1"/>
  <c r="K317" i="1"/>
  <c r="H317" i="1"/>
  <c r="C317" i="1"/>
  <c r="BE316" i="1"/>
  <c r="BC316" i="1"/>
  <c r="BA316" i="1"/>
  <c r="AY316" i="1"/>
  <c r="AU316" i="1"/>
  <c r="AS316" i="1"/>
  <c r="AK316" i="1"/>
  <c r="AG316" i="1"/>
  <c r="AE316" i="1"/>
  <c r="T316" i="1"/>
  <c r="K316" i="1"/>
  <c r="H316" i="1"/>
  <c r="C316" i="1"/>
  <c r="BE315" i="1"/>
  <c r="BC315" i="1"/>
  <c r="BA315" i="1"/>
  <c r="AY315" i="1"/>
  <c r="AU315" i="1"/>
  <c r="AS315" i="1"/>
  <c r="AK315" i="1"/>
  <c r="AG315" i="1"/>
  <c r="AE315" i="1"/>
  <c r="T315" i="1"/>
  <c r="K315" i="1"/>
  <c r="H315" i="1"/>
  <c r="C315" i="1"/>
  <c r="BE314" i="1"/>
  <c r="BC314" i="1"/>
  <c r="BA314" i="1"/>
  <c r="AY314" i="1"/>
  <c r="AU314" i="1"/>
  <c r="AS314" i="1"/>
  <c r="AK314" i="1"/>
  <c r="AG314" i="1"/>
  <c r="AE314" i="1"/>
  <c r="T314" i="1"/>
  <c r="K314" i="1"/>
  <c r="H314" i="1"/>
  <c r="C314" i="1"/>
  <c r="BE313" i="1"/>
  <c r="BC313" i="1"/>
  <c r="BA313" i="1"/>
  <c r="AY313" i="1"/>
  <c r="AU313" i="1"/>
  <c r="AS313" i="1"/>
  <c r="AK313" i="1"/>
  <c r="AG313" i="1"/>
  <c r="AE313" i="1"/>
  <c r="T313" i="1"/>
  <c r="K313" i="1"/>
  <c r="H313" i="1"/>
  <c r="C313" i="1"/>
  <c r="BE312" i="1"/>
  <c r="BC312" i="1"/>
  <c r="BA312" i="1"/>
  <c r="AY312" i="1"/>
  <c r="AU312" i="1"/>
  <c r="AS312" i="1"/>
  <c r="AK312" i="1"/>
  <c r="AG312" i="1"/>
  <c r="AE312" i="1"/>
  <c r="T312" i="1"/>
  <c r="K312" i="1"/>
  <c r="H312" i="1"/>
  <c r="C312" i="1"/>
  <c r="BE311" i="1"/>
  <c r="BC311" i="1"/>
  <c r="BA311" i="1"/>
  <c r="AY311" i="1"/>
  <c r="AU311" i="1"/>
  <c r="AS311" i="1"/>
  <c r="AK311" i="1"/>
  <c r="AG311" i="1"/>
  <c r="AE311" i="1"/>
  <c r="T311" i="1"/>
  <c r="K311" i="1"/>
  <c r="H311" i="1"/>
  <c r="C311" i="1"/>
  <c r="BE310" i="1"/>
  <c r="BC310" i="1"/>
  <c r="BA310" i="1"/>
  <c r="AY310" i="1"/>
  <c r="AU310" i="1"/>
  <c r="AS310" i="1"/>
  <c r="AK310" i="1"/>
  <c r="AG310" i="1"/>
  <c r="AE310" i="1"/>
  <c r="T310" i="1"/>
  <c r="K310" i="1"/>
  <c r="H310" i="1"/>
  <c r="C310" i="1"/>
  <c r="BE309" i="1"/>
  <c r="BC309" i="1"/>
  <c r="BA309" i="1"/>
  <c r="AY309" i="1"/>
  <c r="AU309" i="1"/>
  <c r="AS309" i="1"/>
  <c r="AK309" i="1"/>
  <c r="AG309" i="1"/>
  <c r="AE309" i="1"/>
  <c r="T309" i="1"/>
  <c r="K309" i="1"/>
  <c r="H309" i="1"/>
  <c r="C309" i="1"/>
  <c r="BE308" i="1"/>
  <c r="BC308" i="1"/>
  <c r="BA308" i="1"/>
  <c r="AY308" i="1"/>
  <c r="AU308" i="1"/>
  <c r="AS308" i="1"/>
  <c r="AK308" i="1"/>
  <c r="AG308" i="1"/>
  <c r="AE308" i="1"/>
  <c r="T308" i="1"/>
  <c r="K308" i="1"/>
  <c r="H308" i="1"/>
  <c r="C308" i="1"/>
  <c r="BE307" i="1"/>
  <c r="BC307" i="1"/>
  <c r="BA307" i="1"/>
  <c r="AY307" i="1"/>
  <c r="AU307" i="1"/>
  <c r="AS307" i="1"/>
  <c r="AK307" i="1"/>
  <c r="AG307" i="1"/>
  <c r="AE307" i="1"/>
  <c r="T307" i="1"/>
  <c r="K307" i="1"/>
  <c r="H307" i="1"/>
  <c r="C307" i="1"/>
  <c r="BE306" i="1"/>
  <c r="BC306" i="1"/>
  <c r="BA306" i="1"/>
  <c r="AY306" i="1"/>
  <c r="AU306" i="1"/>
  <c r="AS306" i="1"/>
  <c r="AK306" i="1"/>
  <c r="AG306" i="1"/>
  <c r="AE306" i="1"/>
  <c r="T306" i="1"/>
  <c r="K306" i="1"/>
  <c r="H306" i="1"/>
  <c r="C306" i="1"/>
  <c r="BE305" i="1"/>
  <c r="BC305" i="1"/>
  <c r="BA305" i="1"/>
  <c r="AY305" i="1"/>
  <c r="AU305" i="1"/>
  <c r="AS305" i="1"/>
  <c r="AK305" i="1"/>
  <c r="AG305" i="1"/>
  <c r="AE305" i="1"/>
  <c r="T305" i="1"/>
  <c r="K305" i="1"/>
  <c r="H305" i="1"/>
  <c r="C305" i="1"/>
  <c r="BE304" i="1"/>
  <c r="BC304" i="1"/>
  <c r="BA304" i="1"/>
  <c r="AY304" i="1"/>
  <c r="AU304" i="1"/>
  <c r="AS304" i="1"/>
  <c r="AK304" i="1"/>
  <c r="AG304" i="1"/>
  <c r="AE304" i="1"/>
  <c r="T304" i="1"/>
  <c r="K304" i="1"/>
  <c r="H304" i="1"/>
  <c r="C304" i="1"/>
  <c r="BE303" i="1"/>
  <c r="BC303" i="1"/>
  <c r="BA303" i="1"/>
  <c r="AY303" i="1"/>
  <c r="AU303" i="1"/>
  <c r="AS303" i="1"/>
  <c r="AK303" i="1"/>
  <c r="AG303" i="1"/>
  <c r="AE303" i="1"/>
  <c r="T303" i="1"/>
  <c r="K303" i="1"/>
  <c r="H303" i="1"/>
  <c r="C303" i="1"/>
  <c r="BE302" i="1"/>
  <c r="BC302" i="1"/>
  <c r="BA302" i="1"/>
  <c r="AY302" i="1"/>
  <c r="AU302" i="1"/>
  <c r="AS302" i="1"/>
  <c r="AK302" i="1"/>
  <c r="AG302" i="1"/>
  <c r="AE302" i="1"/>
  <c r="T302" i="1"/>
  <c r="K302" i="1"/>
  <c r="H302" i="1"/>
  <c r="C302" i="1"/>
  <c r="BE301" i="1"/>
  <c r="BC301" i="1"/>
  <c r="BA301" i="1"/>
  <c r="AY301" i="1"/>
  <c r="AU301" i="1"/>
  <c r="AS301" i="1"/>
  <c r="AK301" i="1"/>
  <c r="AG301" i="1"/>
  <c r="AE301" i="1"/>
  <c r="T301" i="1"/>
  <c r="K301" i="1"/>
  <c r="H301" i="1"/>
  <c r="C301" i="1"/>
  <c r="BE300" i="1"/>
  <c r="BC300" i="1"/>
  <c r="BA300" i="1"/>
  <c r="AY300" i="1"/>
  <c r="AU300" i="1"/>
  <c r="AS300" i="1"/>
  <c r="AK300" i="1"/>
  <c r="AG300" i="1"/>
  <c r="AE300" i="1"/>
  <c r="T300" i="1"/>
  <c r="K300" i="1"/>
  <c r="H300" i="1"/>
  <c r="C300" i="1"/>
  <c r="BE299" i="1"/>
  <c r="BC299" i="1"/>
  <c r="BA299" i="1"/>
  <c r="AY299" i="1"/>
  <c r="AU299" i="1"/>
  <c r="AS299" i="1"/>
  <c r="AK299" i="1"/>
  <c r="AG299" i="1"/>
  <c r="AE299" i="1"/>
  <c r="T299" i="1"/>
  <c r="K299" i="1"/>
  <c r="H299" i="1"/>
  <c r="C299" i="1"/>
  <c r="BE298" i="1"/>
  <c r="BC298" i="1"/>
  <c r="BA298" i="1"/>
  <c r="AY298" i="1"/>
  <c r="AU298" i="1"/>
  <c r="AS298" i="1"/>
  <c r="AK298" i="1"/>
  <c r="AG298" i="1"/>
  <c r="AE298" i="1"/>
  <c r="T298" i="1"/>
  <c r="K298" i="1"/>
  <c r="H298" i="1"/>
  <c r="C298" i="1"/>
  <c r="BE297" i="1"/>
  <c r="BC297" i="1"/>
  <c r="BA297" i="1"/>
  <c r="AY297" i="1"/>
  <c r="AU297" i="1"/>
  <c r="AS297" i="1"/>
  <c r="AK297" i="1"/>
  <c r="AG297" i="1"/>
  <c r="AE297" i="1"/>
  <c r="T297" i="1"/>
  <c r="K297" i="1"/>
  <c r="H297" i="1"/>
  <c r="C297" i="1"/>
  <c r="BE296" i="1"/>
  <c r="BC296" i="1"/>
  <c r="BA296" i="1"/>
  <c r="AY296" i="1"/>
  <c r="AU296" i="1"/>
  <c r="AS296" i="1"/>
  <c r="AK296" i="1"/>
  <c r="AG296" i="1"/>
  <c r="AE296" i="1"/>
  <c r="T296" i="1"/>
  <c r="K296" i="1"/>
  <c r="H296" i="1"/>
  <c r="C296" i="1"/>
  <c r="BE295" i="1"/>
  <c r="BC295" i="1"/>
  <c r="BA295" i="1"/>
  <c r="AY295" i="1"/>
  <c r="AU295" i="1"/>
  <c r="AS295" i="1"/>
  <c r="AK295" i="1"/>
  <c r="AG295" i="1"/>
  <c r="AE295" i="1"/>
  <c r="T295" i="1"/>
  <c r="K295" i="1"/>
  <c r="H295" i="1"/>
  <c r="C295" i="1"/>
  <c r="BE294" i="1"/>
  <c r="BC294" i="1"/>
  <c r="BA294" i="1"/>
  <c r="AY294" i="1"/>
  <c r="AU294" i="1"/>
  <c r="AS294" i="1"/>
  <c r="AK294" i="1"/>
  <c r="AG294" i="1"/>
  <c r="AE294" i="1"/>
  <c r="T294" i="1"/>
  <c r="K294" i="1"/>
  <c r="H294" i="1"/>
  <c r="C294" i="1"/>
  <c r="BE293" i="1"/>
  <c r="BC293" i="1"/>
  <c r="BA293" i="1"/>
  <c r="AY293" i="1"/>
  <c r="AU293" i="1"/>
  <c r="AS293" i="1"/>
  <c r="AK293" i="1"/>
  <c r="AG293" i="1"/>
  <c r="AE293" i="1"/>
  <c r="T293" i="1"/>
  <c r="K293" i="1"/>
  <c r="H293" i="1"/>
  <c r="C293" i="1"/>
  <c r="BE292" i="1"/>
  <c r="BC292" i="1"/>
  <c r="BA292" i="1"/>
  <c r="AY292" i="1"/>
  <c r="AU292" i="1"/>
  <c r="AS292" i="1"/>
  <c r="AK292" i="1"/>
  <c r="AG292" i="1"/>
  <c r="AE292" i="1"/>
  <c r="T292" i="1"/>
  <c r="K292" i="1"/>
  <c r="H292" i="1"/>
  <c r="C292" i="1"/>
  <c r="BE291" i="1"/>
  <c r="BC291" i="1"/>
  <c r="BA291" i="1"/>
  <c r="AY291" i="1"/>
  <c r="AU291" i="1"/>
  <c r="AS291" i="1"/>
  <c r="AK291" i="1"/>
  <c r="AG291" i="1"/>
  <c r="AE291" i="1"/>
  <c r="T291" i="1"/>
  <c r="K291" i="1"/>
  <c r="H291" i="1"/>
  <c r="C291" i="1"/>
  <c r="BE290" i="1"/>
  <c r="BC290" i="1"/>
  <c r="BA290" i="1"/>
  <c r="AY290" i="1"/>
  <c r="AU290" i="1"/>
  <c r="AS290" i="1"/>
  <c r="AK290" i="1"/>
  <c r="AG290" i="1"/>
  <c r="AE290" i="1"/>
  <c r="T290" i="1"/>
  <c r="K290" i="1"/>
  <c r="H290" i="1"/>
  <c r="C290" i="1"/>
  <c r="BE289" i="1"/>
  <c r="BC289" i="1"/>
  <c r="BA289" i="1"/>
  <c r="AY289" i="1"/>
  <c r="AU289" i="1"/>
  <c r="AS289" i="1"/>
  <c r="AK289" i="1"/>
  <c r="AG289" i="1"/>
  <c r="AE289" i="1"/>
  <c r="T289" i="1"/>
  <c r="K289" i="1"/>
  <c r="H289" i="1"/>
  <c r="C289" i="1"/>
  <c r="BE288" i="1"/>
  <c r="BC288" i="1"/>
  <c r="BA288" i="1"/>
  <c r="AY288" i="1"/>
  <c r="AU288" i="1"/>
  <c r="AS288" i="1"/>
  <c r="AK288" i="1"/>
  <c r="AG288" i="1"/>
  <c r="AE288" i="1"/>
  <c r="T288" i="1"/>
  <c r="K288" i="1"/>
  <c r="H288" i="1"/>
  <c r="C288" i="1"/>
  <c r="BE287" i="1"/>
  <c r="BC287" i="1"/>
  <c r="BA287" i="1"/>
  <c r="AY287" i="1"/>
  <c r="AU287" i="1"/>
  <c r="AS287" i="1"/>
  <c r="AK287" i="1"/>
  <c r="AG287" i="1"/>
  <c r="AE287" i="1"/>
  <c r="T287" i="1"/>
  <c r="K287" i="1"/>
  <c r="H287" i="1"/>
  <c r="C287" i="1"/>
  <c r="BE286" i="1"/>
  <c r="BC286" i="1"/>
  <c r="BA286" i="1"/>
  <c r="AY286" i="1"/>
  <c r="AU286" i="1"/>
  <c r="AS286" i="1"/>
  <c r="AK286" i="1"/>
  <c r="AG286" i="1"/>
  <c r="AE286" i="1"/>
  <c r="T286" i="1"/>
  <c r="K286" i="1"/>
  <c r="H286" i="1"/>
  <c r="C286" i="1"/>
  <c r="BE285" i="1"/>
  <c r="BC285" i="1"/>
  <c r="BA285" i="1"/>
  <c r="AY285" i="1"/>
  <c r="AU285" i="1"/>
  <c r="AS285" i="1"/>
  <c r="AK285" i="1"/>
  <c r="AG285" i="1"/>
  <c r="AE285" i="1"/>
  <c r="T285" i="1"/>
  <c r="K285" i="1"/>
  <c r="H285" i="1"/>
  <c r="C285" i="1"/>
  <c r="BE284" i="1"/>
  <c r="BC284" i="1"/>
  <c r="BA284" i="1"/>
  <c r="AY284" i="1"/>
  <c r="AU284" i="1"/>
  <c r="AS284" i="1"/>
  <c r="AK284" i="1"/>
  <c r="AG284" i="1"/>
  <c r="AE284" i="1"/>
  <c r="T284" i="1"/>
  <c r="K284" i="1"/>
  <c r="H284" i="1"/>
  <c r="C284" i="1"/>
  <c r="BE283" i="1"/>
  <c r="BC283" i="1"/>
  <c r="BA283" i="1"/>
  <c r="AY283" i="1"/>
  <c r="AU283" i="1"/>
  <c r="AS283" i="1"/>
  <c r="AK283" i="1"/>
  <c r="AG283" i="1"/>
  <c r="AE283" i="1"/>
  <c r="T283" i="1"/>
  <c r="K283" i="1"/>
  <c r="H283" i="1"/>
  <c r="C283" i="1"/>
  <c r="BE282" i="1"/>
  <c r="BC282" i="1"/>
  <c r="BA282" i="1"/>
  <c r="AY282" i="1"/>
  <c r="AU282" i="1"/>
  <c r="AS282" i="1"/>
  <c r="AK282" i="1"/>
  <c r="AG282" i="1"/>
  <c r="AE282" i="1"/>
  <c r="T282" i="1"/>
  <c r="K282" i="1"/>
  <c r="H282" i="1"/>
  <c r="C282" i="1"/>
  <c r="BE281" i="1"/>
  <c r="BC281" i="1"/>
  <c r="BA281" i="1"/>
  <c r="AY281" i="1"/>
  <c r="AU281" i="1"/>
  <c r="AS281" i="1"/>
  <c r="AK281" i="1"/>
  <c r="AG281" i="1"/>
  <c r="AE281" i="1"/>
  <c r="T281" i="1"/>
  <c r="K281" i="1"/>
  <c r="H281" i="1"/>
  <c r="C281" i="1"/>
  <c r="BE280" i="1"/>
  <c r="BC280" i="1"/>
  <c r="BA280" i="1"/>
  <c r="AY280" i="1"/>
  <c r="AU280" i="1"/>
  <c r="AS280" i="1"/>
  <c r="AK280" i="1"/>
  <c r="AG280" i="1"/>
  <c r="AE280" i="1"/>
  <c r="T280" i="1"/>
  <c r="K280" i="1"/>
  <c r="H280" i="1"/>
  <c r="C280" i="1"/>
  <c r="BE279" i="1"/>
  <c r="BC279" i="1"/>
  <c r="BA279" i="1"/>
  <c r="AY279" i="1"/>
  <c r="AU279" i="1"/>
  <c r="AS279" i="1"/>
  <c r="AK279" i="1"/>
  <c r="AG279" i="1"/>
  <c r="AE279" i="1"/>
  <c r="T279" i="1"/>
  <c r="K279" i="1"/>
  <c r="H279" i="1"/>
  <c r="C279" i="1"/>
  <c r="BE278" i="1"/>
  <c r="BC278" i="1"/>
  <c r="BA278" i="1"/>
  <c r="AY278" i="1"/>
  <c r="AU278" i="1"/>
  <c r="AS278" i="1"/>
  <c r="AK278" i="1"/>
  <c r="AG278" i="1"/>
  <c r="AE278" i="1"/>
  <c r="T278" i="1"/>
  <c r="K278" i="1"/>
  <c r="H278" i="1"/>
  <c r="C278" i="1"/>
  <c r="BE277" i="1"/>
  <c r="BC277" i="1"/>
  <c r="BA277" i="1"/>
  <c r="AY277" i="1"/>
  <c r="AU277" i="1"/>
  <c r="AS277" i="1"/>
  <c r="AK277" i="1"/>
  <c r="AG277" i="1"/>
  <c r="AE277" i="1"/>
  <c r="T277" i="1"/>
  <c r="K277" i="1"/>
  <c r="H277" i="1"/>
  <c r="C277" i="1"/>
  <c r="BE276" i="1"/>
  <c r="BC276" i="1"/>
  <c r="BA276" i="1"/>
  <c r="AY276" i="1"/>
  <c r="AU276" i="1"/>
  <c r="AS276" i="1"/>
  <c r="AK276" i="1"/>
  <c r="AG276" i="1"/>
  <c r="AE276" i="1"/>
  <c r="T276" i="1"/>
  <c r="K276" i="1"/>
  <c r="H276" i="1"/>
  <c r="C276" i="1"/>
  <c r="BE275" i="1"/>
  <c r="BC275" i="1"/>
  <c r="BA275" i="1"/>
  <c r="AY275" i="1"/>
  <c r="AU275" i="1"/>
  <c r="AS275" i="1"/>
  <c r="AK275" i="1"/>
  <c r="AG275" i="1"/>
  <c r="AE275" i="1"/>
  <c r="T275" i="1"/>
  <c r="K275" i="1"/>
  <c r="H275" i="1"/>
  <c r="C275" i="1"/>
  <c r="BE274" i="1"/>
  <c r="BC274" i="1"/>
  <c r="BA274" i="1"/>
  <c r="AY274" i="1"/>
  <c r="AU274" i="1"/>
  <c r="AS274" i="1"/>
  <c r="AK274" i="1"/>
  <c r="AG274" i="1"/>
  <c r="AE274" i="1"/>
  <c r="T274" i="1"/>
  <c r="K274" i="1"/>
  <c r="H274" i="1"/>
  <c r="C274" i="1"/>
  <c r="BE273" i="1"/>
  <c r="BC273" i="1"/>
  <c r="BA273" i="1"/>
  <c r="AY273" i="1"/>
  <c r="AU273" i="1"/>
  <c r="AS273" i="1"/>
  <c r="AK273" i="1"/>
  <c r="AG273" i="1"/>
  <c r="AE273" i="1"/>
  <c r="T273" i="1"/>
  <c r="K273" i="1"/>
  <c r="H273" i="1"/>
  <c r="C273" i="1"/>
  <c r="BE272" i="1"/>
  <c r="BC272" i="1"/>
  <c r="BA272" i="1"/>
  <c r="AY272" i="1"/>
  <c r="AU272" i="1"/>
  <c r="AS272" i="1"/>
  <c r="AK272" i="1"/>
  <c r="AG272" i="1"/>
  <c r="AE272" i="1"/>
  <c r="T272" i="1"/>
  <c r="K272" i="1"/>
  <c r="H272" i="1"/>
  <c r="C272" i="1"/>
  <c r="BE271" i="1"/>
  <c r="BC271" i="1"/>
  <c r="BA271" i="1"/>
  <c r="AY271" i="1"/>
  <c r="AU271" i="1"/>
  <c r="AS271" i="1"/>
  <c r="AK271" i="1"/>
  <c r="AG271" i="1"/>
  <c r="AE271" i="1"/>
  <c r="T271" i="1"/>
  <c r="K271" i="1"/>
  <c r="H271" i="1"/>
  <c r="C271" i="1"/>
  <c r="BE270" i="1"/>
  <c r="BC270" i="1"/>
  <c r="BA270" i="1"/>
  <c r="AY270" i="1"/>
  <c r="AU270" i="1"/>
  <c r="AS270" i="1"/>
  <c r="AK270" i="1"/>
  <c r="AG270" i="1"/>
  <c r="AE270" i="1"/>
  <c r="T270" i="1"/>
  <c r="K270" i="1"/>
  <c r="H270" i="1"/>
  <c r="C270" i="1"/>
  <c r="BE269" i="1"/>
  <c r="BC269" i="1"/>
  <c r="BA269" i="1"/>
  <c r="AY269" i="1"/>
  <c r="AU269" i="1"/>
  <c r="AS269" i="1"/>
  <c r="AK269" i="1"/>
  <c r="AG269" i="1"/>
  <c r="AE269" i="1"/>
  <c r="T269" i="1"/>
  <c r="K269" i="1"/>
  <c r="H269" i="1"/>
  <c r="C269" i="1"/>
  <c r="BE268" i="1"/>
  <c r="BC268" i="1"/>
  <c r="BA268" i="1"/>
  <c r="AY268" i="1"/>
  <c r="AU268" i="1"/>
  <c r="AS268" i="1"/>
  <c r="AK268" i="1"/>
  <c r="AG268" i="1"/>
  <c r="AE268" i="1"/>
  <c r="T268" i="1"/>
  <c r="K268" i="1"/>
  <c r="H268" i="1"/>
  <c r="C268" i="1"/>
  <c r="BE267" i="1"/>
  <c r="BC267" i="1"/>
  <c r="BA267" i="1"/>
  <c r="AY267" i="1"/>
  <c r="AU267" i="1"/>
  <c r="AS267" i="1"/>
  <c r="AK267" i="1"/>
  <c r="AG267" i="1"/>
  <c r="AE267" i="1"/>
  <c r="T267" i="1"/>
  <c r="K267" i="1"/>
  <c r="H267" i="1"/>
  <c r="C267" i="1"/>
  <c r="BE266" i="1"/>
  <c r="BC266" i="1"/>
  <c r="BA266" i="1"/>
  <c r="AY266" i="1"/>
  <c r="AU266" i="1"/>
  <c r="AS266" i="1"/>
  <c r="AK266" i="1"/>
  <c r="AG266" i="1"/>
  <c r="AE266" i="1"/>
  <c r="T266" i="1"/>
  <c r="K266" i="1"/>
  <c r="H266" i="1"/>
  <c r="C266" i="1"/>
  <c r="BE265" i="1"/>
  <c r="BC265" i="1"/>
  <c r="BA265" i="1"/>
  <c r="AY265" i="1"/>
  <c r="AU265" i="1"/>
  <c r="AS265" i="1"/>
  <c r="AK265" i="1"/>
  <c r="AG265" i="1"/>
  <c r="AE265" i="1"/>
  <c r="T265" i="1"/>
  <c r="K265" i="1"/>
  <c r="H265" i="1"/>
  <c r="C265" i="1"/>
  <c r="BE264" i="1"/>
  <c r="BC264" i="1"/>
  <c r="BA264" i="1"/>
  <c r="AY264" i="1"/>
  <c r="AU264" i="1"/>
  <c r="AS264" i="1"/>
  <c r="AK264" i="1"/>
  <c r="AG264" i="1"/>
  <c r="AE264" i="1"/>
  <c r="T264" i="1"/>
  <c r="K264" i="1"/>
  <c r="H264" i="1"/>
  <c r="C264" i="1"/>
  <c r="BE263" i="1"/>
  <c r="BC263" i="1"/>
  <c r="BA263" i="1"/>
  <c r="AY263" i="1"/>
  <c r="AU263" i="1"/>
  <c r="AS263" i="1"/>
  <c r="AK263" i="1"/>
  <c r="AG263" i="1"/>
  <c r="AE263" i="1"/>
  <c r="T263" i="1"/>
  <c r="K263" i="1"/>
  <c r="H263" i="1"/>
  <c r="C263" i="1"/>
  <c r="BE262" i="1"/>
  <c r="BC262" i="1"/>
  <c r="BA262" i="1"/>
  <c r="AY262" i="1"/>
  <c r="AU262" i="1"/>
  <c r="AS262" i="1"/>
  <c r="AK262" i="1"/>
  <c r="AG262" i="1"/>
  <c r="AE262" i="1"/>
  <c r="T262" i="1"/>
  <c r="K262" i="1"/>
  <c r="H262" i="1"/>
  <c r="C262" i="1"/>
  <c r="BE261" i="1"/>
  <c r="BC261" i="1"/>
  <c r="BA261" i="1"/>
  <c r="AY261" i="1"/>
  <c r="AU261" i="1"/>
  <c r="AS261" i="1"/>
  <c r="AK261" i="1"/>
  <c r="AG261" i="1"/>
  <c r="AE261" i="1"/>
  <c r="T261" i="1"/>
  <c r="K261" i="1"/>
  <c r="H261" i="1"/>
  <c r="C261" i="1"/>
  <c r="BE260" i="1"/>
  <c r="BC260" i="1"/>
  <c r="BA260" i="1"/>
  <c r="AY260" i="1"/>
  <c r="AU260" i="1"/>
  <c r="AS260" i="1"/>
  <c r="AK260" i="1"/>
  <c r="AG260" i="1"/>
  <c r="AE260" i="1"/>
  <c r="T260" i="1"/>
  <c r="K260" i="1"/>
  <c r="H260" i="1"/>
  <c r="C260" i="1"/>
  <c r="BE259" i="1"/>
  <c r="BC259" i="1"/>
  <c r="BA259" i="1"/>
  <c r="AY259" i="1"/>
  <c r="AU259" i="1"/>
  <c r="AS259" i="1"/>
  <c r="AK259" i="1"/>
  <c r="AG259" i="1"/>
  <c r="AE259" i="1"/>
  <c r="T259" i="1"/>
  <c r="K259" i="1"/>
  <c r="H259" i="1"/>
  <c r="C259" i="1"/>
  <c r="BE258" i="1"/>
  <c r="BC258" i="1"/>
  <c r="BA258" i="1"/>
  <c r="AY258" i="1"/>
  <c r="AU258" i="1"/>
  <c r="AS258" i="1"/>
  <c r="AK258" i="1"/>
  <c r="AG258" i="1"/>
  <c r="AE258" i="1"/>
  <c r="T258" i="1"/>
  <c r="K258" i="1"/>
  <c r="H258" i="1"/>
  <c r="C258" i="1"/>
  <c r="BE257" i="1"/>
  <c r="BC257" i="1"/>
  <c r="BA257" i="1"/>
  <c r="AY257" i="1"/>
  <c r="AU257" i="1"/>
  <c r="AS257" i="1"/>
  <c r="AK257" i="1"/>
  <c r="AG257" i="1"/>
  <c r="AE257" i="1"/>
  <c r="T257" i="1"/>
  <c r="K257" i="1"/>
  <c r="H257" i="1"/>
  <c r="C257" i="1"/>
  <c r="BE256" i="1"/>
  <c r="BC256" i="1"/>
  <c r="BA256" i="1"/>
  <c r="AY256" i="1"/>
  <c r="AU256" i="1"/>
  <c r="AS256" i="1"/>
  <c r="AK256" i="1"/>
  <c r="AG256" i="1"/>
  <c r="AE256" i="1"/>
  <c r="T256" i="1"/>
  <c r="K256" i="1"/>
  <c r="H256" i="1"/>
  <c r="C256" i="1"/>
  <c r="BE255" i="1"/>
  <c r="BC255" i="1"/>
  <c r="BA255" i="1"/>
  <c r="AY255" i="1"/>
  <c r="AU255" i="1"/>
  <c r="AS255" i="1"/>
  <c r="AK255" i="1"/>
  <c r="AG255" i="1"/>
  <c r="AE255" i="1"/>
  <c r="T255" i="1"/>
  <c r="K255" i="1"/>
  <c r="H255" i="1"/>
  <c r="C255" i="1"/>
  <c r="BE254" i="1"/>
  <c r="BC254" i="1"/>
  <c r="BA254" i="1"/>
  <c r="AY254" i="1"/>
  <c r="AU254" i="1"/>
  <c r="AS254" i="1"/>
  <c r="AK254" i="1"/>
  <c r="AG254" i="1"/>
  <c r="AE254" i="1"/>
  <c r="T254" i="1"/>
  <c r="K254" i="1"/>
  <c r="H254" i="1"/>
  <c r="C254" i="1"/>
  <c r="BE253" i="1"/>
  <c r="BC253" i="1"/>
  <c r="BA253" i="1"/>
  <c r="AY253" i="1"/>
  <c r="AU253" i="1"/>
  <c r="AS253" i="1"/>
  <c r="AK253" i="1"/>
  <c r="AG253" i="1"/>
  <c r="AE253" i="1"/>
  <c r="T253" i="1"/>
  <c r="K253" i="1"/>
  <c r="H253" i="1"/>
  <c r="C253" i="1"/>
  <c r="BE252" i="1"/>
  <c r="BC252" i="1"/>
  <c r="BA252" i="1"/>
  <c r="AY252" i="1"/>
  <c r="AU252" i="1"/>
  <c r="AS252" i="1"/>
  <c r="AK252" i="1"/>
  <c r="AG252" i="1"/>
  <c r="AE252" i="1"/>
  <c r="T252" i="1"/>
  <c r="K252" i="1"/>
  <c r="H252" i="1"/>
  <c r="C252" i="1"/>
  <c r="BE251" i="1"/>
  <c r="BC251" i="1"/>
  <c r="BA251" i="1"/>
  <c r="AY251" i="1"/>
  <c r="AU251" i="1"/>
  <c r="AS251" i="1"/>
  <c r="AK251" i="1"/>
  <c r="AG251" i="1"/>
  <c r="AE251" i="1"/>
  <c r="T251" i="1"/>
  <c r="K251" i="1"/>
  <c r="H251" i="1"/>
  <c r="C251" i="1"/>
  <c r="BE250" i="1"/>
  <c r="BC250" i="1"/>
  <c r="BA250" i="1"/>
  <c r="AY250" i="1"/>
  <c r="AU250" i="1"/>
  <c r="AS250" i="1"/>
  <c r="AK250" i="1"/>
  <c r="AG250" i="1"/>
  <c r="AE250" i="1"/>
  <c r="T250" i="1"/>
  <c r="K250" i="1"/>
  <c r="H250" i="1"/>
  <c r="C250" i="1"/>
  <c r="BE249" i="1"/>
  <c r="BC249" i="1"/>
  <c r="BA249" i="1"/>
  <c r="AY249" i="1"/>
  <c r="AU249" i="1"/>
  <c r="AS249" i="1"/>
  <c r="AK249" i="1"/>
  <c r="AG249" i="1"/>
  <c r="AE249" i="1"/>
  <c r="T249" i="1"/>
  <c r="K249" i="1"/>
  <c r="H249" i="1"/>
  <c r="C249" i="1"/>
  <c r="BE248" i="1"/>
  <c r="BC248" i="1"/>
  <c r="BA248" i="1"/>
  <c r="AY248" i="1"/>
  <c r="AU248" i="1"/>
  <c r="AS248" i="1"/>
  <c r="AK248" i="1"/>
  <c r="AG248" i="1"/>
  <c r="AE248" i="1"/>
  <c r="T248" i="1"/>
  <c r="K248" i="1"/>
  <c r="H248" i="1"/>
  <c r="C248" i="1"/>
  <c r="BE247" i="1"/>
  <c r="BC247" i="1"/>
  <c r="BA247" i="1"/>
  <c r="AY247" i="1"/>
  <c r="AU247" i="1"/>
  <c r="AS247" i="1"/>
  <c r="AK247" i="1"/>
  <c r="AG247" i="1"/>
  <c r="AE247" i="1"/>
  <c r="T247" i="1"/>
  <c r="K247" i="1"/>
  <c r="H247" i="1"/>
  <c r="C247" i="1"/>
  <c r="BE246" i="1"/>
  <c r="BC246" i="1"/>
  <c r="BA246" i="1"/>
  <c r="AY246" i="1"/>
  <c r="AU246" i="1"/>
  <c r="AS246" i="1"/>
  <c r="AK246" i="1"/>
  <c r="AG246" i="1"/>
  <c r="AE246" i="1"/>
  <c r="T246" i="1"/>
  <c r="K246" i="1"/>
  <c r="H246" i="1"/>
  <c r="C246" i="1"/>
  <c r="BE245" i="1"/>
  <c r="BC245" i="1"/>
  <c r="BA245" i="1"/>
  <c r="AY245" i="1"/>
  <c r="AU245" i="1"/>
  <c r="AS245" i="1"/>
  <c r="AK245" i="1"/>
  <c r="AG245" i="1"/>
  <c r="AE245" i="1"/>
  <c r="T245" i="1"/>
  <c r="K245" i="1"/>
  <c r="H245" i="1"/>
  <c r="C245" i="1"/>
  <c r="BE244" i="1"/>
  <c r="BC244" i="1"/>
  <c r="BA244" i="1"/>
  <c r="AY244" i="1"/>
  <c r="AU244" i="1"/>
  <c r="AS244" i="1"/>
  <c r="AK244" i="1"/>
  <c r="AG244" i="1"/>
  <c r="AE244" i="1"/>
  <c r="T244" i="1"/>
  <c r="K244" i="1"/>
  <c r="H244" i="1"/>
  <c r="C244" i="1"/>
  <c r="BE243" i="1"/>
  <c r="BC243" i="1"/>
  <c r="BA243" i="1"/>
  <c r="AY243" i="1"/>
  <c r="AU243" i="1"/>
  <c r="AS243" i="1"/>
  <c r="AK243" i="1"/>
  <c r="AG243" i="1"/>
  <c r="AE243" i="1"/>
  <c r="T243" i="1"/>
  <c r="K243" i="1"/>
  <c r="H243" i="1"/>
  <c r="C243" i="1"/>
  <c r="BE242" i="1"/>
  <c r="BC242" i="1"/>
  <c r="BA242" i="1"/>
  <c r="AY242" i="1"/>
  <c r="AU242" i="1"/>
  <c r="AS242" i="1"/>
  <c r="AK242" i="1"/>
  <c r="AG242" i="1"/>
  <c r="AE242" i="1"/>
  <c r="T242" i="1"/>
  <c r="K242" i="1"/>
  <c r="H242" i="1"/>
  <c r="C242" i="1"/>
  <c r="BE241" i="1"/>
  <c r="BC241" i="1"/>
  <c r="BA241" i="1"/>
  <c r="AY241" i="1"/>
  <c r="AU241" i="1"/>
  <c r="AS241" i="1"/>
  <c r="AK241" i="1"/>
  <c r="AG241" i="1"/>
  <c r="AE241" i="1"/>
  <c r="T241" i="1"/>
  <c r="K241" i="1"/>
  <c r="H241" i="1"/>
  <c r="C241" i="1"/>
  <c r="BE240" i="1"/>
  <c r="BC240" i="1"/>
  <c r="BA240" i="1"/>
  <c r="AY240" i="1"/>
  <c r="AU240" i="1"/>
  <c r="AS240" i="1"/>
  <c r="AK240" i="1"/>
  <c r="AG240" i="1"/>
  <c r="AE240" i="1"/>
  <c r="T240" i="1"/>
  <c r="K240" i="1"/>
  <c r="H240" i="1"/>
  <c r="C240" i="1"/>
  <c r="BE239" i="1"/>
  <c r="BC239" i="1"/>
  <c r="BA239" i="1"/>
  <c r="AY239" i="1"/>
  <c r="AU239" i="1"/>
  <c r="AS239" i="1"/>
  <c r="AK239" i="1"/>
  <c r="AG239" i="1"/>
  <c r="AE239" i="1"/>
  <c r="T239" i="1"/>
  <c r="K239" i="1"/>
  <c r="H239" i="1"/>
  <c r="C239" i="1"/>
  <c r="BE238" i="1"/>
  <c r="BC238" i="1"/>
  <c r="BA238" i="1"/>
  <c r="AY238" i="1"/>
  <c r="AU238" i="1"/>
  <c r="AS238" i="1"/>
  <c r="AK238" i="1"/>
  <c r="AG238" i="1"/>
  <c r="AE238" i="1"/>
  <c r="T238" i="1"/>
  <c r="K238" i="1"/>
  <c r="H238" i="1"/>
  <c r="C238" i="1"/>
  <c r="BE237" i="1"/>
  <c r="BC237" i="1"/>
  <c r="BA237" i="1"/>
  <c r="AY237" i="1"/>
  <c r="AU237" i="1"/>
  <c r="AS237" i="1"/>
  <c r="AK237" i="1"/>
  <c r="AG237" i="1"/>
  <c r="AE237" i="1"/>
  <c r="T237" i="1"/>
  <c r="K237" i="1"/>
  <c r="H237" i="1"/>
  <c r="C237" i="1"/>
  <c r="BE236" i="1"/>
  <c r="BC236" i="1"/>
  <c r="BA236" i="1"/>
  <c r="AY236" i="1"/>
  <c r="AU236" i="1"/>
  <c r="AS236" i="1"/>
  <c r="AK236" i="1"/>
  <c r="AG236" i="1"/>
  <c r="AE236" i="1"/>
  <c r="T236" i="1"/>
  <c r="K236" i="1"/>
  <c r="H236" i="1"/>
  <c r="C236" i="1"/>
  <c r="BE235" i="1"/>
  <c r="BC235" i="1"/>
  <c r="BA235" i="1"/>
  <c r="AY235" i="1"/>
  <c r="AU235" i="1"/>
  <c r="AS235" i="1"/>
  <c r="AK235" i="1"/>
  <c r="AG235" i="1"/>
  <c r="AE235" i="1"/>
  <c r="T235" i="1"/>
  <c r="K235" i="1"/>
  <c r="H235" i="1"/>
  <c r="C235" i="1"/>
  <c r="BE234" i="1"/>
  <c r="BC234" i="1"/>
  <c r="BA234" i="1"/>
  <c r="AY234" i="1"/>
  <c r="AU234" i="1"/>
  <c r="AS234" i="1"/>
  <c r="AK234" i="1"/>
  <c r="AG234" i="1"/>
  <c r="AE234" i="1"/>
  <c r="T234" i="1"/>
  <c r="K234" i="1"/>
  <c r="H234" i="1"/>
  <c r="C234" i="1"/>
  <c r="BE233" i="1"/>
  <c r="BC233" i="1"/>
  <c r="BA233" i="1"/>
  <c r="AY233" i="1"/>
  <c r="AU233" i="1"/>
  <c r="AS233" i="1"/>
  <c r="AK233" i="1"/>
  <c r="AG233" i="1"/>
  <c r="AE233" i="1"/>
  <c r="T233" i="1"/>
  <c r="K233" i="1"/>
  <c r="H233" i="1"/>
  <c r="C233" i="1"/>
  <c r="BE232" i="1"/>
  <c r="BC232" i="1"/>
  <c r="BA232" i="1"/>
  <c r="AY232" i="1"/>
  <c r="AU232" i="1"/>
  <c r="AS232" i="1"/>
  <c r="AK232" i="1"/>
  <c r="AG232" i="1"/>
  <c r="AE232" i="1"/>
  <c r="T232" i="1"/>
  <c r="K232" i="1"/>
  <c r="H232" i="1"/>
  <c r="C232" i="1"/>
  <c r="BE231" i="1"/>
  <c r="BC231" i="1"/>
  <c r="BA231" i="1"/>
  <c r="AY231" i="1"/>
  <c r="AU231" i="1"/>
  <c r="AS231" i="1"/>
  <c r="AK231" i="1"/>
  <c r="AG231" i="1"/>
  <c r="AE231" i="1"/>
  <c r="T231" i="1"/>
  <c r="K231" i="1"/>
  <c r="H231" i="1"/>
  <c r="C231" i="1"/>
  <c r="BE230" i="1"/>
  <c r="BC230" i="1"/>
  <c r="BA230" i="1"/>
  <c r="AY230" i="1"/>
  <c r="AU230" i="1"/>
  <c r="AS230" i="1"/>
  <c r="AK230" i="1"/>
  <c r="AG230" i="1"/>
  <c r="AE230" i="1"/>
  <c r="T230" i="1"/>
  <c r="K230" i="1"/>
  <c r="H230" i="1"/>
  <c r="C230" i="1"/>
  <c r="BE229" i="1"/>
  <c r="BC229" i="1"/>
  <c r="BA229" i="1"/>
  <c r="AY229" i="1"/>
  <c r="AU229" i="1"/>
  <c r="AS229" i="1"/>
  <c r="AK229" i="1"/>
  <c r="AG229" i="1"/>
  <c r="AE229" i="1"/>
  <c r="T229" i="1"/>
  <c r="K229" i="1"/>
  <c r="H229" i="1"/>
  <c r="C229" i="1"/>
  <c r="BE228" i="1"/>
  <c r="BC228" i="1"/>
  <c r="BA228" i="1"/>
  <c r="AY228" i="1"/>
  <c r="AU228" i="1"/>
  <c r="AS228" i="1"/>
  <c r="AK228" i="1"/>
  <c r="AG228" i="1"/>
  <c r="AE228" i="1"/>
  <c r="T228" i="1"/>
  <c r="K228" i="1"/>
  <c r="H228" i="1"/>
  <c r="C228" i="1"/>
  <c r="BE227" i="1"/>
  <c r="BC227" i="1"/>
  <c r="BA227" i="1"/>
  <c r="AY227" i="1"/>
  <c r="AU227" i="1"/>
  <c r="AS227" i="1"/>
  <c r="AK227" i="1"/>
  <c r="AG227" i="1"/>
  <c r="AE227" i="1"/>
  <c r="T227" i="1"/>
  <c r="K227" i="1"/>
  <c r="H227" i="1"/>
  <c r="C227" i="1"/>
  <c r="BE226" i="1"/>
  <c r="BC226" i="1"/>
  <c r="BA226" i="1"/>
  <c r="AY226" i="1"/>
  <c r="AU226" i="1"/>
  <c r="AS226" i="1"/>
  <c r="AK226" i="1"/>
  <c r="AG226" i="1"/>
  <c r="AE226" i="1"/>
  <c r="T226" i="1"/>
  <c r="K226" i="1"/>
  <c r="H226" i="1"/>
  <c r="C226" i="1"/>
  <c r="BE225" i="1"/>
  <c r="BC225" i="1"/>
  <c r="BA225" i="1"/>
  <c r="AY225" i="1"/>
  <c r="AU225" i="1"/>
  <c r="AS225" i="1"/>
  <c r="AK225" i="1"/>
  <c r="AG225" i="1"/>
  <c r="AE225" i="1"/>
  <c r="T225" i="1"/>
  <c r="K225" i="1"/>
  <c r="H225" i="1"/>
  <c r="C225" i="1"/>
  <c r="BE224" i="1"/>
  <c r="BC224" i="1"/>
  <c r="BA224" i="1"/>
  <c r="AY224" i="1"/>
  <c r="AU224" i="1"/>
  <c r="AS224" i="1"/>
  <c r="AK224" i="1"/>
  <c r="AG224" i="1"/>
  <c r="AE224" i="1"/>
  <c r="T224" i="1"/>
  <c r="K224" i="1"/>
  <c r="H224" i="1"/>
  <c r="C224" i="1"/>
  <c r="BE223" i="1"/>
  <c r="BC223" i="1"/>
  <c r="BA223" i="1"/>
  <c r="AY223" i="1"/>
  <c r="AU223" i="1"/>
  <c r="AS223" i="1"/>
  <c r="AK223" i="1"/>
  <c r="AG223" i="1"/>
  <c r="AE223" i="1"/>
  <c r="T223" i="1"/>
  <c r="K223" i="1"/>
  <c r="H223" i="1"/>
  <c r="C223" i="1"/>
  <c r="BE222" i="1"/>
  <c r="BC222" i="1"/>
  <c r="BA222" i="1"/>
  <c r="AY222" i="1"/>
  <c r="AU222" i="1"/>
  <c r="AS222" i="1"/>
  <c r="AK222" i="1"/>
  <c r="AG222" i="1"/>
  <c r="AE222" i="1"/>
  <c r="T222" i="1"/>
  <c r="K222" i="1"/>
  <c r="H222" i="1"/>
  <c r="C222" i="1"/>
  <c r="BE221" i="1"/>
  <c r="BC221" i="1"/>
  <c r="BA221" i="1"/>
  <c r="AY221" i="1"/>
  <c r="AU221" i="1"/>
  <c r="AS221" i="1"/>
  <c r="AK221" i="1"/>
  <c r="AG221" i="1"/>
  <c r="AE221" i="1"/>
  <c r="T221" i="1"/>
  <c r="K221" i="1"/>
  <c r="H221" i="1"/>
  <c r="C221" i="1"/>
  <c r="BE220" i="1"/>
  <c r="BC220" i="1"/>
  <c r="BA220" i="1"/>
  <c r="AY220" i="1"/>
  <c r="AU220" i="1"/>
  <c r="AS220" i="1"/>
  <c r="AK220" i="1"/>
  <c r="AG220" i="1"/>
  <c r="AE220" i="1"/>
  <c r="T220" i="1"/>
  <c r="K220" i="1"/>
  <c r="H220" i="1"/>
  <c r="C220" i="1"/>
  <c r="BE219" i="1"/>
  <c r="BC219" i="1"/>
  <c r="BA219" i="1"/>
  <c r="AY219" i="1"/>
  <c r="AU219" i="1"/>
  <c r="AS219" i="1"/>
  <c r="AK219" i="1"/>
  <c r="AG219" i="1"/>
  <c r="AE219" i="1"/>
  <c r="T219" i="1"/>
  <c r="K219" i="1"/>
  <c r="H219" i="1"/>
  <c r="C219" i="1"/>
  <c r="BE218" i="1"/>
  <c r="BC218" i="1"/>
  <c r="BA218" i="1"/>
  <c r="AY218" i="1"/>
  <c r="AU218" i="1"/>
  <c r="AS218" i="1"/>
  <c r="AK218" i="1"/>
  <c r="AG218" i="1"/>
  <c r="AE218" i="1"/>
  <c r="T218" i="1"/>
  <c r="K218" i="1"/>
  <c r="H218" i="1"/>
  <c r="C218" i="1"/>
  <c r="BE217" i="1"/>
  <c r="BC217" i="1"/>
  <c r="BA217" i="1"/>
  <c r="AY217" i="1"/>
  <c r="AU217" i="1"/>
  <c r="AS217" i="1"/>
  <c r="AK217" i="1"/>
  <c r="AG217" i="1"/>
  <c r="AE217" i="1"/>
  <c r="T217" i="1"/>
  <c r="K217" i="1"/>
  <c r="H217" i="1"/>
  <c r="C217" i="1"/>
  <c r="BE216" i="1"/>
  <c r="BC216" i="1"/>
  <c r="BA216" i="1"/>
  <c r="AY216" i="1"/>
  <c r="AU216" i="1"/>
  <c r="AS216" i="1"/>
  <c r="AK216" i="1"/>
  <c r="AG216" i="1"/>
  <c r="AE216" i="1"/>
  <c r="T216" i="1"/>
  <c r="K216" i="1"/>
  <c r="H216" i="1"/>
  <c r="C216" i="1"/>
  <c r="BE215" i="1"/>
  <c r="BC215" i="1"/>
  <c r="BA215" i="1"/>
  <c r="AY215" i="1"/>
  <c r="AU215" i="1"/>
  <c r="AS215" i="1"/>
  <c r="AK215" i="1"/>
  <c r="AG215" i="1"/>
  <c r="AE215" i="1"/>
  <c r="T215" i="1"/>
  <c r="K215" i="1"/>
  <c r="H215" i="1"/>
  <c r="C215" i="1"/>
  <c r="BE214" i="1"/>
  <c r="BC214" i="1"/>
  <c r="BA214" i="1"/>
  <c r="AY214" i="1"/>
  <c r="AU214" i="1"/>
  <c r="AS214" i="1"/>
  <c r="AK214" i="1"/>
  <c r="AG214" i="1"/>
  <c r="AE214" i="1"/>
  <c r="T214" i="1"/>
  <c r="K214" i="1"/>
  <c r="H214" i="1"/>
  <c r="C214" i="1"/>
  <c r="BE213" i="1"/>
  <c r="BC213" i="1"/>
  <c r="BA213" i="1"/>
  <c r="AY213" i="1"/>
  <c r="AU213" i="1"/>
  <c r="AS213" i="1"/>
  <c r="AK213" i="1"/>
  <c r="AG213" i="1"/>
  <c r="AE213" i="1"/>
  <c r="T213" i="1"/>
  <c r="K213" i="1"/>
  <c r="H213" i="1"/>
  <c r="C213" i="1"/>
  <c r="BE212" i="1"/>
  <c r="BC212" i="1"/>
  <c r="BA212" i="1"/>
  <c r="AY212" i="1"/>
  <c r="AU212" i="1"/>
  <c r="AS212" i="1"/>
  <c r="AK212" i="1"/>
  <c r="AG212" i="1"/>
  <c r="AE212" i="1"/>
  <c r="T212" i="1"/>
  <c r="K212" i="1"/>
  <c r="H212" i="1"/>
  <c r="C212" i="1"/>
  <c r="BE211" i="1"/>
  <c r="BC211" i="1"/>
  <c r="BA211" i="1"/>
  <c r="AY211" i="1"/>
  <c r="AU211" i="1"/>
  <c r="AS211" i="1"/>
  <c r="AK211" i="1"/>
  <c r="AG211" i="1"/>
  <c r="AE211" i="1"/>
  <c r="T211" i="1"/>
  <c r="K211" i="1"/>
  <c r="H211" i="1"/>
  <c r="C211" i="1"/>
  <c r="BE210" i="1"/>
  <c r="BC210" i="1"/>
  <c r="BA210" i="1"/>
  <c r="AY210" i="1"/>
  <c r="AU210" i="1"/>
  <c r="AS210" i="1"/>
  <c r="AK210" i="1"/>
  <c r="AG210" i="1"/>
  <c r="AE210" i="1"/>
  <c r="T210" i="1"/>
  <c r="K210" i="1"/>
  <c r="H210" i="1"/>
  <c r="C210" i="1"/>
  <c r="BE209" i="1"/>
  <c r="BC209" i="1"/>
  <c r="BA209" i="1"/>
  <c r="AY209" i="1"/>
  <c r="AU209" i="1"/>
  <c r="AS209" i="1"/>
  <c r="AK209" i="1"/>
  <c r="AG209" i="1"/>
  <c r="AE209" i="1"/>
  <c r="T209" i="1"/>
  <c r="K209" i="1"/>
  <c r="H209" i="1"/>
  <c r="C209" i="1"/>
  <c r="BE208" i="1"/>
  <c r="BC208" i="1"/>
  <c r="BA208" i="1"/>
  <c r="AY208" i="1"/>
  <c r="AU208" i="1"/>
  <c r="AS208" i="1"/>
  <c r="AK208" i="1"/>
  <c r="AG208" i="1"/>
  <c r="AE208" i="1"/>
  <c r="T208" i="1"/>
  <c r="K208" i="1"/>
  <c r="H208" i="1"/>
  <c r="C208" i="1"/>
  <c r="BE207" i="1"/>
  <c r="BC207" i="1"/>
  <c r="BA207" i="1"/>
  <c r="AY207" i="1"/>
  <c r="AU207" i="1"/>
  <c r="AS207" i="1"/>
  <c r="AK207" i="1"/>
  <c r="AG207" i="1"/>
  <c r="AE207" i="1"/>
  <c r="T207" i="1"/>
  <c r="K207" i="1"/>
  <c r="H207" i="1"/>
  <c r="C207" i="1"/>
  <c r="BE206" i="1"/>
  <c r="BC206" i="1"/>
  <c r="BA206" i="1"/>
  <c r="AY206" i="1"/>
  <c r="AU206" i="1"/>
  <c r="AS206" i="1"/>
  <c r="AK206" i="1"/>
  <c r="AG206" i="1"/>
  <c r="AE206" i="1"/>
  <c r="T206" i="1"/>
  <c r="K206" i="1"/>
  <c r="H206" i="1"/>
  <c r="C206" i="1"/>
  <c r="BE205" i="1"/>
  <c r="BC205" i="1"/>
  <c r="BA205" i="1"/>
  <c r="AY205" i="1"/>
  <c r="AU205" i="1"/>
  <c r="AS205" i="1"/>
  <c r="AK205" i="1"/>
  <c r="AG205" i="1"/>
  <c r="AE205" i="1"/>
  <c r="T205" i="1"/>
  <c r="K205" i="1"/>
  <c r="H205" i="1"/>
  <c r="C205" i="1"/>
  <c r="BE204" i="1"/>
  <c r="BC204" i="1"/>
  <c r="BA204" i="1"/>
  <c r="AY204" i="1"/>
  <c r="AU204" i="1"/>
  <c r="AS204" i="1"/>
  <c r="AK204" i="1"/>
  <c r="AG204" i="1"/>
  <c r="AE204" i="1"/>
  <c r="T204" i="1"/>
  <c r="K204" i="1"/>
  <c r="H204" i="1"/>
  <c r="C204" i="1"/>
  <c r="BE203" i="1"/>
  <c r="BC203" i="1"/>
  <c r="BA203" i="1"/>
  <c r="AY203" i="1"/>
  <c r="AU203" i="1"/>
  <c r="AS203" i="1"/>
  <c r="AK203" i="1"/>
  <c r="AG203" i="1"/>
  <c r="AE203" i="1"/>
  <c r="T203" i="1"/>
  <c r="K203" i="1"/>
  <c r="H203" i="1"/>
  <c r="C203" i="1"/>
  <c r="BE202" i="1"/>
  <c r="BC202" i="1"/>
  <c r="BA202" i="1"/>
  <c r="AY202" i="1"/>
  <c r="AU202" i="1"/>
  <c r="AS202" i="1"/>
  <c r="AK202" i="1"/>
  <c r="AG202" i="1"/>
  <c r="AE202" i="1"/>
  <c r="T202" i="1"/>
  <c r="K202" i="1"/>
  <c r="H202" i="1"/>
  <c r="C202" i="1"/>
  <c r="BE201" i="1"/>
  <c r="BC201" i="1"/>
  <c r="BA201" i="1"/>
  <c r="AY201" i="1"/>
  <c r="AU201" i="1"/>
  <c r="AS201" i="1"/>
  <c r="AK201" i="1"/>
  <c r="AG201" i="1"/>
  <c r="AE201" i="1"/>
  <c r="T201" i="1"/>
  <c r="K201" i="1"/>
  <c r="H201" i="1"/>
  <c r="C201" i="1"/>
  <c r="BE200" i="1"/>
  <c r="BC200" i="1"/>
  <c r="BA200" i="1"/>
  <c r="AY200" i="1"/>
  <c r="AU200" i="1"/>
  <c r="AS200" i="1"/>
  <c r="AK200" i="1"/>
  <c r="AG200" i="1"/>
  <c r="AE200" i="1"/>
  <c r="T200" i="1"/>
  <c r="K200" i="1"/>
  <c r="H200" i="1"/>
  <c r="C200" i="1"/>
  <c r="BE199" i="1"/>
  <c r="BC199" i="1"/>
  <c r="BA199" i="1"/>
  <c r="AY199" i="1"/>
  <c r="AU199" i="1"/>
  <c r="AS199" i="1"/>
  <c r="AK199" i="1"/>
  <c r="AG199" i="1"/>
  <c r="AE199" i="1"/>
  <c r="T199" i="1"/>
  <c r="K199" i="1"/>
  <c r="H199" i="1"/>
  <c r="C199" i="1"/>
  <c r="BE198" i="1"/>
  <c r="BC198" i="1"/>
  <c r="BA198" i="1"/>
  <c r="AY198" i="1"/>
  <c r="AU198" i="1"/>
  <c r="AS198" i="1"/>
  <c r="AK198" i="1"/>
  <c r="AG198" i="1"/>
  <c r="AE198" i="1"/>
  <c r="T198" i="1"/>
  <c r="K198" i="1"/>
  <c r="H198" i="1"/>
  <c r="C198" i="1"/>
  <c r="BE197" i="1"/>
  <c r="BC197" i="1"/>
  <c r="BA197" i="1"/>
  <c r="AY197" i="1"/>
  <c r="AU197" i="1"/>
  <c r="AS197" i="1"/>
  <c r="AK197" i="1"/>
  <c r="AG197" i="1"/>
  <c r="AE197" i="1"/>
  <c r="T197" i="1"/>
  <c r="K197" i="1"/>
  <c r="H197" i="1"/>
  <c r="C197" i="1"/>
  <c r="BE196" i="1"/>
  <c r="BC196" i="1"/>
  <c r="BA196" i="1"/>
  <c r="AY196" i="1"/>
  <c r="AU196" i="1"/>
  <c r="AS196" i="1"/>
  <c r="AK196" i="1"/>
  <c r="AG196" i="1"/>
  <c r="AE196" i="1"/>
  <c r="T196" i="1"/>
  <c r="K196" i="1"/>
  <c r="H196" i="1"/>
  <c r="C196" i="1"/>
  <c r="BE195" i="1"/>
  <c r="BC195" i="1"/>
  <c r="BA195" i="1"/>
  <c r="AY195" i="1"/>
  <c r="AU195" i="1"/>
  <c r="AS195" i="1"/>
  <c r="AK195" i="1"/>
  <c r="AG195" i="1"/>
  <c r="AE195" i="1"/>
  <c r="T195" i="1"/>
  <c r="K195" i="1"/>
  <c r="H195" i="1"/>
  <c r="C195" i="1"/>
  <c r="BE194" i="1"/>
  <c r="BC194" i="1"/>
  <c r="BA194" i="1"/>
  <c r="AY194" i="1"/>
  <c r="AU194" i="1"/>
  <c r="AS194" i="1"/>
  <c r="AK194" i="1"/>
  <c r="AG194" i="1"/>
  <c r="AE194" i="1"/>
  <c r="T194" i="1"/>
  <c r="K194" i="1"/>
  <c r="H194" i="1"/>
  <c r="C194" i="1"/>
  <c r="BE193" i="1"/>
  <c r="BC193" i="1"/>
  <c r="BA193" i="1"/>
  <c r="AY193" i="1"/>
  <c r="AU193" i="1"/>
  <c r="AS193" i="1"/>
  <c r="AK193" i="1"/>
  <c r="AG193" i="1"/>
  <c r="AE193" i="1"/>
  <c r="T193" i="1"/>
  <c r="K193" i="1"/>
  <c r="H193" i="1"/>
  <c r="C193" i="1"/>
  <c r="BE192" i="1"/>
  <c r="BC192" i="1"/>
  <c r="BA192" i="1"/>
  <c r="AY192" i="1"/>
  <c r="AU192" i="1"/>
  <c r="AS192" i="1"/>
  <c r="AK192" i="1"/>
  <c r="AG192" i="1"/>
  <c r="AE192" i="1"/>
  <c r="T192" i="1"/>
  <c r="K192" i="1"/>
  <c r="H192" i="1"/>
  <c r="C192" i="1"/>
  <c r="BE191" i="1"/>
  <c r="BC191" i="1"/>
  <c r="BA191" i="1"/>
  <c r="AY191" i="1"/>
  <c r="AU191" i="1"/>
  <c r="AS191" i="1"/>
  <c r="AK191" i="1"/>
  <c r="AG191" i="1"/>
  <c r="AE191" i="1"/>
  <c r="T191" i="1"/>
  <c r="K191" i="1"/>
  <c r="H191" i="1"/>
  <c r="C191" i="1"/>
  <c r="BE190" i="1"/>
  <c r="BC190" i="1"/>
  <c r="BA190" i="1"/>
  <c r="AY190" i="1"/>
  <c r="AU190" i="1"/>
  <c r="AS190" i="1"/>
  <c r="AK190" i="1"/>
  <c r="AG190" i="1"/>
  <c r="AE190" i="1"/>
  <c r="T190" i="1"/>
  <c r="K190" i="1"/>
  <c r="H190" i="1"/>
  <c r="C190" i="1"/>
  <c r="BE189" i="1"/>
  <c r="BC189" i="1"/>
  <c r="BA189" i="1"/>
  <c r="AY189" i="1"/>
  <c r="AU189" i="1"/>
  <c r="AS189" i="1"/>
  <c r="AK189" i="1"/>
  <c r="AG189" i="1"/>
  <c r="AE189" i="1"/>
  <c r="T189" i="1"/>
  <c r="K189" i="1"/>
  <c r="H189" i="1"/>
  <c r="C189" i="1"/>
  <c r="BE188" i="1"/>
  <c r="BC188" i="1"/>
  <c r="BA188" i="1"/>
  <c r="AY188" i="1"/>
  <c r="AU188" i="1"/>
  <c r="AS188" i="1"/>
  <c r="AK188" i="1"/>
  <c r="AG188" i="1"/>
  <c r="AE188" i="1"/>
  <c r="T188" i="1"/>
  <c r="K188" i="1"/>
  <c r="H188" i="1"/>
  <c r="C188" i="1"/>
  <c r="BE187" i="1"/>
  <c r="BC187" i="1"/>
  <c r="BA187" i="1"/>
  <c r="AY187" i="1"/>
  <c r="AU187" i="1"/>
  <c r="AS187" i="1"/>
  <c r="AK187" i="1"/>
  <c r="AG187" i="1"/>
  <c r="AE187" i="1"/>
  <c r="T187" i="1"/>
  <c r="K187" i="1"/>
  <c r="H187" i="1"/>
  <c r="C187" i="1"/>
  <c r="BE186" i="1"/>
  <c r="BC186" i="1"/>
  <c r="BA186" i="1"/>
  <c r="AY186" i="1"/>
  <c r="AU186" i="1"/>
  <c r="AS186" i="1"/>
  <c r="AK186" i="1"/>
  <c r="AG186" i="1"/>
  <c r="AE186" i="1"/>
  <c r="T186" i="1"/>
  <c r="K186" i="1"/>
  <c r="H186" i="1"/>
  <c r="C186" i="1"/>
  <c r="BE185" i="1"/>
  <c r="BC185" i="1"/>
  <c r="BA185" i="1"/>
  <c r="AY185" i="1"/>
  <c r="AU185" i="1"/>
  <c r="AS185" i="1"/>
  <c r="AK185" i="1"/>
  <c r="AG185" i="1"/>
  <c r="AE185" i="1"/>
  <c r="T185" i="1"/>
  <c r="K185" i="1"/>
  <c r="H185" i="1"/>
  <c r="C185" i="1"/>
  <c r="BE184" i="1"/>
  <c r="BC184" i="1"/>
  <c r="BA184" i="1"/>
  <c r="AY184" i="1"/>
  <c r="AU184" i="1"/>
  <c r="AS184" i="1"/>
  <c r="AK184" i="1"/>
  <c r="AG184" i="1"/>
  <c r="AE184" i="1"/>
  <c r="T184" i="1"/>
  <c r="K184" i="1"/>
  <c r="H184" i="1"/>
  <c r="C184" i="1"/>
  <c r="BE183" i="1"/>
  <c r="BC183" i="1"/>
  <c r="BA183" i="1"/>
  <c r="AY183" i="1"/>
  <c r="AU183" i="1"/>
  <c r="AS183" i="1"/>
  <c r="AK183" i="1"/>
  <c r="AG183" i="1"/>
  <c r="AE183" i="1"/>
  <c r="T183" i="1"/>
  <c r="K183" i="1"/>
  <c r="H183" i="1"/>
  <c r="C183" i="1"/>
  <c r="BE182" i="1"/>
  <c r="BC182" i="1"/>
  <c r="BA182" i="1"/>
  <c r="AY182" i="1"/>
  <c r="AU182" i="1"/>
  <c r="AS182" i="1"/>
  <c r="AK182" i="1"/>
  <c r="AG182" i="1"/>
  <c r="AE182" i="1"/>
  <c r="T182" i="1"/>
  <c r="K182" i="1"/>
  <c r="H182" i="1"/>
  <c r="C182" i="1"/>
  <c r="BE181" i="1"/>
  <c r="BC181" i="1"/>
  <c r="BA181" i="1"/>
  <c r="AY181" i="1"/>
  <c r="AU181" i="1"/>
  <c r="AS181" i="1"/>
  <c r="AK181" i="1"/>
  <c r="AG181" i="1"/>
  <c r="AE181" i="1"/>
  <c r="T181" i="1"/>
  <c r="K181" i="1"/>
  <c r="H181" i="1"/>
  <c r="C181" i="1"/>
  <c r="BE180" i="1"/>
  <c r="BC180" i="1"/>
  <c r="BA180" i="1"/>
  <c r="AY180" i="1"/>
  <c r="AU180" i="1"/>
  <c r="AS180" i="1"/>
  <c r="AK180" i="1"/>
  <c r="AG180" i="1"/>
  <c r="AE180" i="1"/>
  <c r="T180" i="1"/>
  <c r="K180" i="1"/>
  <c r="H180" i="1"/>
  <c r="C180" i="1"/>
  <c r="BE179" i="1"/>
  <c r="BC179" i="1"/>
  <c r="BA179" i="1"/>
  <c r="AY179" i="1"/>
  <c r="AU179" i="1"/>
  <c r="AS179" i="1"/>
  <c r="AK179" i="1"/>
  <c r="AG179" i="1"/>
  <c r="AE179" i="1"/>
  <c r="T179" i="1"/>
  <c r="K179" i="1"/>
  <c r="H179" i="1"/>
  <c r="C179" i="1"/>
  <c r="BE178" i="1"/>
  <c r="BC178" i="1"/>
  <c r="BA178" i="1"/>
  <c r="AY178" i="1"/>
  <c r="AU178" i="1"/>
  <c r="AS178" i="1"/>
  <c r="AK178" i="1"/>
  <c r="AG178" i="1"/>
  <c r="AE178" i="1"/>
  <c r="T178" i="1"/>
  <c r="K178" i="1"/>
  <c r="H178" i="1"/>
  <c r="C178" i="1"/>
  <c r="BE177" i="1"/>
  <c r="BC177" i="1"/>
  <c r="BA177" i="1"/>
  <c r="AY177" i="1"/>
  <c r="AU177" i="1"/>
  <c r="AS177" i="1"/>
  <c r="AK177" i="1"/>
  <c r="AG177" i="1"/>
  <c r="AE177" i="1"/>
  <c r="T177" i="1"/>
  <c r="K177" i="1"/>
  <c r="H177" i="1"/>
  <c r="C177" i="1"/>
  <c r="BE176" i="1"/>
  <c r="BC176" i="1"/>
  <c r="BA176" i="1"/>
  <c r="AY176" i="1"/>
  <c r="AU176" i="1"/>
  <c r="AS176" i="1"/>
  <c r="AK176" i="1"/>
  <c r="AG176" i="1"/>
  <c r="AE176" i="1"/>
  <c r="T176" i="1"/>
  <c r="K176" i="1"/>
  <c r="H176" i="1"/>
  <c r="C176" i="1"/>
  <c r="BE175" i="1"/>
  <c r="BC175" i="1"/>
  <c r="BA175" i="1"/>
  <c r="AY175" i="1"/>
  <c r="AU175" i="1"/>
  <c r="AS175" i="1"/>
  <c r="AK175" i="1"/>
  <c r="AG175" i="1"/>
  <c r="AE175" i="1"/>
  <c r="T175" i="1"/>
  <c r="K175" i="1"/>
  <c r="H175" i="1"/>
  <c r="C175" i="1"/>
  <c r="BE174" i="1"/>
  <c r="BC174" i="1"/>
  <c r="BA174" i="1"/>
  <c r="AY174" i="1"/>
  <c r="AU174" i="1"/>
  <c r="AS174" i="1"/>
  <c r="AK174" i="1"/>
  <c r="AG174" i="1"/>
  <c r="AE174" i="1"/>
  <c r="T174" i="1"/>
  <c r="K174" i="1"/>
  <c r="H174" i="1"/>
  <c r="C174" i="1"/>
  <c r="BE173" i="1"/>
  <c r="BC173" i="1"/>
  <c r="BA173" i="1"/>
  <c r="AY173" i="1"/>
  <c r="AU173" i="1"/>
  <c r="AS173" i="1"/>
  <c r="AK173" i="1"/>
  <c r="AG173" i="1"/>
  <c r="AE173" i="1"/>
  <c r="T173" i="1"/>
  <c r="K173" i="1"/>
  <c r="H173" i="1"/>
  <c r="C173" i="1"/>
  <c r="BE172" i="1"/>
  <c r="BC172" i="1"/>
  <c r="BA172" i="1"/>
  <c r="AY172" i="1"/>
  <c r="AU172" i="1"/>
  <c r="AS172" i="1"/>
  <c r="AK172" i="1"/>
  <c r="AG172" i="1"/>
  <c r="AE172" i="1"/>
  <c r="T172" i="1"/>
  <c r="K172" i="1"/>
  <c r="H172" i="1"/>
  <c r="C172" i="1"/>
  <c r="BE171" i="1"/>
  <c r="BC171" i="1"/>
  <c r="BA171" i="1"/>
  <c r="AY171" i="1"/>
  <c r="AU171" i="1"/>
  <c r="AS171" i="1"/>
  <c r="AK171" i="1"/>
  <c r="AG171" i="1"/>
  <c r="AE171" i="1"/>
  <c r="T171" i="1"/>
  <c r="K171" i="1"/>
  <c r="H171" i="1"/>
  <c r="C171" i="1"/>
  <c r="BE170" i="1"/>
  <c r="BC170" i="1"/>
  <c r="BA170" i="1"/>
  <c r="AY170" i="1"/>
  <c r="AU170" i="1"/>
  <c r="AS170" i="1"/>
  <c r="AK170" i="1"/>
  <c r="AG170" i="1"/>
  <c r="AE170" i="1"/>
  <c r="T170" i="1"/>
  <c r="K170" i="1"/>
  <c r="H170" i="1"/>
  <c r="C170" i="1"/>
  <c r="BE169" i="1"/>
  <c r="BC169" i="1"/>
  <c r="BA169" i="1"/>
  <c r="AY169" i="1"/>
  <c r="AU169" i="1"/>
  <c r="AS169" i="1"/>
  <c r="AK169" i="1"/>
  <c r="AG169" i="1"/>
  <c r="AE169" i="1"/>
  <c r="T169" i="1"/>
  <c r="K169" i="1"/>
  <c r="H169" i="1"/>
  <c r="C169" i="1"/>
  <c r="BE168" i="1"/>
  <c r="BC168" i="1"/>
  <c r="BA168" i="1"/>
  <c r="AY168" i="1"/>
  <c r="AU168" i="1"/>
  <c r="AS168" i="1"/>
  <c r="AK168" i="1"/>
  <c r="AG168" i="1"/>
  <c r="AE168" i="1"/>
  <c r="T168" i="1"/>
  <c r="K168" i="1"/>
  <c r="H168" i="1"/>
  <c r="C168" i="1"/>
  <c r="BE167" i="1"/>
  <c r="BC167" i="1"/>
  <c r="BA167" i="1"/>
  <c r="AY167" i="1"/>
  <c r="AU167" i="1"/>
  <c r="AS167" i="1"/>
  <c r="AK167" i="1"/>
  <c r="AG167" i="1"/>
  <c r="AE167" i="1"/>
  <c r="T167" i="1"/>
  <c r="K167" i="1"/>
  <c r="H167" i="1"/>
  <c r="C167" i="1"/>
  <c r="BE166" i="1"/>
  <c r="BC166" i="1"/>
  <c r="BA166" i="1"/>
  <c r="AY166" i="1"/>
  <c r="AU166" i="1"/>
  <c r="AS166" i="1"/>
  <c r="AK166" i="1"/>
  <c r="AG166" i="1"/>
  <c r="AE166" i="1"/>
  <c r="T166" i="1"/>
  <c r="K166" i="1"/>
  <c r="H166" i="1"/>
  <c r="C166" i="1"/>
  <c r="BE165" i="1"/>
  <c r="BC165" i="1"/>
  <c r="BA165" i="1"/>
  <c r="AY165" i="1"/>
  <c r="AU165" i="1"/>
  <c r="AS165" i="1"/>
  <c r="AK165" i="1"/>
  <c r="AG165" i="1"/>
  <c r="AE165" i="1"/>
  <c r="T165" i="1"/>
  <c r="K165" i="1"/>
  <c r="H165" i="1"/>
  <c r="C165" i="1"/>
  <c r="BE164" i="1"/>
  <c r="BC164" i="1"/>
  <c r="BA164" i="1"/>
  <c r="AY164" i="1"/>
  <c r="AU164" i="1"/>
  <c r="AS164" i="1"/>
  <c r="AK164" i="1"/>
  <c r="AG164" i="1"/>
  <c r="AE164" i="1"/>
  <c r="T164" i="1"/>
  <c r="K164" i="1"/>
  <c r="H164" i="1"/>
  <c r="C164" i="1"/>
  <c r="BE163" i="1"/>
  <c r="BC163" i="1"/>
  <c r="BA163" i="1"/>
  <c r="AY163" i="1"/>
  <c r="AU163" i="1"/>
  <c r="AS163" i="1"/>
  <c r="AK163" i="1"/>
  <c r="AG163" i="1"/>
  <c r="AE163" i="1"/>
  <c r="T163" i="1"/>
  <c r="K163" i="1"/>
  <c r="H163" i="1"/>
  <c r="C163" i="1"/>
  <c r="BE162" i="1"/>
  <c r="BC162" i="1"/>
  <c r="BA162" i="1"/>
  <c r="AY162" i="1"/>
  <c r="AU162" i="1"/>
  <c r="AS162" i="1"/>
  <c r="AK162" i="1"/>
  <c r="AG162" i="1"/>
  <c r="AE162" i="1"/>
  <c r="T162" i="1"/>
  <c r="K162" i="1"/>
  <c r="H162" i="1"/>
  <c r="C162" i="1"/>
  <c r="BE161" i="1"/>
  <c r="BC161" i="1"/>
  <c r="BA161" i="1"/>
  <c r="AY161" i="1"/>
  <c r="AU161" i="1"/>
  <c r="AS161" i="1"/>
  <c r="AK161" i="1"/>
  <c r="AG161" i="1"/>
  <c r="AE161" i="1"/>
  <c r="T161" i="1"/>
  <c r="K161" i="1"/>
  <c r="H161" i="1"/>
  <c r="C161" i="1"/>
  <c r="BE160" i="1"/>
  <c r="BC160" i="1"/>
  <c r="BA160" i="1"/>
  <c r="AY160" i="1"/>
  <c r="AU160" i="1"/>
  <c r="AS160" i="1"/>
  <c r="AK160" i="1"/>
  <c r="AG160" i="1"/>
  <c r="AE160" i="1"/>
  <c r="T160" i="1"/>
  <c r="K160" i="1"/>
  <c r="H160" i="1"/>
  <c r="C160" i="1"/>
  <c r="BE159" i="1"/>
  <c r="BC159" i="1"/>
  <c r="BA159" i="1"/>
  <c r="AY159" i="1"/>
  <c r="AU159" i="1"/>
  <c r="AS159" i="1"/>
  <c r="AK159" i="1"/>
  <c r="AG159" i="1"/>
  <c r="AE159" i="1"/>
  <c r="T159" i="1"/>
  <c r="K159" i="1"/>
  <c r="H159" i="1"/>
  <c r="C159" i="1"/>
  <c r="BE158" i="1"/>
  <c r="BC158" i="1"/>
  <c r="BA158" i="1"/>
  <c r="AY158" i="1"/>
  <c r="AU158" i="1"/>
  <c r="AS158" i="1"/>
  <c r="AK158" i="1"/>
  <c r="AG158" i="1"/>
  <c r="AE158" i="1"/>
  <c r="T158" i="1"/>
  <c r="K158" i="1"/>
  <c r="H158" i="1"/>
  <c r="C158" i="1"/>
  <c r="BE157" i="1"/>
  <c r="BC157" i="1"/>
  <c r="BA157" i="1"/>
  <c r="AY157" i="1"/>
  <c r="AU157" i="1"/>
  <c r="AS157" i="1"/>
  <c r="AK157" i="1"/>
  <c r="AG157" i="1"/>
  <c r="AE157" i="1"/>
  <c r="T157" i="1"/>
  <c r="K157" i="1"/>
  <c r="H157" i="1"/>
  <c r="C157" i="1"/>
  <c r="BE156" i="1"/>
  <c r="BC156" i="1"/>
  <c r="BA156" i="1"/>
  <c r="AY156" i="1"/>
  <c r="AU156" i="1"/>
  <c r="AS156" i="1"/>
  <c r="AK156" i="1"/>
  <c r="AG156" i="1"/>
  <c r="AE156" i="1"/>
  <c r="T156" i="1"/>
  <c r="K156" i="1"/>
  <c r="H156" i="1"/>
  <c r="C156" i="1"/>
  <c r="BE155" i="1"/>
  <c r="BC155" i="1"/>
  <c r="BA155" i="1"/>
  <c r="AY155" i="1"/>
  <c r="AU155" i="1"/>
  <c r="AS155" i="1"/>
  <c r="AK155" i="1"/>
  <c r="AG155" i="1"/>
  <c r="AE155" i="1"/>
  <c r="T155" i="1"/>
  <c r="K155" i="1"/>
  <c r="H155" i="1"/>
  <c r="C155" i="1"/>
  <c r="BE154" i="1"/>
  <c r="BC154" i="1"/>
  <c r="BA154" i="1"/>
  <c r="AY154" i="1"/>
  <c r="AU154" i="1"/>
  <c r="AS154" i="1"/>
  <c r="AK154" i="1"/>
  <c r="AG154" i="1"/>
  <c r="AE154" i="1"/>
  <c r="T154" i="1"/>
  <c r="K154" i="1"/>
  <c r="H154" i="1"/>
  <c r="C154" i="1"/>
  <c r="BE153" i="1"/>
  <c r="BC153" i="1"/>
  <c r="BA153" i="1"/>
  <c r="AY153" i="1"/>
  <c r="AU153" i="1"/>
  <c r="AS153" i="1"/>
  <c r="AK153" i="1"/>
  <c r="AG153" i="1"/>
  <c r="AE153" i="1"/>
  <c r="T153" i="1"/>
  <c r="K153" i="1"/>
  <c r="H153" i="1"/>
  <c r="C153" i="1"/>
  <c r="BE152" i="1"/>
  <c r="BC152" i="1"/>
  <c r="BA152" i="1"/>
  <c r="AY152" i="1"/>
  <c r="AU152" i="1"/>
  <c r="AS152" i="1"/>
  <c r="AK152" i="1"/>
  <c r="AG152" i="1"/>
  <c r="AE152" i="1"/>
  <c r="T152" i="1"/>
  <c r="K152" i="1"/>
  <c r="H152" i="1"/>
  <c r="C152" i="1"/>
  <c r="BE151" i="1"/>
  <c r="BC151" i="1"/>
  <c r="BA151" i="1"/>
  <c r="AY151" i="1"/>
  <c r="AU151" i="1"/>
  <c r="AS151" i="1"/>
  <c r="AK151" i="1"/>
  <c r="AG151" i="1"/>
  <c r="AE151" i="1"/>
  <c r="T151" i="1"/>
  <c r="K151" i="1"/>
  <c r="H151" i="1"/>
  <c r="C151" i="1"/>
  <c r="BE150" i="1"/>
  <c r="BC150" i="1"/>
  <c r="BA150" i="1"/>
  <c r="AY150" i="1"/>
  <c r="AU150" i="1"/>
  <c r="AS150" i="1"/>
  <c r="AK150" i="1"/>
  <c r="AG150" i="1"/>
  <c r="AE150" i="1"/>
  <c r="T150" i="1"/>
  <c r="K150" i="1"/>
  <c r="H150" i="1"/>
  <c r="C150" i="1"/>
  <c r="BE149" i="1"/>
  <c r="BC149" i="1"/>
  <c r="BA149" i="1"/>
  <c r="AY149" i="1"/>
  <c r="AU149" i="1"/>
  <c r="AS149" i="1"/>
  <c r="AK149" i="1"/>
  <c r="AG149" i="1"/>
  <c r="AE149" i="1"/>
  <c r="T149" i="1"/>
  <c r="K149" i="1"/>
  <c r="H149" i="1"/>
  <c r="C149" i="1"/>
  <c r="BE148" i="1"/>
  <c r="BC148" i="1"/>
  <c r="BA148" i="1"/>
  <c r="AY148" i="1"/>
  <c r="AU148" i="1"/>
  <c r="AS148" i="1"/>
  <c r="AK148" i="1"/>
  <c r="AG148" i="1"/>
  <c r="AE148" i="1"/>
  <c r="T148" i="1"/>
  <c r="K148" i="1"/>
  <c r="H148" i="1"/>
  <c r="C148" i="1"/>
  <c r="BE147" i="1"/>
  <c r="BC147" i="1"/>
  <c r="BA147" i="1"/>
  <c r="AY147" i="1"/>
  <c r="AU147" i="1"/>
  <c r="AS147" i="1"/>
  <c r="AK147" i="1"/>
  <c r="AG147" i="1"/>
  <c r="AE147" i="1"/>
  <c r="T147" i="1"/>
  <c r="K147" i="1"/>
  <c r="H147" i="1"/>
  <c r="C147" i="1"/>
  <c r="BE146" i="1"/>
  <c r="BC146" i="1"/>
  <c r="BA146" i="1"/>
  <c r="AY146" i="1"/>
  <c r="AU146" i="1"/>
  <c r="AS146" i="1"/>
  <c r="AK146" i="1"/>
  <c r="AG146" i="1"/>
  <c r="AE146" i="1"/>
  <c r="T146" i="1"/>
  <c r="K146" i="1"/>
  <c r="H146" i="1"/>
  <c r="C146" i="1"/>
  <c r="BE145" i="1"/>
  <c r="BC145" i="1"/>
  <c r="BA145" i="1"/>
  <c r="AY145" i="1"/>
  <c r="AU145" i="1"/>
  <c r="AS145" i="1"/>
  <c r="AK145" i="1"/>
  <c r="AG145" i="1"/>
  <c r="AE145" i="1"/>
  <c r="T145" i="1"/>
  <c r="K145" i="1"/>
  <c r="H145" i="1"/>
  <c r="C145" i="1"/>
  <c r="BE144" i="1"/>
  <c r="BC144" i="1"/>
  <c r="BA144" i="1"/>
  <c r="AY144" i="1"/>
  <c r="AU144" i="1"/>
  <c r="AS144" i="1"/>
  <c r="AK144" i="1"/>
  <c r="AG144" i="1"/>
  <c r="AE144" i="1"/>
  <c r="T144" i="1"/>
  <c r="K144" i="1"/>
  <c r="H144" i="1"/>
  <c r="C144" i="1"/>
  <c r="BE143" i="1"/>
  <c r="BC143" i="1"/>
  <c r="BA143" i="1"/>
  <c r="AY143" i="1"/>
  <c r="AU143" i="1"/>
  <c r="AS143" i="1"/>
  <c r="AK143" i="1"/>
  <c r="AG143" i="1"/>
  <c r="AE143" i="1"/>
  <c r="T143" i="1"/>
  <c r="K143" i="1"/>
  <c r="H143" i="1"/>
  <c r="C143" i="1"/>
  <c r="BE142" i="1"/>
  <c r="BC142" i="1"/>
  <c r="BA142" i="1"/>
  <c r="AY142" i="1"/>
  <c r="AU142" i="1"/>
  <c r="AS142" i="1"/>
  <c r="AK142" i="1"/>
  <c r="AG142" i="1"/>
  <c r="AE142" i="1"/>
  <c r="T142" i="1"/>
  <c r="K142" i="1"/>
  <c r="H142" i="1"/>
  <c r="C142" i="1"/>
  <c r="BE141" i="1"/>
  <c r="BC141" i="1"/>
  <c r="BA141" i="1"/>
  <c r="AY141" i="1"/>
  <c r="AU141" i="1"/>
  <c r="AS141" i="1"/>
  <c r="AK141" i="1"/>
  <c r="AG141" i="1"/>
  <c r="AE141" i="1"/>
  <c r="T141" i="1"/>
  <c r="K141" i="1"/>
  <c r="H141" i="1"/>
  <c r="C141" i="1"/>
  <c r="BE140" i="1"/>
  <c r="BC140" i="1"/>
  <c r="BA140" i="1"/>
  <c r="AY140" i="1"/>
  <c r="AU140" i="1"/>
  <c r="AS140" i="1"/>
  <c r="AK140" i="1"/>
  <c r="AG140" i="1"/>
  <c r="AE140" i="1"/>
  <c r="T140" i="1"/>
  <c r="K140" i="1"/>
  <c r="H140" i="1"/>
  <c r="C140" i="1"/>
  <c r="BE139" i="1"/>
  <c r="BC139" i="1"/>
  <c r="BA139" i="1"/>
  <c r="AY139" i="1"/>
  <c r="AU139" i="1"/>
  <c r="AS139" i="1"/>
  <c r="AK139" i="1"/>
  <c r="AG139" i="1"/>
  <c r="AE139" i="1"/>
  <c r="T139" i="1"/>
  <c r="K139" i="1"/>
  <c r="H139" i="1"/>
  <c r="C139" i="1"/>
  <c r="BE138" i="1"/>
  <c r="BC138" i="1"/>
  <c r="BA138" i="1"/>
  <c r="AY138" i="1"/>
  <c r="AU138" i="1"/>
  <c r="AS138" i="1"/>
  <c r="AK138" i="1"/>
  <c r="AG138" i="1"/>
  <c r="AE138" i="1"/>
  <c r="T138" i="1"/>
  <c r="K138" i="1"/>
  <c r="H138" i="1"/>
  <c r="C138" i="1"/>
  <c r="BE137" i="1"/>
  <c r="BC137" i="1"/>
  <c r="BA137" i="1"/>
  <c r="AY137" i="1"/>
  <c r="AU137" i="1"/>
  <c r="AS137" i="1"/>
  <c r="AK137" i="1"/>
  <c r="AG137" i="1"/>
  <c r="AE137" i="1"/>
  <c r="T137" i="1"/>
  <c r="K137" i="1"/>
  <c r="H137" i="1"/>
  <c r="C137" i="1"/>
  <c r="BE136" i="1"/>
  <c r="BC136" i="1"/>
  <c r="BA136" i="1"/>
  <c r="AY136" i="1"/>
  <c r="AU136" i="1"/>
  <c r="AS136" i="1"/>
  <c r="AK136" i="1"/>
  <c r="AG136" i="1"/>
  <c r="AE136" i="1"/>
  <c r="T136" i="1"/>
  <c r="K136" i="1"/>
  <c r="H136" i="1"/>
  <c r="C136" i="1"/>
  <c r="BE135" i="1"/>
  <c r="BC135" i="1"/>
  <c r="BA135" i="1"/>
  <c r="AY135" i="1"/>
  <c r="AU135" i="1"/>
  <c r="AS135" i="1"/>
  <c r="AK135" i="1"/>
  <c r="AG135" i="1"/>
  <c r="AE135" i="1"/>
  <c r="T135" i="1"/>
  <c r="K135" i="1"/>
  <c r="H135" i="1"/>
  <c r="C135" i="1"/>
  <c r="BE134" i="1"/>
  <c r="BC134" i="1"/>
  <c r="BA134" i="1"/>
  <c r="AY134" i="1"/>
  <c r="AU134" i="1"/>
  <c r="AS134" i="1"/>
  <c r="AK134" i="1"/>
  <c r="AG134" i="1"/>
  <c r="AE134" i="1"/>
  <c r="T134" i="1"/>
  <c r="K134" i="1"/>
  <c r="H134" i="1"/>
  <c r="C134" i="1"/>
  <c r="BE133" i="1"/>
  <c r="BC133" i="1"/>
  <c r="BA133" i="1"/>
  <c r="AY133" i="1"/>
  <c r="AU133" i="1"/>
  <c r="AS133" i="1"/>
  <c r="AK133" i="1"/>
  <c r="AG133" i="1"/>
  <c r="AE133" i="1"/>
  <c r="T133" i="1"/>
  <c r="K133" i="1"/>
  <c r="H133" i="1"/>
  <c r="C133" i="1"/>
  <c r="BE132" i="1"/>
  <c r="BC132" i="1"/>
  <c r="BA132" i="1"/>
  <c r="AY132" i="1"/>
  <c r="AU132" i="1"/>
  <c r="AS132" i="1"/>
  <c r="AK132" i="1"/>
  <c r="AG132" i="1"/>
  <c r="AE132" i="1"/>
  <c r="T132" i="1"/>
  <c r="K132" i="1"/>
  <c r="H132" i="1"/>
  <c r="C132" i="1"/>
  <c r="BE131" i="1"/>
  <c r="BC131" i="1"/>
  <c r="BA131" i="1"/>
  <c r="AY131" i="1"/>
  <c r="AU131" i="1"/>
  <c r="AS131" i="1"/>
  <c r="AK131" i="1"/>
  <c r="AG131" i="1"/>
  <c r="AE131" i="1"/>
  <c r="T131" i="1"/>
  <c r="K131" i="1"/>
  <c r="H131" i="1"/>
  <c r="C131" i="1"/>
  <c r="BE130" i="1"/>
  <c r="BC130" i="1"/>
  <c r="BA130" i="1"/>
  <c r="AY130" i="1"/>
  <c r="AU130" i="1"/>
  <c r="AS130" i="1"/>
  <c r="AK130" i="1"/>
  <c r="AG130" i="1"/>
  <c r="AE130" i="1"/>
  <c r="T130" i="1"/>
  <c r="K130" i="1"/>
  <c r="H130" i="1"/>
  <c r="C130" i="1"/>
  <c r="BE129" i="1"/>
  <c r="BC129" i="1"/>
  <c r="BA129" i="1"/>
  <c r="AY129" i="1"/>
  <c r="AU129" i="1"/>
  <c r="AS129" i="1"/>
  <c r="AK129" i="1"/>
  <c r="AG129" i="1"/>
  <c r="AE129" i="1"/>
  <c r="T129" i="1"/>
  <c r="K129" i="1"/>
  <c r="H129" i="1"/>
  <c r="C129" i="1"/>
  <c r="BE128" i="1"/>
  <c r="BC128" i="1"/>
  <c r="BA128" i="1"/>
  <c r="AY128" i="1"/>
  <c r="AU128" i="1"/>
  <c r="AS128" i="1"/>
  <c r="AK128" i="1"/>
  <c r="AG128" i="1"/>
  <c r="AE128" i="1"/>
  <c r="T128" i="1"/>
  <c r="K128" i="1"/>
  <c r="H128" i="1"/>
  <c r="C128" i="1"/>
  <c r="BE127" i="1"/>
  <c r="BC127" i="1"/>
  <c r="BA127" i="1"/>
  <c r="AY127" i="1"/>
  <c r="AU127" i="1"/>
  <c r="AS127" i="1"/>
  <c r="AK127" i="1"/>
  <c r="AG127" i="1"/>
  <c r="AE127" i="1"/>
  <c r="T127" i="1"/>
  <c r="K127" i="1"/>
  <c r="H127" i="1"/>
  <c r="C127" i="1"/>
  <c r="BE126" i="1"/>
  <c r="BC126" i="1"/>
  <c r="BA126" i="1"/>
  <c r="AY126" i="1"/>
  <c r="AU126" i="1"/>
  <c r="AS126" i="1"/>
  <c r="AK126" i="1"/>
  <c r="AG126" i="1"/>
  <c r="AE126" i="1"/>
  <c r="T126" i="1"/>
  <c r="K126" i="1"/>
  <c r="H126" i="1"/>
  <c r="C126" i="1"/>
  <c r="BE125" i="1"/>
  <c r="BC125" i="1"/>
  <c r="BA125" i="1"/>
  <c r="AY125" i="1"/>
  <c r="AU125" i="1"/>
  <c r="AS125" i="1"/>
  <c r="AK125" i="1"/>
  <c r="AG125" i="1"/>
  <c r="AE125" i="1"/>
  <c r="T125" i="1"/>
  <c r="K125" i="1"/>
  <c r="H125" i="1"/>
  <c r="C125" i="1"/>
  <c r="BE124" i="1"/>
  <c r="BC124" i="1"/>
  <c r="BA124" i="1"/>
  <c r="AY124" i="1"/>
  <c r="AU124" i="1"/>
  <c r="AS124" i="1"/>
  <c r="AK124" i="1"/>
  <c r="AG124" i="1"/>
  <c r="AE124" i="1"/>
  <c r="T124" i="1"/>
  <c r="K124" i="1"/>
  <c r="H124" i="1"/>
  <c r="C124" i="1"/>
  <c r="BE123" i="1"/>
  <c r="BC123" i="1"/>
  <c r="BA123" i="1"/>
  <c r="AY123" i="1"/>
  <c r="AU123" i="1"/>
  <c r="AS123" i="1"/>
  <c r="AK123" i="1"/>
  <c r="AG123" i="1"/>
  <c r="AE123" i="1"/>
  <c r="T123" i="1"/>
  <c r="K123" i="1"/>
  <c r="H123" i="1"/>
  <c r="C123" i="1"/>
  <c r="BE122" i="1"/>
  <c r="BC122" i="1"/>
  <c r="BA122" i="1"/>
  <c r="AY122" i="1"/>
  <c r="AU122" i="1"/>
  <c r="AS122" i="1"/>
  <c r="AK122" i="1"/>
  <c r="AG122" i="1"/>
  <c r="AE122" i="1"/>
  <c r="T122" i="1"/>
  <c r="K122" i="1"/>
  <c r="H122" i="1"/>
  <c r="C122" i="1"/>
  <c r="BE121" i="1"/>
  <c r="BC121" i="1"/>
  <c r="BA121" i="1"/>
  <c r="AY121" i="1"/>
  <c r="AU121" i="1"/>
  <c r="AS121" i="1"/>
  <c r="AK121" i="1"/>
  <c r="AG121" i="1"/>
  <c r="AE121" i="1"/>
  <c r="T121" i="1"/>
  <c r="K121" i="1"/>
  <c r="H121" i="1"/>
  <c r="C121" i="1"/>
  <c r="BE120" i="1"/>
  <c r="BC120" i="1"/>
  <c r="BA120" i="1"/>
  <c r="AY120" i="1"/>
  <c r="AU120" i="1"/>
  <c r="AS120" i="1"/>
  <c r="AK120" i="1"/>
  <c r="AG120" i="1"/>
  <c r="AE120" i="1"/>
  <c r="T120" i="1"/>
  <c r="K120" i="1"/>
  <c r="H120" i="1"/>
  <c r="C120" i="1"/>
  <c r="BE119" i="1"/>
  <c r="BC119" i="1"/>
  <c r="BA119" i="1"/>
  <c r="AY119" i="1"/>
  <c r="AU119" i="1"/>
  <c r="AS119" i="1"/>
  <c r="AK119" i="1"/>
  <c r="AG119" i="1"/>
  <c r="AE119" i="1"/>
  <c r="T119" i="1"/>
  <c r="K119" i="1"/>
  <c r="H119" i="1"/>
  <c r="C119" i="1"/>
  <c r="BE118" i="1"/>
  <c r="BC118" i="1"/>
  <c r="BA118" i="1"/>
  <c r="AY118" i="1"/>
  <c r="AU118" i="1"/>
  <c r="AS118" i="1"/>
  <c r="AK118" i="1"/>
  <c r="AG118" i="1"/>
  <c r="AE118" i="1"/>
  <c r="T118" i="1"/>
  <c r="K118" i="1"/>
  <c r="H118" i="1"/>
  <c r="C118" i="1"/>
  <c r="BE117" i="1"/>
  <c r="BC117" i="1"/>
  <c r="BA117" i="1"/>
  <c r="AY117" i="1"/>
  <c r="AU117" i="1"/>
  <c r="AS117" i="1"/>
  <c r="AK117" i="1"/>
  <c r="AG117" i="1"/>
  <c r="AE117" i="1"/>
  <c r="T117" i="1"/>
  <c r="K117" i="1"/>
  <c r="H117" i="1"/>
  <c r="C117" i="1"/>
  <c r="BE116" i="1"/>
  <c r="BC116" i="1"/>
  <c r="BA116" i="1"/>
  <c r="AY116" i="1"/>
  <c r="AU116" i="1"/>
  <c r="AS116" i="1"/>
  <c r="AK116" i="1"/>
  <c r="AG116" i="1"/>
  <c r="AE116" i="1"/>
  <c r="T116" i="1"/>
  <c r="K116" i="1"/>
  <c r="H116" i="1"/>
  <c r="C116" i="1"/>
  <c r="BE115" i="1"/>
  <c r="BC115" i="1"/>
  <c r="BA115" i="1"/>
  <c r="AY115" i="1"/>
  <c r="AU115" i="1"/>
  <c r="AS115" i="1"/>
  <c r="AK115" i="1"/>
  <c r="AG115" i="1"/>
  <c r="AE115" i="1"/>
  <c r="T115" i="1"/>
  <c r="K115" i="1"/>
  <c r="H115" i="1"/>
  <c r="C115" i="1"/>
  <c r="BE114" i="1"/>
  <c r="BC114" i="1"/>
  <c r="BA114" i="1"/>
  <c r="AY114" i="1"/>
  <c r="AU114" i="1"/>
  <c r="AS114" i="1"/>
  <c r="AK114" i="1"/>
  <c r="AG114" i="1"/>
  <c r="AE114" i="1"/>
  <c r="T114" i="1"/>
  <c r="K114" i="1"/>
  <c r="H114" i="1"/>
  <c r="C114" i="1"/>
  <c r="BE113" i="1"/>
  <c r="BC113" i="1"/>
  <c r="BA113" i="1"/>
  <c r="AY113" i="1"/>
  <c r="AU113" i="1"/>
  <c r="AS113" i="1"/>
  <c r="AK113" i="1"/>
  <c r="AG113" i="1"/>
  <c r="AE113" i="1"/>
  <c r="T113" i="1"/>
  <c r="K113" i="1"/>
  <c r="H113" i="1"/>
  <c r="C113" i="1"/>
  <c r="BE112" i="1"/>
  <c r="BC112" i="1"/>
  <c r="BA112" i="1"/>
  <c r="AY112" i="1"/>
  <c r="AU112" i="1"/>
  <c r="AS112" i="1"/>
  <c r="AK112" i="1"/>
  <c r="AG112" i="1"/>
  <c r="AE112" i="1"/>
  <c r="T112" i="1"/>
  <c r="K112" i="1"/>
  <c r="H112" i="1"/>
  <c r="C112" i="1"/>
  <c r="BE111" i="1"/>
  <c r="BC111" i="1"/>
  <c r="BA111" i="1"/>
  <c r="AY111" i="1"/>
  <c r="AU111" i="1"/>
  <c r="AS111" i="1"/>
  <c r="AK111" i="1"/>
  <c r="AG111" i="1"/>
  <c r="AE111" i="1"/>
  <c r="T111" i="1"/>
  <c r="K111" i="1"/>
  <c r="H111" i="1"/>
  <c r="C111" i="1"/>
  <c r="BE110" i="1"/>
  <c r="BC110" i="1"/>
  <c r="BA110" i="1"/>
  <c r="AY110" i="1"/>
  <c r="AU110" i="1"/>
  <c r="AS110" i="1"/>
  <c r="AK110" i="1"/>
  <c r="AG110" i="1"/>
  <c r="AE110" i="1"/>
  <c r="T110" i="1"/>
  <c r="K110" i="1"/>
  <c r="H110" i="1"/>
  <c r="C110" i="1"/>
  <c r="BE109" i="1"/>
  <c r="BC109" i="1"/>
  <c r="BA109" i="1"/>
  <c r="AY109" i="1"/>
  <c r="AU109" i="1"/>
  <c r="AS109" i="1"/>
  <c r="AK109" i="1"/>
  <c r="AG109" i="1"/>
  <c r="AE109" i="1"/>
  <c r="T109" i="1"/>
  <c r="K109" i="1"/>
  <c r="H109" i="1"/>
  <c r="C109" i="1"/>
  <c r="BE108" i="1"/>
  <c r="BC108" i="1"/>
  <c r="BA108" i="1"/>
  <c r="AY108" i="1"/>
  <c r="AU108" i="1"/>
  <c r="AS108" i="1"/>
  <c r="AK108" i="1"/>
  <c r="AG108" i="1"/>
  <c r="AE108" i="1"/>
  <c r="T108" i="1"/>
  <c r="K108" i="1"/>
  <c r="H108" i="1"/>
  <c r="C108" i="1"/>
  <c r="BE107" i="1"/>
  <c r="BC107" i="1"/>
  <c r="BA107" i="1"/>
  <c r="AY107" i="1"/>
  <c r="AU107" i="1"/>
  <c r="AS107" i="1"/>
  <c r="AK107" i="1"/>
  <c r="AG107" i="1"/>
  <c r="AE107" i="1"/>
  <c r="T107" i="1"/>
  <c r="K107" i="1"/>
  <c r="H107" i="1"/>
  <c r="C107" i="1"/>
  <c r="BE106" i="1"/>
  <c r="BC106" i="1"/>
  <c r="BA106" i="1"/>
  <c r="AY106" i="1"/>
  <c r="AU106" i="1"/>
  <c r="AS106" i="1"/>
  <c r="AK106" i="1"/>
  <c r="AG106" i="1"/>
  <c r="AE106" i="1"/>
  <c r="T106" i="1"/>
  <c r="K106" i="1"/>
  <c r="H106" i="1"/>
  <c r="C106" i="1"/>
  <c r="BE105" i="1"/>
  <c r="BC105" i="1"/>
  <c r="BA105" i="1"/>
  <c r="AY105" i="1"/>
  <c r="AU105" i="1"/>
  <c r="AS105" i="1"/>
  <c r="AK105" i="1"/>
  <c r="AG105" i="1"/>
  <c r="AE105" i="1"/>
  <c r="T105" i="1"/>
  <c r="K105" i="1"/>
  <c r="H105" i="1"/>
  <c r="C105" i="1"/>
  <c r="BE104" i="1"/>
  <c r="BC104" i="1"/>
  <c r="BA104" i="1"/>
  <c r="AY104" i="1"/>
  <c r="AU104" i="1"/>
  <c r="AS104" i="1"/>
  <c r="AK104" i="1"/>
  <c r="AG104" i="1"/>
  <c r="AE104" i="1"/>
  <c r="T104" i="1"/>
  <c r="K104" i="1"/>
  <c r="H104" i="1"/>
  <c r="C104" i="1"/>
  <c r="BE103" i="1"/>
  <c r="BC103" i="1"/>
  <c r="BA103" i="1"/>
  <c r="AY103" i="1"/>
  <c r="AU103" i="1"/>
  <c r="AS103" i="1"/>
  <c r="AK103" i="1"/>
  <c r="AG103" i="1"/>
  <c r="AE103" i="1"/>
  <c r="T103" i="1"/>
  <c r="K103" i="1"/>
  <c r="H103" i="1"/>
  <c r="C103" i="1"/>
  <c r="BE102" i="1"/>
  <c r="BC102" i="1"/>
  <c r="BA102" i="1"/>
  <c r="AY102" i="1"/>
  <c r="AU102" i="1"/>
  <c r="AS102" i="1"/>
  <c r="AK102" i="1"/>
  <c r="AG102" i="1"/>
  <c r="AE102" i="1"/>
  <c r="T102" i="1"/>
  <c r="K102" i="1"/>
  <c r="H102" i="1"/>
  <c r="C102" i="1"/>
  <c r="BE101" i="1"/>
  <c r="BC101" i="1"/>
  <c r="BA101" i="1"/>
  <c r="AY101" i="1"/>
  <c r="AU101" i="1"/>
  <c r="AS101" i="1"/>
  <c r="AK101" i="1"/>
  <c r="AG101" i="1"/>
  <c r="AE101" i="1"/>
  <c r="T101" i="1"/>
  <c r="K101" i="1"/>
  <c r="H101" i="1"/>
  <c r="C101" i="1"/>
  <c r="BE100" i="1"/>
  <c r="BC100" i="1"/>
  <c r="BA100" i="1"/>
  <c r="AY100" i="1"/>
  <c r="AU100" i="1"/>
  <c r="AS100" i="1"/>
  <c r="AK100" i="1"/>
  <c r="AG100" i="1"/>
  <c r="AE100" i="1"/>
  <c r="T100" i="1"/>
  <c r="K100" i="1"/>
  <c r="H100" i="1"/>
  <c r="C100" i="1"/>
  <c r="BE99" i="1"/>
  <c r="BC99" i="1"/>
  <c r="BA99" i="1"/>
  <c r="AY99" i="1"/>
  <c r="AU99" i="1"/>
  <c r="AS99" i="1"/>
  <c r="AK99" i="1"/>
  <c r="AG99" i="1"/>
  <c r="AE99" i="1"/>
  <c r="T99" i="1"/>
  <c r="K99" i="1"/>
  <c r="H99" i="1"/>
  <c r="C99" i="1"/>
  <c r="BE98" i="1"/>
  <c r="BC98" i="1"/>
  <c r="BA98" i="1"/>
  <c r="AY98" i="1"/>
  <c r="AU98" i="1"/>
  <c r="AS98" i="1"/>
  <c r="AK98" i="1"/>
  <c r="AG98" i="1"/>
  <c r="AE98" i="1"/>
  <c r="T98" i="1"/>
  <c r="K98" i="1"/>
  <c r="H98" i="1"/>
  <c r="C98" i="1"/>
  <c r="BE97" i="1"/>
  <c r="BC97" i="1"/>
  <c r="BA97" i="1"/>
  <c r="AY97" i="1"/>
  <c r="AU97" i="1"/>
  <c r="AS97" i="1"/>
  <c r="AK97" i="1"/>
  <c r="AG97" i="1"/>
  <c r="AE97" i="1"/>
  <c r="T97" i="1"/>
  <c r="K97" i="1"/>
  <c r="H97" i="1"/>
  <c r="C97" i="1"/>
  <c r="BE96" i="1"/>
  <c r="BC96" i="1"/>
  <c r="BA96" i="1"/>
  <c r="AY96" i="1"/>
  <c r="AU96" i="1"/>
  <c r="AS96" i="1"/>
  <c r="AK96" i="1"/>
  <c r="AG96" i="1"/>
  <c r="AE96" i="1"/>
  <c r="T96" i="1"/>
  <c r="K96" i="1"/>
  <c r="H96" i="1"/>
  <c r="C96" i="1"/>
  <c r="BE95" i="1"/>
  <c r="BC95" i="1"/>
  <c r="BA95" i="1"/>
  <c r="AY95" i="1"/>
  <c r="AU95" i="1"/>
  <c r="AS95" i="1"/>
  <c r="AK95" i="1"/>
  <c r="AG95" i="1"/>
  <c r="AE95" i="1"/>
  <c r="T95" i="1"/>
  <c r="K95" i="1"/>
  <c r="H95" i="1"/>
  <c r="C95" i="1"/>
  <c r="BE94" i="1"/>
  <c r="BC94" i="1"/>
  <c r="BA94" i="1"/>
  <c r="AY94" i="1"/>
  <c r="AU94" i="1"/>
  <c r="AS94" i="1"/>
  <c r="AK94" i="1"/>
  <c r="AG94" i="1"/>
  <c r="AE94" i="1"/>
  <c r="T94" i="1"/>
  <c r="K94" i="1"/>
  <c r="H94" i="1"/>
  <c r="C94" i="1"/>
  <c r="BE93" i="1"/>
  <c r="BC93" i="1"/>
  <c r="BA93" i="1"/>
  <c r="AY93" i="1"/>
  <c r="AU93" i="1"/>
  <c r="AS93" i="1"/>
  <c r="AK93" i="1"/>
  <c r="AG93" i="1"/>
  <c r="AE93" i="1"/>
  <c r="T93" i="1"/>
  <c r="K93" i="1"/>
  <c r="H93" i="1"/>
  <c r="C93" i="1"/>
  <c r="BE92" i="1"/>
  <c r="BC92" i="1"/>
  <c r="BA92" i="1"/>
  <c r="AY92" i="1"/>
  <c r="AU92" i="1"/>
  <c r="AS92" i="1"/>
  <c r="AK92" i="1"/>
  <c r="AG92" i="1"/>
  <c r="AE92" i="1"/>
  <c r="T92" i="1"/>
  <c r="K92" i="1"/>
  <c r="H92" i="1"/>
  <c r="C92" i="1"/>
  <c r="BE91" i="1"/>
  <c r="BC91" i="1"/>
  <c r="BA91" i="1"/>
  <c r="AY91" i="1"/>
  <c r="AU91" i="1"/>
  <c r="AS91" i="1"/>
  <c r="AK91" i="1"/>
  <c r="AG91" i="1"/>
  <c r="AE91" i="1"/>
  <c r="T91" i="1"/>
  <c r="K91" i="1"/>
  <c r="H91" i="1"/>
  <c r="C91" i="1"/>
  <c r="BE90" i="1"/>
  <c r="BC90" i="1"/>
  <c r="BA90" i="1"/>
  <c r="AY90" i="1"/>
  <c r="AU90" i="1"/>
  <c r="AS90" i="1"/>
  <c r="AK90" i="1"/>
  <c r="AG90" i="1"/>
  <c r="AE90" i="1"/>
  <c r="T90" i="1"/>
  <c r="K90" i="1"/>
  <c r="H90" i="1"/>
  <c r="C90" i="1"/>
  <c r="BE89" i="1"/>
  <c r="BC89" i="1"/>
  <c r="BA89" i="1"/>
  <c r="AY89" i="1"/>
  <c r="AU89" i="1"/>
  <c r="AS89" i="1"/>
  <c r="AK89" i="1"/>
  <c r="AG89" i="1"/>
  <c r="AE89" i="1"/>
  <c r="T89" i="1"/>
  <c r="K89" i="1"/>
  <c r="H89" i="1"/>
  <c r="C89" i="1"/>
  <c r="BE88" i="1"/>
  <c r="BC88" i="1"/>
  <c r="BA88" i="1"/>
  <c r="AY88" i="1"/>
  <c r="AU88" i="1"/>
  <c r="AS88" i="1"/>
  <c r="AK88" i="1"/>
  <c r="AG88" i="1"/>
  <c r="AE88" i="1"/>
  <c r="T88" i="1"/>
  <c r="K88" i="1"/>
  <c r="H88" i="1"/>
  <c r="C88" i="1"/>
  <c r="BE87" i="1"/>
  <c r="BC87" i="1"/>
  <c r="BA87" i="1"/>
  <c r="AY87" i="1"/>
  <c r="AU87" i="1"/>
  <c r="AS87" i="1"/>
  <c r="AK87" i="1"/>
  <c r="AG87" i="1"/>
  <c r="AE87" i="1"/>
  <c r="T87" i="1"/>
  <c r="K87" i="1"/>
  <c r="H87" i="1"/>
  <c r="C87" i="1"/>
  <c r="BE86" i="1"/>
  <c r="BC86" i="1"/>
  <c r="BA86" i="1"/>
  <c r="AY86" i="1"/>
  <c r="AU86" i="1"/>
  <c r="AS86" i="1"/>
  <c r="AK86" i="1"/>
  <c r="AG86" i="1"/>
  <c r="AE86" i="1"/>
  <c r="T86" i="1"/>
  <c r="K86" i="1"/>
  <c r="H86" i="1"/>
  <c r="C86" i="1"/>
  <c r="BE85" i="1"/>
  <c r="BC85" i="1"/>
  <c r="BA85" i="1"/>
  <c r="AY85" i="1"/>
  <c r="AU85" i="1"/>
  <c r="AS85" i="1"/>
  <c r="AK85" i="1"/>
  <c r="AG85" i="1"/>
  <c r="AE85" i="1"/>
  <c r="T85" i="1"/>
  <c r="K85" i="1"/>
  <c r="H85" i="1"/>
  <c r="C85" i="1"/>
  <c r="BE84" i="1"/>
  <c r="BC84" i="1"/>
  <c r="BA84" i="1"/>
  <c r="AY84" i="1"/>
  <c r="AU84" i="1"/>
  <c r="AS84" i="1"/>
  <c r="AK84" i="1"/>
  <c r="AG84" i="1"/>
  <c r="AE84" i="1"/>
  <c r="T84" i="1"/>
  <c r="K84" i="1"/>
  <c r="H84" i="1"/>
  <c r="C84" i="1"/>
  <c r="BE83" i="1"/>
  <c r="BC83" i="1"/>
  <c r="BA83" i="1"/>
  <c r="AY83" i="1"/>
  <c r="AU83" i="1"/>
  <c r="AS83" i="1"/>
  <c r="AK83" i="1"/>
  <c r="AG83" i="1"/>
  <c r="AE83" i="1"/>
  <c r="T83" i="1"/>
  <c r="K83" i="1"/>
  <c r="H83" i="1"/>
  <c r="C83" i="1"/>
  <c r="BE82" i="1"/>
  <c r="BC82" i="1"/>
  <c r="BA82" i="1"/>
  <c r="AY82" i="1"/>
  <c r="AU82" i="1"/>
  <c r="AS82" i="1"/>
  <c r="AK82" i="1"/>
  <c r="AG82" i="1"/>
  <c r="AE82" i="1"/>
  <c r="T82" i="1"/>
  <c r="K82" i="1"/>
  <c r="H82" i="1"/>
  <c r="C82" i="1"/>
  <c r="BE81" i="1"/>
  <c r="BC81" i="1"/>
  <c r="BA81" i="1"/>
  <c r="AY81" i="1"/>
  <c r="AU81" i="1"/>
  <c r="AS81" i="1"/>
  <c r="AK81" i="1"/>
  <c r="AG81" i="1"/>
  <c r="AE81" i="1"/>
  <c r="T81" i="1"/>
  <c r="K81" i="1"/>
  <c r="H81" i="1"/>
  <c r="C81" i="1"/>
  <c r="BE80" i="1"/>
  <c r="BC80" i="1"/>
  <c r="BA80" i="1"/>
  <c r="AY80" i="1"/>
  <c r="AU80" i="1"/>
  <c r="AS80" i="1"/>
  <c r="AK80" i="1"/>
  <c r="AG80" i="1"/>
  <c r="AE80" i="1"/>
  <c r="T80" i="1"/>
  <c r="K80" i="1"/>
  <c r="H80" i="1"/>
  <c r="C80" i="1"/>
  <c r="BE79" i="1"/>
  <c r="BC79" i="1"/>
  <c r="BA79" i="1"/>
  <c r="AY79" i="1"/>
  <c r="AU79" i="1"/>
  <c r="AS79" i="1"/>
  <c r="AK79" i="1"/>
  <c r="AG79" i="1"/>
  <c r="AE79" i="1"/>
  <c r="T79" i="1"/>
  <c r="K79" i="1"/>
  <c r="H79" i="1"/>
  <c r="C79" i="1"/>
  <c r="BE78" i="1"/>
  <c r="BC78" i="1"/>
  <c r="BA78" i="1"/>
  <c r="AY78" i="1"/>
  <c r="AU78" i="1"/>
  <c r="AS78" i="1"/>
  <c r="AK78" i="1"/>
  <c r="AG78" i="1"/>
  <c r="AE78" i="1"/>
  <c r="T78" i="1"/>
  <c r="K78" i="1"/>
  <c r="H78" i="1"/>
  <c r="C78" i="1"/>
  <c r="BE77" i="1"/>
  <c r="BC77" i="1"/>
  <c r="BA77" i="1"/>
  <c r="AY77" i="1"/>
  <c r="AU77" i="1"/>
  <c r="AS77" i="1"/>
  <c r="AK77" i="1"/>
  <c r="AG77" i="1"/>
  <c r="AE77" i="1"/>
  <c r="T77" i="1"/>
  <c r="K77" i="1"/>
  <c r="H77" i="1"/>
  <c r="C77" i="1"/>
  <c r="BE76" i="1"/>
  <c r="BC76" i="1"/>
  <c r="BA76" i="1"/>
  <c r="AY76" i="1"/>
  <c r="AU76" i="1"/>
  <c r="AS76" i="1"/>
  <c r="AK76" i="1"/>
  <c r="AG76" i="1"/>
  <c r="AE76" i="1"/>
  <c r="T76" i="1"/>
  <c r="K76" i="1"/>
  <c r="H76" i="1"/>
  <c r="C76" i="1"/>
  <c r="BE75" i="1"/>
  <c r="BC75" i="1"/>
  <c r="BA75" i="1"/>
  <c r="AY75" i="1"/>
  <c r="AU75" i="1"/>
  <c r="AS75" i="1"/>
  <c r="AK75" i="1"/>
  <c r="AG75" i="1"/>
  <c r="AE75" i="1"/>
  <c r="T75" i="1"/>
  <c r="K75" i="1"/>
  <c r="H75" i="1"/>
  <c r="C75" i="1"/>
  <c r="BE74" i="1"/>
  <c r="BC74" i="1"/>
  <c r="BA74" i="1"/>
  <c r="AY74" i="1"/>
  <c r="AU74" i="1"/>
  <c r="AS74" i="1"/>
  <c r="AK74" i="1"/>
  <c r="AG74" i="1"/>
  <c r="AE74" i="1"/>
  <c r="T74" i="1"/>
  <c r="K74" i="1"/>
  <c r="H74" i="1"/>
  <c r="C74" i="1"/>
  <c r="BE73" i="1"/>
  <c r="BC73" i="1"/>
  <c r="BA73" i="1"/>
  <c r="AY73" i="1"/>
  <c r="AU73" i="1"/>
  <c r="AS73" i="1"/>
  <c r="AK73" i="1"/>
  <c r="AG73" i="1"/>
  <c r="AE73" i="1"/>
  <c r="T73" i="1"/>
  <c r="K73" i="1"/>
  <c r="H73" i="1"/>
  <c r="C73" i="1"/>
  <c r="BE72" i="1"/>
  <c r="BC72" i="1"/>
  <c r="BA72" i="1"/>
  <c r="AY72" i="1"/>
  <c r="AU72" i="1"/>
  <c r="AS72" i="1"/>
  <c r="AK72" i="1"/>
  <c r="AG72" i="1"/>
  <c r="AE72" i="1"/>
  <c r="T72" i="1"/>
  <c r="K72" i="1"/>
  <c r="H72" i="1"/>
  <c r="C72" i="1"/>
  <c r="BE71" i="1"/>
  <c r="BC71" i="1"/>
  <c r="BA71" i="1"/>
  <c r="AY71" i="1"/>
  <c r="AU71" i="1"/>
  <c r="AS71" i="1"/>
  <c r="AK71" i="1"/>
  <c r="AG71" i="1"/>
  <c r="AE71" i="1"/>
  <c r="T71" i="1"/>
  <c r="K71" i="1"/>
  <c r="H71" i="1"/>
  <c r="C71" i="1"/>
  <c r="BE70" i="1"/>
  <c r="BC70" i="1"/>
  <c r="BA70" i="1"/>
  <c r="AY70" i="1"/>
  <c r="AU70" i="1"/>
  <c r="AS70" i="1"/>
  <c r="AK70" i="1"/>
  <c r="AG70" i="1"/>
  <c r="AE70" i="1"/>
  <c r="T70" i="1"/>
  <c r="K70" i="1"/>
  <c r="H70" i="1"/>
  <c r="C70" i="1"/>
  <c r="BE69" i="1"/>
  <c r="BC69" i="1"/>
  <c r="BA69" i="1"/>
  <c r="AY69" i="1"/>
  <c r="AU69" i="1"/>
  <c r="AS69" i="1"/>
  <c r="AK69" i="1"/>
  <c r="AG69" i="1"/>
  <c r="AE69" i="1"/>
  <c r="T69" i="1"/>
  <c r="K69" i="1"/>
  <c r="H69" i="1"/>
  <c r="C69" i="1"/>
  <c r="BE68" i="1"/>
  <c r="BC68" i="1"/>
  <c r="BA68" i="1"/>
  <c r="AY68" i="1"/>
  <c r="AU68" i="1"/>
  <c r="AS68" i="1"/>
  <c r="AK68" i="1"/>
  <c r="AG68" i="1"/>
  <c r="AE68" i="1"/>
  <c r="T68" i="1"/>
  <c r="K68" i="1"/>
  <c r="H68" i="1"/>
  <c r="C68" i="1"/>
  <c r="BE67" i="1"/>
  <c r="BC67" i="1"/>
  <c r="BA67" i="1"/>
  <c r="AY67" i="1"/>
  <c r="AU67" i="1"/>
  <c r="AS67" i="1"/>
  <c r="AK67" i="1"/>
  <c r="AG67" i="1"/>
  <c r="AE67" i="1"/>
  <c r="T67" i="1"/>
  <c r="K67" i="1"/>
  <c r="H67" i="1"/>
  <c r="C67" i="1"/>
  <c r="BE66" i="1"/>
  <c r="BC66" i="1"/>
  <c r="BA66" i="1"/>
  <c r="AY66" i="1"/>
  <c r="AU66" i="1"/>
  <c r="AS66" i="1"/>
  <c r="AK66" i="1"/>
  <c r="AG66" i="1"/>
  <c r="AE66" i="1"/>
  <c r="T66" i="1"/>
  <c r="K66" i="1"/>
  <c r="H66" i="1"/>
  <c r="C66" i="1"/>
  <c r="BE65" i="1"/>
  <c r="BC65" i="1"/>
  <c r="BA65" i="1"/>
  <c r="AY65" i="1"/>
  <c r="AU65" i="1"/>
  <c r="AS65" i="1"/>
  <c r="AK65" i="1"/>
  <c r="AG65" i="1"/>
  <c r="AE65" i="1"/>
  <c r="T65" i="1"/>
  <c r="K65" i="1"/>
  <c r="H65" i="1"/>
  <c r="C65" i="1"/>
  <c r="BE64" i="1"/>
  <c r="BC64" i="1"/>
  <c r="BA64" i="1"/>
  <c r="AY64" i="1"/>
  <c r="AU64" i="1"/>
  <c r="AS64" i="1"/>
  <c r="AK64" i="1"/>
  <c r="AG64" i="1"/>
  <c r="AE64" i="1"/>
  <c r="T64" i="1"/>
  <c r="K64" i="1"/>
  <c r="H64" i="1"/>
  <c r="C64" i="1"/>
  <c r="BE63" i="1"/>
  <c r="BC63" i="1"/>
  <c r="BA63" i="1"/>
  <c r="AY63" i="1"/>
  <c r="AU63" i="1"/>
  <c r="AS63" i="1"/>
  <c r="AK63" i="1"/>
  <c r="AG63" i="1"/>
  <c r="AE63" i="1"/>
  <c r="T63" i="1"/>
  <c r="K63" i="1"/>
  <c r="H63" i="1"/>
  <c r="C63" i="1"/>
  <c r="BE62" i="1"/>
  <c r="BC62" i="1"/>
  <c r="BA62" i="1"/>
  <c r="AY62" i="1"/>
  <c r="AU62" i="1"/>
  <c r="AS62" i="1"/>
  <c r="AK62" i="1"/>
  <c r="AG62" i="1"/>
  <c r="AE62" i="1"/>
  <c r="T62" i="1"/>
  <c r="K62" i="1"/>
  <c r="H62" i="1"/>
  <c r="C62" i="1"/>
  <c r="BE61" i="1"/>
  <c r="BC61" i="1"/>
  <c r="BA61" i="1"/>
  <c r="AY61" i="1"/>
  <c r="AU61" i="1"/>
  <c r="AS61" i="1"/>
  <c r="AK61" i="1"/>
  <c r="AG61" i="1"/>
  <c r="AE61" i="1"/>
  <c r="T61" i="1"/>
  <c r="K61" i="1"/>
  <c r="H61" i="1"/>
  <c r="C61" i="1"/>
  <c r="BE60" i="1"/>
  <c r="BC60" i="1"/>
  <c r="BA60" i="1"/>
  <c r="AY60" i="1"/>
  <c r="AU60" i="1"/>
  <c r="AS60" i="1"/>
  <c r="AK60" i="1"/>
  <c r="AG60" i="1"/>
  <c r="AE60" i="1"/>
  <c r="T60" i="1"/>
  <c r="K60" i="1"/>
  <c r="H60" i="1"/>
  <c r="C60" i="1"/>
  <c r="BE59" i="1"/>
  <c r="BC59" i="1"/>
  <c r="BA59" i="1"/>
  <c r="AY59" i="1"/>
  <c r="AU59" i="1"/>
  <c r="AS59" i="1"/>
  <c r="AK59" i="1"/>
  <c r="AG59" i="1"/>
  <c r="AE59" i="1"/>
  <c r="T59" i="1"/>
  <c r="K59" i="1"/>
  <c r="H59" i="1"/>
  <c r="C59" i="1"/>
  <c r="BE58" i="1"/>
  <c r="BC58" i="1"/>
  <c r="BA58" i="1"/>
  <c r="AY58" i="1"/>
  <c r="AU58" i="1"/>
  <c r="AS58" i="1"/>
  <c r="AK58" i="1"/>
  <c r="AG58" i="1"/>
  <c r="AE58" i="1"/>
  <c r="T58" i="1"/>
  <c r="K58" i="1"/>
  <c r="H58" i="1"/>
  <c r="C58" i="1"/>
  <c r="BE57" i="1"/>
  <c r="BC57" i="1"/>
  <c r="BA57" i="1"/>
  <c r="AY57" i="1"/>
  <c r="AU57" i="1"/>
  <c r="AS57" i="1"/>
  <c r="AK57" i="1"/>
  <c r="AG57" i="1"/>
  <c r="AE57" i="1"/>
  <c r="T57" i="1"/>
  <c r="K57" i="1"/>
  <c r="H57" i="1"/>
  <c r="C57" i="1"/>
  <c r="BE56" i="1"/>
  <c r="BC56" i="1"/>
  <c r="BA56" i="1"/>
  <c r="AY56" i="1"/>
  <c r="AU56" i="1"/>
  <c r="AS56" i="1"/>
  <c r="AK56" i="1"/>
  <c r="AG56" i="1"/>
  <c r="AE56" i="1"/>
  <c r="T56" i="1"/>
  <c r="K56" i="1"/>
  <c r="H56" i="1"/>
  <c r="C56" i="1"/>
  <c r="BE55" i="1"/>
  <c r="BC55" i="1"/>
  <c r="BA55" i="1"/>
  <c r="AY55" i="1"/>
  <c r="AU55" i="1"/>
  <c r="AS55" i="1"/>
  <c r="AK55" i="1"/>
  <c r="AG55" i="1"/>
  <c r="AE55" i="1"/>
  <c r="T55" i="1"/>
  <c r="K55" i="1"/>
  <c r="H55" i="1"/>
  <c r="C55" i="1"/>
  <c r="BE54" i="1"/>
  <c r="BC54" i="1"/>
  <c r="BA54" i="1"/>
  <c r="AY54" i="1"/>
  <c r="AU54" i="1"/>
  <c r="AS54" i="1"/>
  <c r="AK54" i="1"/>
  <c r="AG54" i="1"/>
  <c r="AE54" i="1"/>
  <c r="T54" i="1"/>
  <c r="K54" i="1"/>
  <c r="H54" i="1"/>
  <c r="C54" i="1"/>
  <c r="BE53" i="1"/>
  <c r="BC53" i="1"/>
  <c r="BA53" i="1"/>
  <c r="AY53" i="1"/>
  <c r="AU53" i="1"/>
  <c r="AS53" i="1"/>
  <c r="AK53" i="1"/>
  <c r="AG53" i="1"/>
  <c r="AE53" i="1"/>
  <c r="T53" i="1"/>
  <c r="K53" i="1"/>
  <c r="H53" i="1"/>
  <c r="C53" i="1"/>
  <c r="BE52" i="1"/>
  <c r="BC52" i="1"/>
  <c r="BA52" i="1"/>
  <c r="AY52" i="1"/>
  <c r="AU52" i="1"/>
  <c r="AS52" i="1"/>
  <c r="AK52" i="1"/>
  <c r="AG52" i="1"/>
  <c r="AE52" i="1"/>
  <c r="T52" i="1"/>
  <c r="K52" i="1"/>
  <c r="H52" i="1"/>
  <c r="C52" i="1"/>
  <c r="BE51" i="1"/>
  <c r="BC51" i="1"/>
  <c r="BA51" i="1"/>
  <c r="AY51" i="1"/>
  <c r="AU51" i="1"/>
  <c r="AS51" i="1"/>
  <c r="AK51" i="1"/>
  <c r="AG51" i="1"/>
  <c r="AE51" i="1"/>
  <c r="T51" i="1"/>
  <c r="K51" i="1"/>
  <c r="H51" i="1"/>
  <c r="C51" i="1"/>
  <c r="BE50" i="1"/>
  <c r="BC50" i="1"/>
  <c r="BA50" i="1"/>
  <c r="AY50" i="1"/>
  <c r="AU50" i="1"/>
  <c r="AS50" i="1"/>
  <c r="AK50" i="1"/>
  <c r="AG50" i="1"/>
  <c r="AE50" i="1"/>
  <c r="T50" i="1"/>
  <c r="K50" i="1"/>
  <c r="H50" i="1"/>
  <c r="C50" i="1"/>
  <c r="BE49" i="1"/>
  <c r="BC49" i="1"/>
  <c r="BA49" i="1"/>
  <c r="AY49" i="1"/>
  <c r="AU49" i="1"/>
  <c r="AS49" i="1"/>
  <c r="AK49" i="1"/>
  <c r="AG49" i="1"/>
  <c r="AE49" i="1"/>
  <c r="T49" i="1"/>
  <c r="K49" i="1"/>
  <c r="H49" i="1"/>
  <c r="C49" i="1"/>
  <c r="BE48" i="1"/>
  <c r="BC48" i="1"/>
  <c r="BA48" i="1"/>
  <c r="AY48" i="1"/>
  <c r="AU48" i="1"/>
  <c r="AS48" i="1"/>
  <c r="AK48" i="1"/>
  <c r="AG48" i="1"/>
  <c r="AE48" i="1"/>
  <c r="T48" i="1"/>
  <c r="K48" i="1"/>
  <c r="H48" i="1"/>
  <c r="C48" i="1"/>
  <c r="BE47" i="1"/>
  <c r="BC47" i="1"/>
  <c r="BA47" i="1"/>
  <c r="AY47" i="1"/>
  <c r="AU47" i="1"/>
  <c r="AS47" i="1"/>
  <c r="AK47" i="1"/>
  <c r="AG47" i="1"/>
  <c r="AE47" i="1"/>
  <c r="T47" i="1"/>
  <c r="K47" i="1"/>
  <c r="H47" i="1"/>
  <c r="C47" i="1"/>
  <c r="BE46" i="1"/>
  <c r="BC46" i="1"/>
  <c r="BA46" i="1"/>
  <c r="AY46" i="1"/>
  <c r="AU46" i="1"/>
  <c r="AS46" i="1"/>
  <c r="AK46" i="1"/>
  <c r="AG46" i="1"/>
  <c r="AE46" i="1"/>
  <c r="T46" i="1"/>
  <c r="K46" i="1"/>
  <c r="H46" i="1"/>
  <c r="C46" i="1"/>
  <c r="BE45" i="1"/>
  <c r="BC45" i="1"/>
  <c r="BA45" i="1"/>
  <c r="AY45" i="1"/>
  <c r="AU45" i="1"/>
  <c r="AS45" i="1"/>
  <c r="AK45" i="1"/>
  <c r="AG45" i="1"/>
  <c r="AE45" i="1"/>
  <c r="T45" i="1"/>
  <c r="K45" i="1"/>
  <c r="H45" i="1"/>
  <c r="C45" i="1"/>
  <c r="BE44" i="1"/>
  <c r="BC44" i="1"/>
  <c r="BA44" i="1"/>
  <c r="AY44" i="1"/>
  <c r="AU44" i="1"/>
  <c r="AS44" i="1"/>
  <c r="AK44" i="1"/>
  <c r="AG44" i="1"/>
  <c r="AE44" i="1"/>
  <c r="T44" i="1"/>
  <c r="K44" i="1"/>
  <c r="H44" i="1"/>
  <c r="C44" i="1"/>
  <c r="BE43" i="1"/>
  <c r="BC43" i="1"/>
  <c r="BA43" i="1"/>
  <c r="AY43" i="1"/>
  <c r="AU43" i="1"/>
  <c r="AS43" i="1"/>
  <c r="AK43" i="1"/>
  <c r="AG43" i="1"/>
  <c r="AE43" i="1"/>
  <c r="T43" i="1"/>
  <c r="K43" i="1"/>
  <c r="H43" i="1"/>
  <c r="C43" i="1"/>
  <c r="BE42" i="1"/>
  <c r="BC42" i="1"/>
  <c r="BA42" i="1"/>
  <c r="AY42" i="1"/>
  <c r="AU42" i="1"/>
  <c r="AS42" i="1"/>
  <c r="AK42" i="1"/>
  <c r="AG42" i="1"/>
  <c r="AE42" i="1"/>
  <c r="T42" i="1"/>
  <c r="K42" i="1"/>
  <c r="H42" i="1"/>
  <c r="C42" i="1"/>
  <c r="BE41" i="1"/>
  <c r="BC41" i="1"/>
  <c r="BA41" i="1"/>
  <c r="AY41" i="1"/>
  <c r="AU41" i="1"/>
  <c r="AS41" i="1"/>
  <c r="AK41" i="1"/>
  <c r="AG41" i="1"/>
  <c r="AE41" i="1"/>
  <c r="T41" i="1"/>
  <c r="K41" i="1"/>
  <c r="H41" i="1"/>
  <c r="C41" i="1"/>
  <c r="BE40" i="1"/>
  <c r="BC40" i="1"/>
  <c r="BA40" i="1"/>
  <c r="AY40" i="1"/>
  <c r="AU40" i="1"/>
  <c r="AS40" i="1"/>
  <c r="AK40" i="1"/>
  <c r="AG40" i="1"/>
  <c r="AE40" i="1"/>
  <c r="T40" i="1"/>
  <c r="K40" i="1"/>
  <c r="H40" i="1"/>
  <c r="C40" i="1"/>
  <c r="BE39" i="1"/>
  <c r="BC39" i="1"/>
  <c r="BA39" i="1"/>
  <c r="AY39" i="1"/>
  <c r="AU39" i="1"/>
  <c r="AS39" i="1"/>
  <c r="AK39" i="1"/>
  <c r="AG39" i="1"/>
  <c r="AE39" i="1"/>
  <c r="T39" i="1"/>
  <c r="K39" i="1"/>
  <c r="H39" i="1"/>
  <c r="C39" i="1"/>
  <c r="BE38" i="1"/>
  <c r="BC38" i="1"/>
  <c r="BA38" i="1"/>
  <c r="AY38" i="1"/>
  <c r="AU38" i="1"/>
  <c r="AS38" i="1"/>
  <c r="AK38" i="1"/>
  <c r="AG38" i="1"/>
  <c r="AE38" i="1"/>
  <c r="T38" i="1"/>
  <c r="K38" i="1"/>
  <c r="H38" i="1"/>
  <c r="C38" i="1"/>
  <c r="BE37" i="1"/>
  <c r="BC37" i="1"/>
  <c r="BA37" i="1"/>
  <c r="AY37" i="1"/>
  <c r="AU37" i="1"/>
  <c r="AS37" i="1"/>
  <c r="AK37" i="1"/>
  <c r="AG37" i="1"/>
  <c r="AE37" i="1"/>
  <c r="T37" i="1"/>
  <c r="K37" i="1"/>
  <c r="H37" i="1"/>
  <c r="C37" i="1"/>
  <c r="BE36" i="1"/>
  <c r="BC36" i="1"/>
  <c r="BA36" i="1"/>
  <c r="AY36" i="1"/>
  <c r="AU36" i="1"/>
  <c r="AS36" i="1"/>
  <c r="AK36" i="1"/>
  <c r="AG36" i="1"/>
  <c r="AE36" i="1"/>
  <c r="T36" i="1"/>
  <c r="K36" i="1"/>
  <c r="H36" i="1"/>
  <c r="C36" i="1"/>
  <c r="BE35" i="1"/>
  <c r="BC35" i="1"/>
  <c r="BA35" i="1"/>
  <c r="AY35" i="1"/>
  <c r="AU35" i="1"/>
  <c r="AS35" i="1"/>
  <c r="AK35" i="1"/>
  <c r="AG35" i="1"/>
  <c r="AE35" i="1"/>
  <c r="T35" i="1"/>
  <c r="K35" i="1"/>
  <c r="H35" i="1"/>
  <c r="C35" i="1"/>
  <c r="BE34" i="1"/>
  <c r="BC34" i="1"/>
  <c r="BA34" i="1"/>
  <c r="AY34" i="1"/>
  <c r="AU34" i="1"/>
  <c r="AS34" i="1"/>
  <c r="AK34" i="1"/>
  <c r="AG34" i="1"/>
  <c r="AE34" i="1"/>
  <c r="T34" i="1"/>
  <c r="K34" i="1"/>
  <c r="H34" i="1"/>
  <c r="C34" i="1"/>
  <c r="BE33" i="1"/>
  <c r="BC33" i="1"/>
  <c r="BA33" i="1"/>
  <c r="AY33" i="1"/>
  <c r="AU33" i="1"/>
  <c r="AS33" i="1"/>
  <c r="AK33" i="1"/>
  <c r="AG33" i="1"/>
  <c r="AE33" i="1"/>
  <c r="T33" i="1"/>
  <c r="K33" i="1"/>
  <c r="H33" i="1"/>
  <c r="C33" i="1"/>
  <c r="BE32" i="1"/>
  <c r="BC32" i="1"/>
  <c r="BA32" i="1"/>
  <c r="AY32" i="1"/>
  <c r="AU32" i="1"/>
  <c r="AS32" i="1"/>
  <c r="AK32" i="1"/>
  <c r="AG32" i="1"/>
  <c r="AE32" i="1"/>
  <c r="T32" i="1"/>
  <c r="K32" i="1"/>
  <c r="H32" i="1"/>
  <c r="C32" i="1"/>
  <c r="BE31" i="1"/>
  <c r="BC31" i="1"/>
  <c r="BA31" i="1"/>
  <c r="AY31" i="1"/>
  <c r="AU31" i="1"/>
  <c r="AS31" i="1"/>
  <c r="AK31" i="1"/>
  <c r="AG31" i="1"/>
  <c r="AE31" i="1"/>
  <c r="T31" i="1"/>
  <c r="K31" i="1"/>
  <c r="H31" i="1"/>
  <c r="C31" i="1"/>
  <c r="BE30" i="1"/>
  <c r="BC30" i="1"/>
  <c r="BA30" i="1"/>
  <c r="AY30" i="1"/>
  <c r="AU30" i="1"/>
  <c r="AS30" i="1"/>
  <c r="AK30" i="1"/>
  <c r="AG30" i="1"/>
  <c r="AE30" i="1"/>
  <c r="T30" i="1"/>
  <c r="K30" i="1"/>
  <c r="H30" i="1"/>
  <c r="C30" i="1"/>
  <c r="BE29" i="1"/>
  <c r="BC29" i="1"/>
  <c r="BA29" i="1"/>
  <c r="AY29" i="1"/>
  <c r="AU29" i="1"/>
  <c r="AS29" i="1"/>
  <c r="AK29" i="1"/>
  <c r="AG29" i="1"/>
  <c r="AE29" i="1"/>
  <c r="T29" i="1"/>
  <c r="K29" i="1"/>
  <c r="H29" i="1"/>
  <c r="C29" i="1"/>
  <c r="BE28" i="1"/>
  <c r="BC28" i="1"/>
  <c r="BA28" i="1"/>
  <c r="AY28" i="1"/>
  <c r="AU28" i="1"/>
  <c r="AS28" i="1"/>
  <c r="AK28" i="1"/>
  <c r="AG28" i="1"/>
  <c r="AE28" i="1"/>
  <c r="T28" i="1"/>
  <c r="K28" i="1"/>
  <c r="H28" i="1"/>
  <c r="C28" i="1"/>
  <c r="BE27" i="1"/>
  <c r="BC27" i="1"/>
  <c r="BA27" i="1"/>
  <c r="AY27" i="1"/>
  <c r="AU27" i="1"/>
  <c r="AS27" i="1"/>
  <c r="AK27" i="1"/>
  <c r="AG27" i="1"/>
  <c r="AE27" i="1"/>
  <c r="T27" i="1"/>
  <c r="K27" i="1"/>
  <c r="H27" i="1"/>
  <c r="C27" i="1"/>
  <c r="BE26" i="1"/>
  <c r="BC26" i="1"/>
  <c r="BA26" i="1"/>
  <c r="AY26" i="1"/>
  <c r="AU26" i="1"/>
  <c r="AS26" i="1"/>
  <c r="AK26" i="1"/>
  <c r="AG26" i="1"/>
  <c r="AE26" i="1"/>
  <c r="T26" i="1"/>
  <c r="K26" i="1"/>
  <c r="H26" i="1"/>
  <c r="C26" i="1"/>
  <c r="BE25" i="1"/>
  <c r="BC25" i="1"/>
  <c r="BA25" i="1"/>
  <c r="AY25" i="1"/>
  <c r="AU25" i="1"/>
  <c r="AS25" i="1"/>
  <c r="AK25" i="1"/>
  <c r="AG25" i="1"/>
  <c r="AE25" i="1"/>
  <c r="T25" i="1"/>
  <c r="K25" i="1"/>
  <c r="H25" i="1"/>
  <c r="C25" i="1"/>
  <c r="BE24" i="1"/>
  <c r="BC24" i="1"/>
  <c r="BA24" i="1"/>
  <c r="AY24" i="1"/>
  <c r="AU24" i="1"/>
  <c r="AS24" i="1"/>
  <c r="AK24" i="1"/>
  <c r="AG24" i="1"/>
  <c r="AE24" i="1"/>
  <c r="T24" i="1"/>
  <c r="K24" i="1"/>
  <c r="H24" i="1"/>
  <c r="C24" i="1"/>
  <c r="BE23" i="1"/>
  <c r="BC23" i="1"/>
  <c r="BA23" i="1"/>
  <c r="AY23" i="1"/>
  <c r="AU23" i="1"/>
  <c r="AS23" i="1"/>
  <c r="AK23" i="1"/>
  <c r="AG23" i="1"/>
  <c r="AE23" i="1"/>
  <c r="T23" i="1"/>
  <c r="K23" i="1"/>
  <c r="H23" i="1"/>
  <c r="C23" i="1"/>
  <c r="BE22" i="1"/>
  <c r="BC22" i="1"/>
  <c r="BA22" i="1"/>
  <c r="AY22" i="1"/>
  <c r="AU22" i="1"/>
  <c r="AS22" i="1"/>
  <c r="AK22" i="1"/>
  <c r="AG22" i="1"/>
  <c r="AE22" i="1"/>
  <c r="T22" i="1"/>
  <c r="K22" i="1"/>
  <c r="H22" i="1"/>
  <c r="C22" i="1"/>
  <c r="BE21" i="1"/>
  <c r="BC21" i="1"/>
  <c r="BA21" i="1"/>
  <c r="AY21" i="1"/>
  <c r="AU21" i="1"/>
  <c r="AS21" i="1"/>
  <c r="AK21" i="1"/>
  <c r="AG21" i="1"/>
  <c r="AE21" i="1"/>
  <c r="T21" i="1"/>
  <c r="K21" i="1"/>
  <c r="H21" i="1"/>
  <c r="C21" i="1"/>
  <c r="BE20" i="1"/>
  <c r="BC20" i="1"/>
  <c r="BA20" i="1"/>
  <c r="AY20" i="1"/>
  <c r="AU20" i="1"/>
  <c r="AS20" i="1"/>
  <c r="AK20" i="1"/>
  <c r="AG20" i="1"/>
  <c r="AE20" i="1"/>
  <c r="T20" i="1"/>
  <c r="K20" i="1"/>
  <c r="H20" i="1"/>
  <c r="C20" i="1"/>
  <c r="BE19" i="1"/>
  <c r="BC19" i="1"/>
  <c r="BA19" i="1"/>
  <c r="AY19" i="1"/>
  <c r="AU19" i="1"/>
  <c r="AS19" i="1"/>
  <c r="AK19" i="1"/>
  <c r="AG19" i="1"/>
  <c r="AE19" i="1"/>
  <c r="T19" i="1"/>
  <c r="K19" i="1"/>
  <c r="H19" i="1"/>
  <c r="C19" i="1"/>
  <c r="BE18" i="1"/>
  <c r="BC18" i="1"/>
  <c r="BA18" i="1"/>
  <c r="AY18" i="1"/>
  <c r="AU18" i="1"/>
  <c r="AS18" i="1"/>
  <c r="AK18" i="1"/>
  <c r="AG18" i="1"/>
  <c r="AE18" i="1"/>
  <c r="T18" i="1"/>
  <c r="K18" i="1"/>
  <c r="H18" i="1"/>
  <c r="C18" i="1"/>
  <c r="BE17" i="1"/>
  <c r="BC17" i="1"/>
  <c r="BA17" i="1"/>
  <c r="AY17" i="1"/>
  <c r="AU17" i="1"/>
  <c r="AS17" i="1"/>
  <c r="AK17" i="1"/>
  <c r="AG17" i="1"/>
  <c r="AE17" i="1"/>
  <c r="T17" i="1"/>
  <c r="K17" i="1"/>
  <c r="H17" i="1"/>
  <c r="C17" i="1"/>
  <c r="BE16" i="1"/>
  <c r="BC16" i="1"/>
  <c r="BA16" i="1"/>
  <c r="AY16" i="1"/>
  <c r="AU16" i="1"/>
  <c r="AS16" i="1"/>
  <c r="AK16" i="1"/>
  <c r="AG16" i="1"/>
  <c r="AE16" i="1"/>
  <c r="T16" i="1"/>
  <c r="K16" i="1"/>
  <c r="H16" i="1"/>
  <c r="C16" i="1"/>
  <c r="BE15" i="1"/>
  <c r="BC15" i="1"/>
  <c r="BA15" i="1"/>
  <c r="AY15" i="1"/>
  <c r="AU15" i="1"/>
  <c r="AS15" i="1"/>
  <c r="AK15" i="1"/>
  <c r="AG15" i="1"/>
  <c r="AE15" i="1"/>
  <c r="T15" i="1"/>
  <c r="K15" i="1"/>
  <c r="H15" i="1"/>
  <c r="C15" i="1"/>
  <c r="BE14" i="1"/>
  <c r="BC14" i="1"/>
  <c r="BA14" i="1"/>
  <c r="AY14" i="1"/>
  <c r="AU14" i="1"/>
  <c r="AS14" i="1"/>
  <c r="AK14" i="1"/>
  <c r="AG14" i="1"/>
  <c r="AE14" i="1"/>
  <c r="T14" i="1"/>
  <c r="K14" i="1"/>
  <c r="H14" i="1"/>
  <c r="C14" i="1"/>
  <c r="BE13" i="1"/>
  <c r="BC13" i="1"/>
  <c r="BA13" i="1"/>
  <c r="AY13" i="1"/>
  <c r="AU13" i="1"/>
  <c r="AS13" i="1"/>
  <c r="AK13" i="1"/>
  <c r="AG13" i="1"/>
  <c r="AE13" i="1"/>
  <c r="T13" i="1"/>
  <c r="K13" i="1"/>
  <c r="H13" i="1"/>
  <c r="C13" i="1"/>
  <c r="BE12" i="1"/>
  <c r="BC12" i="1"/>
  <c r="BA12" i="1"/>
  <c r="AY12" i="1"/>
  <c r="AU12" i="1"/>
  <c r="AS12" i="1"/>
  <c r="AK12" i="1"/>
  <c r="AG12" i="1"/>
  <c r="AE12" i="1"/>
  <c r="T12" i="1"/>
  <c r="K12" i="1"/>
  <c r="H12" i="1"/>
  <c r="C12" i="1"/>
  <c r="BE11" i="1"/>
  <c r="BC11" i="1"/>
  <c r="BA11" i="1"/>
  <c r="AY11" i="1"/>
  <c r="AU11" i="1"/>
  <c r="AS11" i="1"/>
  <c r="AK11" i="1"/>
  <c r="AG11" i="1"/>
  <c r="AE11" i="1"/>
  <c r="T11" i="1"/>
  <c r="K11" i="1"/>
  <c r="H11" i="1"/>
  <c r="C11" i="1"/>
  <c r="BE10" i="1"/>
  <c r="BC10" i="1"/>
  <c r="BA10" i="1"/>
  <c r="AY10" i="1"/>
  <c r="AU10" i="1"/>
  <c r="AS10" i="1"/>
  <c r="AK10" i="1"/>
  <c r="AG10" i="1"/>
  <c r="AE10" i="1"/>
  <c r="T10" i="1"/>
  <c r="K10" i="1"/>
  <c r="H10" i="1"/>
  <c r="C10" i="1"/>
  <c r="BE9" i="1"/>
  <c r="BC9" i="1"/>
  <c r="BA9" i="1"/>
  <c r="AY9" i="1"/>
  <c r="AU9" i="1"/>
  <c r="AS9" i="1"/>
  <c r="AK9" i="1"/>
  <c r="AG9" i="1"/>
  <c r="AE9" i="1"/>
  <c r="T9" i="1"/>
  <c r="K9" i="1"/>
  <c r="H9" i="1"/>
  <c r="C9" i="1"/>
  <c r="BE8" i="1"/>
  <c r="BC8" i="1"/>
  <c r="BA8" i="1"/>
  <c r="AY8" i="1"/>
  <c r="AU8" i="1"/>
  <c r="AS8" i="1"/>
  <c r="AK8" i="1"/>
  <c r="AG8" i="1"/>
  <c r="AE8" i="1"/>
  <c r="T8" i="1"/>
  <c r="K8" i="1"/>
  <c r="H8" i="1"/>
  <c r="C8" i="1"/>
  <c r="BE7" i="1"/>
  <c r="BC7" i="1"/>
  <c r="BA7" i="1"/>
  <c r="AY7" i="1"/>
  <c r="AU7" i="1"/>
  <c r="AS7" i="1"/>
  <c r="AK7" i="1"/>
  <c r="AG7" i="1"/>
  <c r="AE7" i="1"/>
  <c r="T7" i="1"/>
  <c r="K7" i="1"/>
  <c r="H7" i="1"/>
  <c r="C7" i="1"/>
  <c r="BE6" i="1"/>
  <c r="BC6" i="1"/>
  <c r="BA6" i="1"/>
  <c r="AY6" i="1"/>
  <c r="AU6" i="1"/>
  <c r="AS6" i="1"/>
  <c r="AK6" i="1"/>
  <c r="AG6" i="1"/>
  <c r="AE6" i="1"/>
  <c r="T6" i="1"/>
  <c r="K6" i="1"/>
  <c r="H6" i="1"/>
  <c r="C6" i="1"/>
  <c r="BE5" i="1"/>
  <c r="BC5" i="1"/>
  <c r="BA5" i="1"/>
  <c r="AY5" i="1"/>
  <c r="AU5" i="1"/>
  <c r="AS5" i="1"/>
  <c r="AK5" i="1"/>
  <c r="AG5" i="1"/>
  <c r="AE5" i="1"/>
  <c r="T5" i="1"/>
  <c r="K5" i="1"/>
  <c r="H5" i="1"/>
  <c r="C5" i="1"/>
  <c r="BE4" i="1"/>
  <c r="BC4" i="1"/>
  <c r="BA4" i="1"/>
  <c r="AY4" i="1"/>
  <c r="AU4" i="1"/>
  <c r="AS4" i="1"/>
  <c r="AK4" i="1"/>
  <c r="AG4" i="1"/>
  <c r="AE4" i="1"/>
  <c r="T4" i="1"/>
  <c r="K4" i="1"/>
  <c r="H4" i="1"/>
  <c r="C4" i="1"/>
  <c r="BE3" i="1"/>
  <c r="BC3" i="1"/>
  <c r="BA3" i="1"/>
  <c r="AY3" i="1"/>
  <c r="AU3" i="1"/>
  <c r="AS3" i="1"/>
  <c r="AK3" i="1"/>
  <c r="AG3" i="1"/>
  <c r="AE3" i="1"/>
  <c r="T3" i="1"/>
  <c r="K3" i="1"/>
  <c r="H3" i="1"/>
  <c r="C3" i="1"/>
  <c r="BE2" i="1"/>
  <c r="BC2" i="1"/>
  <c r="BA2" i="1"/>
  <c r="AY2" i="1"/>
  <c r="AU2" i="1"/>
  <c r="AS2" i="1"/>
  <c r="AK2" i="1"/>
  <c r="AG2" i="1"/>
  <c r="AE2" i="1"/>
  <c r="T2" i="1"/>
  <c r="K2" i="1"/>
  <c r="H2" i="1"/>
  <c r="C2" i="1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0" i="3"/>
  <c r="I79" i="3"/>
  <c r="D80" i="3"/>
  <c r="D79" i="3"/>
  <c r="I72" i="3"/>
  <c r="I71" i="3"/>
  <c r="I70" i="3"/>
  <c r="I69" i="3"/>
  <c r="I68" i="3"/>
  <c r="D72" i="3"/>
  <c r="D71" i="3"/>
  <c r="D70" i="3"/>
  <c r="D69" i="3"/>
  <c r="D68" i="3"/>
  <c r="I61" i="3"/>
  <c r="I59" i="3"/>
  <c r="I58" i="3"/>
  <c r="I60" i="3"/>
  <c r="D61" i="3"/>
  <c r="D60" i="3"/>
  <c r="D59" i="3"/>
  <c r="D58" i="3"/>
  <c r="I32" i="3"/>
  <c r="I31" i="3"/>
  <c r="I30" i="3"/>
  <c r="I29" i="3"/>
  <c r="I28" i="3"/>
  <c r="I27" i="3"/>
  <c r="I26" i="3"/>
  <c r="I25" i="3"/>
  <c r="I24" i="3"/>
  <c r="D32" i="3"/>
  <c r="D31" i="3"/>
  <c r="D30" i="3"/>
  <c r="D29" i="3"/>
  <c r="D28" i="3"/>
  <c r="D27" i="3"/>
  <c r="D26" i="3"/>
  <c r="D25" i="3"/>
  <c r="D24" i="3"/>
  <c r="I18" i="3"/>
  <c r="I17" i="3"/>
  <c r="I16" i="3"/>
  <c r="D19" i="3"/>
  <c r="D18" i="3"/>
  <c r="D17" i="3"/>
  <c r="D16" i="3"/>
  <c r="I5" i="3"/>
  <c r="I4" i="3"/>
  <c r="I7" i="3"/>
  <c r="I6" i="3"/>
  <c r="I8" i="3"/>
  <c r="D9" i="3"/>
  <c r="D8" i="3"/>
  <c r="D7" i="3"/>
  <c r="D6" i="3"/>
  <c r="D5" i="3"/>
  <c r="D4" i="3"/>
  <c r="D49" i="3"/>
  <c r="D48" i="3"/>
  <c r="I51" i="3"/>
  <c r="I50" i="3"/>
  <c r="D50" i="3"/>
  <c r="D51" i="3"/>
  <c r="I49" i="3"/>
  <c r="I48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<sst xmlns="http://schemas.openxmlformats.org/spreadsheetml/2006/main" count="24049" uniqueCount="205">
  <si>
    <t>Employee Number</t>
  </si>
  <si>
    <t>Age</t>
  </si>
  <si>
    <t>Age Bucket</t>
  </si>
  <si>
    <t>Attrition</t>
  </si>
  <si>
    <t>Business Travel</t>
  </si>
  <si>
    <t>Daily Rate</t>
  </si>
  <si>
    <t>Daily Rate Bucket</t>
  </si>
  <si>
    <t>Department</t>
  </si>
  <si>
    <t>Distance From Home</t>
  </si>
  <si>
    <t>Distance from Home Bucket</t>
  </si>
  <si>
    <t>Education</t>
  </si>
  <si>
    <t>Education Category</t>
  </si>
  <si>
    <t>Education Field</t>
  </si>
  <si>
    <t>Employee Count</t>
  </si>
  <si>
    <t>Environment Satisfaction</t>
  </si>
  <si>
    <t>Environment Satisfaction Category</t>
  </si>
  <si>
    <t>Gender</t>
  </si>
  <si>
    <t>Hourly Rate</t>
  </si>
  <si>
    <t>Hourly Rate Category</t>
  </si>
  <si>
    <t>Job Involvement</t>
  </si>
  <si>
    <t>Job Involvement Category</t>
  </si>
  <si>
    <t>Job Level</t>
  </si>
  <si>
    <t>Job Role</t>
  </si>
  <si>
    <t>Job Satisfaction</t>
  </si>
  <si>
    <t>Job Satisfaction Category</t>
  </si>
  <si>
    <t>Marital Status</t>
  </si>
  <si>
    <t>Monthly Income</t>
  </si>
  <si>
    <t>Monthly Income Category</t>
  </si>
  <si>
    <t>Monthly Rate</t>
  </si>
  <si>
    <t>Montly Rate Category</t>
  </si>
  <si>
    <t>Num Companies Worked</t>
  </si>
  <si>
    <t>Num Companies Worked category</t>
  </si>
  <si>
    <t>Over18</t>
  </si>
  <si>
    <t>Over Time</t>
  </si>
  <si>
    <t>Percent Salary Hike</t>
  </si>
  <si>
    <t>Percent Salary Hike Category</t>
  </si>
  <si>
    <t>Performance Rating</t>
  </si>
  <si>
    <t>Performance Rating Category</t>
  </si>
  <si>
    <t>Relationship Satisfaction</t>
  </si>
  <si>
    <t>Relationship Satisfaction Category</t>
  </si>
  <si>
    <t>Standard Hours</t>
  </si>
  <si>
    <t>Stock Option Level</t>
  </si>
  <si>
    <t>Total Working Years</t>
  </si>
  <si>
    <t>Total Working Year Category</t>
  </si>
  <si>
    <t>Training Times Last Year</t>
  </si>
  <si>
    <t>Training Times Last Year Category</t>
  </si>
  <si>
    <t>Work Life Balance</t>
  </si>
  <si>
    <t>WorkLife Balance Category</t>
  </si>
  <si>
    <t>Years At Company</t>
  </si>
  <si>
    <t>Year At company Category</t>
  </si>
  <si>
    <t>Years In Current Role</t>
  </si>
  <si>
    <t>Years In Current Role Category</t>
  </si>
  <si>
    <t>Years Since Last Promotion</t>
  </si>
  <si>
    <t>Years Since Last Promotion Category</t>
  </si>
  <si>
    <t>Years With Current Manager</t>
  </si>
  <si>
    <t>Year With Current Manager Category</t>
  </si>
  <si>
    <t>Yes</t>
  </si>
  <si>
    <t>Travel_Rarely</t>
  </si>
  <si>
    <t>Sales</t>
  </si>
  <si>
    <t>College</t>
  </si>
  <si>
    <t>Life Sciences</t>
  </si>
  <si>
    <t>Medium</t>
  </si>
  <si>
    <t>Female</t>
  </si>
  <si>
    <t>High</t>
  </si>
  <si>
    <t>Sales Executive</t>
  </si>
  <si>
    <t>Very High</t>
  </si>
  <si>
    <t>Single</t>
  </si>
  <si>
    <t>Y</t>
  </si>
  <si>
    <t>Excellent</t>
  </si>
  <si>
    <t>Low</t>
  </si>
  <si>
    <t>Bad</t>
  </si>
  <si>
    <t>No</t>
  </si>
  <si>
    <t>Travel_Frequently</t>
  </si>
  <si>
    <t>Research &amp; Development</t>
  </si>
  <si>
    <t>Below College</t>
  </si>
  <si>
    <t>Male</t>
  </si>
  <si>
    <t>Research Scientist</t>
  </si>
  <si>
    <t>Married</t>
  </si>
  <si>
    <t>Outstanding</t>
  </si>
  <si>
    <t>Better</t>
  </si>
  <si>
    <t>Other</t>
  </si>
  <si>
    <t>Laboratory Technician</t>
  </si>
  <si>
    <t>Master</t>
  </si>
  <si>
    <t>Medical</t>
  </si>
  <si>
    <t>Good</t>
  </si>
  <si>
    <t>Bachelor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</si>
  <si>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</si>
  <si>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</si>
  <si>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</si>
  <si>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</si>
  <si>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</si>
  <si>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</si>
  <si>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</si>
  <si>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</si>
  <si>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</si>
  <si>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</si>
  <si>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</si>
  <si>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</si>
  <si>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1. Attrition By Age Bucket</t>
  </si>
  <si>
    <t>Row Labels</t>
  </si>
  <si>
    <t>18-25</t>
  </si>
  <si>
    <t>26-35</t>
  </si>
  <si>
    <t>36-45</t>
  </si>
  <si>
    <t>46-55</t>
  </si>
  <si>
    <t>56+</t>
  </si>
  <si>
    <t>Grand Total</t>
  </si>
  <si>
    <t>Column Labels</t>
  </si>
  <si>
    <t>Count of Attrition</t>
  </si>
  <si>
    <t>2. Attrition By Gender</t>
  </si>
  <si>
    <t xml:space="preserve">3. Attrition by Business Travel </t>
  </si>
  <si>
    <t>1001-1499</t>
  </si>
  <si>
    <t>102-500</t>
  </si>
  <si>
    <t>501-1000</t>
  </si>
  <si>
    <t>4. Attrition By Daily Rate Bucket</t>
  </si>
  <si>
    <t>5. Attrition By Department</t>
  </si>
  <si>
    <t>6. Attrtion By Distance from Home Bucket</t>
  </si>
  <si>
    <t>11-20</t>
  </si>
  <si>
    <t>1-5</t>
  </si>
  <si>
    <t>21-29</t>
  </si>
  <si>
    <t>6-10</t>
  </si>
  <si>
    <t>7.Attrition By Education Category</t>
  </si>
  <si>
    <t>8.Attrition By Education Field</t>
  </si>
  <si>
    <t>9.Attrition By Environment Satisfaction Category</t>
  </si>
  <si>
    <t>10.Attrition By Hourly Rate Category</t>
  </si>
  <si>
    <t>30-50</t>
  </si>
  <si>
    <t>51-75</t>
  </si>
  <si>
    <t>76-100</t>
  </si>
  <si>
    <t>11.Attrition By Job Involvement Category</t>
  </si>
  <si>
    <t>12.Attrition By Job role</t>
  </si>
  <si>
    <t>13.Attrition By Job Satisfaction Category</t>
  </si>
  <si>
    <t>14.Attrition By Maretial Status</t>
  </si>
  <si>
    <t>15.Attrition By Monthly Income Category</t>
  </si>
  <si>
    <t>16.Attrition By Monthly rate Category</t>
  </si>
  <si>
    <t>$16,001-$22,000</t>
  </si>
  <si>
    <t>$2,094-$8,000</t>
  </si>
  <si>
    <t>$22,001-$26,999</t>
  </si>
  <si>
    <t>$8,001-$16,000</t>
  </si>
  <si>
    <t>17. Attrition By Num Companies Worked category</t>
  </si>
  <si>
    <t>0-1</t>
  </si>
  <si>
    <t>2-3</t>
  </si>
  <si>
    <t>4-6</t>
  </si>
  <si>
    <t>7-9</t>
  </si>
  <si>
    <t>18. Attrition By Over Time</t>
  </si>
  <si>
    <t>19.Attrition By Percent Salary Hike Category</t>
  </si>
  <si>
    <t>11-12%</t>
  </si>
  <si>
    <t>13-15%</t>
  </si>
  <si>
    <t>16-17%</t>
  </si>
  <si>
    <t>18-19%</t>
  </si>
  <si>
    <t>20.Attrition By Performance Rating Category</t>
  </si>
  <si>
    <t>21.Attrtion By Relationship Satisfaction Category</t>
  </si>
  <si>
    <t>22.Attrition By Total Working Year Category</t>
  </si>
  <si>
    <t>0-2</t>
  </si>
  <si>
    <t>21-40</t>
  </si>
  <si>
    <t>3-5</t>
  </si>
  <si>
    <t>23.Training Times Last Year Category</t>
  </si>
  <si>
    <t>3-4</t>
  </si>
  <si>
    <t>5-6</t>
  </si>
  <si>
    <t>24.WorkLife Balance Category</t>
  </si>
  <si>
    <t>25.Year At company Category</t>
  </si>
  <si>
    <t>2-5</t>
  </si>
  <si>
    <t>26.Years In Current Role Category</t>
  </si>
  <si>
    <t>11-18</t>
  </si>
  <si>
    <t>27.Years Since Last Promotion Category</t>
  </si>
  <si>
    <t>11-15</t>
  </si>
  <si>
    <t>28.Year With Current Manager Category</t>
  </si>
  <si>
    <t>11-17</t>
  </si>
  <si>
    <t>1. Attrition by Age Bucket</t>
  </si>
  <si>
    <t>Count of Employee Number</t>
  </si>
  <si>
    <t>Attrition Yes</t>
  </si>
  <si>
    <t>Sum of Attrition Yes</t>
  </si>
  <si>
    <t>Attrition Rate</t>
  </si>
  <si>
    <t>2. Attrition by Department</t>
  </si>
  <si>
    <t>3. Attrition by Job Role</t>
  </si>
  <si>
    <t>4. Attrition by Monthly Income Category</t>
  </si>
  <si>
    <t>5. Attrition by Distance From Home Bucket</t>
  </si>
  <si>
    <t>6. Attrition by Job Satisfaction Category</t>
  </si>
  <si>
    <t>7. Attrition by Years at Company Category</t>
  </si>
  <si>
    <t>8. Attrition by Overtime</t>
  </si>
  <si>
    <t>Satisfaction Bucket</t>
  </si>
  <si>
    <t>Years At Same Company Bucket</t>
  </si>
  <si>
    <t>HR Employee Attrition Analysis</t>
  </si>
  <si>
    <t>👥 Total Employees</t>
  </si>
  <si>
    <t>🚪 Total Attrition</t>
  </si>
  <si>
    <t>📊 Attrition Rate</t>
  </si>
  <si>
    <t>💰 Average Monthly Income</t>
  </si>
  <si>
    <t>🏢 Average Years at Company</t>
  </si>
  <si>
    <t>7 years</t>
  </si>
  <si>
    <t>1000-2500</t>
  </si>
  <si>
    <t>2500-5000</t>
  </si>
  <si>
    <t>5000-7500</t>
  </si>
  <si>
    <t>7500-10000</t>
  </si>
  <si>
    <t>$1,000-$2,500</t>
  </si>
  <si>
    <t>$5,500-$7,000</t>
  </si>
  <si>
    <t>$4,000-$5,500</t>
  </si>
  <si>
    <t>$2,500-$4,000</t>
  </si>
  <si>
    <t>$8,500-$10,000</t>
  </si>
  <si>
    <t>$14,500-$16,000</t>
  </si>
  <si>
    <t>$11,500-$13,000</t>
  </si>
  <si>
    <t>$19,000-$20,500</t>
  </si>
  <si>
    <t>$10,000-$11,500</t>
  </si>
  <si>
    <t>$17,500-$19,000</t>
  </si>
  <si>
    <t>$13,000-$14,500</t>
  </si>
  <si>
    <t>$7,000-$8,500</t>
  </si>
  <si>
    <t>$16,000-$17,500</t>
  </si>
  <si>
    <t>Montly Income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</si>
</sst>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36"/>
      <color rgb="FF00B0F0"/>
      <name val="Amasis MT Pro Black"/>
      <family val="1"/>
    </font>
    <font>
      <b/>
      <sz val="16"/>
      <color theme="1"/>
      <name val="Tahoma"/>
      <family val="2"/>
    </font>
    <font>
      <b/>
      <sz val="20"/>
      <color theme="4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2" fillId="4" borderId="1" xfId="0" applyNumberFormat="1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10" fontId="0" fillId="0" borderId="2" xfId="0" applyNumberFormat="1" applyBorder="1"/>
    <xf numFmtId="0" fontId="2" fillId="5" borderId="2" xfId="0" applyFont="1" applyFill="1" applyBorder="1"/>
    <xf numFmtId="0" fontId="0" fillId="0" borderId="0" xfId="0" quotePrefix="1"/>
    <xf numFmtId="165" fontId="6" fillId="0" borderId="4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10" fontId="6" fillId="0" borderId="9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</dxfs>
  <tableStyles count="0" defaultTableStyle="TableStyleMedium2" defaultPivotStyle="PivotStyleLight16"/>
  <colors>
    <mruColors>
      <color rgb="FF00FFFF"/>
      <color rgb="FF0000FF"/>
      <color rgb="FF66FF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rgbClr val="00FFFF"/>
                </a:solidFill>
              </a:rPr>
              <a:t>Attrition by Age Bucket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Dashboard'!$G$3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Dashboard'!$F$4:$F$8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'Pivot for Dashboard'!$G$4:$G$8</c:f>
              <c:numCache>
                <c:formatCode>General</c:formatCode>
                <c:ptCount val="5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226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4-4B07-B288-91C8415D5E7A}"/>
            </c:ext>
          </c:extLst>
        </c:ser>
        <c:ser>
          <c:idx val="1"/>
          <c:order val="1"/>
          <c:tx>
            <c:strRef>
              <c:f>'Pivot for Dashboard'!$H$3</c:f>
              <c:strCache>
                <c:ptCount val="1"/>
                <c:pt idx="0">
                  <c:v>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Dashboard'!$F$4:$F$8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'Pivot for Dashboard'!$H$4:$H$8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4-4B07-B288-91C8415D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92271"/>
        <c:axId val="2098415631"/>
      </c:barChart>
      <c:lineChart>
        <c:grouping val="standard"/>
        <c:varyColors val="0"/>
        <c:ser>
          <c:idx val="2"/>
          <c:order val="2"/>
          <c:tx>
            <c:strRef>
              <c:f>'Pivot for Dashboard'!$I$3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solidFill>
                <a:srgbClr val="FFFF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Dashboard'!$F$4:$F$8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'Pivot for Dashboard'!$I$4:$I$8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F64-4B07-B288-91C8415D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234031"/>
        <c:axId val="1155345903"/>
      </c:lineChart>
      <c:catAx>
        <c:axId val="565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15631"/>
        <c:crosses val="autoZero"/>
        <c:auto val="1"/>
        <c:lblAlgn val="ctr"/>
        <c:lblOffset val="100"/>
        <c:noMultiLvlLbl val="0"/>
      </c:catAx>
      <c:valAx>
        <c:axId val="209841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2271"/>
        <c:crosses val="autoZero"/>
        <c:crossBetween val="between"/>
      </c:valAx>
      <c:valAx>
        <c:axId val="115534590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34031"/>
        <c:crosses val="max"/>
        <c:crossBetween val="between"/>
      </c:valAx>
      <c:catAx>
        <c:axId val="11572340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345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2000" sy="102000" algn="tl" rotWithShape="0">
        <a:schemeClr val="accent1">
          <a:lumMod val="50000"/>
          <a:alpha val="50000"/>
        </a:schemeClr>
      </a:outerShdw>
    </a:effectLst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rPr>
              <a:t>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Dashboard'!$G$15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Dashboard'!$F$16:$F$18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for Dashboard'!$G$16:$G$18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8-4EBA-A10D-812EAE24D5C7}"/>
            </c:ext>
          </c:extLst>
        </c:ser>
        <c:ser>
          <c:idx val="1"/>
          <c:order val="1"/>
          <c:tx>
            <c:strRef>
              <c:f>'Pivot for Dashboard'!$H$15</c:f>
              <c:strCache>
                <c:ptCount val="1"/>
                <c:pt idx="0">
                  <c:v>Sum of 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Dashboard'!$F$16:$F$18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for Dashboard'!$H$16:$H$18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8-4EBA-A10D-812EAE24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33535"/>
        <c:axId val="1155355983"/>
      </c:barChart>
      <c:lineChart>
        <c:grouping val="standard"/>
        <c:varyColors val="0"/>
        <c:ser>
          <c:idx val="2"/>
          <c:order val="2"/>
          <c:tx>
            <c:strRef>
              <c:f>'Pivot for Dashboard'!$I$15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5553496376675299E-2"/>
                  <c:y val="-5.1737392866059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48-4EBA-A10D-812EAE24D5C7}"/>
                </c:ext>
              </c:extLst>
            </c:dLbl>
            <c:numFmt formatCode="0%" sourceLinked="0"/>
            <c:spPr>
              <a:solidFill>
                <a:srgbClr val="FFFF0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Dashboard'!$F$16:$F$18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for Dashboard'!$I$16:$I$18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E48-4EBA-A10D-812EAE24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253519"/>
        <c:axId val="2098414671"/>
      </c:lineChart>
      <c:catAx>
        <c:axId val="510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55983"/>
        <c:crosses val="autoZero"/>
        <c:auto val="1"/>
        <c:lblAlgn val="ctr"/>
        <c:lblOffset val="100"/>
        <c:noMultiLvlLbl val="0"/>
      </c:catAx>
      <c:valAx>
        <c:axId val="115535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3535"/>
        <c:crosses val="autoZero"/>
        <c:crossBetween val="between"/>
      </c:valAx>
      <c:valAx>
        <c:axId val="2098414671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53519"/>
        <c:crosses val="max"/>
        <c:crossBetween val="between"/>
      </c:valAx>
      <c:catAx>
        <c:axId val="1157253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8414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2000" sy="102000" algn="tl" rotWithShape="0">
        <a:schemeClr val="accent1">
          <a:lumMod val="50000"/>
          <a:alpha val="50000"/>
        </a:schemeClr>
      </a:outerShdw>
    </a:effectLst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rPr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Dashboard'!$G$23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Dashboard'!$F$24:$F$32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for Dashboard'!$G$24:$G$32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C-4ADA-86B4-A0D0A7E5E371}"/>
            </c:ext>
          </c:extLst>
        </c:ser>
        <c:ser>
          <c:idx val="1"/>
          <c:order val="1"/>
          <c:tx>
            <c:strRef>
              <c:f>'Pivot for Dashboard'!$H$23</c:f>
              <c:strCache>
                <c:ptCount val="1"/>
                <c:pt idx="0">
                  <c:v>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Dashboard'!$F$24:$F$32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for Dashboard'!$H$24:$H$32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C-4ADA-86B4-A0D0A7E5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841615"/>
        <c:axId val="1155343503"/>
      </c:barChart>
      <c:lineChart>
        <c:grouping val="standard"/>
        <c:varyColors val="0"/>
        <c:ser>
          <c:idx val="2"/>
          <c:order val="2"/>
          <c:tx>
            <c:strRef>
              <c:f>'Pivot for Dashboard'!$I$23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solidFill>
                <a:srgbClr val="FFFF0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Dashboard'!$F$24:$F$32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for Dashboard'!$I$24:$I$32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7C-4ADA-86B4-A0D0A7E5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842207"/>
        <c:axId val="1898878191"/>
      </c:lineChart>
      <c:catAx>
        <c:axId val="6484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43503"/>
        <c:crosses val="autoZero"/>
        <c:auto val="1"/>
        <c:lblAlgn val="ctr"/>
        <c:lblOffset val="100"/>
        <c:noMultiLvlLbl val="0"/>
      </c:catAx>
      <c:valAx>
        <c:axId val="115534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1615"/>
        <c:crosses val="autoZero"/>
        <c:crossBetween val="between"/>
      </c:valAx>
      <c:valAx>
        <c:axId val="1898878191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2207"/>
        <c:crosses val="max"/>
        <c:crossBetween val="between"/>
      </c:valAx>
      <c:catAx>
        <c:axId val="122784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8878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1000" sy="101000" algn="tl" rotWithShape="0">
        <a:schemeClr val="accent1">
          <a:lumMod val="50000"/>
          <a:alpha val="50000"/>
        </a:schemeClr>
      </a:outerShdw>
    </a:effectLst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rPr>
              <a:t>Attrition by Job Satisfaction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Dashboard'!$G$57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Dashboard'!$F$58:$F$61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for Dashboard'!$G$58:$G$61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8-406E-8D46-0C2091135785}"/>
            </c:ext>
          </c:extLst>
        </c:ser>
        <c:ser>
          <c:idx val="1"/>
          <c:order val="1"/>
          <c:tx>
            <c:strRef>
              <c:f>'Pivot for Dashboard'!$H$57</c:f>
              <c:strCache>
                <c:ptCount val="1"/>
                <c:pt idx="0">
                  <c:v>Sum of 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Dashboard'!$F$58:$F$61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for Dashboard'!$H$58:$H$61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8-406E-8D46-0C2091135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032143"/>
        <c:axId val="1155319023"/>
      </c:barChart>
      <c:lineChart>
        <c:grouping val="standard"/>
        <c:varyColors val="0"/>
        <c:ser>
          <c:idx val="2"/>
          <c:order val="2"/>
          <c:tx>
            <c:strRef>
              <c:f>'Pivot for Dashboard'!$I$57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solidFill>
                <a:srgbClr val="FFFF0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Dashboard'!$F$58:$F$61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for Dashboard'!$I$58:$I$61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B8-406E-8D46-0C2091135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57199"/>
        <c:axId val="1155342543"/>
      </c:lineChart>
      <c:catAx>
        <c:axId val="5103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19023"/>
        <c:crosses val="autoZero"/>
        <c:auto val="1"/>
        <c:lblAlgn val="ctr"/>
        <c:lblOffset val="100"/>
        <c:noMultiLvlLbl val="0"/>
      </c:catAx>
      <c:valAx>
        <c:axId val="115531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2143"/>
        <c:crosses val="autoZero"/>
        <c:crossBetween val="between"/>
      </c:valAx>
      <c:valAx>
        <c:axId val="115534254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99"/>
        <c:crosses val="max"/>
        <c:crossBetween val="between"/>
      </c:valAx>
      <c:catAx>
        <c:axId val="51057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34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2000" sy="102000" algn="tl" rotWithShape="0">
        <a:srgbClr val="002060">
          <a:alpha val="50000"/>
        </a:srgbClr>
      </a:outerShdw>
    </a:effectLst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rPr>
              <a:t>Attrition by Years at Company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Dashboard'!$G$67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Dashboard'!$F$68:$F$72</c:f>
              <c:strCache>
                <c:ptCount val="5"/>
                <c:pt idx="0">
                  <c:v>0-1</c:v>
                </c:pt>
                <c:pt idx="1">
                  <c:v>2-5</c:v>
                </c:pt>
                <c:pt idx="2">
                  <c:v>6-10</c:v>
                </c:pt>
                <c:pt idx="3">
                  <c:v>11-20</c:v>
                </c:pt>
                <c:pt idx="4">
                  <c:v>21-40</c:v>
                </c:pt>
              </c:strCache>
            </c:strRef>
          </c:cat>
          <c:val>
            <c:numRef>
              <c:f>'Pivot for Dashboard'!$G$68:$G$72</c:f>
              <c:numCache>
                <c:formatCode>General</c:formatCode>
                <c:ptCount val="5"/>
                <c:pt idx="0">
                  <c:v>215</c:v>
                </c:pt>
                <c:pt idx="1">
                  <c:v>561</c:v>
                </c:pt>
                <c:pt idx="2">
                  <c:v>448</c:v>
                </c:pt>
                <c:pt idx="3">
                  <c:v>180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A-459E-BA8F-1CDCB58C5F3A}"/>
            </c:ext>
          </c:extLst>
        </c:ser>
        <c:ser>
          <c:idx val="1"/>
          <c:order val="1"/>
          <c:tx>
            <c:strRef>
              <c:f>'Pivot for Dashboard'!$H$67</c:f>
              <c:strCache>
                <c:ptCount val="1"/>
                <c:pt idx="0">
                  <c:v>Sum of 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Dashboard'!$F$68:$F$72</c:f>
              <c:strCache>
                <c:ptCount val="5"/>
                <c:pt idx="0">
                  <c:v>0-1</c:v>
                </c:pt>
                <c:pt idx="1">
                  <c:v>2-5</c:v>
                </c:pt>
                <c:pt idx="2">
                  <c:v>6-10</c:v>
                </c:pt>
                <c:pt idx="3">
                  <c:v>11-20</c:v>
                </c:pt>
                <c:pt idx="4">
                  <c:v>21-40</c:v>
                </c:pt>
              </c:strCache>
            </c:strRef>
          </c:cat>
          <c:val>
            <c:numRef>
              <c:f>'Pivot for Dashboard'!$H$68:$H$72</c:f>
              <c:numCache>
                <c:formatCode>General</c:formatCode>
                <c:ptCount val="5"/>
                <c:pt idx="0">
                  <c:v>75</c:v>
                </c:pt>
                <c:pt idx="1">
                  <c:v>87</c:v>
                </c:pt>
                <c:pt idx="2">
                  <c:v>55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A-459E-BA8F-1CDCB58C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7844063"/>
        <c:axId val="1155328623"/>
      </c:barChart>
      <c:lineChart>
        <c:grouping val="standard"/>
        <c:varyColors val="0"/>
        <c:ser>
          <c:idx val="2"/>
          <c:order val="2"/>
          <c:tx>
            <c:strRef>
              <c:f>'Pivot for Dashboard'!$I$67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solidFill>
                <a:srgbClr val="FFFF0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Dashboard'!$F$68:$F$72</c:f>
              <c:strCache>
                <c:ptCount val="5"/>
                <c:pt idx="0">
                  <c:v>0-1</c:v>
                </c:pt>
                <c:pt idx="1">
                  <c:v>2-5</c:v>
                </c:pt>
                <c:pt idx="2">
                  <c:v>6-10</c:v>
                </c:pt>
                <c:pt idx="3">
                  <c:v>11-20</c:v>
                </c:pt>
                <c:pt idx="4">
                  <c:v>21-40</c:v>
                </c:pt>
              </c:strCache>
            </c:strRef>
          </c:cat>
          <c:val>
            <c:numRef>
              <c:f>'Pivot for Dashboard'!$I$68:$I$72</c:f>
              <c:numCache>
                <c:formatCode>0.00%</c:formatCode>
                <c:ptCount val="5"/>
                <c:pt idx="0">
                  <c:v>0.34883720930232559</c:v>
                </c:pt>
                <c:pt idx="1">
                  <c:v>0.15508021390374332</c:v>
                </c:pt>
                <c:pt idx="2">
                  <c:v>0.12276785714285714</c:v>
                </c:pt>
                <c:pt idx="3">
                  <c:v>6.6666666666666666E-2</c:v>
                </c:pt>
                <c:pt idx="4">
                  <c:v>0.12121212121212122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0A-459E-BA8F-1CDCB58C5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40687"/>
        <c:axId val="1155330543"/>
      </c:lineChart>
      <c:catAx>
        <c:axId val="12278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28623"/>
        <c:crosses val="autoZero"/>
        <c:auto val="1"/>
        <c:lblAlgn val="ctr"/>
        <c:lblOffset val="100"/>
        <c:noMultiLvlLbl val="0"/>
      </c:catAx>
      <c:valAx>
        <c:axId val="115532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4063"/>
        <c:crosses val="autoZero"/>
        <c:crossBetween val="between"/>
      </c:valAx>
      <c:valAx>
        <c:axId val="115533054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0687"/>
        <c:crosses val="max"/>
        <c:crossBetween val="between"/>
      </c:valAx>
      <c:catAx>
        <c:axId val="64840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330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2000" sy="102000" algn="tl" rotWithShape="0">
        <a:srgbClr val="002060">
          <a:alpha val="50000"/>
        </a:srgbClr>
      </a:outerShdw>
    </a:effectLst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rPr>
              <a:t>Attrition By Montly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for Dashboard'!$G$84</c:f>
              <c:strCache>
                <c:ptCount val="1"/>
                <c:pt idx="0">
                  <c:v>Count of Employee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for Dashboard'!$F$85:$F$97</c:f>
              <c:strCache>
                <c:ptCount val="13"/>
                <c:pt idx="0">
                  <c:v>$1,000-$2,500</c:v>
                </c:pt>
                <c:pt idx="1">
                  <c:v>$2,500-$4,000</c:v>
                </c:pt>
                <c:pt idx="2">
                  <c:v>$4,000-$5,500</c:v>
                </c:pt>
                <c:pt idx="3">
                  <c:v>$5,500-$7,000</c:v>
                </c:pt>
                <c:pt idx="4">
                  <c:v>$7,000-$8,500</c:v>
                </c:pt>
                <c:pt idx="5">
                  <c:v>$8,500-$10,000</c:v>
                </c:pt>
                <c:pt idx="6">
                  <c:v>$10,000-$11,500</c:v>
                </c:pt>
                <c:pt idx="7">
                  <c:v>$11,500-$13,000</c:v>
                </c:pt>
                <c:pt idx="8">
                  <c:v>$13,000-$14,500</c:v>
                </c:pt>
                <c:pt idx="9">
                  <c:v>$14,500-$16,000</c:v>
                </c:pt>
                <c:pt idx="10">
                  <c:v>$14,500-$16,000</c:v>
                </c:pt>
                <c:pt idx="11">
                  <c:v>$17,500-$19,000</c:v>
                </c:pt>
                <c:pt idx="12">
                  <c:v>$19,000-$20,500</c:v>
                </c:pt>
              </c:strCache>
            </c:strRef>
          </c:cat>
          <c:val>
            <c:numRef>
              <c:f>'Pivot for Dashboard'!$G$85:$G$97</c:f>
              <c:numCache>
                <c:formatCode>General</c:formatCode>
                <c:ptCount val="13"/>
                <c:pt idx="0">
                  <c:v>224</c:v>
                </c:pt>
                <c:pt idx="1">
                  <c:v>318</c:v>
                </c:pt>
                <c:pt idx="2">
                  <c:v>311</c:v>
                </c:pt>
                <c:pt idx="3">
                  <c:v>182</c:v>
                </c:pt>
                <c:pt idx="4">
                  <c:v>75</c:v>
                </c:pt>
                <c:pt idx="5">
                  <c:v>79</c:v>
                </c:pt>
                <c:pt idx="6">
                  <c:v>72</c:v>
                </c:pt>
                <c:pt idx="7">
                  <c:v>24</c:v>
                </c:pt>
                <c:pt idx="8">
                  <c:v>48</c:v>
                </c:pt>
                <c:pt idx="9">
                  <c:v>11</c:v>
                </c:pt>
                <c:pt idx="10">
                  <c:v>11</c:v>
                </c:pt>
                <c:pt idx="11">
                  <c:v>31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D-4D02-B10D-F22E5184C8F3}"/>
            </c:ext>
          </c:extLst>
        </c:ser>
        <c:ser>
          <c:idx val="1"/>
          <c:order val="1"/>
          <c:tx>
            <c:strRef>
              <c:f>'Pivot for Dashboard'!$H$84</c:f>
              <c:strCache>
                <c:ptCount val="1"/>
                <c:pt idx="0">
                  <c:v>Sum of Attrition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Dashboard'!$F$85:$F$97</c:f>
              <c:strCache>
                <c:ptCount val="13"/>
                <c:pt idx="0">
                  <c:v>$1,000-$2,500</c:v>
                </c:pt>
                <c:pt idx="1">
                  <c:v>$2,500-$4,000</c:v>
                </c:pt>
                <c:pt idx="2">
                  <c:v>$4,000-$5,500</c:v>
                </c:pt>
                <c:pt idx="3">
                  <c:v>$5,500-$7,000</c:v>
                </c:pt>
                <c:pt idx="4">
                  <c:v>$7,000-$8,500</c:v>
                </c:pt>
                <c:pt idx="5">
                  <c:v>$8,500-$10,000</c:v>
                </c:pt>
                <c:pt idx="6">
                  <c:v>$10,000-$11,500</c:v>
                </c:pt>
                <c:pt idx="7">
                  <c:v>$11,500-$13,000</c:v>
                </c:pt>
                <c:pt idx="8">
                  <c:v>$13,000-$14,500</c:v>
                </c:pt>
                <c:pt idx="9">
                  <c:v>$14,500-$16,000</c:v>
                </c:pt>
                <c:pt idx="10">
                  <c:v>$14,500-$16,000</c:v>
                </c:pt>
                <c:pt idx="11">
                  <c:v>$17,500-$19,000</c:v>
                </c:pt>
                <c:pt idx="12">
                  <c:v>$19,000-$20,500</c:v>
                </c:pt>
              </c:strCache>
            </c:strRef>
          </c:cat>
          <c:val>
            <c:numRef>
              <c:f>'Pivot for Dashboard'!$H$85:$H$97</c:f>
              <c:numCache>
                <c:formatCode>General</c:formatCode>
                <c:ptCount val="13"/>
                <c:pt idx="0">
                  <c:v>77</c:v>
                </c:pt>
                <c:pt idx="1">
                  <c:v>60</c:v>
                </c:pt>
                <c:pt idx="2">
                  <c:v>35</c:v>
                </c:pt>
                <c:pt idx="3">
                  <c:v>18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D-4D02-B10D-F22E5184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058127"/>
        <c:axId val="1155300783"/>
      </c:barChart>
      <c:lineChart>
        <c:grouping val="standard"/>
        <c:varyColors val="0"/>
        <c:ser>
          <c:idx val="2"/>
          <c:order val="2"/>
          <c:tx>
            <c:strRef>
              <c:f>'Pivot for Dashboard'!$I$84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solidFill>
                <a:srgbClr val="FFFF0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for Dashboard'!$F$85:$F$97</c:f>
              <c:strCache>
                <c:ptCount val="13"/>
                <c:pt idx="0">
                  <c:v>$1,000-$2,500</c:v>
                </c:pt>
                <c:pt idx="1">
                  <c:v>$2,500-$4,000</c:v>
                </c:pt>
                <c:pt idx="2">
                  <c:v>$4,000-$5,500</c:v>
                </c:pt>
                <c:pt idx="3">
                  <c:v>$5,500-$7,000</c:v>
                </c:pt>
                <c:pt idx="4">
                  <c:v>$7,000-$8,500</c:v>
                </c:pt>
                <c:pt idx="5">
                  <c:v>$8,500-$10,000</c:v>
                </c:pt>
                <c:pt idx="6">
                  <c:v>$10,000-$11,500</c:v>
                </c:pt>
                <c:pt idx="7">
                  <c:v>$11,500-$13,000</c:v>
                </c:pt>
                <c:pt idx="8">
                  <c:v>$13,000-$14,500</c:v>
                </c:pt>
                <c:pt idx="9">
                  <c:v>$14,500-$16,000</c:v>
                </c:pt>
                <c:pt idx="10">
                  <c:v>$14,500-$16,000</c:v>
                </c:pt>
                <c:pt idx="11">
                  <c:v>$17,500-$19,000</c:v>
                </c:pt>
                <c:pt idx="12">
                  <c:v>$19,000-$20,500</c:v>
                </c:pt>
              </c:strCache>
            </c:strRef>
          </c:cat>
          <c:val>
            <c:numRef>
              <c:f>'Pivot for Dashboard'!$I$85:$I$97</c:f>
              <c:numCache>
                <c:formatCode>0.00%</c:formatCode>
                <c:ptCount val="13"/>
                <c:pt idx="0">
                  <c:v>0.34375</c:v>
                </c:pt>
                <c:pt idx="1">
                  <c:v>0.18867924528301888</c:v>
                </c:pt>
                <c:pt idx="2">
                  <c:v>0.11254019292604502</c:v>
                </c:pt>
                <c:pt idx="3">
                  <c:v>9.8901098901098897E-2</c:v>
                </c:pt>
                <c:pt idx="4">
                  <c:v>0.13333333333333333</c:v>
                </c:pt>
                <c:pt idx="5">
                  <c:v>0.15189873417721519</c:v>
                </c:pt>
                <c:pt idx="6">
                  <c:v>0.18055555555555555</c:v>
                </c:pt>
                <c:pt idx="7">
                  <c:v>0.125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3.2258064516129031E-2</c:v>
                </c:pt>
                <c:pt idx="12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DD-4D02-B10D-F22E5184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468655"/>
        <c:axId val="1155297423"/>
      </c:lineChart>
      <c:catAx>
        <c:axId val="5105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00783"/>
        <c:crosses val="autoZero"/>
        <c:auto val="1"/>
        <c:lblAlgn val="ctr"/>
        <c:lblOffset val="100"/>
        <c:noMultiLvlLbl val="0"/>
      </c:catAx>
      <c:valAx>
        <c:axId val="115530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8127"/>
        <c:crosses val="autoZero"/>
        <c:crossBetween val="between"/>
      </c:valAx>
      <c:valAx>
        <c:axId val="115529742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68655"/>
        <c:crosses val="max"/>
        <c:crossBetween val="between"/>
      </c:valAx>
      <c:catAx>
        <c:axId val="1350468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297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sx="101000" sy="101000" algn="tl" rotWithShape="0">
        <a:srgbClr val="002060">
          <a:alpha val="50000"/>
        </a:srgbClr>
      </a:outerShdw>
    </a:effectLst>
  </c:spPr>
  <c:txPr>
    <a:bodyPr/>
    <a:lstStyle/>
    <a:p>
      <a:pPr>
        <a:defRPr sz="10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68580</xdr:rowOff>
    </xdr:from>
    <xdr:to>
      <xdr:col>11</xdr:col>
      <xdr:colOff>335280</xdr:colOff>
      <xdr:row>26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C2BFEC-50A9-442B-84FC-D20D9938F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245422</xdr:colOff>
      <xdr:row>7</xdr:row>
      <xdr:rowOff>86755</xdr:rowOff>
    </xdr:from>
    <xdr:to>
      <xdr:col>19</xdr:col>
      <xdr:colOff>676141</xdr:colOff>
      <xdr:row>26</xdr:row>
      <xdr:rowOff>101269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DE986E-04C7-4DE0-9257-262FFA8EA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55756</xdr:colOff>
      <xdr:row>27</xdr:row>
      <xdr:rowOff>157976</xdr:rowOff>
    </xdr:from>
    <xdr:to>
      <xdr:col>19</xdr:col>
      <xdr:colOff>665409</xdr:colOff>
      <xdr:row>47</xdr:row>
      <xdr:rowOff>9293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305CB9-1617-4E4E-B11F-A487B285F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48</xdr:row>
      <xdr:rowOff>42809</xdr:rowOff>
    </xdr:from>
    <xdr:to>
      <xdr:col>11</xdr:col>
      <xdr:colOff>351033</xdr:colOff>
      <xdr:row>67</xdr:row>
      <xdr:rowOff>162674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29E39D-0F93-48EC-95D9-1190128A4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282539</xdr:colOff>
      <xdr:row>48</xdr:row>
      <xdr:rowOff>68494</xdr:rowOff>
    </xdr:from>
    <xdr:to>
      <xdr:col>19</xdr:col>
      <xdr:colOff>643943</xdr:colOff>
      <xdr:row>67</xdr:row>
      <xdr:rowOff>154112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2C6632-BADB-4019-8E31-F143E9CC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69</xdr:row>
      <xdr:rowOff>73445</xdr:rowOff>
    </xdr:from>
    <xdr:to>
      <xdr:col>19</xdr:col>
      <xdr:colOff>636105</xdr:colOff>
      <xdr:row>88</xdr:row>
      <xdr:rowOff>9645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A5CA71-7808-4915-97AB-CFB16001A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Jangid" refreshedDate="46247.711175925928" createdVersion="8" refreshedVersion="8" minRefreshableVersion="3" recordCount="1470" xr:uid="{83A83BA4-A1CE-4D80-AE35-B92856FC38AD}">
  <cacheSource type="worksheet">
    <worksheetSource ref="A1:BE1471" sheet="Data"/>
  </cacheSource>
  <cacheFields count="57">
    <cacheField name="Employee Number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Age Bucket" numFmtId="0">
      <sharedItems count="5">
        <s v="36-45"/>
        <s v="46-55"/>
        <s v="26-35"/>
        <s v="56+"/>
        <s v="18-25"/>
      </sharedItems>
    </cacheField>
    <cacheField name="Attrition" numFmtId="0">
      <sharedItems count="2">
        <s v="Yes"/>
        <s v="No"/>
      </sharedItems>
    </cacheField>
    <cacheField name="Attrition Yes" numFmtId="0">
      <sharedItems containsSemiMixedTypes="0" containsString="0" containsNumber="1" containsInteger="1" minValue="0" maxValue="1"/>
    </cacheField>
    <cacheField name="Business Travel" numFmtId="0">
      <sharedItems count="3">
        <s v="Travel_Rarely"/>
        <s v="Travel_Frequently"/>
        <s v="Non-Travel"/>
      </sharedItems>
    </cacheField>
    <cacheField name="Daily Rate" numFmtId="0">
      <sharedItems containsSemiMixedTypes="0" containsString="0" containsNumber="1" containsInteger="1" minValue="102" maxValue="1499"/>
    </cacheField>
    <cacheField name="Daily Rate Bucket" numFmtId="0">
      <sharedItems count="3">
        <s v="1001-1499"/>
        <s v="102-500"/>
        <s v="501-1000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 From Home" numFmtId="0">
      <sharedItems containsSemiMixedTypes="0" containsString="0" containsNumber="1" containsInteger="1" minValue="1" maxValue="29"/>
    </cacheField>
    <cacheField name="Distance from Home Bucket" numFmtId="0">
      <sharedItems count="4">
        <s v="1-5"/>
        <s v="6-10"/>
        <s v="21-29"/>
        <s v="11-20"/>
      </sharedItems>
    </cacheField>
    <cacheField name="Education" numFmtId="0">
      <sharedItems containsSemiMixedTypes="0" containsString="0" containsNumber="1" containsInteger="1" minValue="1" maxValue="5"/>
    </cacheField>
    <cacheField name="Education Category" numFmtId="0">
      <sharedItems count="5">
        <s v="College"/>
        <s v="Below College"/>
        <s v="Master"/>
        <s v="Bachelor"/>
        <s v="Docto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Environment Satisfaction Category" numFmtId="0">
      <sharedItems count="4">
        <s v="Medium"/>
        <s v="High"/>
        <s v="Very High"/>
        <s v="Low"/>
      </sharedItems>
    </cacheField>
    <cacheField name="Gender" numFmtId="0">
      <sharedItems count="2">
        <s v="Female"/>
        <s v="Male"/>
      </sharedItems>
    </cacheField>
    <cacheField name="Hourly Rate" numFmtId="0">
      <sharedItems containsSemiMixedTypes="0" containsString="0" containsNumber="1" containsInteger="1" minValue="30" maxValue="100"/>
    </cacheField>
    <cacheField name="Hourly Rate Category" numFmtId="0">
      <sharedItems count="3">
        <s v="76-100"/>
        <s v="51-75"/>
        <s v="30-50"/>
      </sharedItems>
    </cacheField>
    <cacheField name="Job Involvement" numFmtId="0">
      <sharedItems containsSemiMixedTypes="0" containsString="0" containsNumber="1" containsInteger="1" minValue="1" maxValue="4"/>
    </cacheField>
    <cacheField name="Job Involvement Category" numFmtId="0">
      <sharedItems count="4">
        <s v="High"/>
        <s v="Medium"/>
        <s v="Very High"/>
        <s v="Low"/>
      </sharedItems>
    </cacheField>
    <cacheField name="Job Level" numFmtId="0">
      <sharedItems containsSemiMixedTypes="0" containsString="0" containsNumber="1" containsInteger="1" minValue="1" maxValue="5"/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 Satisfaction" numFmtId="0">
      <sharedItems containsSemiMixedTypes="0" containsString="0" containsNumber="1" containsInteger="1" minValue="1" maxValue="4"/>
    </cacheField>
    <cacheField name="Job Satisfaction Category" numFmtId="0">
      <sharedItems count="4">
        <s v="Very High"/>
        <s v="Medium"/>
        <s v="High"/>
        <s v="Low"/>
      </sharedItems>
    </cacheField>
    <cacheField name="Marital Status" numFmtId="0">
      <sharedItems count="3">
        <s v="Single"/>
        <s v="Married"/>
        <s v="Divorced"/>
      </sharedItems>
    </cacheField>
    <cacheField name="Monthly Income" numFmtId="164">
      <sharedItems containsSemiMixedTypes="0" containsString="0" containsNumber="1" containsInteger="1" minValue="1009" maxValue="19999"/>
    </cacheField>
    <cacheField name="Monthly Income Category" numFmtId="164">
      <sharedItems count="43">
        <s v="$5,500-$7,000"/>
        <s v="$4,000-$5,500"/>
        <s v="$1,000-$2,500"/>
        <s v="$2,500-$4,000"/>
        <s v="$8,500-$10,000"/>
        <s v="$14,500-$16,000"/>
        <s v="$11,500-$13,000"/>
        <s v="$19,000-$20,500"/>
        <s v="$10,000-$11,500"/>
        <s v="$17,500-$19,000"/>
        <s v="$13,000-$14,500"/>
        <s v="$7,000-$8,500"/>
        <s v="$16,000-$17,500"/>
        <s v="$5,000-$6,000" u="1"/>
        <s v="$2,000-$3,000" u="1"/>
        <s v="$3,000-$4,000" u="1"/>
        <s v="$9,000-$10,000" u="1"/>
        <s v="$4,000-$5,000" u="1"/>
        <s v="$15,000-$16,000" u="1"/>
        <s v="$11,000-$12,000" u="1"/>
        <s v="$1,000-$2,000" u="1"/>
        <s v="$19,000-$20,000" u="1"/>
        <s v="$6,000-$7,000" u="1"/>
        <s v="$10,000-$11,000" u="1"/>
        <s v="$18,000-$19,000" u="1"/>
        <s v="$8,000-$9,000" u="1"/>
        <s v="$13,000-$14,000" u="1"/>
        <s v="$7,000-$8,000" u="1"/>
        <s v="$14,000-$15,000" u="1"/>
        <s v="$17,000-$18,000" u="1"/>
        <s v="$16,000-$17,000" u="1"/>
        <s v="$12,000-$13,000" u="1"/>
        <s v="$5,000-$7,500" u="1"/>
        <s v="$2,500-$5,000" u="1"/>
        <s v="$7,500-$10,000" u="1"/>
        <s v="$15,000-$17,500" u="1"/>
        <s v="$10,000-$12,500" u="1"/>
        <s v="$17,500-$20,000" u="1"/>
        <s v="$12,500-$15,000" u="1"/>
        <s v="$5,001-$10,000" u="1"/>
        <s v="$1,009-$3,000" u="1"/>
        <s v="$3,001-$5,000" u="1"/>
        <s v="$10,001-$19,999" u="1"/>
      </sharedItems>
    </cacheField>
    <cacheField name="Monthly Rate" numFmtId="0">
      <sharedItems containsSemiMixedTypes="0" containsString="0" containsNumber="1" containsInteger="1" minValue="2094" maxValue="26999"/>
    </cacheField>
    <cacheField name="Montly Rate Category" numFmtId="0">
      <sharedItems count="4">
        <s v="$16,001-$22,000"/>
        <s v="$22,001-$26,999"/>
        <s v="$2,094-$8,000"/>
        <s v="$8,001-$16,000"/>
      </sharedItems>
    </cacheField>
    <cacheField name="Num Companies Worked" numFmtId="0">
      <sharedItems containsSemiMixedTypes="0" containsString="0" containsNumber="1" containsInteger="1" minValue="0" maxValue="9"/>
    </cacheField>
    <cacheField name="Num Companies Worked category" numFmtId="0">
      <sharedItems count="4">
        <s v="7-9"/>
        <s v="0-1"/>
        <s v="4-6"/>
        <s v="2-3"/>
      </sharedItems>
    </cacheField>
    <cacheField name="Over18" numFmtId="0">
      <sharedItems/>
    </cacheField>
    <cacheField name="Over Time" numFmtId="0">
      <sharedItems count="2">
        <s v="Yes"/>
        <s v="No"/>
      </sharedItems>
    </cacheField>
    <cacheField name="Percent Salary Hike" numFmtId="0">
      <sharedItems containsSemiMixedTypes="0" containsString="0" containsNumber="1" containsInteger="1" minValue="11" maxValue="25"/>
    </cacheField>
    <cacheField name="Percent Salary Hike Category" numFmtId="0">
      <sharedItems count="4">
        <s v="11-12%"/>
        <s v="18-19%"/>
        <s v="13-15%"/>
        <s v="16-17%"/>
      </sharedItems>
    </cacheField>
    <cacheField name="Performance Rating" numFmtId="0">
      <sharedItems containsSemiMixedTypes="0" containsString="0" containsNumber="1" containsInteger="1" minValue="3" maxValue="4"/>
    </cacheField>
    <cacheField name="Performance Rating Category" numFmtId="0">
      <sharedItems count="2">
        <s v="Excellent"/>
        <s v="Outstanding"/>
      </sharedItems>
    </cacheField>
    <cacheField name="Relationship Satisfaction" numFmtId="0">
      <sharedItems containsSemiMixedTypes="0" containsString="0" containsNumber="1" containsInteger="1" minValue="1" maxValue="4"/>
    </cacheField>
    <cacheField name="Relationship Satisfaction Category" numFmtId="0">
      <sharedItems count="5">
        <s v="Low"/>
        <s v="Very High"/>
        <s v="Relationship Satisfaction"/>
        <s v="High"/>
        <s v="Medium"/>
      </sharedItems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Total Working Year Category" numFmtId="0">
      <sharedItems count="5">
        <s v="6-10"/>
        <s v="11-20"/>
        <s v="0-2"/>
        <s v="3-5"/>
        <s v="21-40"/>
      </sharedItems>
    </cacheField>
    <cacheField name="Training Times Last Year" numFmtId="0">
      <sharedItems containsSemiMixedTypes="0" containsString="0" containsNumber="1" containsInteger="1" minValue="0" maxValue="6"/>
    </cacheField>
    <cacheField name="Training Times Last Year Category" numFmtId="0">
      <sharedItems count="3">
        <s v="0-2"/>
        <s v="3-4"/>
        <s v="5-6"/>
      </sharedItems>
    </cacheField>
    <cacheField name="Work Life Balance" numFmtId="0">
      <sharedItems containsSemiMixedTypes="0" containsString="0" containsNumber="1" containsInteger="1" minValue="1" maxValue="4"/>
    </cacheField>
    <cacheField name="WorkLife Balance Category" numFmtId="0">
      <sharedItems count="4">
        <s v="Bad"/>
        <s v="Better"/>
        <s v="Good"/>
        <s v="Best"/>
      </sharedItems>
    </cacheField>
    <cacheField name="Years At Company" numFmtId="0">
      <sharedItems containsSemiMixedTypes="0" containsString="0" containsNumber="1" containsInteger="1" minValue="0" maxValue="40"/>
    </cacheField>
    <cacheField name="Year At company Category" numFmtId="0">
      <sharedItems count="5">
        <s v="6-10"/>
        <s v="0-1"/>
        <s v="2-5"/>
        <s v="21-40"/>
        <s v="11-20"/>
      </sharedItems>
    </cacheField>
    <cacheField name="Years In Current Role" numFmtId="0">
      <sharedItems containsSemiMixedTypes="0" containsString="0" containsNumber="1" containsInteger="1" minValue="0" maxValue="18"/>
    </cacheField>
    <cacheField name="Years In Current Role Category" numFmtId="0">
      <sharedItems count="4">
        <s v="2-5"/>
        <s v="6-10"/>
        <s v="0-1"/>
        <s v="11-18"/>
      </sharedItems>
    </cacheField>
    <cacheField name="Years Since Last Promotion" numFmtId="0">
      <sharedItems containsSemiMixedTypes="0" containsString="0" containsNumber="1" containsInteger="1" minValue="0" maxValue="15"/>
    </cacheField>
    <cacheField name="Years Since Last Promotion Category" numFmtId="0">
      <sharedItems count="4">
        <s v="0-1"/>
        <s v="2-5"/>
        <s v="6-10"/>
        <s v="11-15"/>
      </sharedItems>
    </cacheField>
    <cacheField name="Years With Current Manager" numFmtId="0">
      <sharedItems containsSemiMixedTypes="0" containsString="0" containsNumber="1" containsInteger="1" minValue="0" maxValue="17"/>
    </cacheField>
    <cacheField name="Year With Current Manager Category" numFmtId="0">
      <sharedItems count="4">
        <s v="2-5"/>
        <s v="6-10"/>
        <s v="0-1"/>
        <s v="11-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x v="0"/>
    <x v="0"/>
    <n v="1"/>
    <x v="0"/>
    <n v="1102"/>
    <x v="0"/>
    <x v="0"/>
    <n v="1"/>
    <x v="0"/>
    <n v="2"/>
    <x v="0"/>
    <x v="0"/>
    <n v="1"/>
    <n v="2"/>
    <x v="0"/>
    <x v="0"/>
    <n v="94"/>
    <x v="0"/>
    <n v="3"/>
    <x v="0"/>
    <n v="2"/>
    <x v="0"/>
    <n v="4"/>
    <x v="0"/>
    <x v="0"/>
    <n v="5993"/>
    <x v="0"/>
    <n v="19479"/>
    <x v="0"/>
    <n v="8"/>
    <x v="0"/>
    <s v="Y"/>
    <x v="0"/>
    <n v="11"/>
    <x v="0"/>
    <n v="3"/>
    <x v="0"/>
    <n v="1"/>
    <x v="0"/>
    <n v="80"/>
    <n v="0"/>
    <n v="8"/>
    <x v="0"/>
    <n v="0"/>
    <x v="0"/>
    <n v="1"/>
    <x v="0"/>
    <n v="6"/>
    <x v="0"/>
    <n v="4"/>
    <x v="0"/>
    <n v="0"/>
    <x v="0"/>
    <n v="5"/>
    <x v="0"/>
  </r>
  <r>
    <n v="2"/>
    <n v="49"/>
    <x v="1"/>
    <x v="1"/>
    <n v="0"/>
    <x v="1"/>
    <n v="279"/>
    <x v="1"/>
    <x v="1"/>
    <n v="8"/>
    <x v="1"/>
    <n v="1"/>
    <x v="1"/>
    <x v="0"/>
    <n v="1"/>
    <n v="3"/>
    <x v="1"/>
    <x v="1"/>
    <n v="61"/>
    <x v="1"/>
    <n v="2"/>
    <x v="1"/>
    <n v="2"/>
    <x v="1"/>
    <n v="2"/>
    <x v="1"/>
    <x v="1"/>
    <n v="5130"/>
    <x v="1"/>
    <n v="24907"/>
    <x v="1"/>
    <n v="1"/>
    <x v="1"/>
    <s v="Y"/>
    <x v="1"/>
    <n v="23"/>
    <x v="1"/>
    <n v="4"/>
    <x v="1"/>
    <n v="4"/>
    <x v="1"/>
    <n v="80"/>
    <n v="1"/>
    <n v="10"/>
    <x v="0"/>
    <n v="3"/>
    <x v="1"/>
    <n v="3"/>
    <x v="1"/>
    <n v="10"/>
    <x v="0"/>
    <n v="7"/>
    <x v="1"/>
    <n v="1"/>
    <x v="0"/>
    <n v="7"/>
    <x v="1"/>
  </r>
  <r>
    <n v="4"/>
    <n v="37"/>
    <x v="0"/>
    <x v="0"/>
    <n v="1"/>
    <x v="0"/>
    <n v="1373"/>
    <x v="0"/>
    <x v="1"/>
    <n v="2"/>
    <x v="0"/>
    <n v="2"/>
    <x v="0"/>
    <x v="1"/>
    <n v="1"/>
    <n v="4"/>
    <x v="2"/>
    <x v="1"/>
    <n v="92"/>
    <x v="0"/>
    <n v="2"/>
    <x v="1"/>
    <n v="1"/>
    <x v="2"/>
    <n v="3"/>
    <x v="2"/>
    <x v="0"/>
    <n v="2090"/>
    <x v="2"/>
    <n v="2396"/>
    <x v="2"/>
    <n v="6"/>
    <x v="2"/>
    <s v="Y"/>
    <x v="0"/>
    <n v="15"/>
    <x v="2"/>
    <n v="3"/>
    <x v="0"/>
    <n v="2"/>
    <x v="2"/>
    <n v="80"/>
    <n v="0"/>
    <n v="7"/>
    <x v="0"/>
    <n v="3"/>
    <x v="1"/>
    <n v="3"/>
    <x v="1"/>
    <n v="0"/>
    <x v="1"/>
    <n v="0"/>
    <x v="2"/>
    <n v="0"/>
    <x v="0"/>
    <n v="0"/>
    <x v="2"/>
  </r>
  <r>
    <n v="5"/>
    <n v="33"/>
    <x v="2"/>
    <x v="1"/>
    <n v="0"/>
    <x v="1"/>
    <n v="1392"/>
    <x v="0"/>
    <x v="1"/>
    <n v="3"/>
    <x v="0"/>
    <n v="4"/>
    <x v="2"/>
    <x v="0"/>
    <n v="1"/>
    <n v="4"/>
    <x v="2"/>
    <x v="0"/>
    <n v="56"/>
    <x v="1"/>
    <n v="3"/>
    <x v="0"/>
    <n v="1"/>
    <x v="1"/>
    <n v="3"/>
    <x v="2"/>
    <x v="1"/>
    <n v="2909"/>
    <x v="3"/>
    <n v="23159"/>
    <x v="1"/>
    <n v="1"/>
    <x v="1"/>
    <s v="Y"/>
    <x v="0"/>
    <n v="11"/>
    <x v="0"/>
    <n v="3"/>
    <x v="0"/>
    <n v="3"/>
    <x v="3"/>
    <n v="80"/>
    <n v="0"/>
    <n v="8"/>
    <x v="0"/>
    <n v="3"/>
    <x v="1"/>
    <n v="3"/>
    <x v="1"/>
    <n v="8"/>
    <x v="0"/>
    <n v="7"/>
    <x v="1"/>
    <n v="3"/>
    <x v="1"/>
    <n v="0"/>
    <x v="2"/>
  </r>
  <r>
    <n v="7"/>
    <n v="27"/>
    <x v="2"/>
    <x v="1"/>
    <n v="0"/>
    <x v="0"/>
    <n v="591"/>
    <x v="2"/>
    <x v="1"/>
    <n v="2"/>
    <x v="0"/>
    <n v="1"/>
    <x v="1"/>
    <x v="2"/>
    <n v="1"/>
    <n v="1"/>
    <x v="3"/>
    <x v="1"/>
    <n v="40"/>
    <x v="2"/>
    <n v="3"/>
    <x v="0"/>
    <n v="1"/>
    <x v="2"/>
    <n v="2"/>
    <x v="1"/>
    <x v="1"/>
    <n v="3468"/>
    <x v="3"/>
    <n v="16632"/>
    <x v="0"/>
    <n v="9"/>
    <x v="0"/>
    <s v="Y"/>
    <x v="1"/>
    <n v="12"/>
    <x v="0"/>
    <n v="3"/>
    <x v="0"/>
    <n v="4"/>
    <x v="1"/>
    <n v="80"/>
    <n v="1"/>
    <n v="6"/>
    <x v="0"/>
    <n v="3"/>
    <x v="1"/>
    <n v="3"/>
    <x v="1"/>
    <n v="2"/>
    <x v="2"/>
    <n v="2"/>
    <x v="0"/>
    <n v="2"/>
    <x v="1"/>
    <n v="2"/>
    <x v="0"/>
  </r>
  <r>
    <n v="8"/>
    <n v="32"/>
    <x v="2"/>
    <x v="1"/>
    <n v="0"/>
    <x v="1"/>
    <n v="1005"/>
    <x v="0"/>
    <x v="1"/>
    <n v="2"/>
    <x v="0"/>
    <n v="2"/>
    <x v="0"/>
    <x v="0"/>
    <n v="1"/>
    <n v="4"/>
    <x v="2"/>
    <x v="1"/>
    <n v="79"/>
    <x v="0"/>
    <n v="3"/>
    <x v="0"/>
    <n v="1"/>
    <x v="2"/>
    <n v="4"/>
    <x v="0"/>
    <x v="0"/>
    <n v="3068"/>
    <x v="3"/>
    <n v="11864"/>
    <x v="3"/>
    <n v="0"/>
    <x v="1"/>
    <s v="Y"/>
    <x v="1"/>
    <n v="13"/>
    <x v="2"/>
    <n v="3"/>
    <x v="0"/>
    <n v="3"/>
    <x v="3"/>
    <n v="80"/>
    <n v="0"/>
    <n v="8"/>
    <x v="0"/>
    <n v="2"/>
    <x v="0"/>
    <n v="2"/>
    <x v="2"/>
    <n v="7"/>
    <x v="0"/>
    <n v="7"/>
    <x v="1"/>
    <n v="3"/>
    <x v="1"/>
    <n v="6"/>
    <x v="1"/>
  </r>
  <r>
    <n v="10"/>
    <n v="59"/>
    <x v="3"/>
    <x v="1"/>
    <n v="0"/>
    <x v="0"/>
    <n v="1324"/>
    <x v="0"/>
    <x v="1"/>
    <n v="3"/>
    <x v="0"/>
    <n v="3"/>
    <x v="3"/>
    <x v="2"/>
    <n v="1"/>
    <n v="3"/>
    <x v="1"/>
    <x v="0"/>
    <n v="81"/>
    <x v="0"/>
    <n v="4"/>
    <x v="2"/>
    <n v="1"/>
    <x v="2"/>
    <n v="1"/>
    <x v="3"/>
    <x v="1"/>
    <n v="2670"/>
    <x v="3"/>
    <n v="9964"/>
    <x v="3"/>
    <n v="4"/>
    <x v="2"/>
    <s v="Y"/>
    <x v="0"/>
    <n v="20"/>
    <x v="1"/>
    <n v="4"/>
    <x v="1"/>
    <n v="1"/>
    <x v="0"/>
    <n v="80"/>
    <n v="3"/>
    <n v="12"/>
    <x v="1"/>
    <n v="3"/>
    <x v="1"/>
    <n v="2"/>
    <x v="2"/>
    <n v="1"/>
    <x v="1"/>
    <n v="0"/>
    <x v="2"/>
    <n v="0"/>
    <x v="0"/>
    <n v="0"/>
    <x v="2"/>
  </r>
  <r>
    <n v="11"/>
    <n v="30"/>
    <x v="2"/>
    <x v="1"/>
    <n v="0"/>
    <x v="0"/>
    <n v="1358"/>
    <x v="0"/>
    <x v="1"/>
    <n v="24"/>
    <x v="2"/>
    <n v="1"/>
    <x v="1"/>
    <x v="0"/>
    <n v="1"/>
    <n v="4"/>
    <x v="2"/>
    <x v="1"/>
    <n v="67"/>
    <x v="1"/>
    <n v="3"/>
    <x v="0"/>
    <n v="1"/>
    <x v="2"/>
    <n v="3"/>
    <x v="2"/>
    <x v="2"/>
    <n v="2693"/>
    <x v="3"/>
    <n v="13335"/>
    <x v="3"/>
    <n v="1"/>
    <x v="1"/>
    <s v="Y"/>
    <x v="1"/>
    <n v="22"/>
    <x v="1"/>
    <n v="4"/>
    <x v="1"/>
    <n v="2"/>
    <x v="4"/>
    <n v="80"/>
    <n v="1"/>
    <n v="1"/>
    <x v="2"/>
    <n v="2"/>
    <x v="0"/>
    <n v="3"/>
    <x v="1"/>
    <n v="1"/>
    <x v="1"/>
    <n v="0"/>
    <x v="2"/>
    <n v="0"/>
    <x v="0"/>
    <n v="0"/>
    <x v="2"/>
  </r>
  <r>
    <n v="12"/>
    <n v="38"/>
    <x v="0"/>
    <x v="1"/>
    <n v="0"/>
    <x v="1"/>
    <n v="216"/>
    <x v="1"/>
    <x v="1"/>
    <n v="23"/>
    <x v="2"/>
    <n v="3"/>
    <x v="3"/>
    <x v="0"/>
    <n v="1"/>
    <n v="4"/>
    <x v="2"/>
    <x v="1"/>
    <n v="44"/>
    <x v="2"/>
    <n v="2"/>
    <x v="1"/>
    <n v="3"/>
    <x v="3"/>
    <n v="3"/>
    <x v="2"/>
    <x v="0"/>
    <n v="9526"/>
    <x v="4"/>
    <n v="8787"/>
    <x v="3"/>
    <n v="0"/>
    <x v="1"/>
    <s v="Y"/>
    <x v="1"/>
    <n v="21"/>
    <x v="1"/>
    <n v="4"/>
    <x v="1"/>
    <n v="2"/>
    <x v="4"/>
    <n v="80"/>
    <n v="0"/>
    <n v="10"/>
    <x v="0"/>
    <n v="2"/>
    <x v="0"/>
    <n v="3"/>
    <x v="1"/>
    <n v="9"/>
    <x v="0"/>
    <n v="7"/>
    <x v="1"/>
    <n v="1"/>
    <x v="0"/>
    <n v="8"/>
    <x v="1"/>
  </r>
  <r>
    <n v="13"/>
    <n v="36"/>
    <x v="0"/>
    <x v="1"/>
    <n v="0"/>
    <x v="0"/>
    <n v="1299"/>
    <x v="0"/>
    <x v="1"/>
    <n v="27"/>
    <x v="2"/>
    <n v="3"/>
    <x v="3"/>
    <x v="2"/>
    <n v="1"/>
    <n v="3"/>
    <x v="1"/>
    <x v="1"/>
    <n v="94"/>
    <x v="0"/>
    <n v="3"/>
    <x v="0"/>
    <n v="2"/>
    <x v="4"/>
    <n v="3"/>
    <x v="2"/>
    <x v="1"/>
    <n v="5237"/>
    <x v="1"/>
    <n v="16577"/>
    <x v="0"/>
    <n v="6"/>
    <x v="2"/>
    <s v="Y"/>
    <x v="1"/>
    <n v="13"/>
    <x v="2"/>
    <n v="3"/>
    <x v="0"/>
    <n v="2"/>
    <x v="4"/>
    <n v="80"/>
    <n v="2"/>
    <n v="17"/>
    <x v="1"/>
    <n v="3"/>
    <x v="1"/>
    <n v="2"/>
    <x v="2"/>
    <n v="7"/>
    <x v="0"/>
    <n v="7"/>
    <x v="1"/>
    <n v="7"/>
    <x v="2"/>
    <n v="7"/>
    <x v="1"/>
  </r>
  <r>
    <n v="14"/>
    <n v="35"/>
    <x v="2"/>
    <x v="1"/>
    <n v="0"/>
    <x v="0"/>
    <n v="809"/>
    <x v="2"/>
    <x v="1"/>
    <n v="16"/>
    <x v="3"/>
    <n v="3"/>
    <x v="3"/>
    <x v="2"/>
    <n v="1"/>
    <n v="1"/>
    <x v="3"/>
    <x v="1"/>
    <n v="84"/>
    <x v="0"/>
    <n v="4"/>
    <x v="2"/>
    <n v="1"/>
    <x v="2"/>
    <n v="2"/>
    <x v="1"/>
    <x v="1"/>
    <n v="2426"/>
    <x v="2"/>
    <n v="16479"/>
    <x v="0"/>
    <n v="0"/>
    <x v="1"/>
    <s v="Y"/>
    <x v="1"/>
    <n v="13"/>
    <x v="2"/>
    <n v="3"/>
    <x v="0"/>
    <n v="3"/>
    <x v="3"/>
    <n v="80"/>
    <n v="1"/>
    <n v="6"/>
    <x v="0"/>
    <n v="5"/>
    <x v="2"/>
    <n v="3"/>
    <x v="1"/>
    <n v="5"/>
    <x v="2"/>
    <n v="4"/>
    <x v="0"/>
    <n v="0"/>
    <x v="0"/>
    <n v="3"/>
    <x v="0"/>
  </r>
  <r>
    <n v="15"/>
    <n v="29"/>
    <x v="2"/>
    <x v="1"/>
    <n v="0"/>
    <x v="0"/>
    <n v="153"/>
    <x v="1"/>
    <x v="1"/>
    <n v="15"/>
    <x v="3"/>
    <n v="2"/>
    <x v="0"/>
    <x v="0"/>
    <n v="1"/>
    <n v="4"/>
    <x v="2"/>
    <x v="0"/>
    <n v="49"/>
    <x v="2"/>
    <n v="2"/>
    <x v="1"/>
    <n v="2"/>
    <x v="2"/>
    <n v="3"/>
    <x v="2"/>
    <x v="0"/>
    <n v="4193"/>
    <x v="1"/>
    <n v="12682"/>
    <x v="3"/>
    <n v="0"/>
    <x v="1"/>
    <s v="Y"/>
    <x v="0"/>
    <n v="12"/>
    <x v="0"/>
    <n v="3"/>
    <x v="0"/>
    <n v="4"/>
    <x v="1"/>
    <n v="80"/>
    <n v="0"/>
    <n v="10"/>
    <x v="0"/>
    <n v="3"/>
    <x v="1"/>
    <n v="3"/>
    <x v="1"/>
    <n v="9"/>
    <x v="0"/>
    <n v="5"/>
    <x v="0"/>
    <n v="0"/>
    <x v="0"/>
    <n v="8"/>
    <x v="1"/>
  </r>
  <r>
    <n v="16"/>
    <n v="31"/>
    <x v="2"/>
    <x v="1"/>
    <n v="0"/>
    <x v="0"/>
    <n v="670"/>
    <x v="2"/>
    <x v="1"/>
    <n v="26"/>
    <x v="2"/>
    <n v="1"/>
    <x v="1"/>
    <x v="0"/>
    <n v="1"/>
    <n v="1"/>
    <x v="3"/>
    <x v="1"/>
    <n v="31"/>
    <x v="2"/>
    <n v="3"/>
    <x v="0"/>
    <n v="1"/>
    <x v="1"/>
    <n v="3"/>
    <x v="2"/>
    <x v="2"/>
    <n v="2911"/>
    <x v="3"/>
    <n v="15170"/>
    <x v="3"/>
    <n v="1"/>
    <x v="1"/>
    <s v="Y"/>
    <x v="1"/>
    <n v="17"/>
    <x v="3"/>
    <n v="3"/>
    <x v="0"/>
    <n v="4"/>
    <x v="1"/>
    <n v="80"/>
    <n v="1"/>
    <n v="5"/>
    <x v="3"/>
    <n v="1"/>
    <x v="0"/>
    <n v="2"/>
    <x v="2"/>
    <n v="5"/>
    <x v="2"/>
    <n v="2"/>
    <x v="0"/>
    <n v="4"/>
    <x v="1"/>
    <n v="3"/>
    <x v="0"/>
  </r>
  <r>
    <n v="18"/>
    <n v="34"/>
    <x v="2"/>
    <x v="1"/>
    <n v="0"/>
    <x v="0"/>
    <n v="1346"/>
    <x v="0"/>
    <x v="1"/>
    <n v="19"/>
    <x v="3"/>
    <n v="2"/>
    <x v="0"/>
    <x v="2"/>
    <n v="1"/>
    <n v="2"/>
    <x v="0"/>
    <x v="1"/>
    <n v="93"/>
    <x v="0"/>
    <n v="3"/>
    <x v="0"/>
    <n v="1"/>
    <x v="2"/>
    <n v="4"/>
    <x v="0"/>
    <x v="2"/>
    <n v="2661"/>
    <x v="3"/>
    <n v="8758"/>
    <x v="3"/>
    <n v="0"/>
    <x v="1"/>
    <s v="Y"/>
    <x v="1"/>
    <n v="11"/>
    <x v="0"/>
    <n v="3"/>
    <x v="0"/>
    <n v="3"/>
    <x v="3"/>
    <n v="80"/>
    <n v="1"/>
    <n v="3"/>
    <x v="3"/>
    <n v="2"/>
    <x v="0"/>
    <n v="3"/>
    <x v="1"/>
    <n v="2"/>
    <x v="2"/>
    <n v="2"/>
    <x v="0"/>
    <n v="1"/>
    <x v="0"/>
    <n v="2"/>
    <x v="0"/>
  </r>
  <r>
    <n v="19"/>
    <n v="28"/>
    <x v="2"/>
    <x v="0"/>
    <n v="1"/>
    <x v="0"/>
    <n v="103"/>
    <x v="1"/>
    <x v="1"/>
    <n v="24"/>
    <x v="2"/>
    <n v="3"/>
    <x v="3"/>
    <x v="0"/>
    <n v="1"/>
    <n v="3"/>
    <x v="1"/>
    <x v="1"/>
    <n v="50"/>
    <x v="2"/>
    <n v="2"/>
    <x v="1"/>
    <n v="1"/>
    <x v="2"/>
    <n v="3"/>
    <x v="2"/>
    <x v="0"/>
    <n v="2028"/>
    <x v="2"/>
    <n v="12947"/>
    <x v="3"/>
    <n v="5"/>
    <x v="2"/>
    <s v="Y"/>
    <x v="0"/>
    <n v="14"/>
    <x v="2"/>
    <n v="3"/>
    <x v="0"/>
    <n v="2"/>
    <x v="4"/>
    <n v="80"/>
    <n v="0"/>
    <n v="6"/>
    <x v="0"/>
    <n v="4"/>
    <x v="1"/>
    <n v="3"/>
    <x v="1"/>
    <n v="4"/>
    <x v="2"/>
    <n v="2"/>
    <x v="0"/>
    <n v="0"/>
    <x v="0"/>
    <n v="3"/>
    <x v="0"/>
  </r>
  <r>
    <n v="20"/>
    <n v="29"/>
    <x v="2"/>
    <x v="1"/>
    <n v="0"/>
    <x v="0"/>
    <n v="1389"/>
    <x v="0"/>
    <x v="1"/>
    <n v="21"/>
    <x v="2"/>
    <n v="4"/>
    <x v="2"/>
    <x v="0"/>
    <n v="1"/>
    <n v="2"/>
    <x v="0"/>
    <x v="0"/>
    <n v="51"/>
    <x v="1"/>
    <n v="4"/>
    <x v="2"/>
    <n v="3"/>
    <x v="3"/>
    <n v="1"/>
    <x v="3"/>
    <x v="2"/>
    <n v="9980"/>
    <x v="4"/>
    <n v="10195"/>
    <x v="3"/>
    <n v="1"/>
    <x v="1"/>
    <s v="Y"/>
    <x v="1"/>
    <n v="11"/>
    <x v="0"/>
    <n v="3"/>
    <x v="0"/>
    <n v="3"/>
    <x v="3"/>
    <n v="80"/>
    <n v="1"/>
    <n v="10"/>
    <x v="0"/>
    <n v="1"/>
    <x v="0"/>
    <n v="3"/>
    <x v="1"/>
    <n v="10"/>
    <x v="0"/>
    <n v="9"/>
    <x v="1"/>
    <n v="8"/>
    <x v="2"/>
    <n v="8"/>
    <x v="1"/>
  </r>
  <r>
    <n v="21"/>
    <n v="32"/>
    <x v="2"/>
    <x v="1"/>
    <n v="0"/>
    <x v="0"/>
    <n v="334"/>
    <x v="1"/>
    <x v="1"/>
    <n v="5"/>
    <x v="0"/>
    <n v="2"/>
    <x v="0"/>
    <x v="0"/>
    <n v="1"/>
    <n v="1"/>
    <x v="3"/>
    <x v="1"/>
    <n v="80"/>
    <x v="0"/>
    <n v="4"/>
    <x v="2"/>
    <n v="1"/>
    <x v="1"/>
    <n v="2"/>
    <x v="1"/>
    <x v="2"/>
    <n v="3298"/>
    <x v="3"/>
    <n v="15053"/>
    <x v="3"/>
    <n v="0"/>
    <x v="1"/>
    <s v="Y"/>
    <x v="0"/>
    <n v="12"/>
    <x v="0"/>
    <n v="3"/>
    <x v="0"/>
    <n v="4"/>
    <x v="1"/>
    <n v="80"/>
    <n v="2"/>
    <n v="7"/>
    <x v="0"/>
    <n v="5"/>
    <x v="2"/>
    <n v="2"/>
    <x v="2"/>
    <n v="6"/>
    <x v="0"/>
    <n v="2"/>
    <x v="0"/>
    <n v="0"/>
    <x v="0"/>
    <n v="5"/>
    <x v="0"/>
  </r>
  <r>
    <n v="22"/>
    <n v="22"/>
    <x v="4"/>
    <x v="1"/>
    <n v="0"/>
    <x v="2"/>
    <n v="1123"/>
    <x v="0"/>
    <x v="1"/>
    <n v="16"/>
    <x v="3"/>
    <n v="2"/>
    <x v="0"/>
    <x v="2"/>
    <n v="1"/>
    <n v="4"/>
    <x v="2"/>
    <x v="1"/>
    <n v="96"/>
    <x v="0"/>
    <n v="4"/>
    <x v="2"/>
    <n v="1"/>
    <x v="2"/>
    <n v="4"/>
    <x v="0"/>
    <x v="2"/>
    <n v="2935"/>
    <x v="3"/>
    <n v="7324"/>
    <x v="2"/>
    <n v="1"/>
    <x v="1"/>
    <s v="Y"/>
    <x v="0"/>
    <n v="13"/>
    <x v="2"/>
    <n v="3"/>
    <x v="0"/>
    <n v="2"/>
    <x v="4"/>
    <n v="80"/>
    <n v="2"/>
    <n v="1"/>
    <x v="2"/>
    <n v="2"/>
    <x v="0"/>
    <n v="2"/>
    <x v="2"/>
    <n v="1"/>
    <x v="1"/>
    <n v="0"/>
    <x v="2"/>
    <n v="0"/>
    <x v="0"/>
    <n v="0"/>
    <x v="2"/>
  </r>
  <r>
    <n v="23"/>
    <n v="53"/>
    <x v="1"/>
    <x v="1"/>
    <n v="0"/>
    <x v="0"/>
    <n v="1219"/>
    <x v="0"/>
    <x v="0"/>
    <n v="2"/>
    <x v="0"/>
    <n v="4"/>
    <x v="2"/>
    <x v="0"/>
    <n v="1"/>
    <n v="1"/>
    <x v="3"/>
    <x v="0"/>
    <n v="78"/>
    <x v="0"/>
    <n v="2"/>
    <x v="1"/>
    <n v="4"/>
    <x v="5"/>
    <n v="4"/>
    <x v="0"/>
    <x v="1"/>
    <n v="15427"/>
    <x v="5"/>
    <n v="22021"/>
    <x v="1"/>
    <n v="2"/>
    <x v="3"/>
    <s v="Y"/>
    <x v="1"/>
    <n v="16"/>
    <x v="3"/>
    <n v="3"/>
    <x v="0"/>
    <n v="3"/>
    <x v="3"/>
    <n v="80"/>
    <n v="0"/>
    <n v="31"/>
    <x v="4"/>
    <n v="3"/>
    <x v="1"/>
    <n v="3"/>
    <x v="1"/>
    <n v="25"/>
    <x v="3"/>
    <n v="8"/>
    <x v="1"/>
    <n v="3"/>
    <x v="1"/>
    <n v="7"/>
    <x v="1"/>
  </r>
  <r>
    <n v="24"/>
    <n v="38"/>
    <x v="0"/>
    <x v="1"/>
    <n v="0"/>
    <x v="0"/>
    <n v="371"/>
    <x v="1"/>
    <x v="1"/>
    <n v="2"/>
    <x v="0"/>
    <n v="3"/>
    <x v="3"/>
    <x v="0"/>
    <n v="1"/>
    <n v="4"/>
    <x v="2"/>
    <x v="1"/>
    <n v="45"/>
    <x v="2"/>
    <n v="3"/>
    <x v="0"/>
    <n v="1"/>
    <x v="1"/>
    <n v="4"/>
    <x v="0"/>
    <x v="0"/>
    <n v="3944"/>
    <x v="3"/>
    <n v="4306"/>
    <x v="2"/>
    <n v="5"/>
    <x v="2"/>
    <s v="Y"/>
    <x v="0"/>
    <n v="11"/>
    <x v="0"/>
    <n v="3"/>
    <x v="0"/>
    <n v="3"/>
    <x v="3"/>
    <n v="80"/>
    <n v="0"/>
    <n v="6"/>
    <x v="0"/>
    <n v="3"/>
    <x v="1"/>
    <n v="3"/>
    <x v="1"/>
    <n v="3"/>
    <x v="2"/>
    <n v="2"/>
    <x v="0"/>
    <n v="1"/>
    <x v="0"/>
    <n v="2"/>
    <x v="0"/>
  </r>
  <r>
    <n v="26"/>
    <n v="24"/>
    <x v="4"/>
    <x v="1"/>
    <n v="0"/>
    <x v="2"/>
    <n v="673"/>
    <x v="2"/>
    <x v="1"/>
    <n v="11"/>
    <x v="3"/>
    <n v="2"/>
    <x v="0"/>
    <x v="1"/>
    <n v="1"/>
    <n v="1"/>
    <x v="3"/>
    <x v="0"/>
    <n v="96"/>
    <x v="0"/>
    <n v="4"/>
    <x v="2"/>
    <n v="2"/>
    <x v="3"/>
    <n v="3"/>
    <x v="2"/>
    <x v="2"/>
    <n v="4011"/>
    <x v="1"/>
    <n v="8232"/>
    <x v="3"/>
    <n v="0"/>
    <x v="1"/>
    <s v="Y"/>
    <x v="1"/>
    <n v="18"/>
    <x v="1"/>
    <n v="3"/>
    <x v="0"/>
    <n v="4"/>
    <x v="1"/>
    <n v="80"/>
    <n v="1"/>
    <n v="5"/>
    <x v="3"/>
    <n v="5"/>
    <x v="2"/>
    <n v="2"/>
    <x v="2"/>
    <n v="4"/>
    <x v="2"/>
    <n v="2"/>
    <x v="0"/>
    <n v="1"/>
    <x v="0"/>
    <n v="3"/>
    <x v="0"/>
  </r>
  <r>
    <n v="27"/>
    <n v="36"/>
    <x v="0"/>
    <x v="0"/>
    <n v="1"/>
    <x v="0"/>
    <n v="1218"/>
    <x v="0"/>
    <x v="0"/>
    <n v="9"/>
    <x v="1"/>
    <n v="4"/>
    <x v="2"/>
    <x v="0"/>
    <n v="1"/>
    <n v="3"/>
    <x v="1"/>
    <x v="1"/>
    <n v="82"/>
    <x v="0"/>
    <n v="2"/>
    <x v="1"/>
    <n v="1"/>
    <x v="6"/>
    <n v="1"/>
    <x v="3"/>
    <x v="0"/>
    <n v="3407"/>
    <x v="3"/>
    <n v="6986"/>
    <x v="2"/>
    <n v="7"/>
    <x v="0"/>
    <s v="Y"/>
    <x v="1"/>
    <n v="23"/>
    <x v="1"/>
    <n v="4"/>
    <x v="1"/>
    <n v="2"/>
    <x v="4"/>
    <n v="80"/>
    <n v="0"/>
    <n v="10"/>
    <x v="0"/>
    <n v="4"/>
    <x v="1"/>
    <n v="3"/>
    <x v="1"/>
    <n v="5"/>
    <x v="2"/>
    <n v="3"/>
    <x v="0"/>
    <n v="0"/>
    <x v="0"/>
    <n v="3"/>
    <x v="0"/>
  </r>
  <r>
    <n v="28"/>
    <n v="34"/>
    <x v="2"/>
    <x v="1"/>
    <n v="0"/>
    <x v="0"/>
    <n v="419"/>
    <x v="1"/>
    <x v="1"/>
    <n v="7"/>
    <x v="1"/>
    <n v="4"/>
    <x v="2"/>
    <x v="0"/>
    <n v="1"/>
    <n v="1"/>
    <x v="3"/>
    <x v="0"/>
    <n v="53"/>
    <x v="1"/>
    <n v="3"/>
    <x v="0"/>
    <n v="3"/>
    <x v="7"/>
    <n v="2"/>
    <x v="1"/>
    <x v="0"/>
    <n v="11994"/>
    <x v="6"/>
    <n v="21293"/>
    <x v="0"/>
    <n v="0"/>
    <x v="1"/>
    <s v="Y"/>
    <x v="1"/>
    <n v="11"/>
    <x v="0"/>
    <n v="3"/>
    <x v="0"/>
    <n v="3"/>
    <x v="3"/>
    <n v="80"/>
    <n v="0"/>
    <n v="13"/>
    <x v="1"/>
    <n v="4"/>
    <x v="1"/>
    <n v="3"/>
    <x v="1"/>
    <n v="12"/>
    <x v="4"/>
    <n v="6"/>
    <x v="1"/>
    <n v="2"/>
    <x v="1"/>
    <n v="11"/>
    <x v="3"/>
  </r>
  <r>
    <n v="30"/>
    <n v="21"/>
    <x v="4"/>
    <x v="1"/>
    <n v="0"/>
    <x v="0"/>
    <n v="391"/>
    <x v="1"/>
    <x v="1"/>
    <n v="15"/>
    <x v="3"/>
    <n v="2"/>
    <x v="0"/>
    <x v="0"/>
    <n v="1"/>
    <n v="3"/>
    <x v="1"/>
    <x v="1"/>
    <n v="96"/>
    <x v="0"/>
    <n v="3"/>
    <x v="0"/>
    <n v="1"/>
    <x v="1"/>
    <n v="4"/>
    <x v="0"/>
    <x v="0"/>
    <n v="1232"/>
    <x v="2"/>
    <n v="19281"/>
    <x v="0"/>
    <n v="1"/>
    <x v="1"/>
    <s v="Y"/>
    <x v="1"/>
    <n v="14"/>
    <x v="2"/>
    <n v="3"/>
    <x v="0"/>
    <n v="4"/>
    <x v="1"/>
    <n v="80"/>
    <n v="0"/>
    <n v="0"/>
    <x v="2"/>
    <n v="6"/>
    <x v="2"/>
    <n v="3"/>
    <x v="1"/>
    <n v="0"/>
    <x v="1"/>
    <n v="0"/>
    <x v="2"/>
    <n v="0"/>
    <x v="0"/>
    <n v="0"/>
    <x v="2"/>
  </r>
  <r>
    <n v="31"/>
    <n v="34"/>
    <x v="2"/>
    <x v="0"/>
    <n v="1"/>
    <x v="0"/>
    <n v="699"/>
    <x v="2"/>
    <x v="1"/>
    <n v="6"/>
    <x v="1"/>
    <n v="1"/>
    <x v="1"/>
    <x v="2"/>
    <n v="1"/>
    <n v="2"/>
    <x v="0"/>
    <x v="1"/>
    <n v="83"/>
    <x v="0"/>
    <n v="3"/>
    <x v="0"/>
    <n v="1"/>
    <x v="1"/>
    <n v="1"/>
    <x v="3"/>
    <x v="0"/>
    <n v="2960"/>
    <x v="3"/>
    <n v="17102"/>
    <x v="0"/>
    <n v="2"/>
    <x v="3"/>
    <s v="Y"/>
    <x v="1"/>
    <n v="11"/>
    <x v="0"/>
    <n v="3"/>
    <x v="0"/>
    <n v="3"/>
    <x v="3"/>
    <n v="80"/>
    <n v="0"/>
    <n v="8"/>
    <x v="0"/>
    <n v="2"/>
    <x v="0"/>
    <n v="3"/>
    <x v="1"/>
    <n v="4"/>
    <x v="2"/>
    <n v="2"/>
    <x v="0"/>
    <n v="1"/>
    <x v="0"/>
    <n v="3"/>
    <x v="0"/>
  </r>
  <r>
    <n v="32"/>
    <n v="53"/>
    <x v="1"/>
    <x v="1"/>
    <n v="0"/>
    <x v="0"/>
    <n v="1282"/>
    <x v="0"/>
    <x v="1"/>
    <n v="5"/>
    <x v="0"/>
    <n v="3"/>
    <x v="3"/>
    <x v="1"/>
    <n v="1"/>
    <n v="3"/>
    <x v="1"/>
    <x v="0"/>
    <n v="58"/>
    <x v="1"/>
    <n v="3"/>
    <x v="0"/>
    <n v="5"/>
    <x v="5"/>
    <n v="3"/>
    <x v="2"/>
    <x v="2"/>
    <n v="19094"/>
    <x v="7"/>
    <n v="10735"/>
    <x v="3"/>
    <n v="4"/>
    <x v="2"/>
    <s v="Y"/>
    <x v="1"/>
    <n v="11"/>
    <x v="0"/>
    <n v="3"/>
    <x v="0"/>
    <n v="4"/>
    <x v="1"/>
    <n v="80"/>
    <n v="1"/>
    <n v="26"/>
    <x v="4"/>
    <n v="3"/>
    <x v="1"/>
    <n v="2"/>
    <x v="2"/>
    <n v="14"/>
    <x v="4"/>
    <n v="13"/>
    <x v="3"/>
    <n v="4"/>
    <x v="1"/>
    <n v="8"/>
    <x v="1"/>
  </r>
  <r>
    <n v="33"/>
    <n v="32"/>
    <x v="2"/>
    <x v="0"/>
    <n v="1"/>
    <x v="1"/>
    <n v="1125"/>
    <x v="0"/>
    <x v="1"/>
    <n v="16"/>
    <x v="3"/>
    <n v="1"/>
    <x v="1"/>
    <x v="0"/>
    <n v="1"/>
    <n v="2"/>
    <x v="0"/>
    <x v="0"/>
    <n v="72"/>
    <x v="1"/>
    <n v="1"/>
    <x v="3"/>
    <n v="1"/>
    <x v="1"/>
    <n v="1"/>
    <x v="3"/>
    <x v="0"/>
    <n v="3919"/>
    <x v="3"/>
    <n v="4681"/>
    <x v="2"/>
    <n v="1"/>
    <x v="1"/>
    <s v="Y"/>
    <x v="0"/>
    <n v="22"/>
    <x v="1"/>
    <n v="4"/>
    <x v="1"/>
    <n v="2"/>
    <x v="4"/>
    <n v="80"/>
    <n v="0"/>
    <n v="10"/>
    <x v="0"/>
    <n v="5"/>
    <x v="2"/>
    <n v="3"/>
    <x v="1"/>
    <n v="10"/>
    <x v="0"/>
    <n v="2"/>
    <x v="0"/>
    <n v="6"/>
    <x v="2"/>
    <n v="7"/>
    <x v="1"/>
  </r>
  <r>
    <n v="35"/>
    <n v="42"/>
    <x v="0"/>
    <x v="1"/>
    <n v="0"/>
    <x v="0"/>
    <n v="691"/>
    <x v="2"/>
    <x v="0"/>
    <n v="8"/>
    <x v="1"/>
    <n v="4"/>
    <x v="2"/>
    <x v="3"/>
    <n v="1"/>
    <n v="3"/>
    <x v="1"/>
    <x v="1"/>
    <n v="48"/>
    <x v="2"/>
    <n v="3"/>
    <x v="0"/>
    <n v="2"/>
    <x v="0"/>
    <n v="2"/>
    <x v="1"/>
    <x v="1"/>
    <n v="6825"/>
    <x v="0"/>
    <n v="21173"/>
    <x v="0"/>
    <n v="0"/>
    <x v="1"/>
    <s v="Y"/>
    <x v="1"/>
    <n v="11"/>
    <x v="0"/>
    <n v="3"/>
    <x v="0"/>
    <n v="4"/>
    <x v="1"/>
    <n v="80"/>
    <n v="1"/>
    <n v="10"/>
    <x v="0"/>
    <n v="2"/>
    <x v="0"/>
    <n v="3"/>
    <x v="1"/>
    <n v="9"/>
    <x v="0"/>
    <n v="7"/>
    <x v="1"/>
    <n v="4"/>
    <x v="1"/>
    <n v="2"/>
    <x v="0"/>
  </r>
  <r>
    <n v="36"/>
    <n v="44"/>
    <x v="0"/>
    <x v="1"/>
    <n v="0"/>
    <x v="0"/>
    <n v="477"/>
    <x v="1"/>
    <x v="1"/>
    <n v="7"/>
    <x v="1"/>
    <n v="4"/>
    <x v="2"/>
    <x v="2"/>
    <n v="1"/>
    <n v="1"/>
    <x v="3"/>
    <x v="0"/>
    <n v="42"/>
    <x v="2"/>
    <n v="2"/>
    <x v="1"/>
    <n v="3"/>
    <x v="4"/>
    <n v="4"/>
    <x v="0"/>
    <x v="1"/>
    <n v="10248"/>
    <x v="8"/>
    <n v="2094"/>
    <x v="2"/>
    <n v="3"/>
    <x v="3"/>
    <s v="Y"/>
    <x v="1"/>
    <n v="14"/>
    <x v="2"/>
    <n v="3"/>
    <x v="0"/>
    <n v="4"/>
    <x v="1"/>
    <n v="80"/>
    <n v="1"/>
    <n v="24"/>
    <x v="4"/>
    <n v="4"/>
    <x v="1"/>
    <n v="3"/>
    <x v="1"/>
    <n v="22"/>
    <x v="3"/>
    <n v="6"/>
    <x v="1"/>
    <n v="5"/>
    <x v="1"/>
    <n v="17"/>
    <x v="3"/>
  </r>
  <r>
    <n v="38"/>
    <n v="46"/>
    <x v="1"/>
    <x v="1"/>
    <n v="0"/>
    <x v="0"/>
    <n v="705"/>
    <x v="2"/>
    <x v="0"/>
    <n v="2"/>
    <x v="0"/>
    <n v="4"/>
    <x v="2"/>
    <x v="3"/>
    <n v="1"/>
    <n v="2"/>
    <x v="0"/>
    <x v="0"/>
    <n v="83"/>
    <x v="0"/>
    <n v="3"/>
    <x v="0"/>
    <n v="5"/>
    <x v="5"/>
    <n v="1"/>
    <x v="3"/>
    <x v="0"/>
    <n v="18947"/>
    <x v="9"/>
    <n v="22822"/>
    <x v="1"/>
    <n v="3"/>
    <x v="3"/>
    <s v="Y"/>
    <x v="1"/>
    <n v="12"/>
    <x v="0"/>
    <n v="3"/>
    <x v="0"/>
    <n v="4"/>
    <x v="1"/>
    <n v="80"/>
    <n v="0"/>
    <n v="22"/>
    <x v="4"/>
    <n v="2"/>
    <x v="0"/>
    <n v="2"/>
    <x v="2"/>
    <n v="2"/>
    <x v="2"/>
    <n v="2"/>
    <x v="0"/>
    <n v="2"/>
    <x v="1"/>
    <n v="1"/>
    <x v="2"/>
  </r>
  <r>
    <n v="39"/>
    <n v="33"/>
    <x v="2"/>
    <x v="1"/>
    <n v="0"/>
    <x v="0"/>
    <n v="924"/>
    <x v="2"/>
    <x v="1"/>
    <n v="2"/>
    <x v="0"/>
    <n v="3"/>
    <x v="3"/>
    <x v="2"/>
    <n v="1"/>
    <n v="3"/>
    <x v="1"/>
    <x v="1"/>
    <n v="78"/>
    <x v="0"/>
    <n v="3"/>
    <x v="0"/>
    <n v="1"/>
    <x v="2"/>
    <n v="4"/>
    <x v="0"/>
    <x v="0"/>
    <n v="2496"/>
    <x v="2"/>
    <n v="6670"/>
    <x v="2"/>
    <n v="4"/>
    <x v="2"/>
    <s v="Y"/>
    <x v="1"/>
    <n v="11"/>
    <x v="0"/>
    <n v="3"/>
    <x v="0"/>
    <n v="4"/>
    <x v="1"/>
    <n v="80"/>
    <n v="0"/>
    <n v="7"/>
    <x v="0"/>
    <n v="3"/>
    <x v="1"/>
    <n v="3"/>
    <x v="1"/>
    <n v="1"/>
    <x v="1"/>
    <n v="1"/>
    <x v="2"/>
    <n v="0"/>
    <x v="0"/>
    <n v="0"/>
    <x v="2"/>
  </r>
  <r>
    <n v="40"/>
    <n v="44"/>
    <x v="0"/>
    <x v="1"/>
    <n v="0"/>
    <x v="0"/>
    <n v="1459"/>
    <x v="0"/>
    <x v="1"/>
    <n v="10"/>
    <x v="1"/>
    <n v="4"/>
    <x v="2"/>
    <x v="1"/>
    <n v="1"/>
    <n v="4"/>
    <x v="2"/>
    <x v="1"/>
    <n v="41"/>
    <x v="2"/>
    <n v="3"/>
    <x v="0"/>
    <n v="2"/>
    <x v="4"/>
    <n v="4"/>
    <x v="0"/>
    <x v="1"/>
    <n v="6465"/>
    <x v="0"/>
    <n v="19121"/>
    <x v="0"/>
    <n v="2"/>
    <x v="3"/>
    <s v="Y"/>
    <x v="0"/>
    <n v="13"/>
    <x v="2"/>
    <n v="3"/>
    <x v="0"/>
    <n v="4"/>
    <x v="1"/>
    <n v="80"/>
    <n v="0"/>
    <n v="9"/>
    <x v="0"/>
    <n v="5"/>
    <x v="2"/>
    <n v="4"/>
    <x v="3"/>
    <n v="4"/>
    <x v="2"/>
    <n v="2"/>
    <x v="0"/>
    <n v="1"/>
    <x v="0"/>
    <n v="3"/>
    <x v="0"/>
  </r>
  <r>
    <n v="41"/>
    <n v="30"/>
    <x v="2"/>
    <x v="1"/>
    <n v="0"/>
    <x v="0"/>
    <n v="125"/>
    <x v="1"/>
    <x v="1"/>
    <n v="9"/>
    <x v="1"/>
    <n v="2"/>
    <x v="0"/>
    <x v="2"/>
    <n v="1"/>
    <n v="4"/>
    <x v="2"/>
    <x v="1"/>
    <n v="83"/>
    <x v="0"/>
    <n v="2"/>
    <x v="1"/>
    <n v="1"/>
    <x v="2"/>
    <n v="3"/>
    <x v="2"/>
    <x v="0"/>
    <n v="2206"/>
    <x v="2"/>
    <n v="16117"/>
    <x v="0"/>
    <n v="1"/>
    <x v="1"/>
    <s v="Y"/>
    <x v="1"/>
    <n v="13"/>
    <x v="2"/>
    <n v="3"/>
    <x v="0"/>
    <n v="1"/>
    <x v="0"/>
    <n v="80"/>
    <n v="0"/>
    <n v="10"/>
    <x v="0"/>
    <n v="5"/>
    <x v="2"/>
    <n v="3"/>
    <x v="1"/>
    <n v="10"/>
    <x v="0"/>
    <n v="0"/>
    <x v="2"/>
    <n v="1"/>
    <x v="0"/>
    <n v="8"/>
    <x v="1"/>
  </r>
  <r>
    <n v="42"/>
    <n v="39"/>
    <x v="0"/>
    <x v="0"/>
    <n v="1"/>
    <x v="0"/>
    <n v="895"/>
    <x v="2"/>
    <x v="0"/>
    <n v="5"/>
    <x v="0"/>
    <n v="3"/>
    <x v="3"/>
    <x v="4"/>
    <n v="1"/>
    <n v="4"/>
    <x v="2"/>
    <x v="1"/>
    <n v="56"/>
    <x v="1"/>
    <n v="3"/>
    <x v="0"/>
    <n v="2"/>
    <x v="6"/>
    <n v="4"/>
    <x v="0"/>
    <x v="1"/>
    <n v="2086"/>
    <x v="2"/>
    <n v="3335"/>
    <x v="2"/>
    <n v="3"/>
    <x v="3"/>
    <s v="Y"/>
    <x v="1"/>
    <n v="14"/>
    <x v="2"/>
    <n v="3"/>
    <x v="0"/>
    <n v="3"/>
    <x v="3"/>
    <n v="80"/>
    <n v="1"/>
    <n v="19"/>
    <x v="1"/>
    <n v="6"/>
    <x v="2"/>
    <n v="4"/>
    <x v="3"/>
    <n v="1"/>
    <x v="1"/>
    <n v="0"/>
    <x v="2"/>
    <n v="0"/>
    <x v="0"/>
    <n v="0"/>
    <x v="2"/>
  </r>
  <r>
    <n v="45"/>
    <n v="24"/>
    <x v="4"/>
    <x v="0"/>
    <n v="1"/>
    <x v="0"/>
    <n v="813"/>
    <x v="2"/>
    <x v="1"/>
    <n v="1"/>
    <x v="0"/>
    <n v="3"/>
    <x v="3"/>
    <x v="2"/>
    <n v="1"/>
    <n v="2"/>
    <x v="0"/>
    <x v="1"/>
    <n v="61"/>
    <x v="1"/>
    <n v="3"/>
    <x v="0"/>
    <n v="1"/>
    <x v="1"/>
    <n v="4"/>
    <x v="0"/>
    <x v="1"/>
    <n v="2293"/>
    <x v="2"/>
    <n v="3020"/>
    <x v="2"/>
    <n v="2"/>
    <x v="3"/>
    <s v="Y"/>
    <x v="0"/>
    <n v="16"/>
    <x v="3"/>
    <n v="3"/>
    <x v="0"/>
    <n v="1"/>
    <x v="0"/>
    <n v="80"/>
    <n v="1"/>
    <n v="6"/>
    <x v="0"/>
    <n v="2"/>
    <x v="0"/>
    <n v="2"/>
    <x v="2"/>
    <n v="2"/>
    <x v="2"/>
    <n v="0"/>
    <x v="2"/>
    <n v="2"/>
    <x v="1"/>
    <n v="0"/>
    <x v="2"/>
  </r>
  <r>
    <n v="46"/>
    <n v="43"/>
    <x v="0"/>
    <x v="1"/>
    <n v="0"/>
    <x v="0"/>
    <n v="1273"/>
    <x v="0"/>
    <x v="1"/>
    <n v="2"/>
    <x v="0"/>
    <n v="2"/>
    <x v="0"/>
    <x v="2"/>
    <n v="1"/>
    <n v="4"/>
    <x v="2"/>
    <x v="0"/>
    <n v="72"/>
    <x v="1"/>
    <n v="4"/>
    <x v="2"/>
    <n v="1"/>
    <x v="1"/>
    <n v="3"/>
    <x v="2"/>
    <x v="2"/>
    <n v="2645"/>
    <x v="3"/>
    <n v="21923"/>
    <x v="0"/>
    <n v="1"/>
    <x v="1"/>
    <s v="Y"/>
    <x v="1"/>
    <n v="12"/>
    <x v="0"/>
    <n v="3"/>
    <x v="0"/>
    <n v="4"/>
    <x v="1"/>
    <n v="80"/>
    <n v="2"/>
    <n v="6"/>
    <x v="0"/>
    <n v="3"/>
    <x v="1"/>
    <n v="2"/>
    <x v="2"/>
    <n v="5"/>
    <x v="2"/>
    <n v="3"/>
    <x v="0"/>
    <n v="1"/>
    <x v="0"/>
    <n v="4"/>
    <x v="0"/>
  </r>
  <r>
    <n v="47"/>
    <n v="50"/>
    <x v="1"/>
    <x v="0"/>
    <n v="1"/>
    <x v="0"/>
    <n v="869"/>
    <x v="2"/>
    <x v="0"/>
    <n v="3"/>
    <x v="0"/>
    <n v="2"/>
    <x v="0"/>
    <x v="3"/>
    <n v="1"/>
    <n v="1"/>
    <x v="3"/>
    <x v="1"/>
    <n v="86"/>
    <x v="0"/>
    <n v="2"/>
    <x v="1"/>
    <n v="1"/>
    <x v="6"/>
    <n v="3"/>
    <x v="2"/>
    <x v="1"/>
    <n v="2683"/>
    <x v="3"/>
    <n v="3810"/>
    <x v="2"/>
    <n v="1"/>
    <x v="1"/>
    <s v="Y"/>
    <x v="0"/>
    <n v="14"/>
    <x v="2"/>
    <n v="3"/>
    <x v="0"/>
    <n v="3"/>
    <x v="3"/>
    <n v="80"/>
    <n v="0"/>
    <n v="3"/>
    <x v="3"/>
    <n v="2"/>
    <x v="0"/>
    <n v="3"/>
    <x v="1"/>
    <n v="3"/>
    <x v="2"/>
    <n v="2"/>
    <x v="0"/>
    <n v="0"/>
    <x v="0"/>
    <n v="2"/>
    <x v="0"/>
  </r>
  <r>
    <n v="49"/>
    <n v="35"/>
    <x v="2"/>
    <x v="1"/>
    <n v="0"/>
    <x v="0"/>
    <n v="890"/>
    <x v="2"/>
    <x v="0"/>
    <n v="2"/>
    <x v="0"/>
    <n v="3"/>
    <x v="3"/>
    <x v="3"/>
    <n v="1"/>
    <n v="4"/>
    <x v="2"/>
    <x v="0"/>
    <n v="97"/>
    <x v="0"/>
    <n v="3"/>
    <x v="0"/>
    <n v="1"/>
    <x v="6"/>
    <n v="4"/>
    <x v="0"/>
    <x v="1"/>
    <n v="2014"/>
    <x v="2"/>
    <n v="9687"/>
    <x v="3"/>
    <n v="1"/>
    <x v="1"/>
    <s v="Y"/>
    <x v="1"/>
    <n v="13"/>
    <x v="2"/>
    <n v="3"/>
    <x v="0"/>
    <n v="1"/>
    <x v="0"/>
    <n v="80"/>
    <n v="0"/>
    <n v="2"/>
    <x v="2"/>
    <n v="3"/>
    <x v="1"/>
    <n v="3"/>
    <x v="1"/>
    <n v="2"/>
    <x v="2"/>
    <n v="2"/>
    <x v="0"/>
    <n v="2"/>
    <x v="1"/>
    <n v="2"/>
    <x v="0"/>
  </r>
  <r>
    <n v="51"/>
    <n v="36"/>
    <x v="0"/>
    <x v="1"/>
    <n v="0"/>
    <x v="0"/>
    <n v="852"/>
    <x v="2"/>
    <x v="1"/>
    <n v="5"/>
    <x v="0"/>
    <n v="4"/>
    <x v="2"/>
    <x v="0"/>
    <n v="1"/>
    <n v="2"/>
    <x v="0"/>
    <x v="0"/>
    <n v="82"/>
    <x v="0"/>
    <n v="2"/>
    <x v="1"/>
    <n v="1"/>
    <x v="1"/>
    <n v="1"/>
    <x v="3"/>
    <x v="1"/>
    <n v="3419"/>
    <x v="3"/>
    <n v="13072"/>
    <x v="3"/>
    <n v="9"/>
    <x v="0"/>
    <s v="Y"/>
    <x v="0"/>
    <n v="14"/>
    <x v="2"/>
    <n v="3"/>
    <x v="0"/>
    <n v="4"/>
    <x v="1"/>
    <n v="80"/>
    <n v="1"/>
    <n v="6"/>
    <x v="0"/>
    <n v="3"/>
    <x v="1"/>
    <n v="4"/>
    <x v="3"/>
    <n v="1"/>
    <x v="1"/>
    <n v="1"/>
    <x v="2"/>
    <n v="0"/>
    <x v="0"/>
    <n v="0"/>
    <x v="2"/>
  </r>
  <r>
    <n v="52"/>
    <n v="33"/>
    <x v="2"/>
    <x v="1"/>
    <n v="0"/>
    <x v="1"/>
    <n v="1141"/>
    <x v="0"/>
    <x v="0"/>
    <n v="1"/>
    <x v="0"/>
    <n v="3"/>
    <x v="3"/>
    <x v="0"/>
    <n v="1"/>
    <n v="3"/>
    <x v="1"/>
    <x v="0"/>
    <n v="42"/>
    <x v="2"/>
    <n v="4"/>
    <x v="2"/>
    <n v="2"/>
    <x v="0"/>
    <n v="1"/>
    <x v="3"/>
    <x v="1"/>
    <n v="5376"/>
    <x v="1"/>
    <n v="3193"/>
    <x v="2"/>
    <n v="2"/>
    <x v="3"/>
    <s v="Y"/>
    <x v="1"/>
    <n v="19"/>
    <x v="1"/>
    <n v="3"/>
    <x v="0"/>
    <n v="1"/>
    <x v="0"/>
    <n v="80"/>
    <n v="2"/>
    <n v="10"/>
    <x v="0"/>
    <n v="3"/>
    <x v="1"/>
    <n v="3"/>
    <x v="1"/>
    <n v="5"/>
    <x v="2"/>
    <n v="3"/>
    <x v="0"/>
    <n v="1"/>
    <x v="0"/>
    <n v="3"/>
    <x v="0"/>
  </r>
  <r>
    <n v="53"/>
    <n v="35"/>
    <x v="2"/>
    <x v="1"/>
    <n v="0"/>
    <x v="0"/>
    <n v="464"/>
    <x v="1"/>
    <x v="1"/>
    <n v="4"/>
    <x v="0"/>
    <n v="2"/>
    <x v="0"/>
    <x v="1"/>
    <n v="1"/>
    <n v="3"/>
    <x v="1"/>
    <x v="1"/>
    <n v="75"/>
    <x v="1"/>
    <n v="3"/>
    <x v="0"/>
    <n v="1"/>
    <x v="2"/>
    <n v="4"/>
    <x v="0"/>
    <x v="2"/>
    <n v="1951"/>
    <x v="2"/>
    <n v="10910"/>
    <x v="3"/>
    <n v="1"/>
    <x v="1"/>
    <s v="Y"/>
    <x v="1"/>
    <n v="12"/>
    <x v="0"/>
    <n v="3"/>
    <x v="0"/>
    <n v="3"/>
    <x v="3"/>
    <n v="80"/>
    <n v="1"/>
    <n v="1"/>
    <x v="2"/>
    <n v="3"/>
    <x v="1"/>
    <n v="3"/>
    <x v="1"/>
    <n v="1"/>
    <x v="1"/>
    <n v="0"/>
    <x v="2"/>
    <n v="0"/>
    <x v="0"/>
    <n v="0"/>
    <x v="2"/>
  </r>
  <r>
    <n v="54"/>
    <n v="27"/>
    <x v="2"/>
    <x v="1"/>
    <n v="0"/>
    <x v="0"/>
    <n v="1240"/>
    <x v="0"/>
    <x v="1"/>
    <n v="2"/>
    <x v="0"/>
    <n v="4"/>
    <x v="2"/>
    <x v="0"/>
    <n v="1"/>
    <n v="4"/>
    <x v="2"/>
    <x v="0"/>
    <n v="33"/>
    <x v="2"/>
    <n v="3"/>
    <x v="0"/>
    <n v="1"/>
    <x v="2"/>
    <n v="1"/>
    <x v="3"/>
    <x v="2"/>
    <n v="2341"/>
    <x v="2"/>
    <n v="19715"/>
    <x v="0"/>
    <n v="1"/>
    <x v="1"/>
    <s v="Y"/>
    <x v="1"/>
    <n v="13"/>
    <x v="2"/>
    <n v="3"/>
    <x v="0"/>
    <n v="4"/>
    <x v="1"/>
    <n v="80"/>
    <n v="1"/>
    <n v="1"/>
    <x v="2"/>
    <n v="6"/>
    <x v="2"/>
    <n v="3"/>
    <x v="1"/>
    <n v="1"/>
    <x v="1"/>
    <n v="0"/>
    <x v="2"/>
    <n v="0"/>
    <x v="0"/>
    <n v="0"/>
    <x v="2"/>
  </r>
  <r>
    <n v="55"/>
    <n v="26"/>
    <x v="2"/>
    <x v="0"/>
    <n v="1"/>
    <x v="0"/>
    <n v="1357"/>
    <x v="0"/>
    <x v="1"/>
    <n v="25"/>
    <x v="2"/>
    <n v="3"/>
    <x v="3"/>
    <x v="0"/>
    <n v="1"/>
    <n v="1"/>
    <x v="3"/>
    <x v="1"/>
    <n v="48"/>
    <x v="2"/>
    <n v="1"/>
    <x v="3"/>
    <n v="1"/>
    <x v="2"/>
    <n v="3"/>
    <x v="2"/>
    <x v="0"/>
    <n v="2293"/>
    <x v="2"/>
    <n v="10558"/>
    <x v="3"/>
    <n v="1"/>
    <x v="1"/>
    <s v="Y"/>
    <x v="1"/>
    <n v="12"/>
    <x v="0"/>
    <n v="3"/>
    <x v="0"/>
    <n v="3"/>
    <x v="3"/>
    <n v="80"/>
    <n v="0"/>
    <n v="1"/>
    <x v="2"/>
    <n v="2"/>
    <x v="0"/>
    <n v="2"/>
    <x v="2"/>
    <n v="1"/>
    <x v="1"/>
    <n v="0"/>
    <x v="2"/>
    <n v="0"/>
    <x v="0"/>
    <n v="1"/>
    <x v="2"/>
  </r>
  <r>
    <n v="56"/>
    <n v="27"/>
    <x v="2"/>
    <x v="1"/>
    <n v="0"/>
    <x v="1"/>
    <n v="994"/>
    <x v="2"/>
    <x v="0"/>
    <n v="8"/>
    <x v="1"/>
    <n v="3"/>
    <x v="3"/>
    <x v="0"/>
    <n v="1"/>
    <n v="4"/>
    <x v="2"/>
    <x v="1"/>
    <n v="37"/>
    <x v="2"/>
    <n v="3"/>
    <x v="0"/>
    <n v="3"/>
    <x v="0"/>
    <n v="3"/>
    <x v="2"/>
    <x v="0"/>
    <n v="8726"/>
    <x v="4"/>
    <n v="2975"/>
    <x v="2"/>
    <n v="1"/>
    <x v="1"/>
    <s v="Y"/>
    <x v="1"/>
    <n v="15"/>
    <x v="2"/>
    <n v="3"/>
    <x v="0"/>
    <n v="4"/>
    <x v="1"/>
    <n v="80"/>
    <n v="0"/>
    <n v="9"/>
    <x v="0"/>
    <n v="0"/>
    <x v="0"/>
    <n v="3"/>
    <x v="1"/>
    <n v="9"/>
    <x v="0"/>
    <n v="8"/>
    <x v="1"/>
    <n v="1"/>
    <x v="0"/>
    <n v="7"/>
    <x v="1"/>
  </r>
  <r>
    <n v="57"/>
    <n v="30"/>
    <x v="2"/>
    <x v="1"/>
    <n v="0"/>
    <x v="1"/>
    <n v="721"/>
    <x v="2"/>
    <x v="1"/>
    <n v="1"/>
    <x v="0"/>
    <n v="2"/>
    <x v="0"/>
    <x v="2"/>
    <n v="1"/>
    <n v="3"/>
    <x v="1"/>
    <x v="0"/>
    <n v="58"/>
    <x v="1"/>
    <n v="3"/>
    <x v="0"/>
    <n v="2"/>
    <x v="2"/>
    <n v="4"/>
    <x v="0"/>
    <x v="0"/>
    <n v="4011"/>
    <x v="1"/>
    <n v="10781"/>
    <x v="3"/>
    <n v="1"/>
    <x v="1"/>
    <s v="Y"/>
    <x v="1"/>
    <n v="23"/>
    <x v="1"/>
    <n v="4"/>
    <x v="1"/>
    <n v="4"/>
    <x v="1"/>
    <n v="80"/>
    <n v="0"/>
    <n v="12"/>
    <x v="1"/>
    <n v="2"/>
    <x v="0"/>
    <n v="3"/>
    <x v="1"/>
    <n v="12"/>
    <x v="4"/>
    <n v="8"/>
    <x v="1"/>
    <n v="3"/>
    <x v="1"/>
    <n v="7"/>
    <x v="1"/>
  </r>
  <r>
    <n v="58"/>
    <n v="41"/>
    <x v="0"/>
    <x v="0"/>
    <n v="1"/>
    <x v="0"/>
    <n v="1360"/>
    <x v="0"/>
    <x v="1"/>
    <n v="12"/>
    <x v="3"/>
    <n v="3"/>
    <x v="3"/>
    <x v="4"/>
    <n v="1"/>
    <n v="2"/>
    <x v="0"/>
    <x v="0"/>
    <n v="49"/>
    <x v="2"/>
    <n v="3"/>
    <x v="0"/>
    <n v="5"/>
    <x v="7"/>
    <n v="3"/>
    <x v="2"/>
    <x v="1"/>
    <n v="19545"/>
    <x v="7"/>
    <n v="16280"/>
    <x v="0"/>
    <n v="1"/>
    <x v="1"/>
    <s v="Y"/>
    <x v="1"/>
    <n v="12"/>
    <x v="0"/>
    <n v="3"/>
    <x v="0"/>
    <n v="4"/>
    <x v="1"/>
    <n v="80"/>
    <n v="0"/>
    <n v="23"/>
    <x v="4"/>
    <n v="0"/>
    <x v="0"/>
    <n v="3"/>
    <x v="1"/>
    <n v="22"/>
    <x v="3"/>
    <n v="15"/>
    <x v="3"/>
    <n v="15"/>
    <x v="3"/>
    <n v="8"/>
    <x v="1"/>
  </r>
  <r>
    <n v="60"/>
    <n v="34"/>
    <x v="2"/>
    <x v="1"/>
    <n v="0"/>
    <x v="2"/>
    <n v="1065"/>
    <x v="0"/>
    <x v="0"/>
    <n v="23"/>
    <x v="2"/>
    <n v="4"/>
    <x v="2"/>
    <x v="3"/>
    <n v="1"/>
    <n v="2"/>
    <x v="0"/>
    <x v="1"/>
    <n v="72"/>
    <x v="1"/>
    <n v="3"/>
    <x v="0"/>
    <n v="2"/>
    <x v="0"/>
    <n v="3"/>
    <x v="2"/>
    <x v="0"/>
    <n v="4568"/>
    <x v="1"/>
    <n v="10034"/>
    <x v="3"/>
    <n v="0"/>
    <x v="1"/>
    <s v="Y"/>
    <x v="1"/>
    <n v="20"/>
    <x v="1"/>
    <n v="4"/>
    <x v="1"/>
    <n v="3"/>
    <x v="3"/>
    <n v="80"/>
    <n v="0"/>
    <n v="10"/>
    <x v="0"/>
    <n v="2"/>
    <x v="0"/>
    <n v="3"/>
    <x v="1"/>
    <n v="9"/>
    <x v="0"/>
    <n v="5"/>
    <x v="0"/>
    <n v="8"/>
    <x v="2"/>
    <n v="7"/>
    <x v="1"/>
  </r>
  <r>
    <n v="61"/>
    <n v="37"/>
    <x v="0"/>
    <x v="1"/>
    <n v="0"/>
    <x v="0"/>
    <n v="408"/>
    <x v="1"/>
    <x v="1"/>
    <n v="19"/>
    <x v="3"/>
    <n v="2"/>
    <x v="0"/>
    <x v="0"/>
    <n v="1"/>
    <n v="2"/>
    <x v="0"/>
    <x v="1"/>
    <n v="73"/>
    <x v="1"/>
    <n v="3"/>
    <x v="0"/>
    <n v="1"/>
    <x v="1"/>
    <n v="2"/>
    <x v="1"/>
    <x v="1"/>
    <n v="3022"/>
    <x v="3"/>
    <n v="10227"/>
    <x v="3"/>
    <n v="4"/>
    <x v="2"/>
    <s v="Y"/>
    <x v="1"/>
    <n v="21"/>
    <x v="1"/>
    <n v="4"/>
    <x v="1"/>
    <n v="1"/>
    <x v="0"/>
    <n v="80"/>
    <n v="0"/>
    <n v="8"/>
    <x v="0"/>
    <n v="1"/>
    <x v="0"/>
    <n v="3"/>
    <x v="1"/>
    <n v="1"/>
    <x v="1"/>
    <n v="0"/>
    <x v="2"/>
    <n v="0"/>
    <x v="0"/>
    <n v="0"/>
    <x v="2"/>
  </r>
  <r>
    <n v="62"/>
    <n v="46"/>
    <x v="1"/>
    <x v="1"/>
    <n v="0"/>
    <x v="1"/>
    <n v="1211"/>
    <x v="0"/>
    <x v="0"/>
    <n v="5"/>
    <x v="0"/>
    <n v="4"/>
    <x v="2"/>
    <x v="3"/>
    <n v="1"/>
    <n v="1"/>
    <x v="3"/>
    <x v="1"/>
    <n v="98"/>
    <x v="0"/>
    <n v="3"/>
    <x v="0"/>
    <n v="2"/>
    <x v="0"/>
    <n v="4"/>
    <x v="0"/>
    <x v="0"/>
    <n v="5772"/>
    <x v="0"/>
    <n v="20445"/>
    <x v="0"/>
    <n v="4"/>
    <x v="2"/>
    <s v="Y"/>
    <x v="0"/>
    <n v="21"/>
    <x v="1"/>
    <n v="4"/>
    <x v="1"/>
    <n v="3"/>
    <x v="3"/>
    <n v="80"/>
    <n v="0"/>
    <n v="14"/>
    <x v="1"/>
    <n v="4"/>
    <x v="1"/>
    <n v="3"/>
    <x v="1"/>
    <n v="9"/>
    <x v="0"/>
    <n v="6"/>
    <x v="1"/>
    <n v="0"/>
    <x v="0"/>
    <n v="8"/>
    <x v="1"/>
  </r>
  <r>
    <n v="63"/>
    <n v="35"/>
    <x v="2"/>
    <x v="1"/>
    <n v="0"/>
    <x v="0"/>
    <n v="1229"/>
    <x v="0"/>
    <x v="1"/>
    <n v="8"/>
    <x v="1"/>
    <n v="1"/>
    <x v="1"/>
    <x v="0"/>
    <n v="1"/>
    <n v="4"/>
    <x v="2"/>
    <x v="1"/>
    <n v="36"/>
    <x v="2"/>
    <n v="4"/>
    <x v="2"/>
    <n v="1"/>
    <x v="2"/>
    <n v="4"/>
    <x v="0"/>
    <x v="1"/>
    <n v="2269"/>
    <x v="2"/>
    <n v="4892"/>
    <x v="2"/>
    <n v="1"/>
    <x v="1"/>
    <s v="Y"/>
    <x v="1"/>
    <n v="19"/>
    <x v="1"/>
    <n v="3"/>
    <x v="0"/>
    <n v="4"/>
    <x v="1"/>
    <n v="80"/>
    <n v="0"/>
    <n v="1"/>
    <x v="2"/>
    <n v="2"/>
    <x v="0"/>
    <n v="3"/>
    <x v="1"/>
    <n v="1"/>
    <x v="1"/>
    <n v="0"/>
    <x v="2"/>
    <n v="0"/>
    <x v="0"/>
    <n v="1"/>
    <x v="2"/>
  </r>
  <r>
    <n v="64"/>
    <n v="48"/>
    <x v="1"/>
    <x v="0"/>
    <n v="1"/>
    <x v="0"/>
    <n v="626"/>
    <x v="2"/>
    <x v="1"/>
    <n v="1"/>
    <x v="0"/>
    <n v="2"/>
    <x v="0"/>
    <x v="0"/>
    <n v="1"/>
    <n v="1"/>
    <x v="3"/>
    <x v="1"/>
    <n v="98"/>
    <x v="0"/>
    <n v="2"/>
    <x v="1"/>
    <n v="3"/>
    <x v="2"/>
    <n v="3"/>
    <x v="2"/>
    <x v="0"/>
    <n v="5381"/>
    <x v="1"/>
    <n v="19294"/>
    <x v="0"/>
    <n v="9"/>
    <x v="0"/>
    <s v="Y"/>
    <x v="0"/>
    <n v="13"/>
    <x v="2"/>
    <n v="3"/>
    <x v="0"/>
    <n v="4"/>
    <x v="1"/>
    <n v="80"/>
    <n v="0"/>
    <n v="23"/>
    <x v="4"/>
    <n v="2"/>
    <x v="0"/>
    <n v="3"/>
    <x v="1"/>
    <n v="1"/>
    <x v="1"/>
    <n v="0"/>
    <x v="2"/>
    <n v="0"/>
    <x v="0"/>
    <n v="0"/>
    <x v="2"/>
  </r>
  <r>
    <n v="65"/>
    <n v="28"/>
    <x v="2"/>
    <x v="0"/>
    <n v="1"/>
    <x v="0"/>
    <n v="1434"/>
    <x v="0"/>
    <x v="1"/>
    <n v="5"/>
    <x v="0"/>
    <n v="4"/>
    <x v="2"/>
    <x v="4"/>
    <n v="1"/>
    <n v="3"/>
    <x v="1"/>
    <x v="1"/>
    <n v="50"/>
    <x v="2"/>
    <n v="3"/>
    <x v="0"/>
    <n v="1"/>
    <x v="2"/>
    <n v="3"/>
    <x v="2"/>
    <x v="0"/>
    <n v="3441"/>
    <x v="3"/>
    <n v="11179"/>
    <x v="3"/>
    <n v="1"/>
    <x v="1"/>
    <s v="Y"/>
    <x v="0"/>
    <n v="13"/>
    <x v="2"/>
    <n v="3"/>
    <x v="0"/>
    <n v="3"/>
    <x v="3"/>
    <n v="80"/>
    <n v="0"/>
    <n v="2"/>
    <x v="2"/>
    <n v="3"/>
    <x v="1"/>
    <n v="2"/>
    <x v="2"/>
    <n v="2"/>
    <x v="2"/>
    <n v="2"/>
    <x v="0"/>
    <n v="2"/>
    <x v="1"/>
    <n v="2"/>
    <x v="0"/>
  </r>
  <r>
    <n v="68"/>
    <n v="44"/>
    <x v="0"/>
    <x v="1"/>
    <n v="0"/>
    <x v="0"/>
    <n v="1488"/>
    <x v="0"/>
    <x v="0"/>
    <n v="1"/>
    <x v="0"/>
    <n v="5"/>
    <x v="4"/>
    <x v="3"/>
    <n v="1"/>
    <n v="2"/>
    <x v="0"/>
    <x v="0"/>
    <n v="75"/>
    <x v="1"/>
    <n v="3"/>
    <x v="0"/>
    <n v="2"/>
    <x v="0"/>
    <n v="1"/>
    <x v="3"/>
    <x v="2"/>
    <n v="5454"/>
    <x v="1"/>
    <n v="4009"/>
    <x v="2"/>
    <n v="5"/>
    <x v="2"/>
    <s v="Y"/>
    <x v="0"/>
    <n v="21"/>
    <x v="1"/>
    <n v="4"/>
    <x v="1"/>
    <n v="3"/>
    <x v="3"/>
    <n v="80"/>
    <n v="1"/>
    <n v="9"/>
    <x v="0"/>
    <n v="2"/>
    <x v="0"/>
    <n v="2"/>
    <x v="2"/>
    <n v="4"/>
    <x v="2"/>
    <n v="3"/>
    <x v="0"/>
    <n v="1"/>
    <x v="0"/>
    <n v="3"/>
    <x v="0"/>
  </r>
  <r>
    <n v="70"/>
    <n v="35"/>
    <x v="2"/>
    <x v="1"/>
    <n v="0"/>
    <x v="2"/>
    <n v="1097"/>
    <x v="0"/>
    <x v="1"/>
    <n v="11"/>
    <x v="3"/>
    <n v="2"/>
    <x v="0"/>
    <x v="2"/>
    <n v="1"/>
    <n v="3"/>
    <x v="1"/>
    <x v="1"/>
    <n v="79"/>
    <x v="0"/>
    <n v="2"/>
    <x v="1"/>
    <n v="3"/>
    <x v="4"/>
    <n v="1"/>
    <x v="3"/>
    <x v="1"/>
    <n v="9884"/>
    <x v="4"/>
    <n v="8302"/>
    <x v="3"/>
    <n v="2"/>
    <x v="3"/>
    <s v="Y"/>
    <x v="0"/>
    <n v="13"/>
    <x v="2"/>
    <n v="3"/>
    <x v="0"/>
    <n v="3"/>
    <x v="3"/>
    <n v="80"/>
    <n v="1"/>
    <n v="10"/>
    <x v="0"/>
    <n v="3"/>
    <x v="1"/>
    <n v="3"/>
    <x v="1"/>
    <n v="4"/>
    <x v="2"/>
    <n v="0"/>
    <x v="2"/>
    <n v="2"/>
    <x v="1"/>
    <n v="3"/>
    <x v="0"/>
  </r>
  <r>
    <n v="72"/>
    <n v="26"/>
    <x v="2"/>
    <x v="1"/>
    <n v="0"/>
    <x v="0"/>
    <n v="1443"/>
    <x v="0"/>
    <x v="0"/>
    <n v="23"/>
    <x v="2"/>
    <n v="3"/>
    <x v="3"/>
    <x v="3"/>
    <n v="1"/>
    <n v="3"/>
    <x v="1"/>
    <x v="0"/>
    <n v="47"/>
    <x v="2"/>
    <n v="2"/>
    <x v="1"/>
    <n v="2"/>
    <x v="0"/>
    <n v="4"/>
    <x v="0"/>
    <x v="1"/>
    <n v="4157"/>
    <x v="1"/>
    <n v="21436"/>
    <x v="0"/>
    <n v="7"/>
    <x v="0"/>
    <s v="Y"/>
    <x v="0"/>
    <n v="19"/>
    <x v="1"/>
    <n v="3"/>
    <x v="0"/>
    <n v="3"/>
    <x v="3"/>
    <n v="80"/>
    <n v="1"/>
    <n v="5"/>
    <x v="3"/>
    <n v="2"/>
    <x v="0"/>
    <n v="2"/>
    <x v="2"/>
    <n v="2"/>
    <x v="2"/>
    <n v="2"/>
    <x v="0"/>
    <n v="0"/>
    <x v="0"/>
    <n v="0"/>
    <x v="2"/>
  </r>
  <r>
    <n v="73"/>
    <n v="33"/>
    <x v="2"/>
    <x v="1"/>
    <n v="0"/>
    <x v="1"/>
    <n v="515"/>
    <x v="2"/>
    <x v="1"/>
    <n v="1"/>
    <x v="0"/>
    <n v="2"/>
    <x v="0"/>
    <x v="0"/>
    <n v="1"/>
    <n v="1"/>
    <x v="3"/>
    <x v="0"/>
    <n v="98"/>
    <x v="0"/>
    <n v="3"/>
    <x v="0"/>
    <n v="3"/>
    <x v="7"/>
    <n v="4"/>
    <x v="0"/>
    <x v="0"/>
    <n v="13458"/>
    <x v="10"/>
    <n v="15146"/>
    <x v="3"/>
    <n v="1"/>
    <x v="1"/>
    <s v="Y"/>
    <x v="0"/>
    <n v="12"/>
    <x v="0"/>
    <n v="3"/>
    <x v="0"/>
    <n v="3"/>
    <x v="3"/>
    <n v="80"/>
    <n v="0"/>
    <n v="15"/>
    <x v="1"/>
    <n v="1"/>
    <x v="0"/>
    <n v="3"/>
    <x v="1"/>
    <n v="15"/>
    <x v="4"/>
    <n v="14"/>
    <x v="3"/>
    <n v="8"/>
    <x v="2"/>
    <n v="12"/>
    <x v="3"/>
  </r>
  <r>
    <n v="74"/>
    <n v="35"/>
    <x v="2"/>
    <x v="1"/>
    <n v="0"/>
    <x v="1"/>
    <n v="853"/>
    <x v="2"/>
    <x v="0"/>
    <n v="18"/>
    <x v="3"/>
    <n v="5"/>
    <x v="4"/>
    <x v="0"/>
    <n v="1"/>
    <n v="2"/>
    <x v="0"/>
    <x v="1"/>
    <n v="71"/>
    <x v="1"/>
    <n v="3"/>
    <x v="0"/>
    <n v="3"/>
    <x v="0"/>
    <n v="1"/>
    <x v="3"/>
    <x v="1"/>
    <n v="9069"/>
    <x v="4"/>
    <n v="11031"/>
    <x v="3"/>
    <n v="1"/>
    <x v="1"/>
    <s v="Y"/>
    <x v="1"/>
    <n v="22"/>
    <x v="1"/>
    <n v="4"/>
    <x v="1"/>
    <n v="4"/>
    <x v="1"/>
    <n v="80"/>
    <n v="1"/>
    <n v="9"/>
    <x v="0"/>
    <n v="3"/>
    <x v="1"/>
    <n v="2"/>
    <x v="2"/>
    <n v="9"/>
    <x v="0"/>
    <n v="8"/>
    <x v="1"/>
    <n v="1"/>
    <x v="0"/>
    <n v="8"/>
    <x v="1"/>
  </r>
  <r>
    <n v="75"/>
    <n v="35"/>
    <x v="2"/>
    <x v="1"/>
    <n v="0"/>
    <x v="0"/>
    <n v="1142"/>
    <x v="0"/>
    <x v="1"/>
    <n v="23"/>
    <x v="2"/>
    <n v="4"/>
    <x v="2"/>
    <x v="2"/>
    <n v="1"/>
    <n v="3"/>
    <x v="1"/>
    <x v="0"/>
    <n v="30"/>
    <x v="2"/>
    <n v="3"/>
    <x v="0"/>
    <n v="1"/>
    <x v="2"/>
    <n v="1"/>
    <x v="3"/>
    <x v="1"/>
    <n v="4014"/>
    <x v="1"/>
    <n v="16002"/>
    <x v="0"/>
    <n v="3"/>
    <x v="3"/>
    <s v="Y"/>
    <x v="0"/>
    <n v="15"/>
    <x v="2"/>
    <n v="3"/>
    <x v="0"/>
    <n v="3"/>
    <x v="3"/>
    <n v="80"/>
    <n v="1"/>
    <n v="4"/>
    <x v="3"/>
    <n v="3"/>
    <x v="1"/>
    <n v="3"/>
    <x v="1"/>
    <n v="2"/>
    <x v="2"/>
    <n v="2"/>
    <x v="0"/>
    <n v="2"/>
    <x v="1"/>
    <n v="2"/>
    <x v="0"/>
  </r>
  <r>
    <n v="76"/>
    <n v="31"/>
    <x v="2"/>
    <x v="1"/>
    <n v="0"/>
    <x v="0"/>
    <n v="655"/>
    <x v="2"/>
    <x v="1"/>
    <n v="7"/>
    <x v="1"/>
    <n v="4"/>
    <x v="2"/>
    <x v="0"/>
    <n v="1"/>
    <n v="4"/>
    <x v="2"/>
    <x v="1"/>
    <n v="48"/>
    <x v="2"/>
    <n v="3"/>
    <x v="0"/>
    <n v="2"/>
    <x v="2"/>
    <n v="4"/>
    <x v="0"/>
    <x v="2"/>
    <n v="5915"/>
    <x v="0"/>
    <n v="9528"/>
    <x v="3"/>
    <n v="3"/>
    <x v="3"/>
    <s v="Y"/>
    <x v="1"/>
    <n v="22"/>
    <x v="1"/>
    <n v="4"/>
    <x v="1"/>
    <n v="4"/>
    <x v="1"/>
    <n v="80"/>
    <n v="1"/>
    <n v="10"/>
    <x v="0"/>
    <n v="3"/>
    <x v="1"/>
    <n v="2"/>
    <x v="2"/>
    <n v="7"/>
    <x v="0"/>
    <n v="7"/>
    <x v="1"/>
    <n v="1"/>
    <x v="0"/>
    <n v="7"/>
    <x v="1"/>
  </r>
  <r>
    <n v="77"/>
    <n v="37"/>
    <x v="0"/>
    <x v="1"/>
    <n v="0"/>
    <x v="0"/>
    <n v="1115"/>
    <x v="0"/>
    <x v="1"/>
    <n v="1"/>
    <x v="0"/>
    <n v="4"/>
    <x v="2"/>
    <x v="0"/>
    <n v="1"/>
    <n v="1"/>
    <x v="3"/>
    <x v="1"/>
    <n v="51"/>
    <x v="1"/>
    <n v="2"/>
    <x v="1"/>
    <n v="2"/>
    <x v="3"/>
    <n v="3"/>
    <x v="2"/>
    <x v="2"/>
    <n v="5993"/>
    <x v="0"/>
    <n v="2689"/>
    <x v="2"/>
    <n v="1"/>
    <x v="1"/>
    <s v="Y"/>
    <x v="1"/>
    <n v="18"/>
    <x v="1"/>
    <n v="3"/>
    <x v="0"/>
    <n v="3"/>
    <x v="3"/>
    <n v="80"/>
    <n v="1"/>
    <n v="7"/>
    <x v="0"/>
    <n v="2"/>
    <x v="0"/>
    <n v="4"/>
    <x v="3"/>
    <n v="7"/>
    <x v="0"/>
    <n v="5"/>
    <x v="0"/>
    <n v="0"/>
    <x v="0"/>
    <n v="7"/>
    <x v="1"/>
  </r>
  <r>
    <n v="78"/>
    <n v="32"/>
    <x v="2"/>
    <x v="1"/>
    <n v="0"/>
    <x v="0"/>
    <n v="427"/>
    <x v="1"/>
    <x v="1"/>
    <n v="1"/>
    <x v="0"/>
    <n v="3"/>
    <x v="3"/>
    <x v="2"/>
    <n v="1"/>
    <n v="1"/>
    <x v="3"/>
    <x v="1"/>
    <n v="33"/>
    <x v="2"/>
    <n v="3"/>
    <x v="0"/>
    <n v="2"/>
    <x v="3"/>
    <n v="4"/>
    <x v="0"/>
    <x v="1"/>
    <n v="6162"/>
    <x v="0"/>
    <n v="10877"/>
    <x v="3"/>
    <n v="1"/>
    <x v="1"/>
    <s v="Y"/>
    <x v="0"/>
    <n v="22"/>
    <x v="1"/>
    <n v="4"/>
    <x v="1"/>
    <n v="2"/>
    <x v="4"/>
    <n v="80"/>
    <n v="1"/>
    <n v="9"/>
    <x v="0"/>
    <n v="3"/>
    <x v="1"/>
    <n v="3"/>
    <x v="1"/>
    <n v="9"/>
    <x v="0"/>
    <n v="8"/>
    <x v="1"/>
    <n v="7"/>
    <x v="2"/>
    <n v="8"/>
    <x v="1"/>
  </r>
  <r>
    <n v="79"/>
    <n v="38"/>
    <x v="0"/>
    <x v="1"/>
    <n v="0"/>
    <x v="1"/>
    <n v="653"/>
    <x v="2"/>
    <x v="1"/>
    <n v="29"/>
    <x v="2"/>
    <n v="5"/>
    <x v="4"/>
    <x v="0"/>
    <n v="1"/>
    <n v="4"/>
    <x v="2"/>
    <x v="0"/>
    <n v="50"/>
    <x v="2"/>
    <n v="3"/>
    <x v="0"/>
    <n v="2"/>
    <x v="2"/>
    <n v="4"/>
    <x v="0"/>
    <x v="0"/>
    <n v="2406"/>
    <x v="2"/>
    <n v="5456"/>
    <x v="2"/>
    <n v="1"/>
    <x v="1"/>
    <s v="Y"/>
    <x v="1"/>
    <n v="11"/>
    <x v="0"/>
    <n v="3"/>
    <x v="0"/>
    <n v="4"/>
    <x v="1"/>
    <n v="80"/>
    <n v="0"/>
    <n v="10"/>
    <x v="0"/>
    <n v="2"/>
    <x v="0"/>
    <n v="3"/>
    <x v="1"/>
    <n v="10"/>
    <x v="0"/>
    <n v="3"/>
    <x v="0"/>
    <n v="9"/>
    <x v="2"/>
    <n v="9"/>
    <x v="1"/>
  </r>
  <r>
    <n v="80"/>
    <n v="50"/>
    <x v="1"/>
    <x v="1"/>
    <n v="0"/>
    <x v="0"/>
    <n v="989"/>
    <x v="2"/>
    <x v="1"/>
    <n v="7"/>
    <x v="1"/>
    <n v="2"/>
    <x v="0"/>
    <x v="2"/>
    <n v="1"/>
    <n v="2"/>
    <x v="0"/>
    <x v="0"/>
    <n v="43"/>
    <x v="2"/>
    <n v="2"/>
    <x v="1"/>
    <n v="5"/>
    <x v="7"/>
    <n v="3"/>
    <x v="2"/>
    <x v="2"/>
    <n v="18740"/>
    <x v="9"/>
    <n v="16701"/>
    <x v="0"/>
    <n v="5"/>
    <x v="2"/>
    <s v="Y"/>
    <x v="0"/>
    <n v="12"/>
    <x v="0"/>
    <n v="3"/>
    <x v="0"/>
    <n v="4"/>
    <x v="1"/>
    <n v="80"/>
    <n v="1"/>
    <n v="29"/>
    <x v="4"/>
    <n v="2"/>
    <x v="0"/>
    <n v="2"/>
    <x v="2"/>
    <n v="27"/>
    <x v="3"/>
    <n v="3"/>
    <x v="0"/>
    <n v="13"/>
    <x v="3"/>
    <n v="8"/>
    <x v="1"/>
  </r>
  <r>
    <n v="81"/>
    <n v="59"/>
    <x v="3"/>
    <x v="1"/>
    <n v="0"/>
    <x v="0"/>
    <n v="1435"/>
    <x v="0"/>
    <x v="0"/>
    <n v="25"/>
    <x v="2"/>
    <n v="3"/>
    <x v="3"/>
    <x v="0"/>
    <n v="1"/>
    <n v="1"/>
    <x v="3"/>
    <x v="0"/>
    <n v="99"/>
    <x v="0"/>
    <n v="3"/>
    <x v="0"/>
    <n v="3"/>
    <x v="0"/>
    <n v="1"/>
    <x v="3"/>
    <x v="0"/>
    <n v="7637"/>
    <x v="11"/>
    <n v="2354"/>
    <x v="2"/>
    <n v="7"/>
    <x v="0"/>
    <s v="Y"/>
    <x v="1"/>
    <n v="11"/>
    <x v="0"/>
    <n v="3"/>
    <x v="0"/>
    <n v="4"/>
    <x v="1"/>
    <n v="80"/>
    <n v="0"/>
    <n v="28"/>
    <x v="4"/>
    <n v="3"/>
    <x v="1"/>
    <n v="2"/>
    <x v="2"/>
    <n v="21"/>
    <x v="3"/>
    <n v="16"/>
    <x v="3"/>
    <n v="7"/>
    <x v="2"/>
    <n v="9"/>
    <x v="1"/>
  </r>
  <r>
    <n v="83"/>
    <n v="36"/>
    <x v="0"/>
    <x v="1"/>
    <n v="0"/>
    <x v="0"/>
    <n v="1223"/>
    <x v="0"/>
    <x v="1"/>
    <n v="8"/>
    <x v="1"/>
    <n v="3"/>
    <x v="3"/>
    <x v="4"/>
    <n v="1"/>
    <n v="3"/>
    <x v="1"/>
    <x v="0"/>
    <n v="59"/>
    <x v="1"/>
    <n v="3"/>
    <x v="0"/>
    <n v="3"/>
    <x v="4"/>
    <n v="3"/>
    <x v="2"/>
    <x v="2"/>
    <n v="10096"/>
    <x v="8"/>
    <n v="8202"/>
    <x v="3"/>
    <n v="1"/>
    <x v="1"/>
    <s v="Y"/>
    <x v="1"/>
    <n v="13"/>
    <x v="2"/>
    <n v="3"/>
    <x v="0"/>
    <n v="2"/>
    <x v="4"/>
    <n v="80"/>
    <n v="3"/>
    <n v="17"/>
    <x v="1"/>
    <n v="2"/>
    <x v="0"/>
    <n v="3"/>
    <x v="1"/>
    <n v="17"/>
    <x v="4"/>
    <n v="14"/>
    <x v="3"/>
    <n v="12"/>
    <x v="3"/>
    <n v="8"/>
    <x v="1"/>
  </r>
  <r>
    <n v="84"/>
    <n v="55"/>
    <x v="1"/>
    <x v="1"/>
    <n v="0"/>
    <x v="0"/>
    <n v="836"/>
    <x v="2"/>
    <x v="1"/>
    <n v="8"/>
    <x v="1"/>
    <n v="3"/>
    <x v="3"/>
    <x v="2"/>
    <n v="1"/>
    <n v="4"/>
    <x v="2"/>
    <x v="0"/>
    <n v="33"/>
    <x v="2"/>
    <n v="3"/>
    <x v="0"/>
    <n v="4"/>
    <x v="5"/>
    <n v="3"/>
    <x v="2"/>
    <x v="2"/>
    <n v="14756"/>
    <x v="5"/>
    <n v="19730"/>
    <x v="0"/>
    <n v="2"/>
    <x v="3"/>
    <s v="Y"/>
    <x v="0"/>
    <n v="14"/>
    <x v="2"/>
    <n v="3"/>
    <x v="0"/>
    <n v="3"/>
    <x v="3"/>
    <n v="80"/>
    <n v="3"/>
    <n v="21"/>
    <x v="4"/>
    <n v="2"/>
    <x v="0"/>
    <n v="3"/>
    <x v="1"/>
    <n v="5"/>
    <x v="2"/>
    <n v="0"/>
    <x v="2"/>
    <n v="0"/>
    <x v="0"/>
    <n v="2"/>
    <x v="0"/>
  </r>
  <r>
    <n v="85"/>
    <n v="36"/>
    <x v="0"/>
    <x v="1"/>
    <n v="0"/>
    <x v="1"/>
    <n v="1195"/>
    <x v="0"/>
    <x v="1"/>
    <n v="11"/>
    <x v="3"/>
    <n v="3"/>
    <x v="3"/>
    <x v="0"/>
    <n v="1"/>
    <n v="2"/>
    <x v="0"/>
    <x v="1"/>
    <n v="95"/>
    <x v="0"/>
    <n v="2"/>
    <x v="1"/>
    <n v="2"/>
    <x v="3"/>
    <n v="2"/>
    <x v="1"/>
    <x v="0"/>
    <n v="6499"/>
    <x v="0"/>
    <n v="22656"/>
    <x v="1"/>
    <n v="1"/>
    <x v="1"/>
    <s v="Y"/>
    <x v="1"/>
    <n v="13"/>
    <x v="2"/>
    <n v="3"/>
    <x v="0"/>
    <n v="3"/>
    <x v="3"/>
    <n v="80"/>
    <n v="0"/>
    <n v="6"/>
    <x v="0"/>
    <n v="3"/>
    <x v="1"/>
    <n v="3"/>
    <x v="1"/>
    <n v="6"/>
    <x v="0"/>
    <n v="5"/>
    <x v="0"/>
    <n v="0"/>
    <x v="0"/>
    <n v="3"/>
    <x v="0"/>
  </r>
  <r>
    <n v="86"/>
    <n v="45"/>
    <x v="0"/>
    <x v="1"/>
    <n v="0"/>
    <x v="0"/>
    <n v="1339"/>
    <x v="0"/>
    <x v="1"/>
    <n v="7"/>
    <x v="1"/>
    <n v="3"/>
    <x v="3"/>
    <x v="0"/>
    <n v="1"/>
    <n v="2"/>
    <x v="0"/>
    <x v="1"/>
    <n v="59"/>
    <x v="1"/>
    <n v="3"/>
    <x v="0"/>
    <n v="3"/>
    <x v="1"/>
    <n v="1"/>
    <x v="3"/>
    <x v="2"/>
    <n v="9724"/>
    <x v="4"/>
    <n v="18787"/>
    <x v="0"/>
    <n v="2"/>
    <x v="3"/>
    <s v="Y"/>
    <x v="1"/>
    <n v="17"/>
    <x v="3"/>
    <n v="3"/>
    <x v="0"/>
    <n v="3"/>
    <x v="3"/>
    <n v="80"/>
    <n v="1"/>
    <n v="25"/>
    <x v="4"/>
    <n v="2"/>
    <x v="0"/>
    <n v="3"/>
    <x v="1"/>
    <n v="1"/>
    <x v="1"/>
    <n v="0"/>
    <x v="2"/>
    <n v="0"/>
    <x v="0"/>
    <n v="0"/>
    <x v="2"/>
  </r>
  <r>
    <n v="88"/>
    <n v="35"/>
    <x v="2"/>
    <x v="1"/>
    <n v="0"/>
    <x v="1"/>
    <n v="664"/>
    <x v="2"/>
    <x v="1"/>
    <n v="1"/>
    <x v="0"/>
    <n v="3"/>
    <x v="3"/>
    <x v="2"/>
    <n v="1"/>
    <n v="2"/>
    <x v="0"/>
    <x v="1"/>
    <n v="79"/>
    <x v="0"/>
    <n v="3"/>
    <x v="0"/>
    <n v="1"/>
    <x v="1"/>
    <n v="1"/>
    <x v="3"/>
    <x v="1"/>
    <n v="2194"/>
    <x v="2"/>
    <n v="5868"/>
    <x v="2"/>
    <n v="4"/>
    <x v="2"/>
    <s v="Y"/>
    <x v="1"/>
    <n v="13"/>
    <x v="2"/>
    <n v="3"/>
    <x v="0"/>
    <n v="4"/>
    <x v="1"/>
    <n v="80"/>
    <n v="1"/>
    <n v="5"/>
    <x v="3"/>
    <n v="2"/>
    <x v="0"/>
    <n v="2"/>
    <x v="2"/>
    <n v="3"/>
    <x v="2"/>
    <n v="2"/>
    <x v="0"/>
    <n v="1"/>
    <x v="0"/>
    <n v="2"/>
    <x v="0"/>
  </r>
  <r>
    <n v="90"/>
    <n v="36"/>
    <x v="0"/>
    <x v="0"/>
    <n v="1"/>
    <x v="0"/>
    <n v="318"/>
    <x v="1"/>
    <x v="1"/>
    <n v="9"/>
    <x v="1"/>
    <n v="3"/>
    <x v="3"/>
    <x v="2"/>
    <n v="1"/>
    <n v="4"/>
    <x v="2"/>
    <x v="1"/>
    <n v="79"/>
    <x v="0"/>
    <n v="2"/>
    <x v="1"/>
    <n v="1"/>
    <x v="1"/>
    <n v="3"/>
    <x v="2"/>
    <x v="1"/>
    <n v="3388"/>
    <x v="3"/>
    <n v="21777"/>
    <x v="0"/>
    <n v="0"/>
    <x v="1"/>
    <s v="Y"/>
    <x v="0"/>
    <n v="17"/>
    <x v="3"/>
    <n v="3"/>
    <x v="0"/>
    <n v="1"/>
    <x v="0"/>
    <n v="80"/>
    <n v="1"/>
    <n v="2"/>
    <x v="2"/>
    <n v="0"/>
    <x v="0"/>
    <n v="2"/>
    <x v="2"/>
    <n v="1"/>
    <x v="1"/>
    <n v="0"/>
    <x v="2"/>
    <n v="0"/>
    <x v="0"/>
    <n v="0"/>
    <x v="2"/>
  </r>
  <r>
    <n v="91"/>
    <n v="59"/>
    <x v="3"/>
    <x v="1"/>
    <n v="0"/>
    <x v="1"/>
    <n v="1225"/>
    <x v="0"/>
    <x v="0"/>
    <n v="1"/>
    <x v="0"/>
    <n v="1"/>
    <x v="1"/>
    <x v="0"/>
    <n v="1"/>
    <n v="1"/>
    <x v="3"/>
    <x v="0"/>
    <n v="57"/>
    <x v="1"/>
    <n v="2"/>
    <x v="1"/>
    <n v="2"/>
    <x v="0"/>
    <n v="3"/>
    <x v="2"/>
    <x v="0"/>
    <n v="5473"/>
    <x v="1"/>
    <n v="24668"/>
    <x v="1"/>
    <n v="7"/>
    <x v="0"/>
    <s v="Y"/>
    <x v="1"/>
    <n v="11"/>
    <x v="0"/>
    <n v="3"/>
    <x v="0"/>
    <n v="4"/>
    <x v="1"/>
    <n v="80"/>
    <n v="0"/>
    <n v="20"/>
    <x v="1"/>
    <n v="2"/>
    <x v="0"/>
    <n v="2"/>
    <x v="2"/>
    <n v="4"/>
    <x v="2"/>
    <n v="3"/>
    <x v="0"/>
    <n v="1"/>
    <x v="0"/>
    <n v="3"/>
    <x v="0"/>
  </r>
  <r>
    <n v="94"/>
    <n v="29"/>
    <x v="2"/>
    <x v="1"/>
    <n v="0"/>
    <x v="0"/>
    <n v="1328"/>
    <x v="0"/>
    <x v="1"/>
    <n v="2"/>
    <x v="0"/>
    <n v="3"/>
    <x v="3"/>
    <x v="0"/>
    <n v="1"/>
    <n v="3"/>
    <x v="1"/>
    <x v="1"/>
    <n v="76"/>
    <x v="0"/>
    <n v="3"/>
    <x v="0"/>
    <n v="1"/>
    <x v="1"/>
    <n v="2"/>
    <x v="1"/>
    <x v="1"/>
    <n v="2703"/>
    <x v="3"/>
    <n v="4956"/>
    <x v="2"/>
    <n v="0"/>
    <x v="1"/>
    <s v="Y"/>
    <x v="1"/>
    <n v="23"/>
    <x v="1"/>
    <n v="4"/>
    <x v="1"/>
    <n v="4"/>
    <x v="1"/>
    <n v="80"/>
    <n v="1"/>
    <n v="6"/>
    <x v="0"/>
    <n v="3"/>
    <x v="1"/>
    <n v="3"/>
    <x v="1"/>
    <n v="5"/>
    <x v="2"/>
    <n v="4"/>
    <x v="0"/>
    <n v="0"/>
    <x v="0"/>
    <n v="4"/>
    <x v="0"/>
  </r>
  <r>
    <n v="95"/>
    <n v="31"/>
    <x v="2"/>
    <x v="1"/>
    <n v="0"/>
    <x v="0"/>
    <n v="1082"/>
    <x v="0"/>
    <x v="1"/>
    <n v="1"/>
    <x v="0"/>
    <n v="4"/>
    <x v="2"/>
    <x v="2"/>
    <n v="1"/>
    <n v="3"/>
    <x v="1"/>
    <x v="1"/>
    <n v="87"/>
    <x v="0"/>
    <n v="3"/>
    <x v="0"/>
    <n v="1"/>
    <x v="1"/>
    <n v="2"/>
    <x v="1"/>
    <x v="0"/>
    <n v="2501"/>
    <x v="3"/>
    <n v="18775"/>
    <x v="0"/>
    <n v="1"/>
    <x v="1"/>
    <s v="Y"/>
    <x v="1"/>
    <n v="17"/>
    <x v="3"/>
    <n v="3"/>
    <x v="0"/>
    <n v="2"/>
    <x v="4"/>
    <n v="80"/>
    <n v="0"/>
    <n v="1"/>
    <x v="2"/>
    <n v="4"/>
    <x v="1"/>
    <n v="3"/>
    <x v="1"/>
    <n v="1"/>
    <x v="1"/>
    <n v="1"/>
    <x v="2"/>
    <n v="1"/>
    <x v="0"/>
    <n v="0"/>
    <x v="2"/>
  </r>
  <r>
    <n v="96"/>
    <n v="32"/>
    <x v="2"/>
    <x v="1"/>
    <n v="0"/>
    <x v="0"/>
    <n v="548"/>
    <x v="2"/>
    <x v="1"/>
    <n v="1"/>
    <x v="0"/>
    <n v="3"/>
    <x v="3"/>
    <x v="0"/>
    <n v="1"/>
    <n v="2"/>
    <x v="0"/>
    <x v="1"/>
    <n v="66"/>
    <x v="1"/>
    <n v="3"/>
    <x v="0"/>
    <n v="2"/>
    <x v="1"/>
    <n v="2"/>
    <x v="1"/>
    <x v="1"/>
    <n v="6220"/>
    <x v="0"/>
    <n v="7346"/>
    <x v="2"/>
    <n v="1"/>
    <x v="1"/>
    <s v="Y"/>
    <x v="1"/>
    <n v="17"/>
    <x v="3"/>
    <n v="3"/>
    <x v="0"/>
    <n v="2"/>
    <x v="4"/>
    <n v="80"/>
    <n v="2"/>
    <n v="10"/>
    <x v="0"/>
    <n v="3"/>
    <x v="1"/>
    <n v="3"/>
    <x v="1"/>
    <n v="10"/>
    <x v="0"/>
    <n v="4"/>
    <x v="0"/>
    <n v="0"/>
    <x v="0"/>
    <n v="9"/>
    <x v="1"/>
  </r>
  <r>
    <n v="97"/>
    <n v="36"/>
    <x v="0"/>
    <x v="1"/>
    <n v="0"/>
    <x v="0"/>
    <n v="132"/>
    <x v="1"/>
    <x v="1"/>
    <n v="6"/>
    <x v="1"/>
    <n v="3"/>
    <x v="3"/>
    <x v="0"/>
    <n v="1"/>
    <n v="2"/>
    <x v="0"/>
    <x v="0"/>
    <n v="55"/>
    <x v="1"/>
    <n v="4"/>
    <x v="2"/>
    <n v="1"/>
    <x v="2"/>
    <n v="4"/>
    <x v="0"/>
    <x v="1"/>
    <n v="3038"/>
    <x v="3"/>
    <n v="22002"/>
    <x v="1"/>
    <n v="3"/>
    <x v="3"/>
    <s v="Y"/>
    <x v="1"/>
    <n v="12"/>
    <x v="0"/>
    <n v="3"/>
    <x v="0"/>
    <n v="2"/>
    <x v="4"/>
    <n v="80"/>
    <n v="0"/>
    <n v="5"/>
    <x v="3"/>
    <n v="3"/>
    <x v="1"/>
    <n v="3"/>
    <x v="1"/>
    <n v="1"/>
    <x v="1"/>
    <n v="0"/>
    <x v="2"/>
    <n v="0"/>
    <x v="0"/>
    <n v="0"/>
    <x v="2"/>
  </r>
  <r>
    <n v="98"/>
    <n v="31"/>
    <x v="2"/>
    <x v="1"/>
    <n v="0"/>
    <x v="0"/>
    <n v="746"/>
    <x v="2"/>
    <x v="1"/>
    <n v="8"/>
    <x v="1"/>
    <n v="4"/>
    <x v="2"/>
    <x v="0"/>
    <n v="1"/>
    <n v="3"/>
    <x v="1"/>
    <x v="0"/>
    <n v="61"/>
    <x v="1"/>
    <n v="3"/>
    <x v="0"/>
    <n v="2"/>
    <x v="3"/>
    <n v="4"/>
    <x v="0"/>
    <x v="0"/>
    <n v="4424"/>
    <x v="1"/>
    <n v="20682"/>
    <x v="0"/>
    <n v="1"/>
    <x v="1"/>
    <s v="Y"/>
    <x v="1"/>
    <n v="23"/>
    <x v="1"/>
    <n v="4"/>
    <x v="1"/>
    <n v="4"/>
    <x v="1"/>
    <n v="80"/>
    <n v="0"/>
    <n v="11"/>
    <x v="1"/>
    <n v="2"/>
    <x v="0"/>
    <n v="3"/>
    <x v="1"/>
    <n v="11"/>
    <x v="4"/>
    <n v="7"/>
    <x v="1"/>
    <n v="1"/>
    <x v="0"/>
    <n v="8"/>
    <x v="1"/>
  </r>
  <r>
    <n v="100"/>
    <n v="35"/>
    <x v="2"/>
    <x v="1"/>
    <n v="0"/>
    <x v="0"/>
    <n v="776"/>
    <x v="2"/>
    <x v="0"/>
    <n v="1"/>
    <x v="0"/>
    <n v="4"/>
    <x v="2"/>
    <x v="3"/>
    <n v="1"/>
    <n v="3"/>
    <x v="1"/>
    <x v="1"/>
    <n v="32"/>
    <x v="2"/>
    <n v="2"/>
    <x v="1"/>
    <n v="2"/>
    <x v="0"/>
    <n v="1"/>
    <x v="3"/>
    <x v="0"/>
    <n v="4312"/>
    <x v="1"/>
    <n v="23016"/>
    <x v="1"/>
    <n v="0"/>
    <x v="1"/>
    <s v="Y"/>
    <x v="1"/>
    <n v="14"/>
    <x v="2"/>
    <n v="3"/>
    <x v="0"/>
    <n v="2"/>
    <x v="4"/>
    <n v="80"/>
    <n v="0"/>
    <n v="16"/>
    <x v="1"/>
    <n v="2"/>
    <x v="0"/>
    <n v="3"/>
    <x v="1"/>
    <n v="15"/>
    <x v="4"/>
    <n v="13"/>
    <x v="3"/>
    <n v="2"/>
    <x v="1"/>
    <n v="8"/>
    <x v="1"/>
  </r>
  <r>
    <n v="101"/>
    <n v="45"/>
    <x v="0"/>
    <x v="1"/>
    <n v="0"/>
    <x v="0"/>
    <n v="193"/>
    <x v="1"/>
    <x v="1"/>
    <n v="6"/>
    <x v="1"/>
    <n v="4"/>
    <x v="2"/>
    <x v="1"/>
    <n v="1"/>
    <n v="4"/>
    <x v="2"/>
    <x v="1"/>
    <n v="52"/>
    <x v="1"/>
    <n v="3"/>
    <x v="0"/>
    <n v="3"/>
    <x v="7"/>
    <n v="1"/>
    <x v="3"/>
    <x v="1"/>
    <n v="13245"/>
    <x v="10"/>
    <n v="15067"/>
    <x v="3"/>
    <n v="4"/>
    <x v="2"/>
    <s v="Y"/>
    <x v="0"/>
    <n v="14"/>
    <x v="2"/>
    <n v="3"/>
    <x v="0"/>
    <n v="2"/>
    <x v="4"/>
    <n v="80"/>
    <n v="0"/>
    <n v="17"/>
    <x v="1"/>
    <n v="3"/>
    <x v="1"/>
    <n v="4"/>
    <x v="3"/>
    <n v="0"/>
    <x v="1"/>
    <n v="0"/>
    <x v="2"/>
    <n v="0"/>
    <x v="0"/>
    <n v="0"/>
    <x v="2"/>
  </r>
  <r>
    <n v="102"/>
    <n v="37"/>
    <x v="0"/>
    <x v="1"/>
    <n v="0"/>
    <x v="0"/>
    <n v="397"/>
    <x v="1"/>
    <x v="1"/>
    <n v="7"/>
    <x v="1"/>
    <n v="4"/>
    <x v="2"/>
    <x v="2"/>
    <n v="1"/>
    <n v="1"/>
    <x v="3"/>
    <x v="1"/>
    <n v="30"/>
    <x v="2"/>
    <n v="3"/>
    <x v="0"/>
    <n v="3"/>
    <x v="7"/>
    <n v="3"/>
    <x v="2"/>
    <x v="0"/>
    <n v="13664"/>
    <x v="10"/>
    <n v="25258"/>
    <x v="1"/>
    <n v="4"/>
    <x v="2"/>
    <s v="Y"/>
    <x v="1"/>
    <n v="13"/>
    <x v="2"/>
    <n v="3"/>
    <x v="0"/>
    <n v="1"/>
    <x v="0"/>
    <n v="80"/>
    <n v="0"/>
    <n v="16"/>
    <x v="1"/>
    <n v="3"/>
    <x v="1"/>
    <n v="4"/>
    <x v="3"/>
    <n v="5"/>
    <x v="2"/>
    <n v="2"/>
    <x v="0"/>
    <n v="0"/>
    <x v="0"/>
    <n v="2"/>
    <x v="0"/>
  </r>
  <r>
    <n v="103"/>
    <n v="46"/>
    <x v="1"/>
    <x v="1"/>
    <n v="0"/>
    <x v="0"/>
    <n v="945"/>
    <x v="2"/>
    <x v="2"/>
    <n v="5"/>
    <x v="0"/>
    <n v="2"/>
    <x v="0"/>
    <x v="2"/>
    <n v="1"/>
    <n v="2"/>
    <x v="0"/>
    <x v="1"/>
    <n v="80"/>
    <x v="0"/>
    <n v="3"/>
    <x v="0"/>
    <n v="2"/>
    <x v="8"/>
    <n v="2"/>
    <x v="1"/>
    <x v="2"/>
    <n v="5021"/>
    <x v="1"/>
    <n v="10425"/>
    <x v="3"/>
    <n v="8"/>
    <x v="0"/>
    <s v="Y"/>
    <x v="0"/>
    <n v="22"/>
    <x v="1"/>
    <n v="4"/>
    <x v="1"/>
    <n v="4"/>
    <x v="1"/>
    <n v="80"/>
    <n v="1"/>
    <n v="16"/>
    <x v="1"/>
    <n v="2"/>
    <x v="0"/>
    <n v="3"/>
    <x v="1"/>
    <n v="4"/>
    <x v="2"/>
    <n v="2"/>
    <x v="0"/>
    <n v="0"/>
    <x v="0"/>
    <n v="2"/>
    <x v="0"/>
  </r>
  <r>
    <n v="104"/>
    <n v="30"/>
    <x v="2"/>
    <x v="1"/>
    <n v="0"/>
    <x v="0"/>
    <n v="852"/>
    <x v="2"/>
    <x v="1"/>
    <n v="1"/>
    <x v="0"/>
    <n v="1"/>
    <x v="1"/>
    <x v="0"/>
    <n v="1"/>
    <n v="4"/>
    <x v="2"/>
    <x v="1"/>
    <n v="55"/>
    <x v="1"/>
    <n v="2"/>
    <x v="1"/>
    <n v="2"/>
    <x v="2"/>
    <n v="4"/>
    <x v="0"/>
    <x v="1"/>
    <n v="5126"/>
    <x v="1"/>
    <n v="15998"/>
    <x v="3"/>
    <n v="1"/>
    <x v="1"/>
    <s v="Y"/>
    <x v="0"/>
    <n v="12"/>
    <x v="0"/>
    <n v="3"/>
    <x v="0"/>
    <n v="3"/>
    <x v="3"/>
    <n v="80"/>
    <n v="2"/>
    <n v="10"/>
    <x v="0"/>
    <n v="1"/>
    <x v="0"/>
    <n v="2"/>
    <x v="2"/>
    <n v="10"/>
    <x v="0"/>
    <n v="8"/>
    <x v="1"/>
    <n v="3"/>
    <x v="1"/>
    <n v="0"/>
    <x v="2"/>
  </r>
  <r>
    <n v="105"/>
    <n v="35"/>
    <x v="2"/>
    <x v="1"/>
    <n v="0"/>
    <x v="0"/>
    <n v="1214"/>
    <x v="0"/>
    <x v="1"/>
    <n v="1"/>
    <x v="0"/>
    <n v="3"/>
    <x v="3"/>
    <x v="2"/>
    <n v="1"/>
    <n v="2"/>
    <x v="0"/>
    <x v="1"/>
    <n v="30"/>
    <x v="2"/>
    <n v="2"/>
    <x v="1"/>
    <n v="1"/>
    <x v="1"/>
    <n v="3"/>
    <x v="2"/>
    <x v="0"/>
    <n v="2859"/>
    <x v="3"/>
    <n v="26278"/>
    <x v="1"/>
    <n v="1"/>
    <x v="1"/>
    <s v="Y"/>
    <x v="1"/>
    <n v="18"/>
    <x v="1"/>
    <n v="3"/>
    <x v="0"/>
    <n v="1"/>
    <x v="0"/>
    <n v="80"/>
    <n v="0"/>
    <n v="6"/>
    <x v="0"/>
    <n v="3"/>
    <x v="1"/>
    <n v="3"/>
    <x v="1"/>
    <n v="6"/>
    <x v="0"/>
    <n v="4"/>
    <x v="0"/>
    <n v="0"/>
    <x v="0"/>
    <n v="4"/>
    <x v="0"/>
  </r>
  <r>
    <n v="106"/>
    <n v="55"/>
    <x v="1"/>
    <x v="1"/>
    <n v="0"/>
    <x v="0"/>
    <n v="111"/>
    <x v="1"/>
    <x v="0"/>
    <n v="1"/>
    <x v="0"/>
    <n v="2"/>
    <x v="0"/>
    <x v="0"/>
    <n v="1"/>
    <n v="1"/>
    <x v="3"/>
    <x v="1"/>
    <n v="70"/>
    <x v="1"/>
    <n v="3"/>
    <x v="0"/>
    <n v="3"/>
    <x v="0"/>
    <n v="4"/>
    <x v="0"/>
    <x v="1"/>
    <n v="10239"/>
    <x v="8"/>
    <n v="18092"/>
    <x v="0"/>
    <n v="3"/>
    <x v="3"/>
    <s v="Y"/>
    <x v="1"/>
    <n v="14"/>
    <x v="2"/>
    <n v="3"/>
    <x v="0"/>
    <n v="4"/>
    <x v="1"/>
    <n v="80"/>
    <n v="1"/>
    <n v="24"/>
    <x v="4"/>
    <n v="4"/>
    <x v="1"/>
    <n v="3"/>
    <x v="1"/>
    <n v="1"/>
    <x v="1"/>
    <n v="0"/>
    <x v="2"/>
    <n v="1"/>
    <x v="0"/>
    <n v="0"/>
    <x v="2"/>
  </r>
  <r>
    <n v="107"/>
    <n v="38"/>
    <x v="0"/>
    <x v="1"/>
    <n v="0"/>
    <x v="2"/>
    <n v="573"/>
    <x v="2"/>
    <x v="1"/>
    <n v="6"/>
    <x v="1"/>
    <n v="3"/>
    <x v="3"/>
    <x v="2"/>
    <n v="1"/>
    <n v="2"/>
    <x v="0"/>
    <x v="0"/>
    <n v="79"/>
    <x v="0"/>
    <n v="1"/>
    <x v="3"/>
    <n v="2"/>
    <x v="1"/>
    <n v="4"/>
    <x v="0"/>
    <x v="2"/>
    <n v="5329"/>
    <x v="1"/>
    <n v="15717"/>
    <x v="3"/>
    <n v="7"/>
    <x v="0"/>
    <s v="Y"/>
    <x v="0"/>
    <n v="12"/>
    <x v="0"/>
    <n v="3"/>
    <x v="0"/>
    <n v="4"/>
    <x v="1"/>
    <n v="80"/>
    <n v="3"/>
    <n v="17"/>
    <x v="1"/>
    <n v="3"/>
    <x v="1"/>
    <n v="3"/>
    <x v="1"/>
    <n v="13"/>
    <x v="4"/>
    <n v="11"/>
    <x v="3"/>
    <n v="1"/>
    <x v="0"/>
    <n v="9"/>
    <x v="1"/>
  </r>
  <r>
    <n v="110"/>
    <n v="34"/>
    <x v="2"/>
    <x v="1"/>
    <n v="0"/>
    <x v="0"/>
    <n v="1153"/>
    <x v="0"/>
    <x v="1"/>
    <n v="1"/>
    <x v="0"/>
    <n v="2"/>
    <x v="0"/>
    <x v="2"/>
    <n v="1"/>
    <n v="1"/>
    <x v="3"/>
    <x v="1"/>
    <n v="94"/>
    <x v="0"/>
    <n v="3"/>
    <x v="0"/>
    <n v="2"/>
    <x v="3"/>
    <n v="2"/>
    <x v="1"/>
    <x v="1"/>
    <n v="4325"/>
    <x v="1"/>
    <n v="17736"/>
    <x v="0"/>
    <n v="1"/>
    <x v="1"/>
    <s v="Y"/>
    <x v="1"/>
    <n v="15"/>
    <x v="2"/>
    <n v="3"/>
    <x v="0"/>
    <n v="3"/>
    <x v="3"/>
    <n v="80"/>
    <n v="0"/>
    <n v="5"/>
    <x v="3"/>
    <n v="2"/>
    <x v="0"/>
    <n v="3"/>
    <x v="1"/>
    <n v="5"/>
    <x v="2"/>
    <n v="2"/>
    <x v="0"/>
    <n v="1"/>
    <x v="0"/>
    <n v="3"/>
    <x v="0"/>
  </r>
  <r>
    <n v="112"/>
    <n v="56"/>
    <x v="3"/>
    <x v="1"/>
    <n v="0"/>
    <x v="0"/>
    <n v="1400"/>
    <x v="0"/>
    <x v="1"/>
    <n v="7"/>
    <x v="1"/>
    <n v="3"/>
    <x v="3"/>
    <x v="0"/>
    <n v="1"/>
    <n v="4"/>
    <x v="2"/>
    <x v="1"/>
    <n v="49"/>
    <x v="2"/>
    <n v="1"/>
    <x v="3"/>
    <n v="3"/>
    <x v="3"/>
    <n v="4"/>
    <x v="0"/>
    <x v="0"/>
    <n v="7260"/>
    <x v="11"/>
    <n v="21698"/>
    <x v="0"/>
    <n v="4"/>
    <x v="2"/>
    <s v="Y"/>
    <x v="1"/>
    <n v="11"/>
    <x v="0"/>
    <n v="3"/>
    <x v="0"/>
    <n v="1"/>
    <x v="0"/>
    <n v="80"/>
    <n v="0"/>
    <n v="37"/>
    <x v="4"/>
    <n v="3"/>
    <x v="1"/>
    <n v="2"/>
    <x v="2"/>
    <n v="6"/>
    <x v="0"/>
    <n v="4"/>
    <x v="0"/>
    <n v="0"/>
    <x v="0"/>
    <n v="2"/>
    <x v="0"/>
  </r>
  <r>
    <n v="113"/>
    <n v="23"/>
    <x v="4"/>
    <x v="1"/>
    <n v="0"/>
    <x v="0"/>
    <n v="541"/>
    <x v="2"/>
    <x v="0"/>
    <n v="2"/>
    <x v="0"/>
    <n v="1"/>
    <x v="1"/>
    <x v="4"/>
    <n v="1"/>
    <n v="3"/>
    <x v="1"/>
    <x v="1"/>
    <n v="62"/>
    <x v="1"/>
    <n v="3"/>
    <x v="0"/>
    <n v="1"/>
    <x v="6"/>
    <n v="1"/>
    <x v="3"/>
    <x v="2"/>
    <n v="2322"/>
    <x v="2"/>
    <n v="9518"/>
    <x v="3"/>
    <n v="3"/>
    <x v="3"/>
    <s v="Y"/>
    <x v="1"/>
    <n v="13"/>
    <x v="2"/>
    <n v="3"/>
    <x v="0"/>
    <n v="3"/>
    <x v="3"/>
    <n v="80"/>
    <n v="1"/>
    <n v="3"/>
    <x v="3"/>
    <n v="3"/>
    <x v="1"/>
    <n v="3"/>
    <x v="1"/>
    <n v="0"/>
    <x v="1"/>
    <n v="0"/>
    <x v="2"/>
    <n v="0"/>
    <x v="0"/>
    <n v="0"/>
    <x v="2"/>
  </r>
  <r>
    <n v="116"/>
    <n v="51"/>
    <x v="1"/>
    <x v="1"/>
    <n v="0"/>
    <x v="0"/>
    <n v="432"/>
    <x v="1"/>
    <x v="1"/>
    <n v="9"/>
    <x v="1"/>
    <n v="4"/>
    <x v="2"/>
    <x v="0"/>
    <n v="1"/>
    <n v="4"/>
    <x v="2"/>
    <x v="1"/>
    <n v="96"/>
    <x v="0"/>
    <n v="3"/>
    <x v="0"/>
    <n v="1"/>
    <x v="2"/>
    <n v="4"/>
    <x v="0"/>
    <x v="1"/>
    <n v="2075"/>
    <x v="2"/>
    <n v="18725"/>
    <x v="0"/>
    <n v="3"/>
    <x v="3"/>
    <s v="Y"/>
    <x v="1"/>
    <n v="23"/>
    <x v="1"/>
    <n v="4"/>
    <x v="1"/>
    <n v="2"/>
    <x v="4"/>
    <n v="80"/>
    <n v="2"/>
    <n v="10"/>
    <x v="0"/>
    <n v="4"/>
    <x v="1"/>
    <n v="3"/>
    <x v="1"/>
    <n v="4"/>
    <x v="2"/>
    <n v="2"/>
    <x v="0"/>
    <n v="0"/>
    <x v="0"/>
    <n v="3"/>
    <x v="0"/>
  </r>
  <r>
    <n v="117"/>
    <n v="30"/>
    <x v="2"/>
    <x v="1"/>
    <n v="0"/>
    <x v="0"/>
    <n v="288"/>
    <x v="1"/>
    <x v="1"/>
    <n v="2"/>
    <x v="0"/>
    <n v="3"/>
    <x v="3"/>
    <x v="0"/>
    <n v="1"/>
    <n v="3"/>
    <x v="1"/>
    <x v="1"/>
    <n v="99"/>
    <x v="0"/>
    <n v="2"/>
    <x v="1"/>
    <n v="2"/>
    <x v="4"/>
    <n v="4"/>
    <x v="0"/>
    <x v="1"/>
    <n v="4152"/>
    <x v="1"/>
    <n v="15830"/>
    <x v="3"/>
    <n v="1"/>
    <x v="1"/>
    <s v="Y"/>
    <x v="1"/>
    <n v="19"/>
    <x v="1"/>
    <n v="3"/>
    <x v="0"/>
    <n v="1"/>
    <x v="0"/>
    <n v="80"/>
    <n v="3"/>
    <n v="11"/>
    <x v="1"/>
    <n v="3"/>
    <x v="1"/>
    <n v="3"/>
    <x v="1"/>
    <n v="11"/>
    <x v="4"/>
    <n v="10"/>
    <x v="1"/>
    <n v="10"/>
    <x v="2"/>
    <n v="8"/>
    <x v="1"/>
  </r>
  <r>
    <n v="118"/>
    <n v="46"/>
    <x v="1"/>
    <x v="0"/>
    <n v="1"/>
    <x v="0"/>
    <n v="669"/>
    <x v="2"/>
    <x v="0"/>
    <n v="9"/>
    <x v="1"/>
    <n v="2"/>
    <x v="0"/>
    <x v="2"/>
    <n v="1"/>
    <n v="3"/>
    <x v="1"/>
    <x v="1"/>
    <n v="64"/>
    <x v="1"/>
    <n v="2"/>
    <x v="1"/>
    <n v="3"/>
    <x v="0"/>
    <n v="4"/>
    <x v="0"/>
    <x v="0"/>
    <n v="9619"/>
    <x v="4"/>
    <n v="13596"/>
    <x v="3"/>
    <n v="1"/>
    <x v="1"/>
    <s v="Y"/>
    <x v="1"/>
    <n v="16"/>
    <x v="3"/>
    <n v="3"/>
    <x v="0"/>
    <n v="4"/>
    <x v="1"/>
    <n v="80"/>
    <n v="0"/>
    <n v="9"/>
    <x v="0"/>
    <n v="3"/>
    <x v="1"/>
    <n v="3"/>
    <x v="1"/>
    <n v="9"/>
    <x v="0"/>
    <n v="8"/>
    <x v="1"/>
    <n v="4"/>
    <x v="1"/>
    <n v="7"/>
    <x v="1"/>
  </r>
  <r>
    <n v="119"/>
    <n v="40"/>
    <x v="0"/>
    <x v="1"/>
    <n v="0"/>
    <x v="1"/>
    <n v="530"/>
    <x v="2"/>
    <x v="1"/>
    <n v="1"/>
    <x v="0"/>
    <n v="4"/>
    <x v="2"/>
    <x v="0"/>
    <n v="1"/>
    <n v="3"/>
    <x v="1"/>
    <x v="1"/>
    <n v="78"/>
    <x v="0"/>
    <n v="2"/>
    <x v="1"/>
    <n v="4"/>
    <x v="4"/>
    <n v="2"/>
    <x v="1"/>
    <x v="1"/>
    <n v="13503"/>
    <x v="10"/>
    <n v="14115"/>
    <x v="3"/>
    <n v="1"/>
    <x v="1"/>
    <s v="Y"/>
    <x v="1"/>
    <n v="22"/>
    <x v="1"/>
    <n v="4"/>
    <x v="1"/>
    <n v="4"/>
    <x v="1"/>
    <n v="80"/>
    <n v="1"/>
    <n v="22"/>
    <x v="4"/>
    <n v="3"/>
    <x v="1"/>
    <n v="2"/>
    <x v="2"/>
    <n v="22"/>
    <x v="3"/>
    <n v="3"/>
    <x v="0"/>
    <n v="11"/>
    <x v="3"/>
    <n v="11"/>
    <x v="3"/>
  </r>
  <r>
    <n v="120"/>
    <n v="51"/>
    <x v="1"/>
    <x v="1"/>
    <n v="0"/>
    <x v="0"/>
    <n v="632"/>
    <x v="2"/>
    <x v="0"/>
    <n v="21"/>
    <x v="2"/>
    <n v="4"/>
    <x v="2"/>
    <x v="3"/>
    <n v="1"/>
    <n v="3"/>
    <x v="1"/>
    <x v="1"/>
    <n v="71"/>
    <x v="1"/>
    <n v="3"/>
    <x v="0"/>
    <n v="2"/>
    <x v="0"/>
    <n v="4"/>
    <x v="0"/>
    <x v="0"/>
    <n v="5441"/>
    <x v="1"/>
    <n v="8423"/>
    <x v="3"/>
    <n v="0"/>
    <x v="1"/>
    <s v="Y"/>
    <x v="0"/>
    <n v="22"/>
    <x v="1"/>
    <n v="4"/>
    <x v="1"/>
    <n v="4"/>
    <x v="1"/>
    <n v="80"/>
    <n v="0"/>
    <n v="11"/>
    <x v="1"/>
    <n v="2"/>
    <x v="0"/>
    <n v="1"/>
    <x v="0"/>
    <n v="10"/>
    <x v="0"/>
    <n v="7"/>
    <x v="1"/>
    <n v="1"/>
    <x v="0"/>
    <n v="0"/>
    <x v="2"/>
  </r>
  <r>
    <n v="121"/>
    <n v="30"/>
    <x v="2"/>
    <x v="1"/>
    <n v="0"/>
    <x v="0"/>
    <n v="1334"/>
    <x v="0"/>
    <x v="0"/>
    <n v="4"/>
    <x v="0"/>
    <n v="2"/>
    <x v="0"/>
    <x v="2"/>
    <n v="1"/>
    <n v="3"/>
    <x v="1"/>
    <x v="0"/>
    <n v="63"/>
    <x v="1"/>
    <n v="2"/>
    <x v="1"/>
    <n v="2"/>
    <x v="0"/>
    <n v="2"/>
    <x v="1"/>
    <x v="2"/>
    <n v="5209"/>
    <x v="1"/>
    <n v="19760"/>
    <x v="0"/>
    <n v="1"/>
    <x v="1"/>
    <s v="Y"/>
    <x v="0"/>
    <n v="12"/>
    <x v="0"/>
    <n v="3"/>
    <x v="0"/>
    <n v="2"/>
    <x v="4"/>
    <n v="80"/>
    <n v="3"/>
    <n v="11"/>
    <x v="1"/>
    <n v="4"/>
    <x v="1"/>
    <n v="2"/>
    <x v="2"/>
    <n v="11"/>
    <x v="4"/>
    <n v="8"/>
    <x v="1"/>
    <n v="2"/>
    <x v="1"/>
    <n v="7"/>
    <x v="1"/>
  </r>
  <r>
    <n v="124"/>
    <n v="46"/>
    <x v="1"/>
    <x v="1"/>
    <n v="0"/>
    <x v="1"/>
    <n v="638"/>
    <x v="2"/>
    <x v="1"/>
    <n v="1"/>
    <x v="0"/>
    <n v="3"/>
    <x v="3"/>
    <x v="2"/>
    <n v="1"/>
    <n v="3"/>
    <x v="1"/>
    <x v="1"/>
    <n v="40"/>
    <x v="2"/>
    <n v="2"/>
    <x v="1"/>
    <n v="3"/>
    <x v="4"/>
    <n v="1"/>
    <x v="3"/>
    <x v="1"/>
    <n v="10673"/>
    <x v="8"/>
    <n v="3142"/>
    <x v="2"/>
    <n v="2"/>
    <x v="3"/>
    <s v="Y"/>
    <x v="0"/>
    <n v="13"/>
    <x v="2"/>
    <n v="3"/>
    <x v="0"/>
    <n v="3"/>
    <x v="3"/>
    <n v="80"/>
    <n v="1"/>
    <n v="21"/>
    <x v="4"/>
    <n v="5"/>
    <x v="2"/>
    <n v="2"/>
    <x v="2"/>
    <n v="10"/>
    <x v="0"/>
    <n v="9"/>
    <x v="1"/>
    <n v="9"/>
    <x v="2"/>
    <n v="5"/>
    <x v="0"/>
  </r>
  <r>
    <n v="125"/>
    <n v="32"/>
    <x v="2"/>
    <x v="1"/>
    <n v="0"/>
    <x v="0"/>
    <n v="1093"/>
    <x v="0"/>
    <x v="0"/>
    <n v="6"/>
    <x v="1"/>
    <n v="4"/>
    <x v="2"/>
    <x v="2"/>
    <n v="1"/>
    <n v="2"/>
    <x v="0"/>
    <x v="1"/>
    <n v="87"/>
    <x v="0"/>
    <n v="3"/>
    <x v="0"/>
    <n v="2"/>
    <x v="0"/>
    <n v="3"/>
    <x v="2"/>
    <x v="0"/>
    <n v="5010"/>
    <x v="1"/>
    <n v="24301"/>
    <x v="1"/>
    <n v="1"/>
    <x v="1"/>
    <s v="Y"/>
    <x v="1"/>
    <n v="16"/>
    <x v="3"/>
    <n v="3"/>
    <x v="0"/>
    <n v="1"/>
    <x v="0"/>
    <n v="80"/>
    <n v="0"/>
    <n v="12"/>
    <x v="1"/>
    <n v="0"/>
    <x v="0"/>
    <n v="3"/>
    <x v="1"/>
    <n v="11"/>
    <x v="4"/>
    <n v="8"/>
    <x v="1"/>
    <n v="5"/>
    <x v="1"/>
    <n v="7"/>
    <x v="1"/>
  </r>
  <r>
    <n v="126"/>
    <n v="54"/>
    <x v="1"/>
    <x v="1"/>
    <n v="0"/>
    <x v="0"/>
    <n v="1217"/>
    <x v="0"/>
    <x v="1"/>
    <n v="2"/>
    <x v="0"/>
    <n v="4"/>
    <x v="2"/>
    <x v="4"/>
    <n v="1"/>
    <n v="1"/>
    <x v="3"/>
    <x v="0"/>
    <n v="60"/>
    <x v="1"/>
    <n v="3"/>
    <x v="0"/>
    <n v="3"/>
    <x v="7"/>
    <n v="3"/>
    <x v="2"/>
    <x v="1"/>
    <n v="13549"/>
    <x v="10"/>
    <n v="24001"/>
    <x v="1"/>
    <n v="9"/>
    <x v="0"/>
    <s v="Y"/>
    <x v="1"/>
    <n v="12"/>
    <x v="0"/>
    <n v="3"/>
    <x v="0"/>
    <n v="1"/>
    <x v="0"/>
    <n v="80"/>
    <n v="1"/>
    <n v="16"/>
    <x v="1"/>
    <n v="5"/>
    <x v="2"/>
    <n v="1"/>
    <x v="0"/>
    <n v="4"/>
    <x v="2"/>
    <n v="3"/>
    <x v="0"/>
    <n v="0"/>
    <x v="0"/>
    <n v="3"/>
    <x v="0"/>
  </r>
  <r>
    <n v="128"/>
    <n v="24"/>
    <x v="4"/>
    <x v="1"/>
    <n v="0"/>
    <x v="0"/>
    <n v="1353"/>
    <x v="0"/>
    <x v="0"/>
    <n v="3"/>
    <x v="0"/>
    <n v="2"/>
    <x v="0"/>
    <x v="1"/>
    <n v="1"/>
    <n v="1"/>
    <x v="3"/>
    <x v="0"/>
    <n v="33"/>
    <x v="2"/>
    <n v="3"/>
    <x v="0"/>
    <n v="2"/>
    <x v="0"/>
    <n v="3"/>
    <x v="2"/>
    <x v="1"/>
    <n v="4999"/>
    <x v="1"/>
    <n v="17519"/>
    <x v="0"/>
    <n v="0"/>
    <x v="1"/>
    <s v="Y"/>
    <x v="1"/>
    <n v="21"/>
    <x v="1"/>
    <n v="4"/>
    <x v="1"/>
    <n v="1"/>
    <x v="0"/>
    <n v="80"/>
    <n v="1"/>
    <n v="4"/>
    <x v="3"/>
    <n v="2"/>
    <x v="0"/>
    <n v="2"/>
    <x v="2"/>
    <n v="3"/>
    <x v="2"/>
    <n v="2"/>
    <x v="0"/>
    <n v="0"/>
    <x v="0"/>
    <n v="2"/>
    <x v="0"/>
  </r>
  <r>
    <n v="129"/>
    <n v="28"/>
    <x v="2"/>
    <x v="1"/>
    <n v="0"/>
    <x v="2"/>
    <n v="120"/>
    <x v="1"/>
    <x v="0"/>
    <n v="4"/>
    <x v="0"/>
    <n v="3"/>
    <x v="3"/>
    <x v="2"/>
    <n v="1"/>
    <n v="2"/>
    <x v="0"/>
    <x v="1"/>
    <n v="43"/>
    <x v="2"/>
    <n v="3"/>
    <x v="0"/>
    <n v="2"/>
    <x v="0"/>
    <n v="3"/>
    <x v="2"/>
    <x v="1"/>
    <n v="4221"/>
    <x v="1"/>
    <n v="8863"/>
    <x v="3"/>
    <n v="1"/>
    <x v="1"/>
    <s v="Y"/>
    <x v="1"/>
    <n v="15"/>
    <x v="2"/>
    <n v="3"/>
    <x v="0"/>
    <n v="2"/>
    <x v="4"/>
    <n v="80"/>
    <n v="0"/>
    <n v="5"/>
    <x v="3"/>
    <n v="3"/>
    <x v="1"/>
    <n v="4"/>
    <x v="3"/>
    <n v="5"/>
    <x v="2"/>
    <n v="4"/>
    <x v="0"/>
    <n v="0"/>
    <x v="0"/>
    <n v="4"/>
    <x v="0"/>
  </r>
  <r>
    <n v="131"/>
    <n v="58"/>
    <x v="3"/>
    <x v="1"/>
    <n v="0"/>
    <x v="0"/>
    <n v="682"/>
    <x v="2"/>
    <x v="0"/>
    <n v="10"/>
    <x v="1"/>
    <n v="4"/>
    <x v="2"/>
    <x v="2"/>
    <n v="1"/>
    <n v="4"/>
    <x v="2"/>
    <x v="1"/>
    <n v="37"/>
    <x v="2"/>
    <n v="3"/>
    <x v="0"/>
    <n v="4"/>
    <x v="0"/>
    <n v="3"/>
    <x v="2"/>
    <x v="0"/>
    <n v="13872"/>
    <x v="10"/>
    <n v="24409"/>
    <x v="1"/>
    <n v="0"/>
    <x v="1"/>
    <s v="Y"/>
    <x v="1"/>
    <n v="13"/>
    <x v="2"/>
    <n v="3"/>
    <x v="0"/>
    <n v="3"/>
    <x v="3"/>
    <n v="80"/>
    <n v="0"/>
    <n v="38"/>
    <x v="4"/>
    <n v="1"/>
    <x v="0"/>
    <n v="2"/>
    <x v="2"/>
    <n v="37"/>
    <x v="3"/>
    <n v="10"/>
    <x v="1"/>
    <n v="1"/>
    <x v="0"/>
    <n v="8"/>
    <x v="1"/>
  </r>
  <r>
    <n v="132"/>
    <n v="44"/>
    <x v="0"/>
    <x v="1"/>
    <n v="0"/>
    <x v="2"/>
    <n v="489"/>
    <x v="1"/>
    <x v="1"/>
    <n v="23"/>
    <x v="2"/>
    <n v="3"/>
    <x v="3"/>
    <x v="2"/>
    <n v="1"/>
    <n v="2"/>
    <x v="0"/>
    <x v="1"/>
    <n v="67"/>
    <x v="1"/>
    <n v="3"/>
    <x v="0"/>
    <n v="2"/>
    <x v="2"/>
    <n v="2"/>
    <x v="1"/>
    <x v="1"/>
    <n v="2042"/>
    <x v="2"/>
    <n v="25043"/>
    <x v="1"/>
    <n v="4"/>
    <x v="2"/>
    <s v="Y"/>
    <x v="1"/>
    <n v="12"/>
    <x v="0"/>
    <n v="3"/>
    <x v="0"/>
    <n v="3"/>
    <x v="3"/>
    <n v="80"/>
    <n v="1"/>
    <n v="17"/>
    <x v="1"/>
    <n v="3"/>
    <x v="1"/>
    <n v="4"/>
    <x v="3"/>
    <n v="3"/>
    <x v="2"/>
    <n v="2"/>
    <x v="0"/>
    <n v="1"/>
    <x v="0"/>
    <n v="2"/>
    <x v="0"/>
  </r>
  <r>
    <n v="133"/>
    <n v="37"/>
    <x v="0"/>
    <x v="0"/>
    <n v="1"/>
    <x v="0"/>
    <n v="807"/>
    <x v="2"/>
    <x v="2"/>
    <n v="6"/>
    <x v="1"/>
    <n v="4"/>
    <x v="2"/>
    <x v="5"/>
    <n v="1"/>
    <n v="3"/>
    <x v="1"/>
    <x v="1"/>
    <n v="63"/>
    <x v="1"/>
    <n v="3"/>
    <x v="0"/>
    <n v="1"/>
    <x v="8"/>
    <n v="1"/>
    <x v="3"/>
    <x v="2"/>
    <n v="2073"/>
    <x v="2"/>
    <n v="23648"/>
    <x v="1"/>
    <n v="4"/>
    <x v="2"/>
    <s v="Y"/>
    <x v="0"/>
    <n v="22"/>
    <x v="1"/>
    <n v="4"/>
    <x v="1"/>
    <n v="4"/>
    <x v="1"/>
    <n v="80"/>
    <n v="0"/>
    <n v="7"/>
    <x v="0"/>
    <n v="3"/>
    <x v="1"/>
    <n v="3"/>
    <x v="1"/>
    <n v="3"/>
    <x v="2"/>
    <n v="2"/>
    <x v="0"/>
    <n v="0"/>
    <x v="0"/>
    <n v="2"/>
    <x v="0"/>
  </r>
  <r>
    <n v="134"/>
    <n v="32"/>
    <x v="2"/>
    <x v="1"/>
    <n v="0"/>
    <x v="0"/>
    <n v="827"/>
    <x v="2"/>
    <x v="1"/>
    <n v="1"/>
    <x v="0"/>
    <n v="1"/>
    <x v="1"/>
    <x v="0"/>
    <n v="1"/>
    <n v="4"/>
    <x v="2"/>
    <x v="1"/>
    <n v="71"/>
    <x v="1"/>
    <n v="3"/>
    <x v="0"/>
    <n v="1"/>
    <x v="1"/>
    <n v="1"/>
    <x v="3"/>
    <x v="0"/>
    <n v="2956"/>
    <x v="3"/>
    <n v="15178"/>
    <x v="3"/>
    <n v="1"/>
    <x v="1"/>
    <s v="Y"/>
    <x v="1"/>
    <n v="13"/>
    <x v="2"/>
    <n v="3"/>
    <x v="0"/>
    <n v="4"/>
    <x v="1"/>
    <n v="80"/>
    <n v="0"/>
    <n v="1"/>
    <x v="2"/>
    <n v="2"/>
    <x v="0"/>
    <n v="3"/>
    <x v="1"/>
    <n v="1"/>
    <x v="1"/>
    <n v="0"/>
    <x v="2"/>
    <n v="0"/>
    <x v="0"/>
    <n v="0"/>
    <x v="2"/>
  </r>
  <r>
    <n v="137"/>
    <n v="20"/>
    <x v="4"/>
    <x v="0"/>
    <n v="1"/>
    <x v="1"/>
    <n v="871"/>
    <x v="2"/>
    <x v="1"/>
    <n v="6"/>
    <x v="1"/>
    <n v="3"/>
    <x v="3"/>
    <x v="0"/>
    <n v="1"/>
    <n v="4"/>
    <x v="2"/>
    <x v="0"/>
    <n v="66"/>
    <x v="1"/>
    <n v="2"/>
    <x v="1"/>
    <n v="1"/>
    <x v="2"/>
    <n v="4"/>
    <x v="0"/>
    <x v="0"/>
    <n v="2926"/>
    <x v="3"/>
    <n v="19783"/>
    <x v="0"/>
    <n v="1"/>
    <x v="1"/>
    <s v="Y"/>
    <x v="0"/>
    <n v="18"/>
    <x v="1"/>
    <n v="3"/>
    <x v="0"/>
    <n v="2"/>
    <x v="4"/>
    <n v="80"/>
    <n v="0"/>
    <n v="1"/>
    <x v="2"/>
    <n v="5"/>
    <x v="2"/>
    <n v="3"/>
    <x v="1"/>
    <n v="1"/>
    <x v="1"/>
    <n v="0"/>
    <x v="2"/>
    <n v="1"/>
    <x v="0"/>
    <n v="0"/>
    <x v="2"/>
  </r>
  <r>
    <n v="138"/>
    <n v="34"/>
    <x v="2"/>
    <x v="1"/>
    <n v="0"/>
    <x v="0"/>
    <n v="665"/>
    <x v="2"/>
    <x v="1"/>
    <n v="6"/>
    <x v="1"/>
    <n v="4"/>
    <x v="2"/>
    <x v="1"/>
    <n v="1"/>
    <n v="1"/>
    <x v="3"/>
    <x v="0"/>
    <n v="41"/>
    <x v="2"/>
    <n v="3"/>
    <x v="0"/>
    <n v="2"/>
    <x v="1"/>
    <n v="3"/>
    <x v="2"/>
    <x v="0"/>
    <n v="4809"/>
    <x v="1"/>
    <n v="12482"/>
    <x v="3"/>
    <n v="1"/>
    <x v="1"/>
    <s v="Y"/>
    <x v="1"/>
    <n v="14"/>
    <x v="2"/>
    <n v="3"/>
    <x v="0"/>
    <n v="3"/>
    <x v="3"/>
    <n v="80"/>
    <n v="0"/>
    <n v="16"/>
    <x v="1"/>
    <n v="3"/>
    <x v="1"/>
    <n v="3"/>
    <x v="1"/>
    <n v="16"/>
    <x v="4"/>
    <n v="13"/>
    <x v="3"/>
    <n v="2"/>
    <x v="1"/>
    <n v="10"/>
    <x v="1"/>
  </r>
  <r>
    <n v="139"/>
    <n v="37"/>
    <x v="0"/>
    <x v="1"/>
    <n v="0"/>
    <x v="2"/>
    <n v="1040"/>
    <x v="0"/>
    <x v="1"/>
    <n v="2"/>
    <x v="0"/>
    <n v="2"/>
    <x v="0"/>
    <x v="0"/>
    <n v="1"/>
    <n v="3"/>
    <x v="1"/>
    <x v="1"/>
    <n v="100"/>
    <x v="0"/>
    <n v="2"/>
    <x v="1"/>
    <n v="2"/>
    <x v="4"/>
    <n v="4"/>
    <x v="0"/>
    <x v="2"/>
    <n v="5163"/>
    <x v="1"/>
    <n v="15850"/>
    <x v="3"/>
    <n v="5"/>
    <x v="2"/>
    <s v="Y"/>
    <x v="1"/>
    <n v="14"/>
    <x v="2"/>
    <n v="3"/>
    <x v="0"/>
    <n v="4"/>
    <x v="1"/>
    <n v="80"/>
    <n v="1"/>
    <n v="17"/>
    <x v="1"/>
    <n v="2"/>
    <x v="0"/>
    <n v="4"/>
    <x v="3"/>
    <n v="1"/>
    <x v="1"/>
    <n v="0"/>
    <x v="2"/>
    <n v="0"/>
    <x v="0"/>
    <n v="0"/>
    <x v="2"/>
  </r>
  <r>
    <n v="140"/>
    <n v="59"/>
    <x v="3"/>
    <x v="1"/>
    <n v="0"/>
    <x v="2"/>
    <n v="1420"/>
    <x v="0"/>
    <x v="2"/>
    <n v="2"/>
    <x v="0"/>
    <n v="4"/>
    <x v="2"/>
    <x v="5"/>
    <n v="1"/>
    <n v="3"/>
    <x v="1"/>
    <x v="0"/>
    <n v="32"/>
    <x v="2"/>
    <n v="2"/>
    <x v="1"/>
    <n v="5"/>
    <x v="5"/>
    <n v="4"/>
    <x v="0"/>
    <x v="1"/>
    <n v="18844"/>
    <x v="9"/>
    <n v="21922"/>
    <x v="0"/>
    <n v="9"/>
    <x v="0"/>
    <s v="Y"/>
    <x v="1"/>
    <n v="21"/>
    <x v="1"/>
    <n v="4"/>
    <x v="1"/>
    <n v="4"/>
    <x v="1"/>
    <n v="80"/>
    <n v="1"/>
    <n v="30"/>
    <x v="4"/>
    <n v="3"/>
    <x v="1"/>
    <n v="3"/>
    <x v="1"/>
    <n v="3"/>
    <x v="2"/>
    <n v="2"/>
    <x v="0"/>
    <n v="2"/>
    <x v="1"/>
    <n v="2"/>
    <x v="0"/>
  </r>
  <r>
    <n v="141"/>
    <n v="50"/>
    <x v="1"/>
    <x v="1"/>
    <n v="0"/>
    <x v="1"/>
    <n v="1115"/>
    <x v="0"/>
    <x v="1"/>
    <n v="1"/>
    <x v="0"/>
    <n v="3"/>
    <x v="3"/>
    <x v="0"/>
    <n v="1"/>
    <n v="1"/>
    <x v="3"/>
    <x v="0"/>
    <n v="73"/>
    <x v="1"/>
    <n v="3"/>
    <x v="0"/>
    <n v="5"/>
    <x v="7"/>
    <n v="2"/>
    <x v="1"/>
    <x v="1"/>
    <n v="18172"/>
    <x v="9"/>
    <n v="9755"/>
    <x v="3"/>
    <n v="3"/>
    <x v="3"/>
    <s v="Y"/>
    <x v="0"/>
    <n v="19"/>
    <x v="1"/>
    <n v="3"/>
    <x v="0"/>
    <n v="1"/>
    <x v="0"/>
    <n v="80"/>
    <n v="0"/>
    <n v="28"/>
    <x v="4"/>
    <n v="1"/>
    <x v="0"/>
    <n v="2"/>
    <x v="2"/>
    <n v="8"/>
    <x v="0"/>
    <n v="3"/>
    <x v="0"/>
    <n v="0"/>
    <x v="0"/>
    <n v="7"/>
    <x v="1"/>
  </r>
  <r>
    <n v="142"/>
    <n v="25"/>
    <x v="4"/>
    <x v="0"/>
    <n v="1"/>
    <x v="0"/>
    <n v="240"/>
    <x v="1"/>
    <x v="0"/>
    <n v="5"/>
    <x v="0"/>
    <n v="3"/>
    <x v="3"/>
    <x v="3"/>
    <n v="1"/>
    <n v="3"/>
    <x v="1"/>
    <x v="1"/>
    <n v="46"/>
    <x v="2"/>
    <n v="2"/>
    <x v="1"/>
    <n v="2"/>
    <x v="0"/>
    <n v="3"/>
    <x v="2"/>
    <x v="0"/>
    <n v="5744"/>
    <x v="0"/>
    <n v="26959"/>
    <x v="1"/>
    <n v="1"/>
    <x v="1"/>
    <s v="Y"/>
    <x v="0"/>
    <n v="11"/>
    <x v="0"/>
    <n v="3"/>
    <x v="0"/>
    <n v="4"/>
    <x v="1"/>
    <n v="80"/>
    <n v="0"/>
    <n v="6"/>
    <x v="0"/>
    <n v="1"/>
    <x v="0"/>
    <n v="3"/>
    <x v="1"/>
    <n v="6"/>
    <x v="0"/>
    <n v="4"/>
    <x v="0"/>
    <n v="0"/>
    <x v="0"/>
    <n v="3"/>
    <x v="0"/>
  </r>
  <r>
    <n v="143"/>
    <n v="25"/>
    <x v="4"/>
    <x v="1"/>
    <n v="0"/>
    <x v="0"/>
    <n v="1280"/>
    <x v="0"/>
    <x v="1"/>
    <n v="7"/>
    <x v="1"/>
    <n v="1"/>
    <x v="1"/>
    <x v="2"/>
    <n v="1"/>
    <n v="4"/>
    <x v="2"/>
    <x v="1"/>
    <n v="64"/>
    <x v="1"/>
    <n v="2"/>
    <x v="1"/>
    <n v="1"/>
    <x v="1"/>
    <n v="4"/>
    <x v="0"/>
    <x v="1"/>
    <n v="2889"/>
    <x v="3"/>
    <n v="26897"/>
    <x v="1"/>
    <n v="1"/>
    <x v="1"/>
    <s v="Y"/>
    <x v="1"/>
    <n v="11"/>
    <x v="0"/>
    <n v="3"/>
    <x v="0"/>
    <n v="3"/>
    <x v="3"/>
    <n v="80"/>
    <n v="2"/>
    <n v="2"/>
    <x v="2"/>
    <n v="2"/>
    <x v="0"/>
    <n v="3"/>
    <x v="1"/>
    <n v="2"/>
    <x v="2"/>
    <n v="2"/>
    <x v="0"/>
    <n v="2"/>
    <x v="1"/>
    <n v="1"/>
    <x v="2"/>
  </r>
  <r>
    <n v="144"/>
    <n v="22"/>
    <x v="4"/>
    <x v="1"/>
    <n v="0"/>
    <x v="0"/>
    <n v="534"/>
    <x v="2"/>
    <x v="1"/>
    <n v="15"/>
    <x v="3"/>
    <n v="3"/>
    <x v="3"/>
    <x v="2"/>
    <n v="1"/>
    <n v="2"/>
    <x v="0"/>
    <x v="0"/>
    <n v="59"/>
    <x v="1"/>
    <n v="3"/>
    <x v="0"/>
    <n v="1"/>
    <x v="2"/>
    <n v="4"/>
    <x v="0"/>
    <x v="0"/>
    <n v="2871"/>
    <x v="3"/>
    <n v="23785"/>
    <x v="1"/>
    <n v="1"/>
    <x v="1"/>
    <s v="Y"/>
    <x v="1"/>
    <n v="15"/>
    <x v="2"/>
    <n v="3"/>
    <x v="0"/>
    <n v="3"/>
    <x v="3"/>
    <n v="80"/>
    <n v="0"/>
    <n v="1"/>
    <x v="2"/>
    <n v="5"/>
    <x v="2"/>
    <n v="3"/>
    <x v="1"/>
    <n v="0"/>
    <x v="1"/>
    <n v="0"/>
    <x v="2"/>
    <n v="0"/>
    <x v="0"/>
    <n v="0"/>
    <x v="2"/>
  </r>
  <r>
    <n v="145"/>
    <n v="51"/>
    <x v="1"/>
    <x v="1"/>
    <n v="0"/>
    <x v="1"/>
    <n v="1456"/>
    <x v="0"/>
    <x v="1"/>
    <n v="1"/>
    <x v="0"/>
    <n v="4"/>
    <x v="2"/>
    <x v="2"/>
    <n v="1"/>
    <n v="1"/>
    <x v="3"/>
    <x v="0"/>
    <n v="30"/>
    <x v="2"/>
    <n v="2"/>
    <x v="1"/>
    <n v="3"/>
    <x v="4"/>
    <n v="1"/>
    <x v="3"/>
    <x v="0"/>
    <n v="7484"/>
    <x v="11"/>
    <n v="25796"/>
    <x v="1"/>
    <n v="3"/>
    <x v="3"/>
    <s v="Y"/>
    <x v="1"/>
    <n v="20"/>
    <x v="1"/>
    <n v="4"/>
    <x v="1"/>
    <n v="3"/>
    <x v="3"/>
    <n v="80"/>
    <n v="0"/>
    <n v="23"/>
    <x v="4"/>
    <n v="1"/>
    <x v="0"/>
    <n v="2"/>
    <x v="2"/>
    <n v="13"/>
    <x v="4"/>
    <n v="12"/>
    <x v="3"/>
    <n v="12"/>
    <x v="3"/>
    <n v="8"/>
    <x v="1"/>
  </r>
  <r>
    <n v="147"/>
    <n v="34"/>
    <x v="2"/>
    <x v="0"/>
    <n v="1"/>
    <x v="1"/>
    <n v="658"/>
    <x v="2"/>
    <x v="1"/>
    <n v="7"/>
    <x v="1"/>
    <n v="3"/>
    <x v="3"/>
    <x v="0"/>
    <n v="1"/>
    <n v="1"/>
    <x v="3"/>
    <x v="1"/>
    <n v="66"/>
    <x v="1"/>
    <n v="1"/>
    <x v="3"/>
    <n v="2"/>
    <x v="2"/>
    <n v="3"/>
    <x v="2"/>
    <x v="0"/>
    <n v="6074"/>
    <x v="0"/>
    <n v="22887"/>
    <x v="1"/>
    <n v="1"/>
    <x v="1"/>
    <s v="Y"/>
    <x v="0"/>
    <n v="24"/>
    <x v="1"/>
    <n v="4"/>
    <x v="1"/>
    <n v="4"/>
    <x v="1"/>
    <n v="80"/>
    <n v="0"/>
    <n v="9"/>
    <x v="0"/>
    <n v="3"/>
    <x v="1"/>
    <n v="3"/>
    <x v="1"/>
    <n v="9"/>
    <x v="0"/>
    <n v="7"/>
    <x v="1"/>
    <n v="0"/>
    <x v="0"/>
    <n v="6"/>
    <x v="1"/>
  </r>
  <r>
    <n v="148"/>
    <n v="54"/>
    <x v="1"/>
    <x v="1"/>
    <n v="0"/>
    <x v="2"/>
    <n v="142"/>
    <x v="1"/>
    <x v="2"/>
    <n v="26"/>
    <x v="2"/>
    <n v="3"/>
    <x v="3"/>
    <x v="5"/>
    <n v="1"/>
    <n v="4"/>
    <x v="2"/>
    <x v="0"/>
    <n v="30"/>
    <x v="2"/>
    <n v="4"/>
    <x v="2"/>
    <n v="4"/>
    <x v="5"/>
    <n v="4"/>
    <x v="0"/>
    <x v="0"/>
    <n v="17328"/>
    <x v="12"/>
    <n v="13871"/>
    <x v="3"/>
    <n v="2"/>
    <x v="3"/>
    <s v="Y"/>
    <x v="0"/>
    <n v="12"/>
    <x v="0"/>
    <n v="3"/>
    <x v="0"/>
    <n v="3"/>
    <x v="3"/>
    <n v="80"/>
    <n v="0"/>
    <n v="23"/>
    <x v="4"/>
    <n v="3"/>
    <x v="1"/>
    <n v="3"/>
    <x v="1"/>
    <n v="5"/>
    <x v="2"/>
    <n v="3"/>
    <x v="0"/>
    <n v="4"/>
    <x v="1"/>
    <n v="4"/>
    <x v="0"/>
  </r>
  <r>
    <n v="150"/>
    <n v="24"/>
    <x v="4"/>
    <x v="1"/>
    <n v="0"/>
    <x v="0"/>
    <n v="1127"/>
    <x v="0"/>
    <x v="1"/>
    <n v="18"/>
    <x v="3"/>
    <n v="1"/>
    <x v="1"/>
    <x v="0"/>
    <n v="1"/>
    <n v="2"/>
    <x v="0"/>
    <x v="1"/>
    <n v="52"/>
    <x v="1"/>
    <n v="3"/>
    <x v="0"/>
    <n v="1"/>
    <x v="2"/>
    <n v="3"/>
    <x v="2"/>
    <x v="1"/>
    <n v="2774"/>
    <x v="3"/>
    <n v="13257"/>
    <x v="3"/>
    <n v="0"/>
    <x v="1"/>
    <s v="Y"/>
    <x v="1"/>
    <n v="12"/>
    <x v="0"/>
    <n v="3"/>
    <x v="0"/>
    <n v="3"/>
    <x v="3"/>
    <n v="80"/>
    <n v="1"/>
    <n v="6"/>
    <x v="0"/>
    <n v="2"/>
    <x v="0"/>
    <n v="3"/>
    <x v="1"/>
    <n v="5"/>
    <x v="2"/>
    <n v="3"/>
    <x v="0"/>
    <n v="1"/>
    <x v="0"/>
    <n v="2"/>
    <x v="0"/>
  </r>
  <r>
    <n v="151"/>
    <n v="34"/>
    <x v="2"/>
    <x v="1"/>
    <n v="0"/>
    <x v="0"/>
    <n v="1031"/>
    <x v="0"/>
    <x v="1"/>
    <n v="6"/>
    <x v="1"/>
    <n v="4"/>
    <x v="2"/>
    <x v="0"/>
    <n v="1"/>
    <n v="3"/>
    <x v="1"/>
    <x v="0"/>
    <n v="45"/>
    <x v="2"/>
    <n v="2"/>
    <x v="1"/>
    <n v="2"/>
    <x v="1"/>
    <n v="2"/>
    <x v="1"/>
    <x v="2"/>
    <n v="4505"/>
    <x v="1"/>
    <n v="15000"/>
    <x v="3"/>
    <n v="6"/>
    <x v="2"/>
    <s v="Y"/>
    <x v="1"/>
    <n v="15"/>
    <x v="2"/>
    <n v="3"/>
    <x v="0"/>
    <n v="3"/>
    <x v="3"/>
    <n v="80"/>
    <n v="1"/>
    <n v="12"/>
    <x v="1"/>
    <n v="3"/>
    <x v="1"/>
    <n v="3"/>
    <x v="1"/>
    <n v="1"/>
    <x v="1"/>
    <n v="0"/>
    <x v="2"/>
    <n v="0"/>
    <x v="0"/>
    <n v="0"/>
    <x v="2"/>
  </r>
  <r>
    <n v="152"/>
    <n v="37"/>
    <x v="0"/>
    <x v="1"/>
    <n v="0"/>
    <x v="0"/>
    <n v="1189"/>
    <x v="0"/>
    <x v="0"/>
    <n v="3"/>
    <x v="0"/>
    <n v="3"/>
    <x v="3"/>
    <x v="0"/>
    <n v="1"/>
    <n v="3"/>
    <x v="1"/>
    <x v="1"/>
    <n v="87"/>
    <x v="0"/>
    <n v="3"/>
    <x v="0"/>
    <n v="3"/>
    <x v="0"/>
    <n v="4"/>
    <x v="0"/>
    <x v="0"/>
    <n v="7428"/>
    <x v="11"/>
    <n v="14506"/>
    <x v="3"/>
    <n v="2"/>
    <x v="3"/>
    <s v="Y"/>
    <x v="1"/>
    <n v="12"/>
    <x v="0"/>
    <n v="3"/>
    <x v="0"/>
    <n v="1"/>
    <x v="0"/>
    <n v="80"/>
    <n v="0"/>
    <n v="12"/>
    <x v="1"/>
    <n v="3"/>
    <x v="1"/>
    <n v="3"/>
    <x v="1"/>
    <n v="5"/>
    <x v="2"/>
    <n v="3"/>
    <x v="0"/>
    <n v="1"/>
    <x v="0"/>
    <n v="3"/>
    <x v="0"/>
  </r>
  <r>
    <n v="153"/>
    <n v="34"/>
    <x v="2"/>
    <x v="1"/>
    <n v="0"/>
    <x v="0"/>
    <n v="1354"/>
    <x v="0"/>
    <x v="1"/>
    <n v="5"/>
    <x v="0"/>
    <n v="3"/>
    <x v="3"/>
    <x v="2"/>
    <n v="1"/>
    <n v="3"/>
    <x v="1"/>
    <x v="0"/>
    <n v="45"/>
    <x v="2"/>
    <n v="2"/>
    <x v="1"/>
    <n v="3"/>
    <x v="5"/>
    <n v="1"/>
    <x v="3"/>
    <x v="0"/>
    <n v="11631"/>
    <x v="6"/>
    <n v="5615"/>
    <x v="2"/>
    <n v="2"/>
    <x v="3"/>
    <s v="Y"/>
    <x v="1"/>
    <n v="12"/>
    <x v="0"/>
    <n v="3"/>
    <x v="0"/>
    <n v="4"/>
    <x v="1"/>
    <n v="80"/>
    <n v="0"/>
    <n v="14"/>
    <x v="1"/>
    <n v="6"/>
    <x v="2"/>
    <n v="3"/>
    <x v="1"/>
    <n v="11"/>
    <x v="4"/>
    <n v="10"/>
    <x v="1"/>
    <n v="5"/>
    <x v="1"/>
    <n v="8"/>
    <x v="1"/>
  </r>
  <r>
    <n v="154"/>
    <n v="36"/>
    <x v="0"/>
    <x v="1"/>
    <n v="0"/>
    <x v="1"/>
    <n v="1467"/>
    <x v="0"/>
    <x v="0"/>
    <n v="11"/>
    <x v="3"/>
    <n v="2"/>
    <x v="0"/>
    <x v="4"/>
    <n v="1"/>
    <n v="2"/>
    <x v="0"/>
    <x v="0"/>
    <n v="92"/>
    <x v="0"/>
    <n v="3"/>
    <x v="0"/>
    <n v="3"/>
    <x v="0"/>
    <n v="4"/>
    <x v="0"/>
    <x v="1"/>
    <n v="9738"/>
    <x v="4"/>
    <n v="22952"/>
    <x v="1"/>
    <n v="0"/>
    <x v="1"/>
    <s v="Y"/>
    <x v="1"/>
    <n v="14"/>
    <x v="2"/>
    <n v="3"/>
    <x v="0"/>
    <n v="3"/>
    <x v="3"/>
    <n v="80"/>
    <n v="1"/>
    <n v="10"/>
    <x v="0"/>
    <n v="6"/>
    <x v="2"/>
    <n v="3"/>
    <x v="1"/>
    <n v="9"/>
    <x v="0"/>
    <n v="7"/>
    <x v="1"/>
    <n v="2"/>
    <x v="1"/>
    <n v="8"/>
    <x v="1"/>
  </r>
  <r>
    <n v="155"/>
    <n v="36"/>
    <x v="0"/>
    <x v="1"/>
    <n v="0"/>
    <x v="0"/>
    <n v="922"/>
    <x v="2"/>
    <x v="1"/>
    <n v="3"/>
    <x v="0"/>
    <n v="2"/>
    <x v="0"/>
    <x v="0"/>
    <n v="1"/>
    <n v="1"/>
    <x v="3"/>
    <x v="0"/>
    <n v="39"/>
    <x v="2"/>
    <n v="3"/>
    <x v="0"/>
    <n v="1"/>
    <x v="2"/>
    <n v="4"/>
    <x v="0"/>
    <x v="2"/>
    <n v="2835"/>
    <x v="3"/>
    <n v="2561"/>
    <x v="2"/>
    <n v="5"/>
    <x v="2"/>
    <s v="Y"/>
    <x v="1"/>
    <n v="22"/>
    <x v="1"/>
    <n v="4"/>
    <x v="1"/>
    <n v="1"/>
    <x v="0"/>
    <n v="80"/>
    <n v="1"/>
    <n v="7"/>
    <x v="0"/>
    <n v="2"/>
    <x v="0"/>
    <n v="3"/>
    <x v="1"/>
    <n v="1"/>
    <x v="1"/>
    <n v="0"/>
    <x v="2"/>
    <n v="0"/>
    <x v="0"/>
    <n v="0"/>
    <x v="2"/>
  </r>
  <r>
    <n v="158"/>
    <n v="43"/>
    <x v="0"/>
    <x v="1"/>
    <n v="0"/>
    <x v="1"/>
    <n v="394"/>
    <x v="1"/>
    <x v="0"/>
    <n v="26"/>
    <x v="2"/>
    <n v="2"/>
    <x v="0"/>
    <x v="0"/>
    <n v="1"/>
    <n v="3"/>
    <x v="1"/>
    <x v="1"/>
    <n v="92"/>
    <x v="0"/>
    <n v="3"/>
    <x v="0"/>
    <n v="4"/>
    <x v="5"/>
    <n v="4"/>
    <x v="0"/>
    <x v="1"/>
    <n v="16959"/>
    <x v="12"/>
    <n v="19494"/>
    <x v="0"/>
    <n v="1"/>
    <x v="1"/>
    <s v="Y"/>
    <x v="0"/>
    <n v="12"/>
    <x v="0"/>
    <n v="3"/>
    <x v="0"/>
    <n v="4"/>
    <x v="1"/>
    <n v="80"/>
    <n v="2"/>
    <n v="25"/>
    <x v="4"/>
    <n v="3"/>
    <x v="1"/>
    <n v="4"/>
    <x v="3"/>
    <n v="25"/>
    <x v="3"/>
    <n v="12"/>
    <x v="3"/>
    <n v="4"/>
    <x v="1"/>
    <n v="12"/>
    <x v="3"/>
  </r>
  <r>
    <n v="159"/>
    <n v="30"/>
    <x v="2"/>
    <x v="1"/>
    <n v="0"/>
    <x v="1"/>
    <n v="1312"/>
    <x v="0"/>
    <x v="1"/>
    <n v="23"/>
    <x v="2"/>
    <n v="3"/>
    <x v="3"/>
    <x v="0"/>
    <n v="1"/>
    <n v="1"/>
    <x v="3"/>
    <x v="1"/>
    <n v="96"/>
    <x v="0"/>
    <n v="1"/>
    <x v="3"/>
    <n v="1"/>
    <x v="1"/>
    <n v="3"/>
    <x v="2"/>
    <x v="2"/>
    <n v="2613"/>
    <x v="3"/>
    <n v="22310"/>
    <x v="1"/>
    <n v="1"/>
    <x v="1"/>
    <s v="Y"/>
    <x v="1"/>
    <n v="25"/>
    <x v="1"/>
    <n v="4"/>
    <x v="1"/>
    <n v="3"/>
    <x v="3"/>
    <n v="80"/>
    <n v="3"/>
    <n v="10"/>
    <x v="0"/>
    <n v="2"/>
    <x v="0"/>
    <n v="2"/>
    <x v="2"/>
    <n v="10"/>
    <x v="0"/>
    <n v="7"/>
    <x v="1"/>
    <n v="0"/>
    <x v="0"/>
    <n v="9"/>
    <x v="1"/>
  </r>
  <r>
    <n v="160"/>
    <n v="33"/>
    <x v="2"/>
    <x v="1"/>
    <n v="0"/>
    <x v="2"/>
    <n v="750"/>
    <x v="2"/>
    <x v="0"/>
    <n v="22"/>
    <x v="2"/>
    <n v="2"/>
    <x v="0"/>
    <x v="3"/>
    <n v="1"/>
    <n v="3"/>
    <x v="1"/>
    <x v="1"/>
    <n v="95"/>
    <x v="0"/>
    <n v="3"/>
    <x v="0"/>
    <n v="2"/>
    <x v="0"/>
    <n v="2"/>
    <x v="1"/>
    <x v="1"/>
    <n v="6146"/>
    <x v="0"/>
    <n v="15480"/>
    <x v="3"/>
    <n v="0"/>
    <x v="1"/>
    <s v="Y"/>
    <x v="1"/>
    <n v="13"/>
    <x v="2"/>
    <n v="3"/>
    <x v="0"/>
    <n v="1"/>
    <x v="0"/>
    <n v="80"/>
    <n v="1"/>
    <n v="8"/>
    <x v="0"/>
    <n v="2"/>
    <x v="0"/>
    <n v="4"/>
    <x v="3"/>
    <n v="7"/>
    <x v="0"/>
    <n v="7"/>
    <x v="1"/>
    <n v="0"/>
    <x v="0"/>
    <n v="7"/>
    <x v="1"/>
  </r>
  <r>
    <n v="161"/>
    <n v="56"/>
    <x v="3"/>
    <x v="0"/>
    <n v="1"/>
    <x v="0"/>
    <n v="441"/>
    <x v="1"/>
    <x v="1"/>
    <n v="14"/>
    <x v="3"/>
    <n v="4"/>
    <x v="2"/>
    <x v="0"/>
    <n v="1"/>
    <n v="2"/>
    <x v="0"/>
    <x v="0"/>
    <n v="72"/>
    <x v="1"/>
    <n v="3"/>
    <x v="0"/>
    <n v="1"/>
    <x v="1"/>
    <n v="2"/>
    <x v="1"/>
    <x v="1"/>
    <n v="4963"/>
    <x v="1"/>
    <n v="4510"/>
    <x v="2"/>
    <n v="9"/>
    <x v="0"/>
    <s v="Y"/>
    <x v="0"/>
    <n v="18"/>
    <x v="1"/>
    <n v="3"/>
    <x v="0"/>
    <n v="1"/>
    <x v="0"/>
    <n v="80"/>
    <n v="3"/>
    <n v="7"/>
    <x v="0"/>
    <n v="2"/>
    <x v="0"/>
    <n v="3"/>
    <x v="1"/>
    <n v="5"/>
    <x v="2"/>
    <n v="4"/>
    <x v="0"/>
    <n v="4"/>
    <x v="1"/>
    <n v="3"/>
    <x v="0"/>
  </r>
  <r>
    <n v="162"/>
    <n v="51"/>
    <x v="1"/>
    <x v="1"/>
    <n v="0"/>
    <x v="0"/>
    <n v="684"/>
    <x v="2"/>
    <x v="1"/>
    <n v="6"/>
    <x v="1"/>
    <n v="3"/>
    <x v="3"/>
    <x v="0"/>
    <n v="1"/>
    <n v="1"/>
    <x v="3"/>
    <x v="1"/>
    <n v="51"/>
    <x v="1"/>
    <n v="3"/>
    <x v="0"/>
    <n v="5"/>
    <x v="7"/>
    <n v="3"/>
    <x v="2"/>
    <x v="0"/>
    <n v="19537"/>
    <x v="7"/>
    <n v="6462"/>
    <x v="2"/>
    <n v="7"/>
    <x v="0"/>
    <s v="Y"/>
    <x v="1"/>
    <n v="13"/>
    <x v="2"/>
    <n v="3"/>
    <x v="0"/>
    <n v="3"/>
    <x v="3"/>
    <n v="80"/>
    <n v="0"/>
    <n v="23"/>
    <x v="4"/>
    <n v="5"/>
    <x v="2"/>
    <n v="3"/>
    <x v="1"/>
    <n v="20"/>
    <x v="4"/>
    <n v="18"/>
    <x v="3"/>
    <n v="15"/>
    <x v="3"/>
    <n v="15"/>
    <x v="3"/>
  </r>
  <r>
    <n v="163"/>
    <n v="31"/>
    <x v="2"/>
    <x v="0"/>
    <n v="1"/>
    <x v="0"/>
    <n v="249"/>
    <x v="1"/>
    <x v="0"/>
    <n v="6"/>
    <x v="1"/>
    <n v="4"/>
    <x v="2"/>
    <x v="0"/>
    <n v="1"/>
    <n v="2"/>
    <x v="0"/>
    <x v="1"/>
    <n v="76"/>
    <x v="0"/>
    <n v="1"/>
    <x v="3"/>
    <n v="2"/>
    <x v="0"/>
    <n v="3"/>
    <x v="2"/>
    <x v="1"/>
    <n v="6172"/>
    <x v="0"/>
    <n v="20739"/>
    <x v="0"/>
    <n v="4"/>
    <x v="2"/>
    <s v="Y"/>
    <x v="0"/>
    <n v="18"/>
    <x v="1"/>
    <n v="3"/>
    <x v="0"/>
    <n v="2"/>
    <x v="4"/>
    <n v="80"/>
    <n v="0"/>
    <n v="12"/>
    <x v="1"/>
    <n v="3"/>
    <x v="1"/>
    <n v="2"/>
    <x v="2"/>
    <n v="7"/>
    <x v="0"/>
    <n v="7"/>
    <x v="1"/>
    <n v="7"/>
    <x v="2"/>
    <n v="7"/>
    <x v="1"/>
  </r>
  <r>
    <n v="164"/>
    <n v="26"/>
    <x v="2"/>
    <x v="1"/>
    <n v="0"/>
    <x v="0"/>
    <n v="841"/>
    <x v="2"/>
    <x v="1"/>
    <n v="6"/>
    <x v="1"/>
    <n v="3"/>
    <x v="3"/>
    <x v="1"/>
    <n v="1"/>
    <n v="3"/>
    <x v="1"/>
    <x v="0"/>
    <n v="46"/>
    <x v="2"/>
    <n v="2"/>
    <x v="1"/>
    <n v="1"/>
    <x v="1"/>
    <n v="2"/>
    <x v="1"/>
    <x v="1"/>
    <n v="2368"/>
    <x v="2"/>
    <n v="23300"/>
    <x v="1"/>
    <n v="1"/>
    <x v="1"/>
    <s v="Y"/>
    <x v="1"/>
    <n v="19"/>
    <x v="1"/>
    <n v="3"/>
    <x v="0"/>
    <n v="3"/>
    <x v="3"/>
    <n v="80"/>
    <n v="0"/>
    <n v="5"/>
    <x v="3"/>
    <n v="3"/>
    <x v="1"/>
    <n v="2"/>
    <x v="2"/>
    <n v="5"/>
    <x v="2"/>
    <n v="4"/>
    <x v="0"/>
    <n v="4"/>
    <x v="1"/>
    <n v="3"/>
    <x v="0"/>
  </r>
  <r>
    <n v="165"/>
    <n v="58"/>
    <x v="3"/>
    <x v="0"/>
    <n v="1"/>
    <x v="0"/>
    <n v="147"/>
    <x v="1"/>
    <x v="1"/>
    <n v="23"/>
    <x v="2"/>
    <n v="4"/>
    <x v="2"/>
    <x v="2"/>
    <n v="1"/>
    <n v="4"/>
    <x v="2"/>
    <x v="0"/>
    <n v="94"/>
    <x v="0"/>
    <n v="3"/>
    <x v="0"/>
    <n v="3"/>
    <x v="4"/>
    <n v="4"/>
    <x v="0"/>
    <x v="1"/>
    <n v="10312"/>
    <x v="8"/>
    <n v="3465"/>
    <x v="2"/>
    <n v="1"/>
    <x v="1"/>
    <s v="Y"/>
    <x v="1"/>
    <n v="12"/>
    <x v="0"/>
    <n v="3"/>
    <x v="0"/>
    <n v="4"/>
    <x v="1"/>
    <n v="80"/>
    <n v="1"/>
    <n v="40"/>
    <x v="4"/>
    <n v="3"/>
    <x v="1"/>
    <n v="2"/>
    <x v="2"/>
    <n v="40"/>
    <x v="3"/>
    <n v="10"/>
    <x v="1"/>
    <n v="15"/>
    <x v="3"/>
    <n v="6"/>
    <x v="1"/>
  </r>
  <r>
    <n v="167"/>
    <n v="19"/>
    <x v="4"/>
    <x v="0"/>
    <n v="1"/>
    <x v="0"/>
    <n v="528"/>
    <x v="2"/>
    <x v="0"/>
    <n v="22"/>
    <x v="2"/>
    <n v="1"/>
    <x v="1"/>
    <x v="3"/>
    <n v="1"/>
    <n v="4"/>
    <x v="2"/>
    <x v="1"/>
    <n v="50"/>
    <x v="2"/>
    <n v="3"/>
    <x v="0"/>
    <n v="1"/>
    <x v="6"/>
    <n v="3"/>
    <x v="2"/>
    <x v="0"/>
    <n v="1675"/>
    <x v="2"/>
    <n v="26820"/>
    <x v="1"/>
    <n v="1"/>
    <x v="1"/>
    <s v="Y"/>
    <x v="0"/>
    <n v="19"/>
    <x v="1"/>
    <n v="3"/>
    <x v="0"/>
    <n v="4"/>
    <x v="1"/>
    <n v="80"/>
    <n v="0"/>
    <n v="0"/>
    <x v="2"/>
    <n v="2"/>
    <x v="0"/>
    <n v="2"/>
    <x v="2"/>
    <n v="0"/>
    <x v="1"/>
    <n v="0"/>
    <x v="2"/>
    <n v="0"/>
    <x v="0"/>
    <n v="0"/>
    <x v="2"/>
  </r>
  <r>
    <n v="169"/>
    <n v="22"/>
    <x v="4"/>
    <x v="1"/>
    <n v="0"/>
    <x v="0"/>
    <n v="594"/>
    <x v="2"/>
    <x v="1"/>
    <n v="2"/>
    <x v="0"/>
    <n v="1"/>
    <x v="1"/>
    <x v="4"/>
    <n v="1"/>
    <n v="3"/>
    <x v="1"/>
    <x v="1"/>
    <n v="100"/>
    <x v="0"/>
    <n v="3"/>
    <x v="0"/>
    <n v="1"/>
    <x v="2"/>
    <n v="4"/>
    <x v="0"/>
    <x v="1"/>
    <n v="2523"/>
    <x v="3"/>
    <n v="19299"/>
    <x v="0"/>
    <n v="0"/>
    <x v="1"/>
    <s v="Y"/>
    <x v="1"/>
    <n v="14"/>
    <x v="2"/>
    <n v="3"/>
    <x v="0"/>
    <n v="3"/>
    <x v="3"/>
    <n v="80"/>
    <n v="1"/>
    <n v="3"/>
    <x v="3"/>
    <n v="2"/>
    <x v="0"/>
    <n v="3"/>
    <x v="1"/>
    <n v="2"/>
    <x v="2"/>
    <n v="1"/>
    <x v="2"/>
    <n v="2"/>
    <x v="1"/>
    <n v="1"/>
    <x v="2"/>
  </r>
  <r>
    <n v="170"/>
    <n v="49"/>
    <x v="1"/>
    <x v="1"/>
    <n v="0"/>
    <x v="0"/>
    <n v="470"/>
    <x v="1"/>
    <x v="1"/>
    <n v="20"/>
    <x v="3"/>
    <n v="4"/>
    <x v="2"/>
    <x v="2"/>
    <n v="1"/>
    <n v="3"/>
    <x v="1"/>
    <x v="0"/>
    <n v="96"/>
    <x v="0"/>
    <n v="3"/>
    <x v="0"/>
    <n v="2"/>
    <x v="3"/>
    <n v="1"/>
    <x v="3"/>
    <x v="1"/>
    <n v="6567"/>
    <x v="0"/>
    <n v="5549"/>
    <x v="2"/>
    <n v="1"/>
    <x v="1"/>
    <s v="Y"/>
    <x v="1"/>
    <n v="14"/>
    <x v="2"/>
    <n v="3"/>
    <x v="0"/>
    <n v="3"/>
    <x v="3"/>
    <n v="80"/>
    <n v="0"/>
    <n v="16"/>
    <x v="1"/>
    <n v="2"/>
    <x v="0"/>
    <n v="2"/>
    <x v="2"/>
    <n v="15"/>
    <x v="4"/>
    <n v="11"/>
    <x v="3"/>
    <n v="5"/>
    <x v="1"/>
    <n v="11"/>
    <x v="3"/>
  </r>
  <r>
    <n v="171"/>
    <n v="43"/>
    <x v="0"/>
    <x v="1"/>
    <n v="0"/>
    <x v="1"/>
    <n v="957"/>
    <x v="2"/>
    <x v="1"/>
    <n v="28"/>
    <x v="2"/>
    <n v="3"/>
    <x v="3"/>
    <x v="2"/>
    <n v="1"/>
    <n v="2"/>
    <x v="0"/>
    <x v="0"/>
    <n v="72"/>
    <x v="1"/>
    <n v="4"/>
    <x v="2"/>
    <n v="1"/>
    <x v="1"/>
    <n v="3"/>
    <x v="2"/>
    <x v="0"/>
    <n v="4739"/>
    <x v="1"/>
    <n v="16090"/>
    <x v="0"/>
    <n v="4"/>
    <x v="2"/>
    <s v="Y"/>
    <x v="1"/>
    <n v="12"/>
    <x v="0"/>
    <n v="3"/>
    <x v="0"/>
    <n v="4"/>
    <x v="1"/>
    <n v="80"/>
    <n v="0"/>
    <n v="18"/>
    <x v="1"/>
    <n v="2"/>
    <x v="0"/>
    <n v="3"/>
    <x v="1"/>
    <n v="3"/>
    <x v="2"/>
    <n v="2"/>
    <x v="0"/>
    <n v="1"/>
    <x v="0"/>
    <n v="2"/>
    <x v="0"/>
  </r>
  <r>
    <n v="174"/>
    <n v="50"/>
    <x v="1"/>
    <x v="1"/>
    <n v="0"/>
    <x v="1"/>
    <n v="809"/>
    <x v="2"/>
    <x v="0"/>
    <n v="12"/>
    <x v="3"/>
    <n v="3"/>
    <x v="3"/>
    <x v="3"/>
    <n v="1"/>
    <n v="3"/>
    <x v="1"/>
    <x v="0"/>
    <n v="77"/>
    <x v="0"/>
    <n v="3"/>
    <x v="0"/>
    <n v="3"/>
    <x v="0"/>
    <n v="4"/>
    <x v="0"/>
    <x v="0"/>
    <n v="9208"/>
    <x v="4"/>
    <n v="6645"/>
    <x v="2"/>
    <n v="4"/>
    <x v="2"/>
    <s v="Y"/>
    <x v="1"/>
    <n v="11"/>
    <x v="0"/>
    <n v="3"/>
    <x v="0"/>
    <n v="4"/>
    <x v="1"/>
    <n v="80"/>
    <n v="0"/>
    <n v="16"/>
    <x v="1"/>
    <n v="3"/>
    <x v="1"/>
    <n v="3"/>
    <x v="1"/>
    <n v="2"/>
    <x v="2"/>
    <n v="2"/>
    <x v="0"/>
    <n v="2"/>
    <x v="1"/>
    <n v="1"/>
    <x v="2"/>
  </r>
  <r>
    <n v="175"/>
    <n v="31"/>
    <x v="2"/>
    <x v="0"/>
    <n v="1"/>
    <x v="0"/>
    <n v="542"/>
    <x v="2"/>
    <x v="0"/>
    <n v="20"/>
    <x v="3"/>
    <n v="3"/>
    <x v="3"/>
    <x v="0"/>
    <n v="1"/>
    <n v="2"/>
    <x v="0"/>
    <x v="0"/>
    <n v="71"/>
    <x v="1"/>
    <n v="1"/>
    <x v="3"/>
    <n v="2"/>
    <x v="0"/>
    <n v="3"/>
    <x v="2"/>
    <x v="1"/>
    <n v="4559"/>
    <x v="1"/>
    <n v="24788"/>
    <x v="1"/>
    <n v="3"/>
    <x v="3"/>
    <s v="Y"/>
    <x v="0"/>
    <n v="11"/>
    <x v="0"/>
    <n v="3"/>
    <x v="0"/>
    <n v="3"/>
    <x v="3"/>
    <n v="80"/>
    <n v="1"/>
    <n v="4"/>
    <x v="3"/>
    <n v="2"/>
    <x v="0"/>
    <n v="3"/>
    <x v="1"/>
    <n v="2"/>
    <x v="2"/>
    <n v="2"/>
    <x v="0"/>
    <n v="2"/>
    <x v="1"/>
    <n v="2"/>
    <x v="0"/>
  </r>
  <r>
    <n v="176"/>
    <n v="41"/>
    <x v="0"/>
    <x v="1"/>
    <n v="0"/>
    <x v="0"/>
    <n v="802"/>
    <x v="2"/>
    <x v="0"/>
    <n v="9"/>
    <x v="1"/>
    <n v="1"/>
    <x v="1"/>
    <x v="0"/>
    <n v="1"/>
    <n v="3"/>
    <x v="1"/>
    <x v="1"/>
    <n v="96"/>
    <x v="0"/>
    <n v="3"/>
    <x v="0"/>
    <n v="3"/>
    <x v="0"/>
    <n v="3"/>
    <x v="2"/>
    <x v="2"/>
    <n v="8189"/>
    <x v="11"/>
    <n v="21196"/>
    <x v="0"/>
    <n v="3"/>
    <x v="3"/>
    <s v="Y"/>
    <x v="0"/>
    <n v="13"/>
    <x v="2"/>
    <n v="3"/>
    <x v="0"/>
    <n v="3"/>
    <x v="3"/>
    <n v="80"/>
    <n v="1"/>
    <n v="12"/>
    <x v="1"/>
    <n v="2"/>
    <x v="0"/>
    <n v="3"/>
    <x v="1"/>
    <n v="9"/>
    <x v="0"/>
    <n v="7"/>
    <x v="1"/>
    <n v="0"/>
    <x v="0"/>
    <n v="7"/>
    <x v="1"/>
  </r>
  <r>
    <n v="177"/>
    <n v="26"/>
    <x v="2"/>
    <x v="1"/>
    <n v="0"/>
    <x v="0"/>
    <n v="1355"/>
    <x v="0"/>
    <x v="2"/>
    <n v="25"/>
    <x v="2"/>
    <n v="1"/>
    <x v="1"/>
    <x v="0"/>
    <n v="1"/>
    <n v="3"/>
    <x v="1"/>
    <x v="0"/>
    <n v="61"/>
    <x v="1"/>
    <n v="3"/>
    <x v="0"/>
    <n v="1"/>
    <x v="8"/>
    <n v="3"/>
    <x v="2"/>
    <x v="1"/>
    <n v="2942"/>
    <x v="3"/>
    <n v="8916"/>
    <x v="3"/>
    <n v="1"/>
    <x v="1"/>
    <s v="Y"/>
    <x v="1"/>
    <n v="23"/>
    <x v="1"/>
    <n v="4"/>
    <x v="1"/>
    <n v="4"/>
    <x v="1"/>
    <n v="80"/>
    <n v="1"/>
    <n v="8"/>
    <x v="0"/>
    <n v="3"/>
    <x v="1"/>
    <n v="3"/>
    <x v="1"/>
    <n v="8"/>
    <x v="0"/>
    <n v="7"/>
    <x v="1"/>
    <n v="5"/>
    <x v="1"/>
    <n v="7"/>
    <x v="1"/>
  </r>
  <r>
    <n v="178"/>
    <n v="36"/>
    <x v="0"/>
    <x v="1"/>
    <n v="0"/>
    <x v="0"/>
    <n v="216"/>
    <x v="1"/>
    <x v="1"/>
    <n v="6"/>
    <x v="1"/>
    <n v="2"/>
    <x v="0"/>
    <x v="2"/>
    <n v="1"/>
    <n v="2"/>
    <x v="0"/>
    <x v="1"/>
    <n v="84"/>
    <x v="0"/>
    <n v="3"/>
    <x v="0"/>
    <n v="2"/>
    <x v="3"/>
    <n v="2"/>
    <x v="1"/>
    <x v="2"/>
    <n v="4941"/>
    <x v="1"/>
    <n v="2819"/>
    <x v="2"/>
    <n v="6"/>
    <x v="2"/>
    <s v="Y"/>
    <x v="1"/>
    <n v="20"/>
    <x v="1"/>
    <n v="4"/>
    <x v="1"/>
    <n v="4"/>
    <x v="1"/>
    <n v="80"/>
    <n v="2"/>
    <n v="7"/>
    <x v="0"/>
    <n v="0"/>
    <x v="0"/>
    <n v="3"/>
    <x v="1"/>
    <n v="3"/>
    <x v="2"/>
    <n v="2"/>
    <x v="0"/>
    <n v="0"/>
    <x v="0"/>
    <n v="1"/>
    <x v="2"/>
  </r>
  <r>
    <n v="179"/>
    <n v="51"/>
    <x v="1"/>
    <x v="0"/>
    <n v="1"/>
    <x v="1"/>
    <n v="1150"/>
    <x v="0"/>
    <x v="1"/>
    <n v="8"/>
    <x v="1"/>
    <n v="4"/>
    <x v="2"/>
    <x v="0"/>
    <n v="1"/>
    <n v="1"/>
    <x v="3"/>
    <x v="1"/>
    <n v="53"/>
    <x v="1"/>
    <n v="1"/>
    <x v="3"/>
    <n v="3"/>
    <x v="3"/>
    <n v="4"/>
    <x v="0"/>
    <x v="0"/>
    <n v="10650"/>
    <x v="8"/>
    <n v="25150"/>
    <x v="1"/>
    <n v="2"/>
    <x v="3"/>
    <s v="Y"/>
    <x v="1"/>
    <n v="15"/>
    <x v="2"/>
    <n v="3"/>
    <x v="0"/>
    <n v="4"/>
    <x v="1"/>
    <n v="80"/>
    <n v="0"/>
    <n v="18"/>
    <x v="1"/>
    <n v="2"/>
    <x v="0"/>
    <n v="3"/>
    <x v="1"/>
    <n v="4"/>
    <x v="2"/>
    <n v="2"/>
    <x v="0"/>
    <n v="0"/>
    <x v="0"/>
    <n v="3"/>
    <x v="0"/>
  </r>
  <r>
    <n v="182"/>
    <n v="39"/>
    <x v="0"/>
    <x v="1"/>
    <n v="0"/>
    <x v="0"/>
    <n v="1329"/>
    <x v="0"/>
    <x v="0"/>
    <n v="4"/>
    <x v="0"/>
    <n v="4"/>
    <x v="2"/>
    <x v="0"/>
    <n v="1"/>
    <n v="4"/>
    <x v="2"/>
    <x v="0"/>
    <n v="47"/>
    <x v="2"/>
    <n v="2"/>
    <x v="1"/>
    <n v="2"/>
    <x v="0"/>
    <n v="3"/>
    <x v="2"/>
    <x v="1"/>
    <n v="5902"/>
    <x v="0"/>
    <n v="14590"/>
    <x v="3"/>
    <n v="4"/>
    <x v="2"/>
    <s v="Y"/>
    <x v="1"/>
    <n v="14"/>
    <x v="2"/>
    <n v="3"/>
    <x v="0"/>
    <n v="3"/>
    <x v="3"/>
    <n v="80"/>
    <n v="1"/>
    <n v="17"/>
    <x v="1"/>
    <n v="1"/>
    <x v="0"/>
    <n v="4"/>
    <x v="3"/>
    <n v="15"/>
    <x v="4"/>
    <n v="11"/>
    <x v="3"/>
    <n v="5"/>
    <x v="1"/>
    <n v="9"/>
    <x v="1"/>
  </r>
  <r>
    <n v="183"/>
    <n v="25"/>
    <x v="4"/>
    <x v="1"/>
    <n v="0"/>
    <x v="0"/>
    <n v="959"/>
    <x v="2"/>
    <x v="0"/>
    <n v="28"/>
    <x v="2"/>
    <n v="3"/>
    <x v="3"/>
    <x v="0"/>
    <n v="1"/>
    <n v="1"/>
    <x v="3"/>
    <x v="1"/>
    <n v="41"/>
    <x v="2"/>
    <n v="2"/>
    <x v="1"/>
    <n v="2"/>
    <x v="0"/>
    <n v="3"/>
    <x v="2"/>
    <x v="1"/>
    <n v="8639"/>
    <x v="4"/>
    <n v="24835"/>
    <x v="1"/>
    <n v="2"/>
    <x v="3"/>
    <s v="Y"/>
    <x v="1"/>
    <n v="18"/>
    <x v="1"/>
    <n v="3"/>
    <x v="0"/>
    <n v="4"/>
    <x v="1"/>
    <n v="80"/>
    <n v="0"/>
    <n v="6"/>
    <x v="0"/>
    <n v="3"/>
    <x v="1"/>
    <n v="3"/>
    <x v="1"/>
    <n v="2"/>
    <x v="2"/>
    <n v="2"/>
    <x v="0"/>
    <n v="2"/>
    <x v="1"/>
    <n v="2"/>
    <x v="0"/>
  </r>
  <r>
    <n v="184"/>
    <n v="30"/>
    <x v="2"/>
    <x v="1"/>
    <n v="0"/>
    <x v="0"/>
    <n v="1240"/>
    <x v="0"/>
    <x v="2"/>
    <n v="9"/>
    <x v="1"/>
    <n v="3"/>
    <x v="3"/>
    <x v="5"/>
    <n v="1"/>
    <n v="3"/>
    <x v="1"/>
    <x v="1"/>
    <n v="48"/>
    <x v="2"/>
    <n v="3"/>
    <x v="0"/>
    <n v="2"/>
    <x v="8"/>
    <n v="4"/>
    <x v="0"/>
    <x v="1"/>
    <n v="6347"/>
    <x v="0"/>
    <n v="13982"/>
    <x v="3"/>
    <n v="0"/>
    <x v="1"/>
    <s v="Y"/>
    <x v="0"/>
    <n v="19"/>
    <x v="1"/>
    <n v="3"/>
    <x v="0"/>
    <n v="4"/>
    <x v="1"/>
    <n v="80"/>
    <n v="0"/>
    <n v="12"/>
    <x v="1"/>
    <n v="2"/>
    <x v="0"/>
    <n v="1"/>
    <x v="0"/>
    <n v="11"/>
    <x v="4"/>
    <n v="9"/>
    <x v="1"/>
    <n v="4"/>
    <x v="1"/>
    <n v="7"/>
    <x v="1"/>
  </r>
  <r>
    <n v="190"/>
    <n v="32"/>
    <x v="2"/>
    <x v="0"/>
    <n v="1"/>
    <x v="0"/>
    <n v="1033"/>
    <x v="0"/>
    <x v="1"/>
    <n v="9"/>
    <x v="1"/>
    <n v="3"/>
    <x v="3"/>
    <x v="2"/>
    <n v="1"/>
    <n v="1"/>
    <x v="3"/>
    <x v="0"/>
    <n v="41"/>
    <x v="2"/>
    <n v="3"/>
    <x v="0"/>
    <n v="1"/>
    <x v="2"/>
    <n v="1"/>
    <x v="3"/>
    <x v="0"/>
    <n v="4200"/>
    <x v="1"/>
    <n v="10224"/>
    <x v="3"/>
    <n v="7"/>
    <x v="0"/>
    <s v="Y"/>
    <x v="1"/>
    <n v="22"/>
    <x v="1"/>
    <n v="4"/>
    <x v="1"/>
    <n v="1"/>
    <x v="0"/>
    <n v="80"/>
    <n v="0"/>
    <n v="10"/>
    <x v="0"/>
    <n v="2"/>
    <x v="0"/>
    <n v="4"/>
    <x v="3"/>
    <n v="5"/>
    <x v="2"/>
    <n v="4"/>
    <x v="0"/>
    <n v="0"/>
    <x v="0"/>
    <n v="4"/>
    <x v="0"/>
  </r>
  <r>
    <n v="192"/>
    <n v="45"/>
    <x v="0"/>
    <x v="1"/>
    <n v="0"/>
    <x v="0"/>
    <n v="1316"/>
    <x v="0"/>
    <x v="1"/>
    <n v="29"/>
    <x v="2"/>
    <n v="3"/>
    <x v="3"/>
    <x v="2"/>
    <n v="1"/>
    <n v="3"/>
    <x v="1"/>
    <x v="1"/>
    <n v="83"/>
    <x v="0"/>
    <n v="3"/>
    <x v="0"/>
    <n v="1"/>
    <x v="1"/>
    <n v="4"/>
    <x v="0"/>
    <x v="0"/>
    <n v="3452"/>
    <x v="3"/>
    <n v="9752"/>
    <x v="3"/>
    <n v="5"/>
    <x v="2"/>
    <s v="Y"/>
    <x v="1"/>
    <n v="13"/>
    <x v="2"/>
    <n v="3"/>
    <x v="0"/>
    <n v="2"/>
    <x v="4"/>
    <n v="80"/>
    <n v="0"/>
    <n v="9"/>
    <x v="0"/>
    <n v="2"/>
    <x v="0"/>
    <n v="2"/>
    <x v="2"/>
    <n v="6"/>
    <x v="0"/>
    <n v="5"/>
    <x v="0"/>
    <n v="0"/>
    <x v="0"/>
    <n v="3"/>
    <x v="0"/>
  </r>
  <r>
    <n v="193"/>
    <n v="38"/>
    <x v="0"/>
    <x v="1"/>
    <n v="0"/>
    <x v="0"/>
    <n v="364"/>
    <x v="1"/>
    <x v="1"/>
    <n v="3"/>
    <x v="0"/>
    <n v="5"/>
    <x v="4"/>
    <x v="4"/>
    <n v="1"/>
    <n v="4"/>
    <x v="2"/>
    <x v="0"/>
    <n v="32"/>
    <x v="2"/>
    <n v="3"/>
    <x v="0"/>
    <n v="2"/>
    <x v="1"/>
    <n v="3"/>
    <x v="2"/>
    <x v="0"/>
    <n v="4317"/>
    <x v="1"/>
    <n v="2302"/>
    <x v="2"/>
    <n v="3"/>
    <x v="3"/>
    <s v="Y"/>
    <x v="0"/>
    <n v="20"/>
    <x v="1"/>
    <n v="4"/>
    <x v="1"/>
    <n v="2"/>
    <x v="4"/>
    <n v="80"/>
    <n v="0"/>
    <n v="19"/>
    <x v="1"/>
    <n v="2"/>
    <x v="0"/>
    <n v="3"/>
    <x v="1"/>
    <n v="3"/>
    <x v="2"/>
    <n v="2"/>
    <x v="0"/>
    <n v="2"/>
    <x v="1"/>
    <n v="2"/>
    <x v="0"/>
  </r>
  <r>
    <n v="194"/>
    <n v="30"/>
    <x v="2"/>
    <x v="1"/>
    <n v="0"/>
    <x v="0"/>
    <n v="438"/>
    <x v="1"/>
    <x v="1"/>
    <n v="18"/>
    <x v="3"/>
    <n v="3"/>
    <x v="3"/>
    <x v="0"/>
    <n v="1"/>
    <n v="1"/>
    <x v="3"/>
    <x v="0"/>
    <n v="75"/>
    <x v="1"/>
    <n v="3"/>
    <x v="0"/>
    <n v="1"/>
    <x v="1"/>
    <n v="3"/>
    <x v="2"/>
    <x v="0"/>
    <n v="2632"/>
    <x v="3"/>
    <n v="23910"/>
    <x v="1"/>
    <n v="1"/>
    <x v="1"/>
    <s v="Y"/>
    <x v="1"/>
    <n v="14"/>
    <x v="2"/>
    <n v="3"/>
    <x v="0"/>
    <n v="3"/>
    <x v="3"/>
    <n v="80"/>
    <n v="0"/>
    <n v="5"/>
    <x v="3"/>
    <n v="4"/>
    <x v="1"/>
    <n v="2"/>
    <x v="2"/>
    <n v="5"/>
    <x v="2"/>
    <n v="4"/>
    <x v="0"/>
    <n v="0"/>
    <x v="0"/>
    <n v="4"/>
    <x v="0"/>
  </r>
  <r>
    <n v="195"/>
    <n v="32"/>
    <x v="2"/>
    <x v="1"/>
    <n v="0"/>
    <x v="1"/>
    <n v="689"/>
    <x v="2"/>
    <x v="0"/>
    <n v="9"/>
    <x v="1"/>
    <n v="2"/>
    <x v="0"/>
    <x v="2"/>
    <n v="1"/>
    <n v="4"/>
    <x v="2"/>
    <x v="1"/>
    <n v="35"/>
    <x v="2"/>
    <n v="1"/>
    <x v="3"/>
    <n v="2"/>
    <x v="0"/>
    <n v="4"/>
    <x v="0"/>
    <x v="2"/>
    <n v="4668"/>
    <x v="1"/>
    <n v="22812"/>
    <x v="1"/>
    <n v="0"/>
    <x v="1"/>
    <s v="Y"/>
    <x v="1"/>
    <n v="17"/>
    <x v="3"/>
    <n v="3"/>
    <x v="0"/>
    <n v="4"/>
    <x v="1"/>
    <n v="80"/>
    <n v="3"/>
    <n v="9"/>
    <x v="0"/>
    <n v="2"/>
    <x v="0"/>
    <n v="4"/>
    <x v="3"/>
    <n v="8"/>
    <x v="0"/>
    <n v="7"/>
    <x v="1"/>
    <n v="0"/>
    <x v="0"/>
    <n v="7"/>
    <x v="1"/>
  </r>
  <r>
    <n v="197"/>
    <n v="30"/>
    <x v="2"/>
    <x v="1"/>
    <n v="0"/>
    <x v="0"/>
    <n v="201"/>
    <x v="1"/>
    <x v="1"/>
    <n v="5"/>
    <x v="0"/>
    <n v="3"/>
    <x v="3"/>
    <x v="4"/>
    <n v="1"/>
    <n v="4"/>
    <x v="2"/>
    <x v="0"/>
    <n v="84"/>
    <x v="0"/>
    <n v="3"/>
    <x v="0"/>
    <n v="1"/>
    <x v="1"/>
    <n v="1"/>
    <x v="3"/>
    <x v="2"/>
    <n v="3204"/>
    <x v="3"/>
    <n v="10415"/>
    <x v="3"/>
    <n v="5"/>
    <x v="2"/>
    <s v="Y"/>
    <x v="1"/>
    <n v="14"/>
    <x v="2"/>
    <n v="3"/>
    <x v="0"/>
    <n v="4"/>
    <x v="1"/>
    <n v="80"/>
    <n v="1"/>
    <n v="8"/>
    <x v="0"/>
    <n v="3"/>
    <x v="1"/>
    <n v="3"/>
    <x v="1"/>
    <n v="3"/>
    <x v="2"/>
    <n v="2"/>
    <x v="0"/>
    <n v="2"/>
    <x v="1"/>
    <n v="2"/>
    <x v="0"/>
  </r>
  <r>
    <n v="198"/>
    <n v="30"/>
    <x v="2"/>
    <x v="1"/>
    <n v="0"/>
    <x v="0"/>
    <n v="1427"/>
    <x v="0"/>
    <x v="1"/>
    <n v="2"/>
    <x v="0"/>
    <n v="1"/>
    <x v="1"/>
    <x v="2"/>
    <n v="1"/>
    <n v="2"/>
    <x v="0"/>
    <x v="1"/>
    <n v="35"/>
    <x v="2"/>
    <n v="2"/>
    <x v="1"/>
    <n v="1"/>
    <x v="2"/>
    <n v="4"/>
    <x v="0"/>
    <x v="0"/>
    <n v="2720"/>
    <x v="3"/>
    <n v="11162"/>
    <x v="3"/>
    <n v="0"/>
    <x v="1"/>
    <s v="Y"/>
    <x v="1"/>
    <n v="13"/>
    <x v="2"/>
    <n v="3"/>
    <x v="0"/>
    <n v="4"/>
    <x v="1"/>
    <n v="80"/>
    <n v="0"/>
    <n v="6"/>
    <x v="0"/>
    <n v="3"/>
    <x v="1"/>
    <n v="3"/>
    <x v="1"/>
    <n v="5"/>
    <x v="2"/>
    <n v="3"/>
    <x v="0"/>
    <n v="1"/>
    <x v="0"/>
    <n v="2"/>
    <x v="0"/>
  </r>
  <r>
    <n v="199"/>
    <n v="41"/>
    <x v="0"/>
    <x v="1"/>
    <n v="0"/>
    <x v="1"/>
    <n v="857"/>
    <x v="2"/>
    <x v="1"/>
    <n v="10"/>
    <x v="1"/>
    <n v="3"/>
    <x v="3"/>
    <x v="0"/>
    <n v="1"/>
    <n v="4"/>
    <x v="2"/>
    <x v="1"/>
    <n v="91"/>
    <x v="0"/>
    <n v="2"/>
    <x v="1"/>
    <n v="4"/>
    <x v="5"/>
    <n v="1"/>
    <x v="3"/>
    <x v="2"/>
    <n v="17181"/>
    <x v="12"/>
    <n v="12888"/>
    <x v="3"/>
    <n v="4"/>
    <x v="2"/>
    <s v="Y"/>
    <x v="1"/>
    <n v="13"/>
    <x v="2"/>
    <n v="3"/>
    <x v="0"/>
    <n v="2"/>
    <x v="4"/>
    <n v="80"/>
    <n v="1"/>
    <n v="21"/>
    <x v="4"/>
    <n v="2"/>
    <x v="0"/>
    <n v="2"/>
    <x v="2"/>
    <n v="7"/>
    <x v="0"/>
    <n v="6"/>
    <x v="1"/>
    <n v="7"/>
    <x v="2"/>
    <n v="7"/>
    <x v="1"/>
  </r>
  <r>
    <n v="200"/>
    <n v="41"/>
    <x v="0"/>
    <x v="1"/>
    <n v="0"/>
    <x v="0"/>
    <n v="933"/>
    <x v="2"/>
    <x v="1"/>
    <n v="9"/>
    <x v="1"/>
    <n v="4"/>
    <x v="2"/>
    <x v="0"/>
    <n v="1"/>
    <n v="3"/>
    <x v="1"/>
    <x v="1"/>
    <n v="94"/>
    <x v="0"/>
    <n v="3"/>
    <x v="0"/>
    <n v="1"/>
    <x v="2"/>
    <n v="1"/>
    <x v="3"/>
    <x v="1"/>
    <n v="2238"/>
    <x v="2"/>
    <n v="6961"/>
    <x v="2"/>
    <n v="2"/>
    <x v="3"/>
    <s v="Y"/>
    <x v="1"/>
    <n v="21"/>
    <x v="1"/>
    <n v="4"/>
    <x v="1"/>
    <n v="4"/>
    <x v="1"/>
    <n v="80"/>
    <n v="1"/>
    <n v="7"/>
    <x v="0"/>
    <n v="2"/>
    <x v="0"/>
    <n v="3"/>
    <x v="1"/>
    <n v="5"/>
    <x v="2"/>
    <n v="0"/>
    <x v="2"/>
    <n v="1"/>
    <x v="0"/>
    <n v="4"/>
    <x v="0"/>
  </r>
  <r>
    <n v="201"/>
    <n v="19"/>
    <x v="4"/>
    <x v="1"/>
    <n v="0"/>
    <x v="0"/>
    <n v="1181"/>
    <x v="0"/>
    <x v="1"/>
    <n v="3"/>
    <x v="0"/>
    <n v="1"/>
    <x v="1"/>
    <x v="2"/>
    <n v="1"/>
    <n v="2"/>
    <x v="0"/>
    <x v="0"/>
    <n v="79"/>
    <x v="0"/>
    <n v="3"/>
    <x v="0"/>
    <n v="1"/>
    <x v="2"/>
    <n v="2"/>
    <x v="1"/>
    <x v="0"/>
    <n v="1483"/>
    <x v="2"/>
    <n v="16102"/>
    <x v="0"/>
    <n v="1"/>
    <x v="1"/>
    <s v="Y"/>
    <x v="1"/>
    <n v="14"/>
    <x v="2"/>
    <n v="3"/>
    <x v="0"/>
    <n v="4"/>
    <x v="1"/>
    <n v="80"/>
    <n v="0"/>
    <n v="1"/>
    <x v="2"/>
    <n v="3"/>
    <x v="1"/>
    <n v="3"/>
    <x v="1"/>
    <n v="1"/>
    <x v="1"/>
    <n v="0"/>
    <x v="2"/>
    <n v="0"/>
    <x v="0"/>
    <n v="0"/>
    <x v="2"/>
  </r>
  <r>
    <n v="202"/>
    <n v="40"/>
    <x v="0"/>
    <x v="1"/>
    <n v="0"/>
    <x v="1"/>
    <n v="1395"/>
    <x v="0"/>
    <x v="1"/>
    <n v="26"/>
    <x v="2"/>
    <n v="3"/>
    <x v="3"/>
    <x v="2"/>
    <n v="1"/>
    <n v="2"/>
    <x v="0"/>
    <x v="0"/>
    <n v="54"/>
    <x v="1"/>
    <n v="3"/>
    <x v="0"/>
    <n v="2"/>
    <x v="1"/>
    <n v="2"/>
    <x v="1"/>
    <x v="2"/>
    <n v="5605"/>
    <x v="0"/>
    <n v="8504"/>
    <x v="3"/>
    <n v="1"/>
    <x v="1"/>
    <s v="Y"/>
    <x v="1"/>
    <n v="11"/>
    <x v="0"/>
    <n v="3"/>
    <x v="0"/>
    <n v="1"/>
    <x v="0"/>
    <n v="80"/>
    <n v="1"/>
    <n v="20"/>
    <x v="1"/>
    <n v="2"/>
    <x v="0"/>
    <n v="3"/>
    <x v="1"/>
    <n v="20"/>
    <x v="4"/>
    <n v="7"/>
    <x v="1"/>
    <n v="2"/>
    <x v="1"/>
    <n v="13"/>
    <x v="3"/>
  </r>
  <r>
    <n v="204"/>
    <n v="35"/>
    <x v="2"/>
    <x v="1"/>
    <n v="0"/>
    <x v="0"/>
    <n v="662"/>
    <x v="2"/>
    <x v="0"/>
    <n v="1"/>
    <x v="0"/>
    <n v="5"/>
    <x v="4"/>
    <x v="3"/>
    <n v="1"/>
    <n v="3"/>
    <x v="1"/>
    <x v="1"/>
    <n v="94"/>
    <x v="0"/>
    <n v="3"/>
    <x v="0"/>
    <n v="3"/>
    <x v="0"/>
    <n v="2"/>
    <x v="1"/>
    <x v="1"/>
    <n v="7295"/>
    <x v="11"/>
    <n v="11439"/>
    <x v="3"/>
    <n v="1"/>
    <x v="1"/>
    <s v="Y"/>
    <x v="1"/>
    <n v="13"/>
    <x v="2"/>
    <n v="3"/>
    <x v="0"/>
    <n v="1"/>
    <x v="0"/>
    <n v="80"/>
    <n v="2"/>
    <n v="10"/>
    <x v="0"/>
    <n v="3"/>
    <x v="1"/>
    <n v="3"/>
    <x v="1"/>
    <n v="10"/>
    <x v="0"/>
    <n v="8"/>
    <x v="1"/>
    <n v="0"/>
    <x v="0"/>
    <n v="6"/>
    <x v="1"/>
  </r>
  <r>
    <n v="205"/>
    <n v="53"/>
    <x v="1"/>
    <x v="1"/>
    <n v="0"/>
    <x v="0"/>
    <n v="1436"/>
    <x v="0"/>
    <x v="0"/>
    <n v="6"/>
    <x v="1"/>
    <n v="2"/>
    <x v="0"/>
    <x v="3"/>
    <n v="1"/>
    <n v="2"/>
    <x v="0"/>
    <x v="1"/>
    <n v="34"/>
    <x v="2"/>
    <n v="3"/>
    <x v="0"/>
    <n v="2"/>
    <x v="6"/>
    <n v="3"/>
    <x v="2"/>
    <x v="1"/>
    <n v="2306"/>
    <x v="2"/>
    <n v="16047"/>
    <x v="0"/>
    <n v="2"/>
    <x v="3"/>
    <s v="Y"/>
    <x v="0"/>
    <n v="20"/>
    <x v="1"/>
    <n v="4"/>
    <x v="1"/>
    <n v="4"/>
    <x v="1"/>
    <n v="80"/>
    <n v="1"/>
    <n v="13"/>
    <x v="1"/>
    <n v="3"/>
    <x v="1"/>
    <n v="1"/>
    <x v="0"/>
    <n v="7"/>
    <x v="0"/>
    <n v="7"/>
    <x v="1"/>
    <n v="4"/>
    <x v="1"/>
    <n v="5"/>
    <x v="0"/>
  </r>
  <r>
    <n v="206"/>
    <n v="45"/>
    <x v="0"/>
    <x v="1"/>
    <n v="0"/>
    <x v="0"/>
    <n v="194"/>
    <x v="1"/>
    <x v="1"/>
    <n v="9"/>
    <x v="1"/>
    <n v="3"/>
    <x v="3"/>
    <x v="0"/>
    <n v="1"/>
    <n v="2"/>
    <x v="0"/>
    <x v="1"/>
    <n v="60"/>
    <x v="1"/>
    <n v="3"/>
    <x v="0"/>
    <n v="2"/>
    <x v="2"/>
    <n v="2"/>
    <x v="1"/>
    <x v="2"/>
    <n v="2348"/>
    <x v="2"/>
    <n v="10901"/>
    <x v="3"/>
    <n v="8"/>
    <x v="0"/>
    <s v="Y"/>
    <x v="1"/>
    <n v="18"/>
    <x v="1"/>
    <n v="3"/>
    <x v="0"/>
    <n v="3"/>
    <x v="3"/>
    <n v="80"/>
    <n v="1"/>
    <n v="20"/>
    <x v="1"/>
    <n v="2"/>
    <x v="0"/>
    <n v="1"/>
    <x v="0"/>
    <n v="17"/>
    <x v="4"/>
    <n v="9"/>
    <x v="1"/>
    <n v="0"/>
    <x v="0"/>
    <n v="15"/>
    <x v="3"/>
  </r>
  <r>
    <n v="207"/>
    <n v="32"/>
    <x v="2"/>
    <x v="1"/>
    <n v="0"/>
    <x v="1"/>
    <n v="967"/>
    <x v="2"/>
    <x v="0"/>
    <n v="8"/>
    <x v="1"/>
    <n v="3"/>
    <x v="3"/>
    <x v="3"/>
    <n v="1"/>
    <n v="2"/>
    <x v="0"/>
    <x v="0"/>
    <n v="43"/>
    <x v="2"/>
    <n v="3"/>
    <x v="0"/>
    <n v="3"/>
    <x v="0"/>
    <n v="4"/>
    <x v="0"/>
    <x v="0"/>
    <n v="8998"/>
    <x v="4"/>
    <n v="15589"/>
    <x v="3"/>
    <n v="1"/>
    <x v="1"/>
    <s v="Y"/>
    <x v="1"/>
    <n v="14"/>
    <x v="2"/>
    <n v="3"/>
    <x v="0"/>
    <n v="4"/>
    <x v="1"/>
    <n v="80"/>
    <n v="0"/>
    <n v="9"/>
    <x v="0"/>
    <n v="2"/>
    <x v="0"/>
    <n v="3"/>
    <x v="1"/>
    <n v="9"/>
    <x v="0"/>
    <n v="8"/>
    <x v="1"/>
    <n v="3"/>
    <x v="1"/>
    <n v="7"/>
    <x v="1"/>
  </r>
  <r>
    <n v="208"/>
    <n v="29"/>
    <x v="2"/>
    <x v="1"/>
    <n v="0"/>
    <x v="2"/>
    <n v="1496"/>
    <x v="0"/>
    <x v="1"/>
    <n v="1"/>
    <x v="0"/>
    <n v="1"/>
    <x v="1"/>
    <x v="4"/>
    <n v="1"/>
    <n v="4"/>
    <x v="2"/>
    <x v="1"/>
    <n v="41"/>
    <x v="2"/>
    <n v="3"/>
    <x v="0"/>
    <n v="2"/>
    <x v="3"/>
    <n v="3"/>
    <x v="2"/>
    <x v="1"/>
    <n v="4319"/>
    <x v="1"/>
    <n v="26283"/>
    <x v="1"/>
    <n v="1"/>
    <x v="1"/>
    <s v="Y"/>
    <x v="1"/>
    <n v="13"/>
    <x v="2"/>
    <n v="3"/>
    <x v="0"/>
    <n v="1"/>
    <x v="0"/>
    <n v="80"/>
    <n v="1"/>
    <n v="10"/>
    <x v="0"/>
    <n v="1"/>
    <x v="0"/>
    <n v="3"/>
    <x v="1"/>
    <n v="10"/>
    <x v="0"/>
    <n v="7"/>
    <x v="1"/>
    <n v="0"/>
    <x v="0"/>
    <n v="9"/>
    <x v="1"/>
  </r>
  <r>
    <n v="211"/>
    <n v="51"/>
    <x v="1"/>
    <x v="1"/>
    <n v="0"/>
    <x v="0"/>
    <n v="1169"/>
    <x v="0"/>
    <x v="1"/>
    <n v="7"/>
    <x v="1"/>
    <n v="4"/>
    <x v="2"/>
    <x v="2"/>
    <n v="1"/>
    <n v="2"/>
    <x v="0"/>
    <x v="1"/>
    <n v="34"/>
    <x v="2"/>
    <n v="2"/>
    <x v="1"/>
    <n v="2"/>
    <x v="3"/>
    <n v="3"/>
    <x v="2"/>
    <x v="1"/>
    <n v="6132"/>
    <x v="0"/>
    <n v="13983"/>
    <x v="3"/>
    <n v="2"/>
    <x v="3"/>
    <s v="Y"/>
    <x v="1"/>
    <n v="17"/>
    <x v="3"/>
    <n v="3"/>
    <x v="0"/>
    <n v="3"/>
    <x v="3"/>
    <n v="80"/>
    <n v="0"/>
    <n v="10"/>
    <x v="0"/>
    <n v="2"/>
    <x v="0"/>
    <n v="3"/>
    <x v="1"/>
    <n v="1"/>
    <x v="1"/>
    <n v="0"/>
    <x v="2"/>
    <n v="0"/>
    <x v="0"/>
    <n v="0"/>
    <x v="2"/>
  </r>
  <r>
    <n v="214"/>
    <n v="58"/>
    <x v="3"/>
    <x v="1"/>
    <n v="0"/>
    <x v="0"/>
    <n v="1145"/>
    <x v="0"/>
    <x v="1"/>
    <n v="9"/>
    <x v="1"/>
    <n v="3"/>
    <x v="3"/>
    <x v="2"/>
    <n v="1"/>
    <n v="2"/>
    <x v="0"/>
    <x v="0"/>
    <n v="75"/>
    <x v="1"/>
    <n v="2"/>
    <x v="1"/>
    <n v="1"/>
    <x v="1"/>
    <n v="2"/>
    <x v="1"/>
    <x v="1"/>
    <n v="3346"/>
    <x v="3"/>
    <n v="11873"/>
    <x v="3"/>
    <n v="4"/>
    <x v="2"/>
    <s v="Y"/>
    <x v="0"/>
    <n v="20"/>
    <x v="1"/>
    <n v="4"/>
    <x v="1"/>
    <n v="2"/>
    <x v="4"/>
    <n v="80"/>
    <n v="1"/>
    <n v="9"/>
    <x v="0"/>
    <n v="3"/>
    <x v="1"/>
    <n v="2"/>
    <x v="2"/>
    <n v="1"/>
    <x v="1"/>
    <n v="0"/>
    <x v="2"/>
    <n v="0"/>
    <x v="0"/>
    <n v="0"/>
    <x v="2"/>
  </r>
  <r>
    <n v="215"/>
    <n v="40"/>
    <x v="0"/>
    <x v="1"/>
    <n v="0"/>
    <x v="0"/>
    <n v="630"/>
    <x v="2"/>
    <x v="0"/>
    <n v="4"/>
    <x v="0"/>
    <n v="4"/>
    <x v="2"/>
    <x v="3"/>
    <n v="1"/>
    <n v="3"/>
    <x v="1"/>
    <x v="1"/>
    <n v="67"/>
    <x v="1"/>
    <n v="2"/>
    <x v="1"/>
    <n v="3"/>
    <x v="0"/>
    <n v="4"/>
    <x v="0"/>
    <x v="1"/>
    <n v="10855"/>
    <x v="8"/>
    <n v="8552"/>
    <x v="3"/>
    <n v="7"/>
    <x v="0"/>
    <s v="Y"/>
    <x v="1"/>
    <n v="11"/>
    <x v="0"/>
    <n v="3"/>
    <x v="0"/>
    <n v="1"/>
    <x v="0"/>
    <n v="80"/>
    <n v="1"/>
    <n v="15"/>
    <x v="1"/>
    <n v="2"/>
    <x v="0"/>
    <n v="2"/>
    <x v="2"/>
    <n v="12"/>
    <x v="4"/>
    <n v="11"/>
    <x v="3"/>
    <n v="2"/>
    <x v="1"/>
    <n v="11"/>
    <x v="3"/>
  </r>
  <r>
    <n v="216"/>
    <n v="34"/>
    <x v="2"/>
    <x v="1"/>
    <n v="0"/>
    <x v="1"/>
    <n v="303"/>
    <x v="1"/>
    <x v="0"/>
    <n v="2"/>
    <x v="0"/>
    <n v="4"/>
    <x v="2"/>
    <x v="3"/>
    <n v="1"/>
    <n v="3"/>
    <x v="1"/>
    <x v="0"/>
    <n v="75"/>
    <x v="1"/>
    <n v="3"/>
    <x v="0"/>
    <n v="1"/>
    <x v="6"/>
    <n v="3"/>
    <x v="2"/>
    <x v="1"/>
    <n v="2231"/>
    <x v="2"/>
    <n v="11314"/>
    <x v="3"/>
    <n v="6"/>
    <x v="2"/>
    <s v="Y"/>
    <x v="1"/>
    <n v="18"/>
    <x v="1"/>
    <n v="3"/>
    <x v="0"/>
    <n v="4"/>
    <x v="1"/>
    <n v="80"/>
    <n v="1"/>
    <n v="6"/>
    <x v="0"/>
    <n v="3"/>
    <x v="1"/>
    <n v="3"/>
    <x v="1"/>
    <n v="4"/>
    <x v="2"/>
    <n v="3"/>
    <x v="0"/>
    <n v="1"/>
    <x v="0"/>
    <n v="2"/>
    <x v="0"/>
  </r>
  <r>
    <n v="217"/>
    <n v="22"/>
    <x v="4"/>
    <x v="1"/>
    <n v="0"/>
    <x v="0"/>
    <n v="1256"/>
    <x v="0"/>
    <x v="1"/>
    <n v="19"/>
    <x v="3"/>
    <n v="1"/>
    <x v="1"/>
    <x v="2"/>
    <n v="1"/>
    <n v="3"/>
    <x v="1"/>
    <x v="1"/>
    <n v="80"/>
    <x v="0"/>
    <n v="3"/>
    <x v="0"/>
    <n v="1"/>
    <x v="1"/>
    <n v="4"/>
    <x v="0"/>
    <x v="1"/>
    <n v="2323"/>
    <x v="2"/>
    <n v="11992"/>
    <x v="3"/>
    <n v="1"/>
    <x v="1"/>
    <s v="Y"/>
    <x v="1"/>
    <n v="24"/>
    <x v="1"/>
    <n v="4"/>
    <x v="1"/>
    <n v="1"/>
    <x v="0"/>
    <n v="80"/>
    <n v="2"/>
    <n v="2"/>
    <x v="2"/>
    <n v="6"/>
    <x v="2"/>
    <n v="3"/>
    <x v="1"/>
    <n v="2"/>
    <x v="2"/>
    <n v="2"/>
    <x v="0"/>
    <n v="2"/>
    <x v="1"/>
    <n v="2"/>
    <x v="0"/>
  </r>
  <r>
    <n v="218"/>
    <n v="27"/>
    <x v="2"/>
    <x v="1"/>
    <n v="0"/>
    <x v="2"/>
    <n v="691"/>
    <x v="2"/>
    <x v="1"/>
    <n v="9"/>
    <x v="1"/>
    <n v="3"/>
    <x v="3"/>
    <x v="2"/>
    <n v="1"/>
    <n v="4"/>
    <x v="2"/>
    <x v="1"/>
    <n v="57"/>
    <x v="1"/>
    <n v="3"/>
    <x v="0"/>
    <n v="1"/>
    <x v="1"/>
    <n v="2"/>
    <x v="1"/>
    <x v="2"/>
    <n v="2024"/>
    <x v="2"/>
    <n v="5970"/>
    <x v="2"/>
    <n v="6"/>
    <x v="2"/>
    <s v="Y"/>
    <x v="1"/>
    <n v="18"/>
    <x v="1"/>
    <n v="3"/>
    <x v="0"/>
    <n v="4"/>
    <x v="1"/>
    <n v="80"/>
    <n v="1"/>
    <n v="6"/>
    <x v="0"/>
    <n v="1"/>
    <x v="0"/>
    <n v="1"/>
    <x v="0"/>
    <n v="2"/>
    <x v="2"/>
    <n v="2"/>
    <x v="0"/>
    <n v="2"/>
    <x v="1"/>
    <n v="2"/>
    <x v="0"/>
  </r>
  <r>
    <n v="221"/>
    <n v="28"/>
    <x v="2"/>
    <x v="1"/>
    <n v="0"/>
    <x v="0"/>
    <n v="440"/>
    <x v="1"/>
    <x v="1"/>
    <n v="21"/>
    <x v="2"/>
    <n v="3"/>
    <x v="3"/>
    <x v="2"/>
    <n v="1"/>
    <n v="3"/>
    <x v="1"/>
    <x v="1"/>
    <n v="42"/>
    <x v="2"/>
    <n v="3"/>
    <x v="0"/>
    <n v="1"/>
    <x v="1"/>
    <n v="4"/>
    <x v="0"/>
    <x v="1"/>
    <n v="2713"/>
    <x v="3"/>
    <n v="6672"/>
    <x v="2"/>
    <n v="1"/>
    <x v="1"/>
    <s v="Y"/>
    <x v="1"/>
    <n v="11"/>
    <x v="0"/>
    <n v="3"/>
    <x v="0"/>
    <n v="3"/>
    <x v="3"/>
    <n v="80"/>
    <n v="1"/>
    <n v="5"/>
    <x v="3"/>
    <n v="2"/>
    <x v="0"/>
    <n v="1"/>
    <x v="0"/>
    <n v="5"/>
    <x v="2"/>
    <n v="2"/>
    <x v="0"/>
    <n v="0"/>
    <x v="0"/>
    <n v="2"/>
    <x v="0"/>
  </r>
  <r>
    <n v="223"/>
    <n v="57"/>
    <x v="3"/>
    <x v="1"/>
    <n v="0"/>
    <x v="0"/>
    <n v="334"/>
    <x v="1"/>
    <x v="1"/>
    <n v="24"/>
    <x v="2"/>
    <n v="2"/>
    <x v="0"/>
    <x v="0"/>
    <n v="1"/>
    <n v="3"/>
    <x v="1"/>
    <x v="1"/>
    <n v="83"/>
    <x v="0"/>
    <n v="4"/>
    <x v="2"/>
    <n v="3"/>
    <x v="4"/>
    <n v="4"/>
    <x v="0"/>
    <x v="2"/>
    <n v="9439"/>
    <x v="4"/>
    <n v="23402"/>
    <x v="1"/>
    <n v="3"/>
    <x v="3"/>
    <s v="Y"/>
    <x v="0"/>
    <n v="16"/>
    <x v="3"/>
    <n v="3"/>
    <x v="0"/>
    <n v="2"/>
    <x v="4"/>
    <n v="80"/>
    <n v="1"/>
    <n v="12"/>
    <x v="1"/>
    <n v="2"/>
    <x v="0"/>
    <n v="1"/>
    <x v="0"/>
    <n v="5"/>
    <x v="2"/>
    <n v="3"/>
    <x v="0"/>
    <n v="1"/>
    <x v="0"/>
    <n v="4"/>
    <x v="0"/>
  </r>
  <r>
    <n v="224"/>
    <n v="27"/>
    <x v="2"/>
    <x v="1"/>
    <n v="0"/>
    <x v="2"/>
    <n v="1450"/>
    <x v="0"/>
    <x v="1"/>
    <n v="3"/>
    <x v="0"/>
    <n v="3"/>
    <x v="3"/>
    <x v="2"/>
    <n v="1"/>
    <n v="3"/>
    <x v="1"/>
    <x v="1"/>
    <n v="79"/>
    <x v="0"/>
    <n v="2"/>
    <x v="1"/>
    <n v="1"/>
    <x v="1"/>
    <n v="3"/>
    <x v="2"/>
    <x v="2"/>
    <n v="2566"/>
    <x v="3"/>
    <n v="25326"/>
    <x v="1"/>
    <n v="1"/>
    <x v="1"/>
    <s v="Y"/>
    <x v="0"/>
    <n v="15"/>
    <x v="2"/>
    <n v="3"/>
    <x v="0"/>
    <n v="4"/>
    <x v="1"/>
    <n v="80"/>
    <n v="1"/>
    <n v="1"/>
    <x v="2"/>
    <n v="2"/>
    <x v="0"/>
    <n v="2"/>
    <x v="2"/>
    <n v="1"/>
    <x v="1"/>
    <n v="1"/>
    <x v="2"/>
    <n v="0"/>
    <x v="0"/>
    <n v="1"/>
    <x v="2"/>
  </r>
  <r>
    <n v="226"/>
    <n v="50"/>
    <x v="1"/>
    <x v="1"/>
    <n v="0"/>
    <x v="0"/>
    <n v="1452"/>
    <x v="0"/>
    <x v="1"/>
    <n v="11"/>
    <x v="3"/>
    <n v="3"/>
    <x v="3"/>
    <x v="0"/>
    <n v="1"/>
    <n v="3"/>
    <x v="1"/>
    <x v="0"/>
    <n v="53"/>
    <x v="1"/>
    <n v="3"/>
    <x v="0"/>
    <n v="5"/>
    <x v="5"/>
    <n v="2"/>
    <x v="1"/>
    <x v="0"/>
    <n v="19926"/>
    <x v="7"/>
    <n v="17053"/>
    <x v="0"/>
    <n v="3"/>
    <x v="3"/>
    <s v="Y"/>
    <x v="1"/>
    <n v="15"/>
    <x v="2"/>
    <n v="3"/>
    <x v="0"/>
    <n v="2"/>
    <x v="4"/>
    <n v="80"/>
    <n v="0"/>
    <n v="21"/>
    <x v="4"/>
    <n v="5"/>
    <x v="2"/>
    <n v="3"/>
    <x v="1"/>
    <n v="5"/>
    <x v="2"/>
    <n v="4"/>
    <x v="0"/>
    <n v="4"/>
    <x v="1"/>
    <n v="4"/>
    <x v="0"/>
  </r>
  <r>
    <n v="227"/>
    <n v="41"/>
    <x v="0"/>
    <x v="1"/>
    <n v="0"/>
    <x v="0"/>
    <n v="465"/>
    <x v="1"/>
    <x v="1"/>
    <n v="14"/>
    <x v="3"/>
    <n v="3"/>
    <x v="3"/>
    <x v="0"/>
    <n v="1"/>
    <n v="1"/>
    <x v="3"/>
    <x v="1"/>
    <n v="56"/>
    <x v="1"/>
    <n v="3"/>
    <x v="0"/>
    <n v="1"/>
    <x v="1"/>
    <n v="3"/>
    <x v="2"/>
    <x v="2"/>
    <n v="2451"/>
    <x v="2"/>
    <n v="4609"/>
    <x v="2"/>
    <n v="4"/>
    <x v="2"/>
    <s v="Y"/>
    <x v="1"/>
    <n v="12"/>
    <x v="0"/>
    <n v="3"/>
    <x v="0"/>
    <n v="1"/>
    <x v="0"/>
    <n v="80"/>
    <n v="1"/>
    <n v="13"/>
    <x v="1"/>
    <n v="2"/>
    <x v="0"/>
    <n v="3"/>
    <x v="1"/>
    <n v="9"/>
    <x v="0"/>
    <n v="8"/>
    <x v="1"/>
    <n v="1"/>
    <x v="0"/>
    <n v="8"/>
    <x v="1"/>
  </r>
  <r>
    <n v="228"/>
    <n v="30"/>
    <x v="2"/>
    <x v="1"/>
    <n v="0"/>
    <x v="0"/>
    <n v="1339"/>
    <x v="0"/>
    <x v="0"/>
    <n v="5"/>
    <x v="0"/>
    <n v="3"/>
    <x v="3"/>
    <x v="0"/>
    <n v="1"/>
    <n v="2"/>
    <x v="0"/>
    <x v="0"/>
    <n v="41"/>
    <x v="2"/>
    <n v="3"/>
    <x v="0"/>
    <n v="3"/>
    <x v="0"/>
    <n v="4"/>
    <x v="0"/>
    <x v="1"/>
    <n v="9419"/>
    <x v="4"/>
    <n v="8053"/>
    <x v="3"/>
    <n v="2"/>
    <x v="3"/>
    <s v="Y"/>
    <x v="1"/>
    <n v="12"/>
    <x v="0"/>
    <n v="3"/>
    <x v="0"/>
    <n v="3"/>
    <x v="3"/>
    <n v="80"/>
    <n v="1"/>
    <n v="12"/>
    <x v="1"/>
    <n v="2"/>
    <x v="0"/>
    <n v="3"/>
    <x v="1"/>
    <n v="10"/>
    <x v="0"/>
    <n v="9"/>
    <x v="1"/>
    <n v="7"/>
    <x v="2"/>
    <n v="4"/>
    <x v="0"/>
  </r>
  <r>
    <n v="230"/>
    <n v="38"/>
    <x v="0"/>
    <x v="1"/>
    <n v="0"/>
    <x v="0"/>
    <n v="702"/>
    <x v="2"/>
    <x v="0"/>
    <n v="1"/>
    <x v="0"/>
    <n v="4"/>
    <x v="2"/>
    <x v="0"/>
    <n v="1"/>
    <n v="1"/>
    <x v="3"/>
    <x v="0"/>
    <n v="59"/>
    <x v="1"/>
    <n v="2"/>
    <x v="1"/>
    <n v="2"/>
    <x v="0"/>
    <n v="4"/>
    <x v="0"/>
    <x v="0"/>
    <n v="8686"/>
    <x v="4"/>
    <n v="12930"/>
    <x v="3"/>
    <n v="4"/>
    <x v="2"/>
    <s v="Y"/>
    <x v="1"/>
    <n v="22"/>
    <x v="1"/>
    <n v="4"/>
    <x v="1"/>
    <n v="3"/>
    <x v="3"/>
    <n v="80"/>
    <n v="0"/>
    <n v="12"/>
    <x v="1"/>
    <n v="2"/>
    <x v="0"/>
    <n v="4"/>
    <x v="3"/>
    <n v="8"/>
    <x v="0"/>
    <n v="3"/>
    <x v="0"/>
    <n v="0"/>
    <x v="0"/>
    <n v="7"/>
    <x v="1"/>
  </r>
  <r>
    <n v="231"/>
    <n v="32"/>
    <x v="2"/>
    <x v="1"/>
    <n v="0"/>
    <x v="0"/>
    <n v="120"/>
    <x v="1"/>
    <x v="1"/>
    <n v="6"/>
    <x v="1"/>
    <n v="5"/>
    <x v="4"/>
    <x v="0"/>
    <n v="1"/>
    <n v="3"/>
    <x v="1"/>
    <x v="1"/>
    <n v="43"/>
    <x v="2"/>
    <n v="3"/>
    <x v="0"/>
    <n v="1"/>
    <x v="1"/>
    <n v="3"/>
    <x v="2"/>
    <x v="0"/>
    <n v="3038"/>
    <x v="3"/>
    <n v="12430"/>
    <x v="3"/>
    <n v="3"/>
    <x v="3"/>
    <s v="Y"/>
    <x v="1"/>
    <n v="20"/>
    <x v="1"/>
    <n v="4"/>
    <x v="1"/>
    <n v="1"/>
    <x v="0"/>
    <n v="80"/>
    <n v="0"/>
    <n v="8"/>
    <x v="0"/>
    <n v="2"/>
    <x v="0"/>
    <n v="3"/>
    <x v="1"/>
    <n v="5"/>
    <x v="2"/>
    <n v="4"/>
    <x v="0"/>
    <n v="1"/>
    <x v="0"/>
    <n v="4"/>
    <x v="0"/>
  </r>
  <r>
    <n v="233"/>
    <n v="27"/>
    <x v="2"/>
    <x v="1"/>
    <n v="0"/>
    <x v="0"/>
    <n v="1157"/>
    <x v="0"/>
    <x v="1"/>
    <n v="17"/>
    <x v="3"/>
    <n v="3"/>
    <x v="3"/>
    <x v="4"/>
    <n v="1"/>
    <n v="3"/>
    <x v="1"/>
    <x v="1"/>
    <n v="51"/>
    <x v="1"/>
    <n v="3"/>
    <x v="0"/>
    <n v="1"/>
    <x v="1"/>
    <n v="2"/>
    <x v="1"/>
    <x v="1"/>
    <n v="3058"/>
    <x v="3"/>
    <n v="13364"/>
    <x v="3"/>
    <n v="0"/>
    <x v="1"/>
    <s v="Y"/>
    <x v="0"/>
    <n v="16"/>
    <x v="3"/>
    <n v="3"/>
    <x v="0"/>
    <n v="4"/>
    <x v="1"/>
    <n v="80"/>
    <n v="1"/>
    <n v="6"/>
    <x v="0"/>
    <n v="3"/>
    <x v="1"/>
    <n v="2"/>
    <x v="2"/>
    <n v="5"/>
    <x v="2"/>
    <n v="2"/>
    <x v="0"/>
    <n v="1"/>
    <x v="0"/>
    <n v="1"/>
    <x v="2"/>
  </r>
  <r>
    <n v="235"/>
    <n v="19"/>
    <x v="4"/>
    <x v="0"/>
    <n v="1"/>
    <x v="1"/>
    <n v="602"/>
    <x v="2"/>
    <x v="0"/>
    <n v="1"/>
    <x v="0"/>
    <n v="1"/>
    <x v="1"/>
    <x v="4"/>
    <n v="1"/>
    <n v="3"/>
    <x v="1"/>
    <x v="0"/>
    <n v="100"/>
    <x v="0"/>
    <n v="1"/>
    <x v="3"/>
    <n v="1"/>
    <x v="6"/>
    <n v="1"/>
    <x v="3"/>
    <x v="0"/>
    <n v="2325"/>
    <x v="2"/>
    <n v="20989"/>
    <x v="0"/>
    <n v="0"/>
    <x v="1"/>
    <s v="Y"/>
    <x v="1"/>
    <n v="21"/>
    <x v="1"/>
    <n v="4"/>
    <x v="1"/>
    <n v="1"/>
    <x v="0"/>
    <n v="80"/>
    <n v="0"/>
    <n v="1"/>
    <x v="2"/>
    <n v="5"/>
    <x v="2"/>
    <n v="4"/>
    <x v="3"/>
    <n v="0"/>
    <x v="1"/>
    <n v="0"/>
    <x v="2"/>
    <n v="0"/>
    <x v="0"/>
    <n v="0"/>
    <x v="2"/>
  </r>
  <r>
    <n v="238"/>
    <n v="36"/>
    <x v="0"/>
    <x v="1"/>
    <n v="0"/>
    <x v="1"/>
    <n v="1480"/>
    <x v="0"/>
    <x v="1"/>
    <n v="3"/>
    <x v="0"/>
    <n v="2"/>
    <x v="0"/>
    <x v="2"/>
    <n v="1"/>
    <n v="4"/>
    <x v="2"/>
    <x v="1"/>
    <n v="30"/>
    <x v="2"/>
    <n v="3"/>
    <x v="0"/>
    <n v="1"/>
    <x v="2"/>
    <n v="2"/>
    <x v="1"/>
    <x v="0"/>
    <n v="2088"/>
    <x v="2"/>
    <n v="15062"/>
    <x v="3"/>
    <n v="4"/>
    <x v="2"/>
    <s v="Y"/>
    <x v="1"/>
    <n v="12"/>
    <x v="0"/>
    <n v="3"/>
    <x v="0"/>
    <n v="3"/>
    <x v="3"/>
    <n v="80"/>
    <n v="0"/>
    <n v="13"/>
    <x v="1"/>
    <n v="3"/>
    <x v="1"/>
    <n v="2"/>
    <x v="2"/>
    <n v="8"/>
    <x v="0"/>
    <n v="7"/>
    <x v="1"/>
    <n v="7"/>
    <x v="2"/>
    <n v="2"/>
    <x v="0"/>
  </r>
  <r>
    <n v="239"/>
    <n v="30"/>
    <x v="2"/>
    <x v="1"/>
    <n v="0"/>
    <x v="2"/>
    <n v="111"/>
    <x v="1"/>
    <x v="1"/>
    <n v="9"/>
    <x v="1"/>
    <n v="3"/>
    <x v="3"/>
    <x v="2"/>
    <n v="1"/>
    <n v="3"/>
    <x v="1"/>
    <x v="1"/>
    <n v="66"/>
    <x v="1"/>
    <n v="3"/>
    <x v="0"/>
    <n v="2"/>
    <x v="2"/>
    <n v="1"/>
    <x v="3"/>
    <x v="2"/>
    <n v="3072"/>
    <x v="3"/>
    <n v="11012"/>
    <x v="3"/>
    <n v="1"/>
    <x v="1"/>
    <s v="Y"/>
    <x v="1"/>
    <n v="11"/>
    <x v="0"/>
    <n v="3"/>
    <x v="0"/>
    <n v="3"/>
    <x v="3"/>
    <n v="80"/>
    <n v="2"/>
    <n v="12"/>
    <x v="1"/>
    <n v="4"/>
    <x v="1"/>
    <n v="3"/>
    <x v="1"/>
    <n v="12"/>
    <x v="4"/>
    <n v="9"/>
    <x v="1"/>
    <n v="6"/>
    <x v="2"/>
    <n v="10"/>
    <x v="1"/>
  </r>
  <r>
    <n v="240"/>
    <n v="45"/>
    <x v="0"/>
    <x v="1"/>
    <n v="0"/>
    <x v="0"/>
    <n v="1268"/>
    <x v="0"/>
    <x v="0"/>
    <n v="4"/>
    <x v="0"/>
    <n v="2"/>
    <x v="0"/>
    <x v="0"/>
    <n v="1"/>
    <n v="3"/>
    <x v="1"/>
    <x v="0"/>
    <n v="30"/>
    <x v="2"/>
    <n v="3"/>
    <x v="0"/>
    <n v="2"/>
    <x v="0"/>
    <n v="1"/>
    <x v="3"/>
    <x v="2"/>
    <n v="5006"/>
    <x v="1"/>
    <n v="6319"/>
    <x v="2"/>
    <n v="4"/>
    <x v="2"/>
    <s v="Y"/>
    <x v="0"/>
    <n v="11"/>
    <x v="0"/>
    <n v="3"/>
    <x v="0"/>
    <n v="1"/>
    <x v="0"/>
    <n v="80"/>
    <n v="1"/>
    <n v="9"/>
    <x v="0"/>
    <n v="3"/>
    <x v="1"/>
    <n v="4"/>
    <x v="3"/>
    <n v="5"/>
    <x v="2"/>
    <n v="4"/>
    <x v="0"/>
    <n v="0"/>
    <x v="0"/>
    <n v="3"/>
    <x v="0"/>
  </r>
  <r>
    <n v="241"/>
    <n v="56"/>
    <x v="3"/>
    <x v="1"/>
    <n v="0"/>
    <x v="0"/>
    <n v="713"/>
    <x v="2"/>
    <x v="1"/>
    <n v="8"/>
    <x v="1"/>
    <n v="3"/>
    <x v="3"/>
    <x v="0"/>
    <n v="1"/>
    <n v="3"/>
    <x v="1"/>
    <x v="0"/>
    <n v="67"/>
    <x v="1"/>
    <n v="3"/>
    <x v="0"/>
    <n v="1"/>
    <x v="1"/>
    <n v="1"/>
    <x v="3"/>
    <x v="2"/>
    <n v="4257"/>
    <x v="1"/>
    <n v="13939"/>
    <x v="3"/>
    <n v="4"/>
    <x v="2"/>
    <s v="Y"/>
    <x v="0"/>
    <n v="18"/>
    <x v="1"/>
    <n v="3"/>
    <x v="0"/>
    <n v="3"/>
    <x v="3"/>
    <n v="80"/>
    <n v="1"/>
    <n v="19"/>
    <x v="1"/>
    <n v="3"/>
    <x v="1"/>
    <n v="3"/>
    <x v="1"/>
    <n v="2"/>
    <x v="2"/>
    <n v="2"/>
    <x v="0"/>
    <n v="2"/>
    <x v="1"/>
    <n v="2"/>
    <x v="0"/>
  </r>
  <r>
    <n v="242"/>
    <n v="33"/>
    <x v="2"/>
    <x v="1"/>
    <n v="0"/>
    <x v="0"/>
    <n v="134"/>
    <x v="1"/>
    <x v="1"/>
    <n v="2"/>
    <x v="0"/>
    <n v="3"/>
    <x v="3"/>
    <x v="0"/>
    <n v="1"/>
    <n v="3"/>
    <x v="1"/>
    <x v="1"/>
    <n v="90"/>
    <x v="0"/>
    <n v="3"/>
    <x v="0"/>
    <n v="1"/>
    <x v="1"/>
    <n v="4"/>
    <x v="0"/>
    <x v="0"/>
    <n v="2500"/>
    <x v="3"/>
    <n v="10515"/>
    <x v="3"/>
    <n v="0"/>
    <x v="1"/>
    <s v="Y"/>
    <x v="1"/>
    <n v="14"/>
    <x v="2"/>
    <n v="3"/>
    <x v="0"/>
    <n v="1"/>
    <x v="0"/>
    <n v="80"/>
    <n v="0"/>
    <n v="4"/>
    <x v="3"/>
    <n v="2"/>
    <x v="0"/>
    <n v="4"/>
    <x v="3"/>
    <n v="3"/>
    <x v="2"/>
    <n v="1"/>
    <x v="2"/>
    <n v="0"/>
    <x v="0"/>
    <n v="2"/>
    <x v="0"/>
  </r>
  <r>
    <n v="243"/>
    <n v="19"/>
    <x v="4"/>
    <x v="0"/>
    <n v="1"/>
    <x v="0"/>
    <n v="303"/>
    <x v="1"/>
    <x v="1"/>
    <n v="2"/>
    <x v="0"/>
    <n v="3"/>
    <x v="3"/>
    <x v="0"/>
    <n v="1"/>
    <n v="2"/>
    <x v="0"/>
    <x v="1"/>
    <n v="47"/>
    <x v="2"/>
    <n v="2"/>
    <x v="1"/>
    <n v="1"/>
    <x v="2"/>
    <n v="4"/>
    <x v="0"/>
    <x v="0"/>
    <n v="1102"/>
    <x v="2"/>
    <n v="9241"/>
    <x v="3"/>
    <n v="1"/>
    <x v="1"/>
    <s v="Y"/>
    <x v="1"/>
    <n v="22"/>
    <x v="1"/>
    <n v="4"/>
    <x v="1"/>
    <n v="3"/>
    <x v="3"/>
    <n v="80"/>
    <n v="0"/>
    <n v="1"/>
    <x v="2"/>
    <n v="3"/>
    <x v="1"/>
    <n v="2"/>
    <x v="2"/>
    <n v="1"/>
    <x v="1"/>
    <n v="0"/>
    <x v="2"/>
    <n v="1"/>
    <x v="0"/>
    <n v="0"/>
    <x v="2"/>
  </r>
  <r>
    <n v="244"/>
    <n v="46"/>
    <x v="1"/>
    <x v="1"/>
    <n v="0"/>
    <x v="0"/>
    <n v="526"/>
    <x v="2"/>
    <x v="0"/>
    <n v="1"/>
    <x v="0"/>
    <n v="2"/>
    <x v="0"/>
    <x v="3"/>
    <n v="1"/>
    <n v="2"/>
    <x v="0"/>
    <x v="0"/>
    <n v="92"/>
    <x v="0"/>
    <n v="3"/>
    <x v="0"/>
    <n v="3"/>
    <x v="0"/>
    <n v="1"/>
    <x v="3"/>
    <x v="2"/>
    <n v="10453"/>
    <x v="8"/>
    <n v="2137"/>
    <x v="2"/>
    <n v="1"/>
    <x v="1"/>
    <s v="Y"/>
    <x v="1"/>
    <n v="25"/>
    <x v="1"/>
    <n v="4"/>
    <x v="1"/>
    <n v="3"/>
    <x v="3"/>
    <n v="80"/>
    <n v="3"/>
    <n v="24"/>
    <x v="4"/>
    <n v="2"/>
    <x v="0"/>
    <n v="3"/>
    <x v="1"/>
    <n v="24"/>
    <x v="3"/>
    <n v="13"/>
    <x v="3"/>
    <n v="15"/>
    <x v="3"/>
    <n v="7"/>
    <x v="1"/>
  </r>
  <r>
    <n v="245"/>
    <n v="38"/>
    <x v="0"/>
    <x v="1"/>
    <n v="0"/>
    <x v="0"/>
    <n v="1380"/>
    <x v="0"/>
    <x v="1"/>
    <n v="9"/>
    <x v="1"/>
    <n v="2"/>
    <x v="0"/>
    <x v="0"/>
    <n v="1"/>
    <n v="3"/>
    <x v="1"/>
    <x v="0"/>
    <n v="75"/>
    <x v="1"/>
    <n v="3"/>
    <x v="0"/>
    <n v="1"/>
    <x v="2"/>
    <n v="4"/>
    <x v="0"/>
    <x v="0"/>
    <n v="2288"/>
    <x v="2"/>
    <n v="6319"/>
    <x v="2"/>
    <n v="1"/>
    <x v="1"/>
    <s v="Y"/>
    <x v="1"/>
    <n v="12"/>
    <x v="0"/>
    <n v="3"/>
    <x v="0"/>
    <n v="3"/>
    <x v="3"/>
    <n v="80"/>
    <n v="0"/>
    <n v="2"/>
    <x v="2"/>
    <n v="3"/>
    <x v="1"/>
    <n v="3"/>
    <x v="1"/>
    <n v="2"/>
    <x v="2"/>
    <n v="2"/>
    <x v="0"/>
    <n v="2"/>
    <x v="1"/>
    <n v="1"/>
    <x v="2"/>
  </r>
  <r>
    <n v="246"/>
    <n v="31"/>
    <x v="2"/>
    <x v="1"/>
    <n v="0"/>
    <x v="0"/>
    <n v="140"/>
    <x v="1"/>
    <x v="1"/>
    <n v="12"/>
    <x v="3"/>
    <n v="1"/>
    <x v="1"/>
    <x v="2"/>
    <n v="1"/>
    <n v="3"/>
    <x v="1"/>
    <x v="0"/>
    <n v="95"/>
    <x v="0"/>
    <n v="3"/>
    <x v="0"/>
    <n v="1"/>
    <x v="1"/>
    <n v="4"/>
    <x v="0"/>
    <x v="1"/>
    <n v="3929"/>
    <x v="3"/>
    <n v="6984"/>
    <x v="2"/>
    <n v="8"/>
    <x v="0"/>
    <s v="Y"/>
    <x v="0"/>
    <n v="23"/>
    <x v="1"/>
    <n v="4"/>
    <x v="1"/>
    <n v="3"/>
    <x v="3"/>
    <n v="80"/>
    <n v="1"/>
    <n v="7"/>
    <x v="0"/>
    <n v="0"/>
    <x v="0"/>
    <n v="3"/>
    <x v="1"/>
    <n v="4"/>
    <x v="2"/>
    <n v="2"/>
    <x v="0"/>
    <n v="0"/>
    <x v="0"/>
    <n v="2"/>
    <x v="0"/>
  </r>
  <r>
    <n v="247"/>
    <n v="34"/>
    <x v="2"/>
    <x v="1"/>
    <n v="0"/>
    <x v="0"/>
    <n v="629"/>
    <x v="2"/>
    <x v="1"/>
    <n v="27"/>
    <x v="2"/>
    <n v="2"/>
    <x v="0"/>
    <x v="2"/>
    <n v="1"/>
    <n v="4"/>
    <x v="2"/>
    <x v="0"/>
    <n v="95"/>
    <x v="0"/>
    <n v="3"/>
    <x v="0"/>
    <n v="1"/>
    <x v="1"/>
    <n v="2"/>
    <x v="1"/>
    <x v="0"/>
    <n v="2311"/>
    <x v="2"/>
    <n v="5711"/>
    <x v="2"/>
    <n v="2"/>
    <x v="3"/>
    <s v="Y"/>
    <x v="1"/>
    <n v="15"/>
    <x v="2"/>
    <n v="3"/>
    <x v="0"/>
    <n v="4"/>
    <x v="1"/>
    <n v="80"/>
    <n v="0"/>
    <n v="9"/>
    <x v="0"/>
    <n v="3"/>
    <x v="1"/>
    <n v="3"/>
    <x v="1"/>
    <n v="3"/>
    <x v="2"/>
    <n v="2"/>
    <x v="0"/>
    <n v="1"/>
    <x v="0"/>
    <n v="2"/>
    <x v="0"/>
  </r>
  <r>
    <n v="248"/>
    <n v="41"/>
    <x v="0"/>
    <x v="0"/>
    <n v="1"/>
    <x v="0"/>
    <n v="1356"/>
    <x v="0"/>
    <x v="0"/>
    <n v="20"/>
    <x v="3"/>
    <n v="2"/>
    <x v="0"/>
    <x v="3"/>
    <n v="1"/>
    <n v="2"/>
    <x v="0"/>
    <x v="0"/>
    <n v="70"/>
    <x v="1"/>
    <n v="3"/>
    <x v="0"/>
    <n v="1"/>
    <x v="6"/>
    <n v="2"/>
    <x v="1"/>
    <x v="0"/>
    <n v="3140"/>
    <x v="3"/>
    <n v="21728"/>
    <x v="0"/>
    <n v="1"/>
    <x v="1"/>
    <s v="Y"/>
    <x v="0"/>
    <n v="22"/>
    <x v="1"/>
    <n v="4"/>
    <x v="1"/>
    <n v="4"/>
    <x v="1"/>
    <n v="80"/>
    <n v="0"/>
    <n v="4"/>
    <x v="3"/>
    <n v="5"/>
    <x v="2"/>
    <n v="2"/>
    <x v="2"/>
    <n v="4"/>
    <x v="2"/>
    <n v="3"/>
    <x v="0"/>
    <n v="0"/>
    <x v="0"/>
    <n v="2"/>
    <x v="0"/>
  </r>
  <r>
    <n v="249"/>
    <n v="50"/>
    <x v="1"/>
    <x v="1"/>
    <n v="0"/>
    <x v="0"/>
    <n v="328"/>
    <x v="1"/>
    <x v="1"/>
    <n v="1"/>
    <x v="0"/>
    <n v="3"/>
    <x v="3"/>
    <x v="2"/>
    <n v="1"/>
    <n v="3"/>
    <x v="1"/>
    <x v="1"/>
    <n v="86"/>
    <x v="0"/>
    <n v="2"/>
    <x v="1"/>
    <n v="1"/>
    <x v="2"/>
    <n v="3"/>
    <x v="2"/>
    <x v="1"/>
    <n v="3690"/>
    <x v="3"/>
    <n v="3425"/>
    <x v="2"/>
    <n v="2"/>
    <x v="3"/>
    <s v="Y"/>
    <x v="1"/>
    <n v="15"/>
    <x v="2"/>
    <n v="3"/>
    <x v="0"/>
    <n v="4"/>
    <x v="1"/>
    <n v="80"/>
    <n v="1"/>
    <n v="5"/>
    <x v="3"/>
    <n v="2"/>
    <x v="0"/>
    <n v="2"/>
    <x v="2"/>
    <n v="3"/>
    <x v="2"/>
    <n v="2"/>
    <x v="0"/>
    <n v="0"/>
    <x v="0"/>
    <n v="2"/>
    <x v="0"/>
  </r>
  <r>
    <n v="250"/>
    <n v="53"/>
    <x v="1"/>
    <x v="1"/>
    <n v="0"/>
    <x v="0"/>
    <n v="1084"/>
    <x v="0"/>
    <x v="1"/>
    <n v="13"/>
    <x v="3"/>
    <n v="2"/>
    <x v="0"/>
    <x v="2"/>
    <n v="1"/>
    <n v="4"/>
    <x v="2"/>
    <x v="0"/>
    <n v="57"/>
    <x v="1"/>
    <n v="4"/>
    <x v="2"/>
    <n v="2"/>
    <x v="3"/>
    <n v="1"/>
    <x v="3"/>
    <x v="2"/>
    <n v="4450"/>
    <x v="1"/>
    <n v="26250"/>
    <x v="1"/>
    <n v="1"/>
    <x v="1"/>
    <s v="Y"/>
    <x v="1"/>
    <n v="11"/>
    <x v="0"/>
    <n v="3"/>
    <x v="0"/>
    <n v="3"/>
    <x v="3"/>
    <n v="80"/>
    <n v="2"/>
    <n v="5"/>
    <x v="3"/>
    <n v="3"/>
    <x v="1"/>
    <n v="3"/>
    <x v="1"/>
    <n v="4"/>
    <x v="2"/>
    <n v="2"/>
    <x v="0"/>
    <n v="1"/>
    <x v="0"/>
    <n v="3"/>
    <x v="0"/>
  </r>
  <r>
    <n v="252"/>
    <n v="33"/>
    <x v="2"/>
    <x v="1"/>
    <n v="0"/>
    <x v="0"/>
    <n v="931"/>
    <x v="2"/>
    <x v="1"/>
    <n v="14"/>
    <x v="3"/>
    <n v="3"/>
    <x v="3"/>
    <x v="2"/>
    <n v="1"/>
    <n v="4"/>
    <x v="2"/>
    <x v="0"/>
    <n v="72"/>
    <x v="1"/>
    <n v="3"/>
    <x v="0"/>
    <n v="1"/>
    <x v="1"/>
    <n v="2"/>
    <x v="1"/>
    <x v="1"/>
    <n v="2756"/>
    <x v="3"/>
    <n v="4673"/>
    <x v="2"/>
    <n v="1"/>
    <x v="1"/>
    <s v="Y"/>
    <x v="1"/>
    <n v="13"/>
    <x v="2"/>
    <n v="3"/>
    <x v="0"/>
    <n v="4"/>
    <x v="1"/>
    <n v="80"/>
    <n v="1"/>
    <n v="8"/>
    <x v="0"/>
    <n v="5"/>
    <x v="2"/>
    <n v="3"/>
    <x v="1"/>
    <n v="8"/>
    <x v="0"/>
    <n v="7"/>
    <x v="1"/>
    <n v="1"/>
    <x v="0"/>
    <n v="6"/>
    <x v="1"/>
  </r>
  <r>
    <n v="253"/>
    <n v="40"/>
    <x v="0"/>
    <x v="1"/>
    <n v="0"/>
    <x v="0"/>
    <n v="989"/>
    <x v="2"/>
    <x v="1"/>
    <n v="4"/>
    <x v="0"/>
    <n v="1"/>
    <x v="1"/>
    <x v="2"/>
    <n v="1"/>
    <n v="4"/>
    <x v="2"/>
    <x v="0"/>
    <n v="46"/>
    <x v="2"/>
    <n v="3"/>
    <x v="0"/>
    <n v="5"/>
    <x v="5"/>
    <n v="3"/>
    <x v="2"/>
    <x v="1"/>
    <n v="19033"/>
    <x v="7"/>
    <n v="6499"/>
    <x v="2"/>
    <n v="1"/>
    <x v="1"/>
    <s v="Y"/>
    <x v="1"/>
    <n v="14"/>
    <x v="2"/>
    <n v="3"/>
    <x v="0"/>
    <n v="2"/>
    <x v="4"/>
    <n v="80"/>
    <n v="1"/>
    <n v="21"/>
    <x v="4"/>
    <n v="2"/>
    <x v="0"/>
    <n v="3"/>
    <x v="1"/>
    <n v="20"/>
    <x v="4"/>
    <n v="8"/>
    <x v="1"/>
    <n v="9"/>
    <x v="2"/>
    <n v="9"/>
    <x v="1"/>
  </r>
  <r>
    <n v="254"/>
    <n v="55"/>
    <x v="1"/>
    <x v="1"/>
    <n v="0"/>
    <x v="0"/>
    <n v="692"/>
    <x v="2"/>
    <x v="1"/>
    <n v="14"/>
    <x v="3"/>
    <n v="4"/>
    <x v="2"/>
    <x v="2"/>
    <n v="1"/>
    <n v="3"/>
    <x v="1"/>
    <x v="1"/>
    <n v="61"/>
    <x v="1"/>
    <n v="4"/>
    <x v="2"/>
    <n v="5"/>
    <x v="7"/>
    <n v="2"/>
    <x v="1"/>
    <x v="0"/>
    <n v="18722"/>
    <x v="9"/>
    <n v="13339"/>
    <x v="3"/>
    <n v="8"/>
    <x v="0"/>
    <s v="Y"/>
    <x v="1"/>
    <n v="11"/>
    <x v="0"/>
    <n v="3"/>
    <x v="0"/>
    <n v="4"/>
    <x v="1"/>
    <n v="80"/>
    <n v="0"/>
    <n v="36"/>
    <x v="4"/>
    <n v="3"/>
    <x v="1"/>
    <n v="3"/>
    <x v="1"/>
    <n v="24"/>
    <x v="3"/>
    <n v="15"/>
    <x v="3"/>
    <n v="2"/>
    <x v="1"/>
    <n v="15"/>
    <x v="3"/>
  </r>
  <r>
    <n v="256"/>
    <n v="34"/>
    <x v="2"/>
    <x v="1"/>
    <n v="0"/>
    <x v="1"/>
    <n v="1069"/>
    <x v="0"/>
    <x v="1"/>
    <n v="2"/>
    <x v="0"/>
    <n v="1"/>
    <x v="1"/>
    <x v="0"/>
    <n v="1"/>
    <n v="4"/>
    <x v="2"/>
    <x v="1"/>
    <n v="45"/>
    <x v="2"/>
    <n v="2"/>
    <x v="1"/>
    <n v="2"/>
    <x v="3"/>
    <n v="3"/>
    <x v="2"/>
    <x v="1"/>
    <n v="9547"/>
    <x v="4"/>
    <n v="14074"/>
    <x v="3"/>
    <n v="1"/>
    <x v="1"/>
    <s v="Y"/>
    <x v="1"/>
    <n v="17"/>
    <x v="3"/>
    <n v="3"/>
    <x v="0"/>
    <n v="3"/>
    <x v="3"/>
    <n v="80"/>
    <n v="0"/>
    <n v="10"/>
    <x v="0"/>
    <n v="2"/>
    <x v="0"/>
    <n v="2"/>
    <x v="2"/>
    <n v="10"/>
    <x v="0"/>
    <n v="9"/>
    <x v="1"/>
    <n v="1"/>
    <x v="0"/>
    <n v="9"/>
    <x v="1"/>
  </r>
  <r>
    <n v="258"/>
    <n v="51"/>
    <x v="1"/>
    <x v="1"/>
    <n v="0"/>
    <x v="0"/>
    <n v="313"/>
    <x v="1"/>
    <x v="1"/>
    <n v="3"/>
    <x v="0"/>
    <n v="3"/>
    <x v="3"/>
    <x v="2"/>
    <n v="1"/>
    <n v="4"/>
    <x v="2"/>
    <x v="0"/>
    <n v="98"/>
    <x v="0"/>
    <n v="3"/>
    <x v="0"/>
    <n v="4"/>
    <x v="4"/>
    <n v="2"/>
    <x v="1"/>
    <x v="0"/>
    <n v="13734"/>
    <x v="10"/>
    <n v="7192"/>
    <x v="2"/>
    <n v="3"/>
    <x v="3"/>
    <s v="Y"/>
    <x v="1"/>
    <n v="18"/>
    <x v="1"/>
    <n v="3"/>
    <x v="0"/>
    <n v="3"/>
    <x v="3"/>
    <n v="80"/>
    <n v="0"/>
    <n v="21"/>
    <x v="4"/>
    <n v="6"/>
    <x v="2"/>
    <n v="3"/>
    <x v="1"/>
    <n v="7"/>
    <x v="0"/>
    <n v="7"/>
    <x v="1"/>
    <n v="1"/>
    <x v="0"/>
    <n v="0"/>
    <x v="2"/>
  </r>
  <r>
    <n v="259"/>
    <n v="52"/>
    <x v="1"/>
    <x v="1"/>
    <n v="0"/>
    <x v="0"/>
    <n v="699"/>
    <x v="2"/>
    <x v="1"/>
    <n v="1"/>
    <x v="0"/>
    <n v="4"/>
    <x v="2"/>
    <x v="0"/>
    <n v="1"/>
    <n v="3"/>
    <x v="1"/>
    <x v="1"/>
    <n v="65"/>
    <x v="1"/>
    <n v="2"/>
    <x v="1"/>
    <n v="5"/>
    <x v="5"/>
    <n v="3"/>
    <x v="2"/>
    <x v="1"/>
    <n v="19999"/>
    <x v="7"/>
    <n v="5678"/>
    <x v="2"/>
    <n v="0"/>
    <x v="1"/>
    <s v="Y"/>
    <x v="1"/>
    <n v="14"/>
    <x v="2"/>
    <n v="3"/>
    <x v="0"/>
    <n v="1"/>
    <x v="0"/>
    <n v="80"/>
    <n v="1"/>
    <n v="34"/>
    <x v="4"/>
    <n v="5"/>
    <x v="2"/>
    <n v="3"/>
    <x v="1"/>
    <n v="33"/>
    <x v="3"/>
    <n v="18"/>
    <x v="3"/>
    <n v="11"/>
    <x v="3"/>
    <n v="9"/>
    <x v="1"/>
  </r>
  <r>
    <n v="260"/>
    <n v="27"/>
    <x v="2"/>
    <x v="1"/>
    <n v="0"/>
    <x v="0"/>
    <n v="894"/>
    <x v="2"/>
    <x v="1"/>
    <n v="9"/>
    <x v="1"/>
    <n v="3"/>
    <x v="3"/>
    <x v="2"/>
    <n v="1"/>
    <n v="4"/>
    <x v="2"/>
    <x v="0"/>
    <n v="99"/>
    <x v="0"/>
    <n v="3"/>
    <x v="0"/>
    <n v="1"/>
    <x v="1"/>
    <n v="2"/>
    <x v="1"/>
    <x v="0"/>
    <n v="2279"/>
    <x v="2"/>
    <n v="11781"/>
    <x v="3"/>
    <n v="1"/>
    <x v="1"/>
    <s v="Y"/>
    <x v="1"/>
    <n v="16"/>
    <x v="3"/>
    <n v="3"/>
    <x v="0"/>
    <n v="4"/>
    <x v="1"/>
    <n v="80"/>
    <n v="0"/>
    <n v="7"/>
    <x v="0"/>
    <n v="2"/>
    <x v="0"/>
    <n v="2"/>
    <x v="2"/>
    <n v="7"/>
    <x v="0"/>
    <n v="7"/>
    <x v="1"/>
    <n v="0"/>
    <x v="0"/>
    <n v="3"/>
    <x v="0"/>
  </r>
  <r>
    <n v="261"/>
    <n v="35"/>
    <x v="2"/>
    <x v="0"/>
    <n v="1"/>
    <x v="0"/>
    <n v="556"/>
    <x v="2"/>
    <x v="1"/>
    <n v="23"/>
    <x v="2"/>
    <n v="2"/>
    <x v="0"/>
    <x v="0"/>
    <n v="1"/>
    <n v="2"/>
    <x v="0"/>
    <x v="1"/>
    <n v="50"/>
    <x v="2"/>
    <n v="2"/>
    <x v="1"/>
    <n v="2"/>
    <x v="3"/>
    <n v="3"/>
    <x v="2"/>
    <x v="1"/>
    <n v="5916"/>
    <x v="0"/>
    <n v="15497"/>
    <x v="3"/>
    <n v="3"/>
    <x v="3"/>
    <s v="Y"/>
    <x v="0"/>
    <n v="13"/>
    <x v="2"/>
    <n v="3"/>
    <x v="0"/>
    <n v="1"/>
    <x v="0"/>
    <n v="80"/>
    <n v="0"/>
    <n v="8"/>
    <x v="0"/>
    <n v="1"/>
    <x v="0"/>
    <n v="3"/>
    <x v="1"/>
    <n v="1"/>
    <x v="1"/>
    <n v="0"/>
    <x v="2"/>
    <n v="0"/>
    <x v="0"/>
    <n v="1"/>
    <x v="2"/>
  </r>
  <r>
    <n v="262"/>
    <n v="43"/>
    <x v="0"/>
    <x v="1"/>
    <n v="0"/>
    <x v="2"/>
    <n v="1344"/>
    <x v="0"/>
    <x v="1"/>
    <n v="7"/>
    <x v="1"/>
    <n v="3"/>
    <x v="3"/>
    <x v="2"/>
    <n v="1"/>
    <n v="4"/>
    <x v="2"/>
    <x v="1"/>
    <n v="37"/>
    <x v="2"/>
    <n v="4"/>
    <x v="2"/>
    <n v="1"/>
    <x v="1"/>
    <n v="4"/>
    <x v="0"/>
    <x v="2"/>
    <n v="2089"/>
    <x v="2"/>
    <n v="5228"/>
    <x v="2"/>
    <n v="4"/>
    <x v="2"/>
    <s v="Y"/>
    <x v="1"/>
    <n v="14"/>
    <x v="2"/>
    <n v="3"/>
    <x v="0"/>
    <n v="4"/>
    <x v="1"/>
    <n v="80"/>
    <n v="3"/>
    <n v="7"/>
    <x v="0"/>
    <n v="3"/>
    <x v="1"/>
    <n v="4"/>
    <x v="3"/>
    <n v="5"/>
    <x v="2"/>
    <n v="4"/>
    <x v="0"/>
    <n v="2"/>
    <x v="1"/>
    <n v="2"/>
    <x v="0"/>
  </r>
  <r>
    <n v="264"/>
    <n v="45"/>
    <x v="0"/>
    <x v="1"/>
    <n v="0"/>
    <x v="2"/>
    <n v="1195"/>
    <x v="0"/>
    <x v="1"/>
    <n v="2"/>
    <x v="0"/>
    <n v="2"/>
    <x v="0"/>
    <x v="2"/>
    <n v="1"/>
    <n v="1"/>
    <x v="3"/>
    <x v="1"/>
    <n v="65"/>
    <x v="1"/>
    <n v="2"/>
    <x v="1"/>
    <n v="4"/>
    <x v="5"/>
    <n v="4"/>
    <x v="0"/>
    <x v="1"/>
    <n v="16792"/>
    <x v="12"/>
    <n v="20462"/>
    <x v="0"/>
    <n v="9"/>
    <x v="0"/>
    <s v="Y"/>
    <x v="1"/>
    <n v="23"/>
    <x v="1"/>
    <n v="4"/>
    <x v="1"/>
    <n v="4"/>
    <x v="1"/>
    <n v="80"/>
    <n v="1"/>
    <n v="22"/>
    <x v="4"/>
    <n v="1"/>
    <x v="0"/>
    <n v="3"/>
    <x v="1"/>
    <n v="20"/>
    <x v="4"/>
    <n v="8"/>
    <x v="1"/>
    <n v="11"/>
    <x v="3"/>
    <n v="8"/>
    <x v="1"/>
  </r>
  <r>
    <n v="267"/>
    <n v="37"/>
    <x v="0"/>
    <x v="1"/>
    <n v="0"/>
    <x v="0"/>
    <n v="290"/>
    <x v="1"/>
    <x v="1"/>
    <n v="21"/>
    <x v="2"/>
    <n v="3"/>
    <x v="3"/>
    <x v="0"/>
    <n v="1"/>
    <n v="2"/>
    <x v="0"/>
    <x v="1"/>
    <n v="65"/>
    <x v="1"/>
    <n v="4"/>
    <x v="2"/>
    <n v="1"/>
    <x v="1"/>
    <n v="1"/>
    <x v="3"/>
    <x v="1"/>
    <n v="3564"/>
    <x v="3"/>
    <n v="22977"/>
    <x v="1"/>
    <n v="1"/>
    <x v="1"/>
    <s v="Y"/>
    <x v="0"/>
    <n v="12"/>
    <x v="0"/>
    <n v="3"/>
    <x v="0"/>
    <n v="1"/>
    <x v="0"/>
    <n v="80"/>
    <n v="1"/>
    <n v="8"/>
    <x v="0"/>
    <n v="3"/>
    <x v="1"/>
    <n v="2"/>
    <x v="2"/>
    <n v="8"/>
    <x v="0"/>
    <n v="7"/>
    <x v="1"/>
    <n v="1"/>
    <x v="0"/>
    <n v="7"/>
    <x v="1"/>
  </r>
  <r>
    <n v="269"/>
    <n v="35"/>
    <x v="2"/>
    <x v="1"/>
    <n v="0"/>
    <x v="1"/>
    <n v="138"/>
    <x v="1"/>
    <x v="1"/>
    <n v="2"/>
    <x v="0"/>
    <n v="3"/>
    <x v="3"/>
    <x v="2"/>
    <n v="1"/>
    <n v="2"/>
    <x v="0"/>
    <x v="0"/>
    <n v="37"/>
    <x v="2"/>
    <n v="3"/>
    <x v="0"/>
    <n v="2"/>
    <x v="2"/>
    <n v="2"/>
    <x v="1"/>
    <x v="0"/>
    <n v="4425"/>
    <x v="1"/>
    <n v="15986"/>
    <x v="3"/>
    <n v="5"/>
    <x v="2"/>
    <s v="Y"/>
    <x v="1"/>
    <n v="11"/>
    <x v="0"/>
    <n v="3"/>
    <x v="0"/>
    <n v="4"/>
    <x v="1"/>
    <n v="80"/>
    <n v="0"/>
    <n v="10"/>
    <x v="0"/>
    <n v="5"/>
    <x v="2"/>
    <n v="3"/>
    <x v="1"/>
    <n v="6"/>
    <x v="0"/>
    <n v="2"/>
    <x v="0"/>
    <n v="1"/>
    <x v="0"/>
    <n v="2"/>
    <x v="0"/>
  </r>
  <r>
    <n v="270"/>
    <n v="42"/>
    <x v="0"/>
    <x v="1"/>
    <n v="0"/>
    <x v="2"/>
    <n v="926"/>
    <x v="2"/>
    <x v="1"/>
    <n v="21"/>
    <x v="2"/>
    <n v="2"/>
    <x v="0"/>
    <x v="2"/>
    <n v="1"/>
    <n v="3"/>
    <x v="1"/>
    <x v="0"/>
    <n v="36"/>
    <x v="2"/>
    <n v="3"/>
    <x v="0"/>
    <n v="2"/>
    <x v="3"/>
    <n v="3"/>
    <x v="2"/>
    <x v="2"/>
    <n v="5265"/>
    <x v="1"/>
    <n v="16439"/>
    <x v="0"/>
    <n v="2"/>
    <x v="3"/>
    <s v="Y"/>
    <x v="1"/>
    <n v="16"/>
    <x v="3"/>
    <n v="3"/>
    <x v="0"/>
    <n v="2"/>
    <x v="4"/>
    <n v="80"/>
    <n v="1"/>
    <n v="11"/>
    <x v="1"/>
    <n v="5"/>
    <x v="2"/>
    <n v="3"/>
    <x v="1"/>
    <n v="5"/>
    <x v="2"/>
    <n v="3"/>
    <x v="0"/>
    <n v="0"/>
    <x v="0"/>
    <n v="2"/>
    <x v="0"/>
  </r>
  <r>
    <n v="271"/>
    <n v="38"/>
    <x v="0"/>
    <x v="1"/>
    <n v="0"/>
    <x v="0"/>
    <n v="1261"/>
    <x v="0"/>
    <x v="1"/>
    <n v="2"/>
    <x v="0"/>
    <n v="4"/>
    <x v="2"/>
    <x v="0"/>
    <n v="1"/>
    <n v="4"/>
    <x v="2"/>
    <x v="1"/>
    <n v="88"/>
    <x v="0"/>
    <n v="3"/>
    <x v="0"/>
    <n v="2"/>
    <x v="3"/>
    <n v="3"/>
    <x v="2"/>
    <x v="1"/>
    <n v="6553"/>
    <x v="0"/>
    <n v="7259"/>
    <x v="2"/>
    <n v="9"/>
    <x v="0"/>
    <s v="Y"/>
    <x v="1"/>
    <n v="14"/>
    <x v="2"/>
    <n v="3"/>
    <x v="0"/>
    <n v="2"/>
    <x v="4"/>
    <n v="80"/>
    <n v="0"/>
    <n v="14"/>
    <x v="1"/>
    <n v="3"/>
    <x v="1"/>
    <n v="3"/>
    <x v="1"/>
    <n v="1"/>
    <x v="1"/>
    <n v="0"/>
    <x v="2"/>
    <n v="0"/>
    <x v="0"/>
    <n v="0"/>
    <x v="2"/>
  </r>
  <r>
    <n v="273"/>
    <n v="38"/>
    <x v="0"/>
    <x v="1"/>
    <n v="0"/>
    <x v="0"/>
    <n v="1084"/>
    <x v="0"/>
    <x v="1"/>
    <n v="29"/>
    <x v="2"/>
    <n v="3"/>
    <x v="3"/>
    <x v="4"/>
    <n v="1"/>
    <n v="4"/>
    <x v="2"/>
    <x v="1"/>
    <n v="54"/>
    <x v="1"/>
    <n v="3"/>
    <x v="0"/>
    <n v="2"/>
    <x v="3"/>
    <n v="4"/>
    <x v="0"/>
    <x v="1"/>
    <n v="6261"/>
    <x v="0"/>
    <n v="4185"/>
    <x v="2"/>
    <n v="3"/>
    <x v="3"/>
    <s v="Y"/>
    <x v="1"/>
    <n v="18"/>
    <x v="1"/>
    <n v="3"/>
    <x v="0"/>
    <n v="1"/>
    <x v="0"/>
    <n v="80"/>
    <n v="1"/>
    <n v="9"/>
    <x v="0"/>
    <n v="3"/>
    <x v="1"/>
    <n v="1"/>
    <x v="0"/>
    <n v="7"/>
    <x v="0"/>
    <n v="7"/>
    <x v="1"/>
    <n v="1"/>
    <x v="0"/>
    <n v="7"/>
    <x v="1"/>
  </r>
  <r>
    <n v="274"/>
    <n v="27"/>
    <x v="2"/>
    <x v="1"/>
    <n v="0"/>
    <x v="1"/>
    <n v="472"/>
    <x v="1"/>
    <x v="1"/>
    <n v="1"/>
    <x v="0"/>
    <n v="1"/>
    <x v="1"/>
    <x v="4"/>
    <n v="1"/>
    <n v="3"/>
    <x v="1"/>
    <x v="1"/>
    <n v="60"/>
    <x v="1"/>
    <n v="2"/>
    <x v="1"/>
    <n v="2"/>
    <x v="3"/>
    <n v="1"/>
    <x v="3"/>
    <x v="1"/>
    <n v="4298"/>
    <x v="1"/>
    <n v="9679"/>
    <x v="3"/>
    <n v="5"/>
    <x v="2"/>
    <s v="Y"/>
    <x v="1"/>
    <n v="19"/>
    <x v="1"/>
    <n v="3"/>
    <x v="0"/>
    <n v="3"/>
    <x v="3"/>
    <n v="80"/>
    <n v="1"/>
    <n v="6"/>
    <x v="0"/>
    <n v="1"/>
    <x v="0"/>
    <n v="3"/>
    <x v="1"/>
    <n v="2"/>
    <x v="2"/>
    <n v="2"/>
    <x v="0"/>
    <n v="2"/>
    <x v="1"/>
    <n v="0"/>
    <x v="2"/>
  </r>
  <r>
    <n v="275"/>
    <n v="49"/>
    <x v="1"/>
    <x v="1"/>
    <n v="0"/>
    <x v="2"/>
    <n v="1002"/>
    <x v="0"/>
    <x v="1"/>
    <n v="18"/>
    <x v="3"/>
    <n v="4"/>
    <x v="2"/>
    <x v="0"/>
    <n v="1"/>
    <n v="4"/>
    <x v="2"/>
    <x v="1"/>
    <n v="92"/>
    <x v="0"/>
    <n v="3"/>
    <x v="0"/>
    <n v="2"/>
    <x v="3"/>
    <n v="4"/>
    <x v="0"/>
    <x v="2"/>
    <n v="6804"/>
    <x v="0"/>
    <n v="23793"/>
    <x v="1"/>
    <n v="1"/>
    <x v="1"/>
    <s v="Y"/>
    <x v="0"/>
    <n v="15"/>
    <x v="2"/>
    <n v="3"/>
    <x v="0"/>
    <n v="1"/>
    <x v="0"/>
    <n v="80"/>
    <n v="2"/>
    <n v="7"/>
    <x v="0"/>
    <n v="0"/>
    <x v="0"/>
    <n v="3"/>
    <x v="1"/>
    <n v="7"/>
    <x v="0"/>
    <n v="7"/>
    <x v="1"/>
    <n v="1"/>
    <x v="0"/>
    <n v="7"/>
    <x v="1"/>
  </r>
  <r>
    <n v="277"/>
    <n v="34"/>
    <x v="2"/>
    <x v="1"/>
    <n v="0"/>
    <x v="1"/>
    <n v="878"/>
    <x v="2"/>
    <x v="1"/>
    <n v="10"/>
    <x v="1"/>
    <n v="4"/>
    <x v="2"/>
    <x v="2"/>
    <n v="1"/>
    <n v="4"/>
    <x v="2"/>
    <x v="1"/>
    <n v="43"/>
    <x v="2"/>
    <n v="3"/>
    <x v="0"/>
    <n v="1"/>
    <x v="1"/>
    <n v="3"/>
    <x v="2"/>
    <x v="2"/>
    <n v="3815"/>
    <x v="3"/>
    <n v="5972"/>
    <x v="2"/>
    <n v="1"/>
    <x v="1"/>
    <s v="Y"/>
    <x v="0"/>
    <n v="17"/>
    <x v="3"/>
    <n v="3"/>
    <x v="0"/>
    <n v="4"/>
    <x v="1"/>
    <n v="80"/>
    <n v="1"/>
    <n v="5"/>
    <x v="3"/>
    <n v="4"/>
    <x v="1"/>
    <n v="4"/>
    <x v="3"/>
    <n v="5"/>
    <x v="2"/>
    <n v="3"/>
    <x v="0"/>
    <n v="2"/>
    <x v="1"/>
    <n v="0"/>
    <x v="2"/>
  </r>
  <r>
    <n v="281"/>
    <n v="40"/>
    <x v="0"/>
    <x v="1"/>
    <n v="0"/>
    <x v="0"/>
    <n v="905"/>
    <x v="2"/>
    <x v="1"/>
    <n v="19"/>
    <x v="3"/>
    <n v="2"/>
    <x v="0"/>
    <x v="2"/>
    <n v="1"/>
    <n v="3"/>
    <x v="1"/>
    <x v="1"/>
    <n v="99"/>
    <x v="0"/>
    <n v="3"/>
    <x v="0"/>
    <n v="2"/>
    <x v="2"/>
    <n v="4"/>
    <x v="0"/>
    <x v="1"/>
    <n v="2741"/>
    <x v="3"/>
    <n v="16523"/>
    <x v="0"/>
    <n v="8"/>
    <x v="0"/>
    <s v="Y"/>
    <x v="0"/>
    <n v="15"/>
    <x v="2"/>
    <n v="3"/>
    <x v="0"/>
    <n v="3"/>
    <x v="3"/>
    <n v="80"/>
    <n v="1"/>
    <n v="15"/>
    <x v="1"/>
    <n v="2"/>
    <x v="0"/>
    <n v="4"/>
    <x v="3"/>
    <n v="7"/>
    <x v="0"/>
    <n v="2"/>
    <x v="0"/>
    <n v="3"/>
    <x v="1"/>
    <n v="7"/>
    <x v="1"/>
  </r>
  <r>
    <n v="282"/>
    <n v="38"/>
    <x v="0"/>
    <x v="0"/>
    <n v="1"/>
    <x v="0"/>
    <n v="1180"/>
    <x v="0"/>
    <x v="1"/>
    <n v="29"/>
    <x v="2"/>
    <n v="1"/>
    <x v="1"/>
    <x v="2"/>
    <n v="1"/>
    <n v="2"/>
    <x v="0"/>
    <x v="1"/>
    <n v="70"/>
    <x v="1"/>
    <n v="3"/>
    <x v="0"/>
    <n v="2"/>
    <x v="4"/>
    <n v="1"/>
    <x v="3"/>
    <x v="1"/>
    <n v="6673"/>
    <x v="0"/>
    <n v="11354"/>
    <x v="3"/>
    <n v="7"/>
    <x v="0"/>
    <s v="Y"/>
    <x v="0"/>
    <n v="19"/>
    <x v="1"/>
    <n v="3"/>
    <x v="0"/>
    <n v="2"/>
    <x v="4"/>
    <n v="80"/>
    <n v="0"/>
    <n v="17"/>
    <x v="1"/>
    <n v="2"/>
    <x v="0"/>
    <n v="3"/>
    <x v="1"/>
    <n v="1"/>
    <x v="1"/>
    <n v="0"/>
    <x v="2"/>
    <n v="0"/>
    <x v="0"/>
    <n v="0"/>
    <x v="2"/>
  </r>
  <r>
    <n v="283"/>
    <n v="29"/>
    <x v="2"/>
    <x v="0"/>
    <n v="1"/>
    <x v="0"/>
    <n v="121"/>
    <x v="1"/>
    <x v="0"/>
    <n v="27"/>
    <x v="2"/>
    <n v="3"/>
    <x v="3"/>
    <x v="3"/>
    <n v="1"/>
    <n v="2"/>
    <x v="0"/>
    <x v="0"/>
    <n v="35"/>
    <x v="2"/>
    <n v="3"/>
    <x v="0"/>
    <n v="3"/>
    <x v="0"/>
    <n v="4"/>
    <x v="0"/>
    <x v="1"/>
    <n v="7639"/>
    <x v="11"/>
    <n v="24525"/>
    <x v="1"/>
    <n v="1"/>
    <x v="1"/>
    <s v="Y"/>
    <x v="1"/>
    <n v="22"/>
    <x v="1"/>
    <n v="4"/>
    <x v="1"/>
    <n v="4"/>
    <x v="1"/>
    <n v="80"/>
    <n v="3"/>
    <n v="10"/>
    <x v="0"/>
    <n v="3"/>
    <x v="1"/>
    <n v="2"/>
    <x v="2"/>
    <n v="10"/>
    <x v="0"/>
    <n v="4"/>
    <x v="0"/>
    <n v="1"/>
    <x v="0"/>
    <n v="9"/>
    <x v="1"/>
  </r>
  <r>
    <n v="284"/>
    <n v="22"/>
    <x v="4"/>
    <x v="1"/>
    <n v="0"/>
    <x v="0"/>
    <n v="1136"/>
    <x v="0"/>
    <x v="1"/>
    <n v="5"/>
    <x v="0"/>
    <n v="3"/>
    <x v="3"/>
    <x v="0"/>
    <n v="1"/>
    <n v="4"/>
    <x v="2"/>
    <x v="1"/>
    <n v="60"/>
    <x v="1"/>
    <n v="4"/>
    <x v="2"/>
    <n v="1"/>
    <x v="1"/>
    <n v="2"/>
    <x v="1"/>
    <x v="2"/>
    <n v="2328"/>
    <x v="2"/>
    <n v="12392"/>
    <x v="3"/>
    <n v="1"/>
    <x v="1"/>
    <s v="Y"/>
    <x v="0"/>
    <n v="16"/>
    <x v="3"/>
    <n v="3"/>
    <x v="0"/>
    <n v="1"/>
    <x v="0"/>
    <n v="80"/>
    <n v="1"/>
    <n v="4"/>
    <x v="3"/>
    <n v="2"/>
    <x v="0"/>
    <n v="2"/>
    <x v="2"/>
    <n v="4"/>
    <x v="2"/>
    <n v="2"/>
    <x v="0"/>
    <n v="2"/>
    <x v="1"/>
    <n v="2"/>
    <x v="0"/>
  </r>
  <r>
    <n v="286"/>
    <n v="36"/>
    <x v="0"/>
    <x v="1"/>
    <n v="0"/>
    <x v="1"/>
    <n v="635"/>
    <x v="2"/>
    <x v="1"/>
    <n v="18"/>
    <x v="3"/>
    <n v="1"/>
    <x v="1"/>
    <x v="2"/>
    <n v="1"/>
    <n v="2"/>
    <x v="0"/>
    <x v="0"/>
    <n v="73"/>
    <x v="1"/>
    <n v="3"/>
    <x v="0"/>
    <n v="1"/>
    <x v="2"/>
    <n v="4"/>
    <x v="0"/>
    <x v="0"/>
    <n v="2153"/>
    <x v="2"/>
    <n v="7703"/>
    <x v="2"/>
    <n v="1"/>
    <x v="1"/>
    <s v="Y"/>
    <x v="1"/>
    <n v="13"/>
    <x v="2"/>
    <n v="3"/>
    <x v="0"/>
    <n v="1"/>
    <x v="0"/>
    <n v="80"/>
    <n v="0"/>
    <n v="8"/>
    <x v="0"/>
    <n v="2"/>
    <x v="0"/>
    <n v="3"/>
    <x v="1"/>
    <n v="8"/>
    <x v="0"/>
    <n v="1"/>
    <x v="2"/>
    <n v="1"/>
    <x v="0"/>
    <n v="7"/>
    <x v="1"/>
  </r>
  <r>
    <n v="287"/>
    <n v="40"/>
    <x v="0"/>
    <x v="1"/>
    <n v="0"/>
    <x v="2"/>
    <n v="1151"/>
    <x v="0"/>
    <x v="1"/>
    <n v="9"/>
    <x v="1"/>
    <n v="5"/>
    <x v="4"/>
    <x v="0"/>
    <n v="1"/>
    <n v="4"/>
    <x v="2"/>
    <x v="1"/>
    <n v="63"/>
    <x v="1"/>
    <n v="2"/>
    <x v="1"/>
    <n v="2"/>
    <x v="4"/>
    <n v="4"/>
    <x v="0"/>
    <x v="1"/>
    <n v="4876"/>
    <x v="1"/>
    <n v="14242"/>
    <x v="3"/>
    <n v="9"/>
    <x v="0"/>
    <s v="Y"/>
    <x v="1"/>
    <n v="14"/>
    <x v="2"/>
    <n v="3"/>
    <x v="0"/>
    <n v="4"/>
    <x v="1"/>
    <n v="80"/>
    <n v="1"/>
    <n v="5"/>
    <x v="3"/>
    <n v="5"/>
    <x v="2"/>
    <n v="1"/>
    <x v="0"/>
    <n v="3"/>
    <x v="2"/>
    <n v="2"/>
    <x v="0"/>
    <n v="0"/>
    <x v="0"/>
    <n v="2"/>
    <x v="0"/>
  </r>
  <r>
    <n v="288"/>
    <n v="46"/>
    <x v="1"/>
    <x v="1"/>
    <n v="0"/>
    <x v="0"/>
    <n v="644"/>
    <x v="2"/>
    <x v="1"/>
    <n v="1"/>
    <x v="0"/>
    <n v="4"/>
    <x v="2"/>
    <x v="2"/>
    <n v="1"/>
    <n v="4"/>
    <x v="2"/>
    <x v="1"/>
    <n v="97"/>
    <x v="0"/>
    <n v="3"/>
    <x v="0"/>
    <n v="3"/>
    <x v="4"/>
    <n v="1"/>
    <x v="3"/>
    <x v="2"/>
    <n v="9396"/>
    <x v="4"/>
    <n v="12368"/>
    <x v="3"/>
    <n v="7"/>
    <x v="0"/>
    <s v="Y"/>
    <x v="1"/>
    <n v="16"/>
    <x v="3"/>
    <n v="3"/>
    <x v="0"/>
    <n v="3"/>
    <x v="3"/>
    <n v="80"/>
    <n v="1"/>
    <n v="17"/>
    <x v="1"/>
    <n v="3"/>
    <x v="1"/>
    <n v="3"/>
    <x v="1"/>
    <n v="4"/>
    <x v="2"/>
    <n v="2"/>
    <x v="0"/>
    <n v="0"/>
    <x v="0"/>
    <n v="3"/>
    <x v="0"/>
  </r>
  <r>
    <n v="291"/>
    <n v="32"/>
    <x v="2"/>
    <x v="0"/>
    <n v="1"/>
    <x v="0"/>
    <n v="1045"/>
    <x v="0"/>
    <x v="0"/>
    <n v="4"/>
    <x v="0"/>
    <n v="4"/>
    <x v="2"/>
    <x v="2"/>
    <n v="1"/>
    <n v="4"/>
    <x v="2"/>
    <x v="1"/>
    <n v="32"/>
    <x v="2"/>
    <n v="1"/>
    <x v="3"/>
    <n v="3"/>
    <x v="0"/>
    <n v="4"/>
    <x v="0"/>
    <x v="1"/>
    <n v="10400"/>
    <x v="8"/>
    <n v="25812"/>
    <x v="1"/>
    <n v="1"/>
    <x v="1"/>
    <s v="Y"/>
    <x v="1"/>
    <n v="11"/>
    <x v="0"/>
    <n v="3"/>
    <x v="0"/>
    <n v="3"/>
    <x v="3"/>
    <n v="80"/>
    <n v="0"/>
    <n v="14"/>
    <x v="1"/>
    <n v="2"/>
    <x v="0"/>
    <n v="2"/>
    <x v="2"/>
    <n v="14"/>
    <x v="4"/>
    <n v="8"/>
    <x v="1"/>
    <n v="9"/>
    <x v="2"/>
    <n v="8"/>
    <x v="1"/>
  </r>
  <r>
    <n v="292"/>
    <n v="30"/>
    <x v="2"/>
    <x v="1"/>
    <n v="0"/>
    <x v="2"/>
    <n v="829"/>
    <x v="2"/>
    <x v="1"/>
    <n v="1"/>
    <x v="0"/>
    <n v="1"/>
    <x v="1"/>
    <x v="0"/>
    <n v="1"/>
    <n v="3"/>
    <x v="1"/>
    <x v="1"/>
    <n v="88"/>
    <x v="0"/>
    <n v="2"/>
    <x v="1"/>
    <n v="3"/>
    <x v="3"/>
    <n v="3"/>
    <x v="2"/>
    <x v="0"/>
    <n v="8474"/>
    <x v="11"/>
    <n v="20925"/>
    <x v="0"/>
    <n v="1"/>
    <x v="1"/>
    <s v="Y"/>
    <x v="1"/>
    <n v="22"/>
    <x v="1"/>
    <n v="4"/>
    <x v="1"/>
    <n v="3"/>
    <x v="3"/>
    <n v="80"/>
    <n v="0"/>
    <n v="12"/>
    <x v="1"/>
    <n v="2"/>
    <x v="0"/>
    <n v="3"/>
    <x v="1"/>
    <n v="11"/>
    <x v="4"/>
    <n v="8"/>
    <x v="1"/>
    <n v="5"/>
    <x v="1"/>
    <n v="8"/>
    <x v="1"/>
  </r>
  <r>
    <n v="293"/>
    <n v="27"/>
    <x v="2"/>
    <x v="1"/>
    <n v="0"/>
    <x v="1"/>
    <n v="1242"/>
    <x v="0"/>
    <x v="0"/>
    <n v="20"/>
    <x v="3"/>
    <n v="3"/>
    <x v="3"/>
    <x v="0"/>
    <n v="1"/>
    <n v="4"/>
    <x v="2"/>
    <x v="0"/>
    <n v="90"/>
    <x v="0"/>
    <n v="3"/>
    <x v="0"/>
    <n v="2"/>
    <x v="0"/>
    <n v="3"/>
    <x v="2"/>
    <x v="0"/>
    <n v="9981"/>
    <x v="4"/>
    <n v="12916"/>
    <x v="3"/>
    <n v="1"/>
    <x v="1"/>
    <s v="Y"/>
    <x v="1"/>
    <n v="14"/>
    <x v="2"/>
    <n v="3"/>
    <x v="0"/>
    <n v="4"/>
    <x v="1"/>
    <n v="80"/>
    <n v="0"/>
    <n v="7"/>
    <x v="0"/>
    <n v="2"/>
    <x v="0"/>
    <n v="3"/>
    <x v="1"/>
    <n v="7"/>
    <x v="0"/>
    <n v="7"/>
    <x v="1"/>
    <n v="0"/>
    <x v="0"/>
    <n v="7"/>
    <x v="1"/>
  </r>
  <r>
    <n v="296"/>
    <n v="51"/>
    <x v="1"/>
    <x v="1"/>
    <n v="0"/>
    <x v="0"/>
    <n v="1469"/>
    <x v="0"/>
    <x v="1"/>
    <n v="8"/>
    <x v="1"/>
    <n v="4"/>
    <x v="2"/>
    <x v="0"/>
    <n v="1"/>
    <n v="2"/>
    <x v="0"/>
    <x v="1"/>
    <n v="81"/>
    <x v="0"/>
    <n v="2"/>
    <x v="1"/>
    <n v="3"/>
    <x v="7"/>
    <n v="2"/>
    <x v="1"/>
    <x v="1"/>
    <n v="12490"/>
    <x v="6"/>
    <n v="15736"/>
    <x v="3"/>
    <n v="5"/>
    <x v="2"/>
    <s v="Y"/>
    <x v="1"/>
    <n v="16"/>
    <x v="3"/>
    <n v="3"/>
    <x v="0"/>
    <n v="4"/>
    <x v="1"/>
    <n v="80"/>
    <n v="2"/>
    <n v="16"/>
    <x v="1"/>
    <n v="5"/>
    <x v="2"/>
    <n v="1"/>
    <x v="0"/>
    <n v="10"/>
    <x v="0"/>
    <n v="9"/>
    <x v="1"/>
    <n v="4"/>
    <x v="1"/>
    <n v="7"/>
    <x v="1"/>
  </r>
  <r>
    <n v="297"/>
    <n v="30"/>
    <x v="2"/>
    <x v="0"/>
    <n v="1"/>
    <x v="0"/>
    <n v="1005"/>
    <x v="0"/>
    <x v="1"/>
    <n v="3"/>
    <x v="0"/>
    <n v="3"/>
    <x v="3"/>
    <x v="4"/>
    <n v="1"/>
    <n v="4"/>
    <x v="2"/>
    <x v="0"/>
    <n v="88"/>
    <x v="0"/>
    <n v="3"/>
    <x v="0"/>
    <n v="1"/>
    <x v="1"/>
    <n v="1"/>
    <x v="3"/>
    <x v="0"/>
    <n v="2657"/>
    <x v="3"/>
    <n v="8556"/>
    <x v="3"/>
    <n v="5"/>
    <x v="2"/>
    <s v="Y"/>
    <x v="0"/>
    <n v="11"/>
    <x v="0"/>
    <n v="3"/>
    <x v="0"/>
    <n v="3"/>
    <x v="3"/>
    <n v="80"/>
    <n v="0"/>
    <n v="8"/>
    <x v="0"/>
    <n v="5"/>
    <x v="2"/>
    <n v="3"/>
    <x v="1"/>
    <n v="5"/>
    <x v="2"/>
    <n v="2"/>
    <x v="0"/>
    <n v="0"/>
    <x v="0"/>
    <n v="4"/>
    <x v="0"/>
  </r>
  <r>
    <n v="298"/>
    <n v="41"/>
    <x v="0"/>
    <x v="1"/>
    <n v="0"/>
    <x v="0"/>
    <n v="896"/>
    <x v="2"/>
    <x v="0"/>
    <n v="6"/>
    <x v="1"/>
    <n v="3"/>
    <x v="3"/>
    <x v="0"/>
    <n v="1"/>
    <n v="4"/>
    <x v="2"/>
    <x v="0"/>
    <n v="75"/>
    <x v="1"/>
    <n v="3"/>
    <x v="0"/>
    <n v="3"/>
    <x v="5"/>
    <n v="4"/>
    <x v="0"/>
    <x v="0"/>
    <n v="13591"/>
    <x v="10"/>
    <n v="14674"/>
    <x v="3"/>
    <n v="3"/>
    <x v="3"/>
    <s v="Y"/>
    <x v="0"/>
    <n v="18"/>
    <x v="1"/>
    <n v="3"/>
    <x v="0"/>
    <n v="3"/>
    <x v="3"/>
    <n v="80"/>
    <n v="0"/>
    <n v="16"/>
    <x v="1"/>
    <n v="3"/>
    <x v="1"/>
    <n v="3"/>
    <x v="1"/>
    <n v="1"/>
    <x v="1"/>
    <n v="0"/>
    <x v="2"/>
    <n v="0"/>
    <x v="0"/>
    <n v="0"/>
    <x v="2"/>
  </r>
  <r>
    <n v="299"/>
    <n v="30"/>
    <x v="2"/>
    <x v="0"/>
    <n v="1"/>
    <x v="1"/>
    <n v="334"/>
    <x v="1"/>
    <x v="0"/>
    <n v="26"/>
    <x v="2"/>
    <n v="4"/>
    <x v="2"/>
    <x v="3"/>
    <n v="1"/>
    <n v="3"/>
    <x v="1"/>
    <x v="0"/>
    <n v="52"/>
    <x v="1"/>
    <n v="2"/>
    <x v="1"/>
    <n v="2"/>
    <x v="0"/>
    <n v="1"/>
    <x v="3"/>
    <x v="0"/>
    <n v="6696"/>
    <x v="0"/>
    <n v="22967"/>
    <x v="1"/>
    <n v="5"/>
    <x v="2"/>
    <s v="Y"/>
    <x v="1"/>
    <n v="15"/>
    <x v="2"/>
    <n v="3"/>
    <x v="0"/>
    <n v="3"/>
    <x v="3"/>
    <n v="80"/>
    <n v="0"/>
    <n v="9"/>
    <x v="0"/>
    <n v="5"/>
    <x v="2"/>
    <n v="2"/>
    <x v="2"/>
    <n v="6"/>
    <x v="0"/>
    <n v="3"/>
    <x v="0"/>
    <n v="0"/>
    <x v="0"/>
    <n v="1"/>
    <x v="2"/>
  </r>
  <r>
    <n v="300"/>
    <n v="29"/>
    <x v="2"/>
    <x v="0"/>
    <n v="1"/>
    <x v="0"/>
    <n v="992"/>
    <x v="2"/>
    <x v="1"/>
    <n v="1"/>
    <x v="0"/>
    <n v="3"/>
    <x v="3"/>
    <x v="4"/>
    <n v="1"/>
    <n v="3"/>
    <x v="1"/>
    <x v="1"/>
    <n v="85"/>
    <x v="0"/>
    <n v="3"/>
    <x v="0"/>
    <n v="1"/>
    <x v="1"/>
    <n v="3"/>
    <x v="2"/>
    <x v="0"/>
    <n v="2058"/>
    <x v="2"/>
    <n v="19757"/>
    <x v="0"/>
    <n v="0"/>
    <x v="1"/>
    <s v="Y"/>
    <x v="1"/>
    <n v="14"/>
    <x v="2"/>
    <n v="3"/>
    <x v="0"/>
    <n v="4"/>
    <x v="1"/>
    <n v="80"/>
    <n v="0"/>
    <n v="7"/>
    <x v="0"/>
    <n v="1"/>
    <x v="0"/>
    <n v="2"/>
    <x v="2"/>
    <n v="6"/>
    <x v="0"/>
    <n v="2"/>
    <x v="0"/>
    <n v="1"/>
    <x v="0"/>
    <n v="5"/>
    <x v="0"/>
  </r>
  <r>
    <n v="302"/>
    <n v="45"/>
    <x v="0"/>
    <x v="1"/>
    <n v="0"/>
    <x v="2"/>
    <n v="1052"/>
    <x v="0"/>
    <x v="0"/>
    <n v="6"/>
    <x v="1"/>
    <n v="3"/>
    <x v="3"/>
    <x v="2"/>
    <n v="1"/>
    <n v="4"/>
    <x v="2"/>
    <x v="0"/>
    <n v="57"/>
    <x v="1"/>
    <n v="2"/>
    <x v="1"/>
    <n v="3"/>
    <x v="0"/>
    <n v="4"/>
    <x v="0"/>
    <x v="0"/>
    <n v="8865"/>
    <x v="4"/>
    <n v="16840"/>
    <x v="0"/>
    <n v="6"/>
    <x v="2"/>
    <s v="Y"/>
    <x v="1"/>
    <n v="12"/>
    <x v="0"/>
    <n v="3"/>
    <x v="0"/>
    <n v="4"/>
    <x v="1"/>
    <n v="80"/>
    <n v="0"/>
    <n v="23"/>
    <x v="4"/>
    <n v="2"/>
    <x v="0"/>
    <n v="3"/>
    <x v="1"/>
    <n v="19"/>
    <x v="4"/>
    <n v="7"/>
    <x v="1"/>
    <n v="12"/>
    <x v="3"/>
    <n v="8"/>
    <x v="1"/>
  </r>
  <r>
    <n v="303"/>
    <n v="54"/>
    <x v="1"/>
    <x v="1"/>
    <n v="0"/>
    <x v="0"/>
    <n v="1147"/>
    <x v="0"/>
    <x v="0"/>
    <n v="3"/>
    <x v="0"/>
    <n v="3"/>
    <x v="3"/>
    <x v="3"/>
    <n v="1"/>
    <n v="4"/>
    <x v="2"/>
    <x v="0"/>
    <n v="52"/>
    <x v="1"/>
    <n v="3"/>
    <x v="0"/>
    <n v="2"/>
    <x v="0"/>
    <n v="1"/>
    <x v="3"/>
    <x v="1"/>
    <n v="5940"/>
    <x v="0"/>
    <n v="17011"/>
    <x v="0"/>
    <n v="2"/>
    <x v="3"/>
    <s v="Y"/>
    <x v="1"/>
    <n v="14"/>
    <x v="2"/>
    <n v="3"/>
    <x v="0"/>
    <n v="4"/>
    <x v="1"/>
    <n v="80"/>
    <n v="1"/>
    <n v="16"/>
    <x v="1"/>
    <n v="4"/>
    <x v="1"/>
    <n v="3"/>
    <x v="1"/>
    <n v="6"/>
    <x v="0"/>
    <n v="2"/>
    <x v="0"/>
    <n v="0"/>
    <x v="0"/>
    <n v="5"/>
    <x v="0"/>
  </r>
  <r>
    <n v="304"/>
    <n v="36"/>
    <x v="0"/>
    <x v="1"/>
    <n v="0"/>
    <x v="0"/>
    <n v="1396"/>
    <x v="0"/>
    <x v="1"/>
    <n v="5"/>
    <x v="0"/>
    <n v="2"/>
    <x v="0"/>
    <x v="0"/>
    <n v="1"/>
    <n v="4"/>
    <x v="2"/>
    <x v="1"/>
    <n v="62"/>
    <x v="1"/>
    <n v="3"/>
    <x v="0"/>
    <n v="2"/>
    <x v="2"/>
    <n v="2"/>
    <x v="1"/>
    <x v="0"/>
    <n v="5914"/>
    <x v="0"/>
    <n v="9945"/>
    <x v="3"/>
    <n v="8"/>
    <x v="0"/>
    <s v="Y"/>
    <x v="1"/>
    <n v="16"/>
    <x v="3"/>
    <n v="3"/>
    <x v="0"/>
    <n v="4"/>
    <x v="1"/>
    <n v="80"/>
    <n v="0"/>
    <n v="16"/>
    <x v="1"/>
    <n v="3"/>
    <x v="1"/>
    <n v="4"/>
    <x v="3"/>
    <n v="13"/>
    <x v="4"/>
    <n v="11"/>
    <x v="3"/>
    <n v="3"/>
    <x v="1"/>
    <n v="7"/>
    <x v="1"/>
  </r>
  <r>
    <n v="305"/>
    <n v="33"/>
    <x v="2"/>
    <x v="1"/>
    <n v="0"/>
    <x v="0"/>
    <n v="147"/>
    <x v="1"/>
    <x v="1"/>
    <n v="4"/>
    <x v="0"/>
    <n v="4"/>
    <x v="2"/>
    <x v="2"/>
    <n v="1"/>
    <n v="3"/>
    <x v="1"/>
    <x v="0"/>
    <n v="47"/>
    <x v="2"/>
    <n v="2"/>
    <x v="1"/>
    <n v="1"/>
    <x v="1"/>
    <n v="2"/>
    <x v="1"/>
    <x v="1"/>
    <n v="2622"/>
    <x v="3"/>
    <n v="13248"/>
    <x v="3"/>
    <n v="6"/>
    <x v="2"/>
    <s v="Y"/>
    <x v="1"/>
    <n v="21"/>
    <x v="1"/>
    <n v="4"/>
    <x v="1"/>
    <n v="4"/>
    <x v="1"/>
    <n v="80"/>
    <n v="0"/>
    <n v="7"/>
    <x v="0"/>
    <n v="3"/>
    <x v="1"/>
    <n v="3"/>
    <x v="1"/>
    <n v="3"/>
    <x v="2"/>
    <n v="2"/>
    <x v="0"/>
    <n v="1"/>
    <x v="0"/>
    <n v="1"/>
    <x v="2"/>
  </r>
  <r>
    <n v="306"/>
    <n v="37"/>
    <x v="0"/>
    <x v="1"/>
    <n v="0"/>
    <x v="1"/>
    <n v="663"/>
    <x v="2"/>
    <x v="1"/>
    <n v="11"/>
    <x v="3"/>
    <n v="3"/>
    <x v="3"/>
    <x v="1"/>
    <n v="1"/>
    <n v="2"/>
    <x v="0"/>
    <x v="1"/>
    <n v="47"/>
    <x v="2"/>
    <n v="3"/>
    <x v="0"/>
    <n v="3"/>
    <x v="7"/>
    <n v="4"/>
    <x v="0"/>
    <x v="2"/>
    <n v="12185"/>
    <x v="6"/>
    <n v="10056"/>
    <x v="3"/>
    <n v="1"/>
    <x v="1"/>
    <s v="Y"/>
    <x v="0"/>
    <n v="14"/>
    <x v="2"/>
    <n v="3"/>
    <x v="0"/>
    <n v="3"/>
    <x v="3"/>
    <n v="80"/>
    <n v="3"/>
    <n v="10"/>
    <x v="0"/>
    <n v="1"/>
    <x v="0"/>
    <n v="3"/>
    <x v="1"/>
    <n v="10"/>
    <x v="0"/>
    <n v="8"/>
    <x v="1"/>
    <n v="0"/>
    <x v="0"/>
    <n v="7"/>
    <x v="1"/>
  </r>
  <r>
    <n v="307"/>
    <n v="38"/>
    <x v="0"/>
    <x v="1"/>
    <n v="0"/>
    <x v="0"/>
    <n v="119"/>
    <x v="1"/>
    <x v="0"/>
    <n v="3"/>
    <x v="0"/>
    <n v="3"/>
    <x v="3"/>
    <x v="0"/>
    <n v="1"/>
    <n v="1"/>
    <x v="3"/>
    <x v="1"/>
    <n v="76"/>
    <x v="0"/>
    <n v="3"/>
    <x v="0"/>
    <n v="3"/>
    <x v="0"/>
    <n v="3"/>
    <x v="2"/>
    <x v="2"/>
    <n v="10609"/>
    <x v="8"/>
    <n v="9647"/>
    <x v="3"/>
    <n v="0"/>
    <x v="1"/>
    <s v="Y"/>
    <x v="1"/>
    <n v="12"/>
    <x v="0"/>
    <n v="3"/>
    <x v="0"/>
    <n v="3"/>
    <x v="3"/>
    <n v="80"/>
    <n v="2"/>
    <n v="17"/>
    <x v="1"/>
    <n v="6"/>
    <x v="2"/>
    <n v="2"/>
    <x v="2"/>
    <n v="16"/>
    <x v="4"/>
    <n v="10"/>
    <x v="1"/>
    <n v="5"/>
    <x v="1"/>
    <n v="13"/>
    <x v="3"/>
  </r>
  <r>
    <n v="308"/>
    <n v="31"/>
    <x v="2"/>
    <x v="1"/>
    <n v="0"/>
    <x v="2"/>
    <n v="979"/>
    <x v="2"/>
    <x v="1"/>
    <n v="1"/>
    <x v="0"/>
    <n v="4"/>
    <x v="2"/>
    <x v="2"/>
    <n v="1"/>
    <n v="3"/>
    <x v="1"/>
    <x v="1"/>
    <n v="90"/>
    <x v="0"/>
    <n v="1"/>
    <x v="3"/>
    <n v="2"/>
    <x v="3"/>
    <n v="3"/>
    <x v="2"/>
    <x v="1"/>
    <n v="4345"/>
    <x v="1"/>
    <n v="4381"/>
    <x v="2"/>
    <n v="0"/>
    <x v="1"/>
    <s v="Y"/>
    <x v="1"/>
    <n v="12"/>
    <x v="0"/>
    <n v="3"/>
    <x v="0"/>
    <n v="4"/>
    <x v="1"/>
    <n v="80"/>
    <n v="1"/>
    <n v="6"/>
    <x v="0"/>
    <n v="2"/>
    <x v="0"/>
    <n v="3"/>
    <x v="1"/>
    <n v="5"/>
    <x v="2"/>
    <n v="4"/>
    <x v="0"/>
    <n v="1"/>
    <x v="0"/>
    <n v="4"/>
    <x v="0"/>
  </r>
  <r>
    <n v="309"/>
    <n v="59"/>
    <x v="3"/>
    <x v="1"/>
    <n v="0"/>
    <x v="0"/>
    <n v="142"/>
    <x v="1"/>
    <x v="1"/>
    <n v="3"/>
    <x v="0"/>
    <n v="3"/>
    <x v="3"/>
    <x v="0"/>
    <n v="1"/>
    <n v="3"/>
    <x v="1"/>
    <x v="1"/>
    <n v="70"/>
    <x v="1"/>
    <n v="2"/>
    <x v="1"/>
    <n v="1"/>
    <x v="1"/>
    <n v="4"/>
    <x v="0"/>
    <x v="1"/>
    <n v="2177"/>
    <x v="2"/>
    <n v="8456"/>
    <x v="3"/>
    <n v="3"/>
    <x v="3"/>
    <s v="Y"/>
    <x v="1"/>
    <n v="17"/>
    <x v="3"/>
    <n v="3"/>
    <x v="0"/>
    <n v="1"/>
    <x v="0"/>
    <n v="80"/>
    <n v="1"/>
    <n v="7"/>
    <x v="0"/>
    <n v="6"/>
    <x v="2"/>
    <n v="3"/>
    <x v="1"/>
    <n v="1"/>
    <x v="1"/>
    <n v="0"/>
    <x v="2"/>
    <n v="0"/>
    <x v="0"/>
    <n v="0"/>
    <x v="2"/>
  </r>
  <r>
    <n v="311"/>
    <n v="37"/>
    <x v="0"/>
    <x v="1"/>
    <n v="0"/>
    <x v="1"/>
    <n v="319"/>
    <x v="1"/>
    <x v="0"/>
    <n v="4"/>
    <x v="0"/>
    <n v="4"/>
    <x v="2"/>
    <x v="3"/>
    <n v="1"/>
    <n v="1"/>
    <x v="3"/>
    <x v="1"/>
    <n v="41"/>
    <x v="2"/>
    <n v="3"/>
    <x v="0"/>
    <n v="1"/>
    <x v="6"/>
    <n v="4"/>
    <x v="0"/>
    <x v="2"/>
    <n v="2793"/>
    <x v="3"/>
    <n v="2539"/>
    <x v="2"/>
    <n v="4"/>
    <x v="2"/>
    <s v="Y"/>
    <x v="1"/>
    <n v="17"/>
    <x v="3"/>
    <n v="3"/>
    <x v="0"/>
    <n v="3"/>
    <x v="3"/>
    <n v="80"/>
    <n v="1"/>
    <n v="13"/>
    <x v="1"/>
    <n v="2"/>
    <x v="0"/>
    <n v="3"/>
    <x v="1"/>
    <n v="9"/>
    <x v="0"/>
    <n v="8"/>
    <x v="1"/>
    <n v="5"/>
    <x v="1"/>
    <n v="8"/>
    <x v="1"/>
  </r>
  <r>
    <n v="312"/>
    <n v="29"/>
    <x v="2"/>
    <x v="1"/>
    <n v="0"/>
    <x v="1"/>
    <n v="1413"/>
    <x v="0"/>
    <x v="0"/>
    <n v="1"/>
    <x v="0"/>
    <n v="1"/>
    <x v="1"/>
    <x v="2"/>
    <n v="1"/>
    <n v="2"/>
    <x v="0"/>
    <x v="0"/>
    <n v="42"/>
    <x v="2"/>
    <n v="3"/>
    <x v="0"/>
    <n v="3"/>
    <x v="0"/>
    <n v="4"/>
    <x v="0"/>
    <x v="1"/>
    <n v="7918"/>
    <x v="11"/>
    <n v="6599"/>
    <x v="2"/>
    <n v="1"/>
    <x v="1"/>
    <s v="Y"/>
    <x v="1"/>
    <n v="14"/>
    <x v="2"/>
    <n v="3"/>
    <x v="0"/>
    <n v="4"/>
    <x v="1"/>
    <n v="80"/>
    <n v="1"/>
    <n v="11"/>
    <x v="1"/>
    <n v="5"/>
    <x v="2"/>
    <n v="3"/>
    <x v="1"/>
    <n v="11"/>
    <x v="4"/>
    <n v="10"/>
    <x v="1"/>
    <n v="4"/>
    <x v="1"/>
    <n v="1"/>
    <x v="2"/>
  </r>
  <r>
    <n v="314"/>
    <n v="35"/>
    <x v="2"/>
    <x v="1"/>
    <n v="0"/>
    <x v="1"/>
    <n v="944"/>
    <x v="2"/>
    <x v="0"/>
    <n v="1"/>
    <x v="0"/>
    <n v="3"/>
    <x v="3"/>
    <x v="3"/>
    <n v="1"/>
    <n v="3"/>
    <x v="1"/>
    <x v="0"/>
    <n v="92"/>
    <x v="0"/>
    <n v="3"/>
    <x v="0"/>
    <n v="3"/>
    <x v="0"/>
    <n v="3"/>
    <x v="2"/>
    <x v="0"/>
    <n v="8789"/>
    <x v="4"/>
    <n v="9096"/>
    <x v="3"/>
    <n v="1"/>
    <x v="1"/>
    <s v="Y"/>
    <x v="1"/>
    <n v="14"/>
    <x v="2"/>
    <n v="3"/>
    <x v="0"/>
    <n v="1"/>
    <x v="0"/>
    <n v="80"/>
    <n v="0"/>
    <n v="10"/>
    <x v="0"/>
    <n v="3"/>
    <x v="1"/>
    <n v="4"/>
    <x v="3"/>
    <n v="10"/>
    <x v="0"/>
    <n v="7"/>
    <x v="1"/>
    <n v="0"/>
    <x v="0"/>
    <n v="8"/>
    <x v="1"/>
  </r>
  <r>
    <n v="315"/>
    <n v="29"/>
    <x v="2"/>
    <x v="0"/>
    <n v="1"/>
    <x v="0"/>
    <n v="896"/>
    <x v="2"/>
    <x v="1"/>
    <n v="18"/>
    <x v="3"/>
    <n v="1"/>
    <x v="1"/>
    <x v="2"/>
    <n v="1"/>
    <n v="3"/>
    <x v="1"/>
    <x v="1"/>
    <n v="86"/>
    <x v="0"/>
    <n v="2"/>
    <x v="1"/>
    <n v="1"/>
    <x v="1"/>
    <n v="4"/>
    <x v="0"/>
    <x v="0"/>
    <n v="2389"/>
    <x v="2"/>
    <n v="14961"/>
    <x v="3"/>
    <n v="1"/>
    <x v="1"/>
    <s v="Y"/>
    <x v="0"/>
    <n v="13"/>
    <x v="2"/>
    <n v="3"/>
    <x v="0"/>
    <n v="3"/>
    <x v="3"/>
    <n v="80"/>
    <n v="0"/>
    <n v="4"/>
    <x v="3"/>
    <n v="3"/>
    <x v="1"/>
    <n v="2"/>
    <x v="2"/>
    <n v="4"/>
    <x v="2"/>
    <n v="3"/>
    <x v="0"/>
    <n v="0"/>
    <x v="0"/>
    <n v="1"/>
    <x v="2"/>
  </r>
  <r>
    <n v="316"/>
    <n v="52"/>
    <x v="1"/>
    <x v="1"/>
    <n v="0"/>
    <x v="0"/>
    <n v="1323"/>
    <x v="0"/>
    <x v="1"/>
    <n v="2"/>
    <x v="0"/>
    <n v="3"/>
    <x v="3"/>
    <x v="0"/>
    <n v="1"/>
    <n v="3"/>
    <x v="1"/>
    <x v="0"/>
    <n v="89"/>
    <x v="0"/>
    <n v="2"/>
    <x v="1"/>
    <n v="1"/>
    <x v="2"/>
    <n v="4"/>
    <x v="0"/>
    <x v="0"/>
    <n v="3212"/>
    <x v="3"/>
    <n v="3300"/>
    <x v="2"/>
    <n v="7"/>
    <x v="0"/>
    <s v="Y"/>
    <x v="1"/>
    <n v="15"/>
    <x v="2"/>
    <n v="3"/>
    <x v="0"/>
    <n v="2"/>
    <x v="4"/>
    <n v="80"/>
    <n v="0"/>
    <n v="6"/>
    <x v="0"/>
    <n v="3"/>
    <x v="1"/>
    <n v="2"/>
    <x v="2"/>
    <n v="2"/>
    <x v="2"/>
    <n v="2"/>
    <x v="0"/>
    <n v="2"/>
    <x v="1"/>
    <n v="2"/>
    <x v="0"/>
  </r>
  <r>
    <n v="319"/>
    <n v="42"/>
    <x v="0"/>
    <x v="1"/>
    <n v="0"/>
    <x v="0"/>
    <n v="532"/>
    <x v="2"/>
    <x v="1"/>
    <n v="4"/>
    <x v="0"/>
    <n v="2"/>
    <x v="0"/>
    <x v="4"/>
    <n v="1"/>
    <n v="3"/>
    <x v="1"/>
    <x v="1"/>
    <n v="58"/>
    <x v="1"/>
    <n v="3"/>
    <x v="0"/>
    <n v="5"/>
    <x v="5"/>
    <n v="4"/>
    <x v="0"/>
    <x v="1"/>
    <n v="19232"/>
    <x v="7"/>
    <n v="4933"/>
    <x v="2"/>
    <n v="1"/>
    <x v="1"/>
    <s v="Y"/>
    <x v="1"/>
    <n v="11"/>
    <x v="0"/>
    <n v="3"/>
    <x v="0"/>
    <n v="4"/>
    <x v="1"/>
    <n v="80"/>
    <n v="0"/>
    <n v="22"/>
    <x v="4"/>
    <n v="3"/>
    <x v="1"/>
    <n v="3"/>
    <x v="1"/>
    <n v="22"/>
    <x v="3"/>
    <n v="17"/>
    <x v="3"/>
    <n v="11"/>
    <x v="3"/>
    <n v="15"/>
    <x v="3"/>
  </r>
  <r>
    <n v="321"/>
    <n v="59"/>
    <x v="3"/>
    <x v="1"/>
    <n v="0"/>
    <x v="0"/>
    <n v="818"/>
    <x v="2"/>
    <x v="2"/>
    <n v="6"/>
    <x v="1"/>
    <n v="2"/>
    <x v="0"/>
    <x v="2"/>
    <n v="1"/>
    <n v="2"/>
    <x v="0"/>
    <x v="1"/>
    <n v="52"/>
    <x v="1"/>
    <n v="3"/>
    <x v="0"/>
    <n v="1"/>
    <x v="8"/>
    <n v="3"/>
    <x v="2"/>
    <x v="1"/>
    <n v="2267"/>
    <x v="2"/>
    <n v="25657"/>
    <x v="1"/>
    <n v="8"/>
    <x v="0"/>
    <s v="Y"/>
    <x v="1"/>
    <n v="17"/>
    <x v="3"/>
    <n v="3"/>
    <x v="0"/>
    <n v="4"/>
    <x v="1"/>
    <n v="80"/>
    <n v="0"/>
    <n v="7"/>
    <x v="0"/>
    <n v="2"/>
    <x v="0"/>
    <n v="2"/>
    <x v="2"/>
    <n v="2"/>
    <x v="2"/>
    <n v="2"/>
    <x v="0"/>
    <n v="2"/>
    <x v="1"/>
    <n v="2"/>
    <x v="0"/>
  </r>
  <r>
    <n v="323"/>
    <n v="50"/>
    <x v="1"/>
    <x v="1"/>
    <n v="0"/>
    <x v="0"/>
    <n v="854"/>
    <x v="2"/>
    <x v="0"/>
    <n v="1"/>
    <x v="0"/>
    <n v="4"/>
    <x v="2"/>
    <x v="2"/>
    <n v="1"/>
    <n v="4"/>
    <x v="2"/>
    <x v="0"/>
    <n v="68"/>
    <x v="1"/>
    <n v="3"/>
    <x v="0"/>
    <n v="5"/>
    <x v="5"/>
    <n v="4"/>
    <x v="0"/>
    <x v="2"/>
    <n v="19517"/>
    <x v="7"/>
    <n v="24118"/>
    <x v="1"/>
    <n v="3"/>
    <x v="3"/>
    <s v="Y"/>
    <x v="1"/>
    <n v="11"/>
    <x v="0"/>
    <n v="3"/>
    <x v="0"/>
    <n v="3"/>
    <x v="3"/>
    <n v="80"/>
    <n v="1"/>
    <n v="32"/>
    <x v="4"/>
    <n v="3"/>
    <x v="1"/>
    <n v="2"/>
    <x v="2"/>
    <n v="7"/>
    <x v="0"/>
    <n v="0"/>
    <x v="2"/>
    <n v="0"/>
    <x v="0"/>
    <n v="6"/>
    <x v="1"/>
  </r>
  <r>
    <n v="325"/>
    <n v="33"/>
    <x v="2"/>
    <x v="0"/>
    <n v="1"/>
    <x v="0"/>
    <n v="813"/>
    <x v="2"/>
    <x v="1"/>
    <n v="14"/>
    <x v="3"/>
    <n v="3"/>
    <x v="3"/>
    <x v="2"/>
    <n v="1"/>
    <n v="3"/>
    <x v="1"/>
    <x v="1"/>
    <n v="58"/>
    <x v="1"/>
    <n v="3"/>
    <x v="0"/>
    <n v="1"/>
    <x v="2"/>
    <n v="4"/>
    <x v="0"/>
    <x v="1"/>
    <n v="2436"/>
    <x v="2"/>
    <n v="22149"/>
    <x v="1"/>
    <n v="5"/>
    <x v="2"/>
    <s v="Y"/>
    <x v="0"/>
    <n v="13"/>
    <x v="2"/>
    <n v="3"/>
    <x v="0"/>
    <n v="3"/>
    <x v="3"/>
    <n v="80"/>
    <n v="1"/>
    <n v="8"/>
    <x v="0"/>
    <n v="2"/>
    <x v="0"/>
    <n v="1"/>
    <x v="0"/>
    <n v="5"/>
    <x v="2"/>
    <n v="4"/>
    <x v="0"/>
    <n v="0"/>
    <x v="0"/>
    <n v="4"/>
    <x v="0"/>
  </r>
  <r>
    <n v="327"/>
    <n v="43"/>
    <x v="0"/>
    <x v="1"/>
    <n v="0"/>
    <x v="0"/>
    <n v="1034"/>
    <x v="0"/>
    <x v="0"/>
    <n v="16"/>
    <x v="3"/>
    <n v="3"/>
    <x v="3"/>
    <x v="3"/>
    <n v="1"/>
    <n v="4"/>
    <x v="2"/>
    <x v="0"/>
    <n v="80"/>
    <x v="0"/>
    <n v="3"/>
    <x v="0"/>
    <n v="4"/>
    <x v="5"/>
    <n v="4"/>
    <x v="0"/>
    <x v="1"/>
    <n v="16064"/>
    <x v="12"/>
    <n v="7744"/>
    <x v="2"/>
    <n v="5"/>
    <x v="2"/>
    <s v="Y"/>
    <x v="0"/>
    <n v="22"/>
    <x v="1"/>
    <n v="4"/>
    <x v="1"/>
    <n v="3"/>
    <x v="3"/>
    <n v="80"/>
    <n v="1"/>
    <n v="22"/>
    <x v="4"/>
    <n v="3"/>
    <x v="1"/>
    <n v="3"/>
    <x v="1"/>
    <n v="17"/>
    <x v="4"/>
    <n v="13"/>
    <x v="3"/>
    <n v="1"/>
    <x v="0"/>
    <n v="9"/>
    <x v="1"/>
  </r>
  <r>
    <n v="328"/>
    <n v="33"/>
    <x v="2"/>
    <x v="0"/>
    <n v="1"/>
    <x v="0"/>
    <n v="465"/>
    <x v="1"/>
    <x v="1"/>
    <n v="2"/>
    <x v="0"/>
    <n v="2"/>
    <x v="0"/>
    <x v="0"/>
    <n v="1"/>
    <n v="1"/>
    <x v="3"/>
    <x v="0"/>
    <n v="39"/>
    <x v="2"/>
    <n v="3"/>
    <x v="0"/>
    <n v="1"/>
    <x v="2"/>
    <n v="1"/>
    <x v="3"/>
    <x v="1"/>
    <n v="2707"/>
    <x v="3"/>
    <n v="21509"/>
    <x v="0"/>
    <n v="7"/>
    <x v="0"/>
    <s v="Y"/>
    <x v="1"/>
    <n v="20"/>
    <x v="1"/>
    <n v="4"/>
    <x v="1"/>
    <n v="1"/>
    <x v="0"/>
    <n v="80"/>
    <n v="0"/>
    <n v="13"/>
    <x v="1"/>
    <n v="3"/>
    <x v="1"/>
    <n v="4"/>
    <x v="3"/>
    <n v="9"/>
    <x v="0"/>
    <n v="7"/>
    <x v="1"/>
    <n v="1"/>
    <x v="0"/>
    <n v="7"/>
    <x v="1"/>
  </r>
  <r>
    <n v="329"/>
    <n v="52"/>
    <x v="1"/>
    <x v="1"/>
    <n v="0"/>
    <x v="2"/>
    <n v="771"/>
    <x v="2"/>
    <x v="0"/>
    <n v="2"/>
    <x v="0"/>
    <n v="4"/>
    <x v="2"/>
    <x v="0"/>
    <n v="1"/>
    <n v="1"/>
    <x v="3"/>
    <x v="1"/>
    <n v="79"/>
    <x v="0"/>
    <n v="2"/>
    <x v="1"/>
    <n v="5"/>
    <x v="5"/>
    <n v="3"/>
    <x v="2"/>
    <x v="0"/>
    <n v="19068"/>
    <x v="7"/>
    <n v="21030"/>
    <x v="0"/>
    <n v="1"/>
    <x v="1"/>
    <s v="Y"/>
    <x v="0"/>
    <n v="18"/>
    <x v="1"/>
    <n v="3"/>
    <x v="0"/>
    <n v="4"/>
    <x v="1"/>
    <n v="80"/>
    <n v="0"/>
    <n v="33"/>
    <x v="4"/>
    <n v="2"/>
    <x v="0"/>
    <n v="4"/>
    <x v="3"/>
    <n v="33"/>
    <x v="3"/>
    <n v="7"/>
    <x v="1"/>
    <n v="15"/>
    <x v="3"/>
    <n v="12"/>
    <x v="3"/>
  </r>
  <r>
    <n v="330"/>
    <n v="32"/>
    <x v="2"/>
    <x v="1"/>
    <n v="0"/>
    <x v="0"/>
    <n v="1401"/>
    <x v="0"/>
    <x v="0"/>
    <n v="4"/>
    <x v="0"/>
    <n v="2"/>
    <x v="0"/>
    <x v="0"/>
    <n v="1"/>
    <n v="3"/>
    <x v="1"/>
    <x v="0"/>
    <n v="56"/>
    <x v="1"/>
    <n v="3"/>
    <x v="0"/>
    <n v="1"/>
    <x v="6"/>
    <n v="2"/>
    <x v="1"/>
    <x v="1"/>
    <n v="3931"/>
    <x v="3"/>
    <n v="20990"/>
    <x v="0"/>
    <n v="2"/>
    <x v="3"/>
    <s v="Y"/>
    <x v="1"/>
    <n v="11"/>
    <x v="0"/>
    <n v="3"/>
    <x v="0"/>
    <n v="1"/>
    <x v="0"/>
    <n v="80"/>
    <n v="1"/>
    <n v="6"/>
    <x v="0"/>
    <n v="5"/>
    <x v="2"/>
    <n v="3"/>
    <x v="1"/>
    <n v="4"/>
    <x v="2"/>
    <n v="3"/>
    <x v="0"/>
    <n v="1"/>
    <x v="0"/>
    <n v="2"/>
    <x v="0"/>
  </r>
  <r>
    <n v="331"/>
    <n v="32"/>
    <x v="2"/>
    <x v="0"/>
    <n v="1"/>
    <x v="0"/>
    <n v="515"/>
    <x v="2"/>
    <x v="1"/>
    <n v="1"/>
    <x v="0"/>
    <n v="3"/>
    <x v="3"/>
    <x v="0"/>
    <n v="1"/>
    <n v="4"/>
    <x v="2"/>
    <x v="1"/>
    <n v="62"/>
    <x v="1"/>
    <n v="2"/>
    <x v="1"/>
    <n v="1"/>
    <x v="2"/>
    <n v="3"/>
    <x v="2"/>
    <x v="0"/>
    <n v="3730"/>
    <x v="3"/>
    <n v="9571"/>
    <x v="3"/>
    <n v="0"/>
    <x v="1"/>
    <s v="Y"/>
    <x v="0"/>
    <n v="14"/>
    <x v="2"/>
    <n v="3"/>
    <x v="0"/>
    <n v="4"/>
    <x v="1"/>
    <n v="80"/>
    <n v="0"/>
    <n v="4"/>
    <x v="3"/>
    <n v="2"/>
    <x v="0"/>
    <n v="1"/>
    <x v="0"/>
    <n v="3"/>
    <x v="2"/>
    <n v="2"/>
    <x v="0"/>
    <n v="1"/>
    <x v="0"/>
    <n v="2"/>
    <x v="0"/>
  </r>
  <r>
    <n v="332"/>
    <n v="39"/>
    <x v="0"/>
    <x v="1"/>
    <n v="0"/>
    <x v="0"/>
    <n v="1431"/>
    <x v="0"/>
    <x v="1"/>
    <n v="1"/>
    <x v="0"/>
    <n v="4"/>
    <x v="2"/>
    <x v="2"/>
    <n v="1"/>
    <n v="3"/>
    <x v="1"/>
    <x v="0"/>
    <n v="96"/>
    <x v="0"/>
    <n v="3"/>
    <x v="0"/>
    <n v="1"/>
    <x v="2"/>
    <n v="3"/>
    <x v="2"/>
    <x v="2"/>
    <n v="2232"/>
    <x v="2"/>
    <n v="15417"/>
    <x v="3"/>
    <n v="7"/>
    <x v="0"/>
    <s v="Y"/>
    <x v="1"/>
    <n v="14"/>
    <x v="2"/>
    <n v="3"/>
    <x v="0"/>
    <n v="3"/>
    <x v="3"/>
    <n v="80"/>
    <n v="3"/>
    <n v="7"/>
    <x v="0"/>
    <n v="1"/>
    <x v="0"/>
    <n v="3"/>
    <x v="1"/>
    <n v="3"/>
    <x v="2"/>
    <n v="2"/>
    <x v="0"/>
    <n v="1"/>
    <x v="0"/>
    <n v="2"/>
    <x v="0"/>
  </r>
  <r>
    <n v="333"/>
    <n v="32"/>
    <x v="2"/>
    <x v="1"/>
    <n v="0"/>
    <x v="2"/>
    <n v="976"/>
    <x v="2"/>
    <x v="0"/>
    <n v="26"/>
    <x v="2"/>
    <n v="4"/>
    <x v="2"/>
    <x v="3"/>
    <n v="1"/>
    <n v="3"/>
    <x v="1"/>
    <x v="1"/>
    <n v="100"/>
    <x v="0"/>
    <n v="3"/>
    <x v="0"/>
    <n v="2"/>
    <x v="0"/>
    <n v="4"/>
    <x v="0"/>
    <x v="1"/>
    <n v="4465"/>
    <x v="1"/>
    <n v="12069"/>
    <x v="3"/>
    <n v="0"/>
    <x v="1"/>
    <s v="Y"/>
    <x v="1"/>
    <n v="18"/>
    <x v="1"/>
    <n v="3"/>
    <x v="0"/>
    <n v="1"/>
    <x v="0"/>
    <n v="80"/>
    <n v="0"/>
    <n v="4"/>
    <x v="3"/>
    <n v="2"/>
    <x v="0"/>
    <n v="3"/>
    <x v="1"/>
    <n v="3"/>
    <x v="2"/>
    <n v="2"/>
    <x v="0"/>
    <n v="2"/>
    <x v="1"/>
    <n v="2"/>
    <x v="0"/>
  </r>
  <r>
    <n v="334"/>
    <n v="41"/>
    <x v="0"/>
    <x v="1"/>
    <n v="0"/>
    <x v="0"/>
    <n v="1411"/>
    <x v="0"/>
    <x v="1"/>
    <n v="19"/>
    <x v="3"/>
    <n v="2"/>
    <x v="0"/>
    <x v="0"/>
    <n v="1"/>
    <n v="3"/>
    <x v="1"/>
    <x v="1"/>
    <n v="36"/>
    <x v="2"/>
    <n v="3"/>
    <x v="0"/>
    <n v="2"/>
    <x v="1"/>
    <n v="1"/>
    <x v="3"/>
    <x v="2"/>
    <n v="3072"/>
    <x v="3"/>
    <n v="19877"/>
    <x v="0"/>
    <n v="2"/>
    <x v="3"/>
    <s v="Y"/>
    <x v="1"/>
    <n v="16"/>
    <x v="3"/>
    <n v="3"/>
    <x v="0"/>
    <n v="1"/>
    <x v="0"/>
    <n v="80"/>
    <n v="2"/>
    <n v="17"/>
    <x v="1"/>
    <n v="2"/>
    <x v="0"/>
    <n v="2"/>
    <x v="2"/>
    <n v="1"/>
    <x v="1"/>
    <n v="0"/>
    <x v="2"/>
    <n v="0"/>
    <x v="0"/>
    <n v="0"/>
    <x v="2"/>
  </r>
  <r>
    <n v="335"/>
    <n v="40"/>
    <x v="0"/>
    <x v="1"/>
    <n v="0"/>
    <x v="0"/>
    <n v="1300"/>
    <x v="0"/>
    <x v="1"/>
    <n v="24"/>
    <x v="2"/>
    <n v="2"/>
    <x v="0"/>
    <x v="4"/>
    <n v="1"/>
    <n v="1"/>
    <x v="3"/>
    <x v="1"/>
    <n v="62"/>
    <x v="1"/>
    <n v="3"/>
    <x v="0"/>
    <n v="2"/>
    <x v="1"/>
    <n v="4"/>
    <x v="0"/>
    <x v="2"/>
    <n v="3319"/>
    <x v="3"/>
    <n v="24447"/>
    <x v="1"/>
    <n v="1"/>
    <x v="1"/>
    <s v="Y"/>
    <x v="1"/>
    <n v="17"/>
    <x v="3"/>
    <n v="3"/>
    <x v="0"/>
    <n v="1"/>
    <x v="0"/>
    <n v="80"/>
    <n v="2"/>
    <n v="9"/>
    <x v="0"/>
    <n v="3"/>
    <x v="1"/>
    <n v="3"/>
    <x v="1"/>
    <n v="9"/>
    <x v="0"/>
    <n v="8"/>
    <x v="1"/>
    <n v="4"/>
    <x v="1"/>
    <n v="7"/>
    <x v="1"/>
  </r>
  <r>
    <n v="336"/>
    <n v="45"/>
    <x v="0"/>
    <x v="1"/>
    <n v="0"/>
    <x v="0"/>
    <n v="252"/>
    <x v="1"/>
    <x v="1"/>
    <n v="1"/>
    <x v="0"/>
    <n v="3"/>
    <x v="3"/>
    <x v="1"/>
    <n v="1"/>
    <n v="3"/>
    <x v="1"/>
    <x v="1"/>
    <n v="70"/>
    <x v="1"/>
    <n v="4"/>
    <x v="2"/>
    <n v="5"/>
    <x v="5"/>
    <n v="4"/>
    <x v="0"/>
    <x v="1"/>
    <n v="19202"/>
    <x v="7"/>
    <n v="15970"/>
    <x v="3"/>
    <n v="0"/>
    <x v="1"/>
    <s v="Y"/>
    <x v="1"/>
    <n v="11"/>
    <x v="0"/>
    <n v="3"/>
    <x v="0"/>
    <n v="3"/>
    <x v="3"/>
    <n v="80"/>
    <n v="1"/>
    <n v="25"/>
    <x v="4"/>
    <n v="2"/>
    <x v="0"/>
    <n v="3"/>
    <x v="1"/>
    <n v="24"/>
    <x v="3"/>
    <n v="0"/>
    <x v="2"/>
    <n v="1"/>
    <x v="0"/>
    <n v="7"/>
    <x v="1"/>
  </r>
  <r>
    <n v="337"/>
    <n v="31"/>
    <x v="2"/>
    <x v="1"/>
    <n v="0"/>
    <x v="1"/>
    <n v="1327"/>
    <x v="0"/>
    <x v="1"/>
    <n v="3"/>
    <x v="0"/>
    <n v="4"/>
    <x v="2"/>
    <x v="2"/>
    <n v="1"/>
    <n v="2"/>
    <x v="0"/>
    <x v="1"/>
    <n v="73"/>
    <x v="1"/>
    <n v="3"/>
    <x v="0"/>
    <n v="3"/>
    <x v="7"/>
    <n v="3"/>
    <x v="2"/>
    <x v="2"/>
    <n v="13675"/>
    <x v="10"/>
    <n v="13523"/>
    <x v="3"/>
    <n v="9"/>
    <x v="0"/>
    <s v="Y"/>
    <x v="1"/>
    <n v="12"/>
    <x v="0"/>
    <n v="3"/>
    <x v="0"/>
    <n v="1"/>
    <x v="0"/>
    <n v="80"/>
    <n v="1"/>
    <n v="9"/>
    <x v="0"/>
    <n v="3"/>
    <x v="1"/>
    <n v="3"/>
    <x v="1"/>
    <n v="2"/>
    <x v="2"/>
    <n v="2"/>
    <x v="0"/>
    <n v="2"/>
    <x v="1"/>
    <n v="2"/>
    <x v="0"/>
  </r>
  <r>
    <n v="338"/>
    <n v="33"/>
    <x v="2"/>
    <x v="1"/>
    <n v="0"/>
    <x v="0"/>
    <n v="832"/>
    <x v="2"/>
    <x v="1"/>
    <n v="5"/>
    <x v="0"/>
    <n v="4"/>
    <x v="2"/>
    <x v="0"/>
    <n v="1"/>
    <n v="3"/>
    <x v="1"/>
    <x v="0"/>
    <n v="63"/>
    <x v="1"/>
    <n v="2"/>
    <x v="1"/>
    <n v="1"/>
    <x v="1"/>
    <n v="4"/>
    <x v="0"/>
    <x v="1"/>
    <n v="2911"/>
    <x v="3"/>
    <n v="14776"/>
    <x v="3"/>
    <n v="1"/>
    <x v="1"/>
    <s v="Y"/>
    <x v="1"/>
    <n v="13"/>
    <x v="2"/>
    <n v="3"/>
    <x v="0"/>
    <n v="3"/>
    <x v="3"/>
    <n v="80"/>
    <n v="1"/>
    <n v="2"/>
    <x v="2"/>
    <n v="2"/>
    <x v="0"/>
    <n v="2"/>
    <x v="2"/>
    <n v="2"/>
    <x v="2"/>
    <n v="2"/>
    <x v="0"/>
    <n v="0"/>
    <x v="0"/>
    <n v="2"/>
    <x v="0"/>
  </r>
  <r>
    <n v="339"/>
    <n v="34"/>
    <x v="2"/>
    <x v="1"/>
    <n v="0"/>
    <x v="0"/>
    <n v="470"/>
    <x v="1"/>
    <x v="1"/>
    <n v="2"/>
    <x v="0"/>
    <n v="4"/>
    <x v="2"/>
    <x v="0"/>
    <n v="1"/>
    <n v="4"/>
    <x v="2"/>
    <x v="1"/>
    <n v="84"/>
    <x v="0"/>
    <n v="2"/>
    <x v="1"/>
    <n v="2"/>
    <x v="3"/>
    <n v="1"/>
    <x v="3"/>
    <x v="1"/>
    <n v="5957"/>
    <x v="0"/>
    <n v="23687"/>
    <x v="1"/>
    <n v="6"/>
    <x v="2"/>
    <s v="Y"/>
    <x v="1"/>
    <n v="13"/>
    <x v="2"/>
    <n v="3"/>
    <x v="0"/>
    <n v="2"/>
    <x v="4"/>
    <n v="80"/>
    <n v="1"/>
    <n v="13"/>
    <x v="1"/>
    <n v="3"/>
    <x v="1"/>
    <n v="3"/>
    <x v="1"/>
    <n v="11"/>
    <x v="4"/>
    <n v="9"/>
    <x v="1"/>
    <n v="5"/>
    <x v="1"/>
    <n v="9"/>
    <x v="1"/>
  </r>
  <r>
    <n v="340"/>
    <n v="37"/>
    <x v="0"/>
    <x v="1"/>
    <n v="0"/>
    <x v="0"/>
    <n v="1017"/>
    <x v="0"/>
    <x v="1"/>
    <n v="1"/>
    <x v="0"/>
    <n v="2"/>
    <x v="0"/>
    <x v="2"/>
    <n v="1"/>
    <n v="3"/>
    <x v="1"/>
    <x v="0"/>
    <n v="83"/>
    <x v="0"/>
    <n v="2"/>
    <x v="1"/>
    <n v="1"/>
    <x v="1"/>
    <n v="1"/>
    <x v="3"/>
    <x v="1"/>
    <n v="3920"/>
    <x v="3"/>
    <n v="18697"/>
    <x v="0"/>
    <n v="2"/>
    <x v="3"/>
    <s v="Y"/>
    <x v="1"/>
    <n v="14"/>
    <x v="2"/>
    <n v="3"/>
    <x v="0"/>
    <n v="1"/>
    <x v="0"/>
    <n v="80"/>
    <n v="1"/>
    <n v="17"/>
    <x v="1"/>
    <n v="2"/>
    <x v="0"/>
    <n v="2"/>
    <x v="2"/>
    <n v="3"/>
    <x v="2"/>
    <n v="1"/>
    <x v="2"/>
    <n v="0"/>
    <x v="0"/>
    <n v="2"/>
    <x v="0"/>
  </r>
  <r>
    <n v="341"/>
    <n v="45"/>
    <x v="0"/>
    <x v="1"/>
    <n v="0"/>
    <x v="1"/>
    <n v="1199"/>
    <x v="0"/>
    <x v="1"/>
    <n v="7"/>
    <x v="1"/>
    <n v="4"/>
    <x v="2"/>
    <x v="0"/>
    <n v="1"/>
    <n v="1"/>
    <x v="3"/>
    <x v="1"/>
    <n v="77"/>
    <x v="0"/>
    <n v="4"/>
    <x v="2"/>
    <n v="2"/>
    <x v="3"/>
    <n v="3"/>
    <x v="2"/>
    <x v="1"/>
    <n v="6434"/>
    <x v="0"/>
    <n v="5118"/>
    <x v="2"/>
    <n v="4"/>
    <x v="2"/>
    <s v="Y"/>
    <x v="1"/>
    <n v="17"/>
    <x v="3"/>
    <n v="3"/>
    <x v="0"/>
    <n v="4"/>
    <x v="1"/>
    <n v="80"/>
    <n v="1"/>
    <n v="9"/>
    <x v="0"/>
    <n v="1"/>
    <x v="0"/>
    <n v="3"/>
    <x v="1"/>
    <n v="3"/>
    <x v="2"/>
    <n v="2"/>
    <x v="0"/>
    <n v="0"/>
    <x v="0"/>
    <n v="2"/>
    <x v="0"/>
  </r>
  <r>
    <n v="342"/>
    <n v="37"/>
    <x v="0"/>
    <x v="0"/>
    <n v="1"/>
    <x v="1"/>
    <n v="504"/>
    <x v="2"/>
    <x v="1"/>
    <n v="10"/>
    <x v="1"/>
    <n v="3"/>
    <x v="3"/>
    <x v="2"/>
    <n v="1"/>
    <n v="1"/>
    <x v="3"/>
    <x v="1"/>
    <n v="61"/>
    <x v="1"/>
    <n v="3"/>
    <x v="0"/>
    <n v="3"/>
    <x v="3"/>
    <n v="3"/>
    <x v="2"/>
    <x v="2"/>
    <n v="10048"/>
    <x v="8"/>
    <n v="22573"/>
    <x v="1"/>
    <n v="6"/>
    <x v="2"/>
    <s v="Y"/>
    <x v="1"/>
    <n v="11"/>
    <x v="0"/>
    <n v="3"/>
    <x v="0"/>
    <n v="2"/>
    <x v="4"/>
    <n v="80"/>
    <n v="2"/>
    <n v="17"/>
    <x v="1"/>
    <n v="5"/>
    <x v="2"/>
    <n v="3"/>
    <x v="1"/>
    <n v="1"/>
    <x v="1"/>
    <n v="0"/>
    <x v="2"/>
    <n v="0"/>
    <x v="0"/>
    <n v="0"/>
    <x v="2"/>
  </r>
  <r>
    <n v="343"/>
    <n v="39"/>
    <x v="0"/>
    <x v="1"/>
    <n v="0"/>
    <x v="1"/>
    <n v="505"/>
    <x v="2"/>
    <x v="1"/>
    <n v="2"/>
    <x v="0"/>
    <n v="4"/>
    <x v="2"/>
    <x v="4"/>
    <n v="1"/>
    <n v="3"/>
    <x v="1"/>
    <x v="0"/>
    <n v="64"/>
    <x v="1"/>
    <n v="3"/>
    <x v="0"/>
    <n v="3"/>
    <x v="4"/>
    <n v="3"/>
    <x v="2"/>
    <x v="0"/>
    <n v="10938"/>
    <x v="8"/>
    <n v="6420"/>
    <x v="2"/>
    <n v="0"/>
    <x v="1"/>
    <s v="Y"/>
    <x v="1"/>
    <n v="25"/>
    <x v="1"/>
    <n v="4"/>
    <x v="1"/>
    <n v="4"/>
    <x v="1"/>
    <n v="80"/>
    <n v="0"/>
    <n v="20"/>
    <x v="1"/>
    <n v="1"/>
    <x v="0"/>
    <n v="3"/>
    <x v="1"/>
    <n v="19"/>
    <x v="4"/>
    <n v="6"/>
    <x v="1"/>
    <n v="11"/>
    <x v="3"/>
    <n v="8"/>
    <x v="1"/>
  </r>
  <r>
    <n v="346"/>
    <n v="29"/>
    <x v="2"/>
    <x v="1"/>
    <n v="0"/>
    <x v="0"/>
    <n v="665"/>
    <x v="2"/>
    <x v="1"/>
    <n v="15"/>
    <x v="3"/>
    <n v="3"/>
    <x v="3"/>
    <x v="0"/>
    <n v="1"/>
    <n v="3"/>
    <x v="1"/>
    <x v="1"/>
    <n v="60"/>
    <x v="1"/>
    <n v="3"/>
    <x v="0"/>
    <n v="1"/>
    <x v="1"/>
    <n v="4"/>
    <x v="0"/>
    <x v="0"/>
    <n v="2340"/>
    <x v="2"/>
    <n v="22673"/>
    <x v="1"/>
    <n v="1"/>
    <x v="1"/>
    <s v="Y"/>
    <x v="1"/>
    <n v="19"/>
    <x v="1"/>
    <n v="3"/>
    <x v="0"/>
    <n v="1"/>
    <x v="0"/>
    <n v="80"/>
    <n v="0"/>
    <n v="6"/>
    <x v="0"/>
    <n v="1"/>
    <x v="0"/>
    <n v="3"/>
    <x v="1"/>
    <n v="6"/>
    <x v="0"/>
    <n v="5"/>
    <x v="0"/>
    <n v="1"/>
    <x v="0"/>
    <n v="5"/>
    <x v="0"/>
  </r>
  <r>
    <n v="347"/>
    <n v="42"/>
    <x v="0"/>
    <x v="1"/>
    <n v="0"/>
    <x v="0"/>
    <n v="916"/>
    <x v="2"/>
    <x v="1"/>
    <n v="17"/>
    <x v="3"/>
    <n v="2"/>
    <x v="0"/>
    <x v="0"/>
    <n v="1"/>
    <n v="4"/>
    <x v="2"/>
    <x v="0"/>
    <n v="82"/>
    <x v="0"/>
    <n v="4"/>
    <x v="2"/>
    <n v="2"/>
    <x v="1"/>
    <n v="1"/>
    <x v="3"/>
    <x v="0"/>
    <n v="6545"/>
    <x v="0"/>
    <n v="23016"/>
    <x v="1"/>
    <n v="3"/>
    <x v="3"/>
    <s v="Y"/>
    <x v="0"/>
    <n v="13"/>
    <x v="2"/>
    <n v="3"/>
    <x v="0"/>
    <n v="3"/>
    <x v="3"/>
    <n v="80"/>
    <n v="0"/>
    <n v="10"/>
    <x v="0"/>
    <n v="1"/>
    <x v="0"/>
    <n v="3"/>
    <x v="1"/>
    <n v="3"/>
    <x v="2"/>
    <n v="2"/>
    <x v="0"/>
    <n v="0"/>
    <x v="0"/>
    <n v="2"/>
    <x v="0"/>
  </r>
  <r>
    <n v="349"/>
    <n v="29"/>
    <x v="2"/>
    <x v="1"/>
    <n v="0"/>
    <x v="0"/>
    <n v="1247"/>
    <x v="0"/>
    <x v="0"/>
    <n v="20"/>
    <x v="3"/>
    <n v="2"/>
    <x v="0"/>
    <x v="3"/>
    <n v="1"/>
    <n v="4"/>
    <x v="2"/>
    <x v="1"/>
    <n v="45"/>
    <x v="2"/>
    <n v="3"/>
    <x v="0"/>
    <n v="2"/>
    <x v="0"/>
    <n v="4"/>
    <x v="0"/>
    <x v="2"/>
    <n v="6931"/>
    <x v="0"/>
    <n v="10732"/>
    <x v="3"/>
    <n v="2"/>
    <x v="3"/>
    <s v="Y"/>
    <x v="1"/>
    <n v="14"/>
    <x v="2"/>
    <n v="3"/>
    <x v="0"/>
    <n v="4"/>
    <x v="1"/>
    <n v="80"/>
    <n v="1"/>
    <n v="10"/>
    <x v="0"/>
    <n v="2"/>
    <x v="0"/>
    <n v="3"/>
    <x v="1"/>
    <n v="3"/>
    <x v="2"/>
    <n v="2"/>
    <x v="0"/>
    <n v="0"/>
    <x v="0"/>
    <n v="2"/>
    <x v="0"/>
  </r>
  <r>
    <n v="350"/>
    <n v="25"/>
    <x v="4"/>
    <x v="1"/>
    <n v="0"/>
    <x v="0"/>
    <n v="685"/>
    <x v="2"/>
    <x v="1"/>
    <n v="1"/>
    <x v="0"/>
    <n v="3"/>
    <x v="3"/>
    <x v="0"/>
    <n v="1"/>
    <n v="1"/>
    <x v="3"/>
    <x v="0"/>
    <n v="62"/>
    <x v="1"/>
    <n v="3"/>
    <x v="0"/>
    <n v="2"/>
    <x v="3"/>
    <n v="3"/>
    <x v="2"/>
    <x v="1"/>
    <n v="4898"/>
    <x v="1"/>
    <n v="7505"/>
    <x v="2"/>
    <n v="0"/>
    <x v="1"/>
    <s v="Y"/>
    <x v="1"/>
    <n v="12"/>
    <x v="0"/>
    <n v="3"/>
    <x v="0"/>
    <n v="4"/>
    <x v="1"/>
    <n v="80"/>
    <n v="2"/>
    <n v="5"/>
    <x v="3"/>
    <n v="3"/>
    <x v="1"/>
    <n v="3"/>
    <x v="1"/>
    <n v="4"/>
    <x v="2"/>
    <n v="2"/>
    <x v="0"/>
    <n v="1"/>
    <x v="0"/>
    <n v="2"/>
    <x v="0"/>
  </r>
  <r>
    <n v="351"/>
    <n v="42"/>
    <x v="0"/>
    <x v="1"/>
    <n v="0"/>
    <x v="0"/>
    <n v="269"/>
    <x v="1"/>
    <x v="1"/>
    <n v="2"/>
    <x v="0"/>
    <n v="3"/>
    <x v="3"/>
    <x v="2"/>
    <n v="1"/>
    <n v="4"/>
    <x v="2"/>
    <x v="0"/>
    <n v="56"/>
    <x v="1"/>
    <n v="2"/>
    <x v="1"/>
    <n v="1"/>
    <x v="2"/>
    <n v="1"/>
    <x v="3"/>
    <x v="2"/>
    <n v="2593"/>
    <x v="3"/>
    <n v="8007"/>
    <x v="3"/>
    <n v="0"/>
    <x v="1"/>
    <s v="Y"/>
    <x v="0"/>
    <n v="11"/>
    <x v="0"/>
    <n v="3"/>
    <x v="0"/>
    <n v="3"/>
    <x v="3"/>
    <n v="80"/>
    <n v="1"/>
    <n v="10"/>
    <x v="0"/>
    <n v="4"/>
    <x v="1"/>
    <n v="3"/>
    <x v="1"/>
    <n v="9"/>
    <x v="0"/>
    <n v="6"/>
    <x v="1"/>
    <n v="7"/>
    <x v="2"/>
    <n v="8"/>
    <x v="1"/>
  </r>
  <r>
    <n v="352"/>
    <n v="40"/>
    <x v="0"/>
    <x v="1"/>
    <n v="0"/>
    <x v="0"/>
    <n v="1416"/>
    <x v="0"/>
    <x v="1"/>
    <n v="2"/>
    <x v="0"/>
    <n v="2"/>
    <x v="0"/>
    <x v="2"/>
    <n v="1"/>
    <n v="1"/>
    <x v="3"/>
    <x v="1"/>
    <n v="49"/>
    <x v="2"/>
    <n v="3"/>
    <x v="0"/>
    <n v="5"/>
    <x v="7"/>
    <n v="3"/>
    <x v="2"/>
    <x v="2"/>
    <n v="19436"/>
    <x v="7"/>
    <n v="5949"/>
    <x v="2"/>
    <n v="0"/>
    <x v="1"/>
    <s v="Y"/>
    <x v="1"/>
    <n v="19"/>
    <x v="1"/>
    <n v="3"/>
    <x v="0"/>
    <n v="4"/>
    <x v="1"/>
    <n v="80"/>
    <n v="1"/>
    <n v="22"/>
    <x v="4"/>
    <n v="5"/>
    <x v="2"/>
    <n v="3"/>
    <x v="1"/>
    <n v="21"/>
    <x v="3"/>
    <n v="7"/>
    <x v="1"/>
    <n v="3"/>
    <x v="1"/>
    <n v="9"/>
    <x v="1"/>
  </r>
  <r>
    <n v="353"/>
    <n v="51"/>
    <x v="1"/>
    <x v="1"/>
    <n v="0"/>
    <x v="0"/>
    <n v="833"/>
    <x v="2"/>
    <x v="1"/>
    <n v="1"/>
    <x v="0"/>
    <n v="3"/>
    <x v="3"/>
    <x v="0"/>
    <n v="1"/>
    <n v="3"/>
    <x v="1"/>
    <x v="1"/>
    <n v="96"/>
    <x v="0"/>
    <n v="3"/>
    <x v="0"/>
    <n v="1"/>
    <x v="1"/>
    <n v="4"/>
    <x v="0"/>
    <x v="1"/>
    <n v="2723"/>
    <x v="3"/>
    <n v="23231"/>
    <x v="1"/>
    <n v="1"/>
    <x v="1"/>
    <s v="Y"/>
    <x v="1"/>
    <n v="11"/>
    <x v="0"/>
    <n v="3"/>
    <x v="0"/>
    <n v="2"/>
    <x v="4"/>
    <n v="80"/>
    <n v="0"/>
    <n v="1"/>
    <x v="2"/>
    <n v="0"/>
    <x v="0"/>
    <n v="2"/>
    <x v="2"/>
    <n v="1"/>
    <x v="1"/>
    <n v="0"/>
    <x v="2"/>
    <n v="0"/>
    <x v="0"/>
    <n v="0"/>
    <x v="2"/>
  </r>
  <r>
    <n v="355"/>
    <n v="31"/>
    <x v="2"/>
    <x v="0"/>
    <n v="1"/>
    <x v="1"/>
    <n v="307"/>
    <x v="1"/>
    <x v="1"/>
    <n v="29"/>
    <x v="2"/>
    <n v="2"/>
    <x v="0"/>
    <x v="2"/>
    <n v="1"/>
    <n v="3"/>
    <x v="1"/>
    <x v="1"/>
    <n v="71"/>
    <x v="1"/>
    <n v="2"/>
    <x v="1"/>
    <n v="1"/>
    <x v="2"/>
    <n v="2"/>
    <x v="1"/>
    <x v="0"/>
    <n v="3479"/>
    <x v="3"/>
    <n v="11652"/>
    <x v="3"/>
    <n v="0"/>
    <x v="1"/>
    <s v="Y"/>
    <x v="1"/>
    <n v="11"/>
    <x v="0"/>
    <n v="3"/>
    <x v="0"/>
    <n v="2"/>
    <x v="4"/>
    <n v="80"/>
    <n v="0"/>
    <n v="6"/>
    <x v="0"/>
    <n v="2"/>
    <x v="0"/>
    <n v="4"/>
    <x v="3"/>
    <n v="5"/>
    <x v="2"/>
    <n v="4"/>
    <x v="0"/>
    <n v="1"/>
    <x v="0"/>
    <n v="4"/>
    <x v="0"/>
  </r>
  <r>
    <n v="359"/>
    <n v="32"/>
    <x v="2"/>
    <x v="1"/>
    <n v="0"/>
    <x v="1"/>
    <n v="1311"/>
    <x v="0"/>
    <x v="1"/>
    <n v="7"/>
    <x v="1"/>
    <n v="3"/>
    <x v="3"/>
    <x v="0"/>
    <n v="1"/>
    <n v="2"/>
    <x v="0"/>
    <x v="1"/>
    <n v="100"/>
    <x v="0"/>
    <n v="4"/>
    <x v="2"/>
    <n v="1"/>
    <x v="2"/>
    <n v="2"/>
    <x v="1"/>
    <x v="1"/>
    <n v="2794"/>
    <x v="3"/>
    <n v="26062"/>
    <x v="1"/>
    <n v="1"/>
    <x v="1"/>
    <s v="Y"/>
    <x v="1"/>
    <n v="20"/>
    <x v="1"/>
    <n v="4"/>
    <x v="1"/>
    <n v="3"/>
    <x v="3"/>
    <n v="80"/>
    <n v="0"/>
    <n v="5"/>
    <x v="3"/>
    <n v="3"/>
    <x v="1"/>
    <n v="1"/>
    <x v="0"/>
    <n v="5"/>
    <x v="2"/>
    <n v="1"/>
    <x v="2"/>
    <n v="0"/>
    <x v="0"/>
    <n v="3"/>
    <x v="0"/>
  </r>
  <r>
    <n v="361"/>
    <n v="38"/>
    <x v="0"/>
    <x v="1"/>
    <n v="0"/>
    <x v="2"/>
    <n v="1327"/>
    <x v="0"/>
    <x v="0"/>
    <n v="2"/>
    <x v="0"/>
    <n v="2"/>
    <x v="0"/>
    <x v="0"/>
    <n v="1"/>
    <n v="4"/>
    <x v="2"/>
    <x v="1"/>
    <n v="39"/>
    <x v="2"/>
    <n v="2"/>
    <x v="1"/>
    <n v="2"/>
    <x v="0"/>
    <n v="4"/>
    <x v="0"/>
    <x v="1"/>
    <n v="5249"/>
    <x v="1"/>
    <n v="19682"/>
    <x v="0"/>
    <n v="3"/>
    <x v="3"/>
    <s v="Y"/>
    <x v="1"/>
    <n v="18"/>
    <x v="1"/>
    <n v="3"/>
    <x v="0"/>
    <n v="4"/>
    <x v="1"/>
    <n v="80"/>
    <n v="1"/>
    <n v="13"/>
    <x v="1"/>
    <n v="0"/>
    <x v="0"/>
    <n v="3"/>
    <x v="1"/>
    <n v="8"/>
    <x v="0"/>
    <n v="7"/>
    <x v="1"/>
    <n v="7"/>
    <x v="2"/>
    <n v="5"/>
    <x v="0"/>
  </r>
  <r>
    <n v="362"/>
    <n v="32"/>
    <x v="2"/>
    <x v="1"/>
    <n v="0"/>
    <x v="0"/>
    <n v="128"/>
    <x v="1"/>
    <x v="1"/>
    <n v="2"/>
    <x v="0"/>
    <n v="1"/>
    <x v="1"/>
    <x v="4"/>
    <n v="1"/>
    <n v="4"/>
    <x v="2"/>
    <x v="1"/>
    <n v="84"/>
    <x v="0"/>
    <n v="2"/>
    <x v="1"/>
    <n v="2"/>
    <x v="2"/>
    <n v="1"/>
    <x v="3"/>
    <x v="0"/>
    <n v="2176"/>
    <x v="2"/>
    <n v="19737"/>
    <x v="0"/>
    <n v="4"/>
    <x v="2"/>
    <s v="Y"/>
    <x v="1"/>
    <n v="13"/>
    <x v="2"/>
    <n v="3"/>
    <x v="0"/>
    <n v="4"/>
    <x v="1"/>
    <n v="80"/>
    <n v="0"/>
    <n v="9"/>
    <x v="0"/>
    <n v="5"/>
    <x v="2"/>
    <n v="3"/>
    <x v="1"/>
    <n v="6"/>
    <x v="0"/>
    <n v="2"/>
    <x v="0"/>
    <n v="0"/>
    <x v="0"/>
    <n v="4"/>
    <x v="0"/>
  </r>
  <r>
    <n v="363"/>
    <n v="46"/>
    <x v="1"/>
    <x v="1"/>
    <n v="0"/>
    <x v="0"/>
    <n v="488"/>
    <x v="1"/>
    <x v="0"/>
    <n v="2"/>
    <x v="0"/>
    <n v="3"/>
    <x v="3"/>
    <x v="4"/>
    <n v="1"/>
    <n v="3"/>
    <x v="1"/>
    <x v="0"/>
    <n v="75"/>
    <x v="1"/>
    <n v="1"/>
    <x v="3"/>
    <n v="4"/>
    <x v="5"/>
    <n v="2"/>
    <x v="1"/>
    <x v="1"/>
    <n v="16872"/>
    <x v="12"/>
    <n v="14977"/>
    <x v="3"/>
    <n v="3"/>
    <x v="3"/>
    <s v="Y"/>
    <x v="0"/>
    <n v="12"/>
    <x v="0"/>
    <n v="3"/>
    <x v="0"/>
    <n v="2"/>
    <x v="4"/>
    <n v="80"/>
    <n v="1"/>
    <n v="28"/>
    <x v="4"/>
    <n v="2"/>
    <x v="0"/>
    <n v="2"/>
    <x v="2"/>
    <n v="7"/>
    <x v="0"/>
    <n v="7"/>
    <x v="1"/>
    <n v="7"/>
    <x v="2"/>
    <n v="7"/>
    <x v="1"/>
  </r>
  <r>
    <n v="364"/>
    <n v="28"/>
    <x v="2"/>
    <x v="0"/>
    <n v="1"/>
    <x v="0"/>
    <n v="529"/>
    <x v="2"/>
    <x v="1"/>
    <n v="2"/>
    <x v="0"/>
    <n v="4"/>
    <x v="2"/>
    <x v="0"/>
    <n v="1"/>
    <n v="1"/>
    <x v="3"/>
    <x v="1"/>
    <n v="79"/>
    <x v="0"/>
    <n v="3"/>
    <x v="0"/>
    <n v="1"/>
    <x v="2"/>
    <n v="3"/>
    <x v="2"/>
    <x v="0"/>
    <n v="3485"/>
    <x v="3"/>
    <n v="14935"/>
    <x v="3"/>
    <n v="2"/>
    <x v="3"/>
    <s v="Y"/>
    <x v="1"/>
    <n v="11"/>
    <x v="0"/>
    <n v="3"/>
    <x v="0"/>
    <n v="3"/>
    <x v="3"/>
    <n v="80"/>
    <n v="0"/>
    <n v="5"/>
    <x v="3"/>
    <n v="5"/>
    <x v="2"/>
    <n v="1"/>
    <x v="0"/>
    <n v="0"/>
    <x v="1"/>
    <n v="0"/>
    <x v="2"/>
    <n v="0"/>
    <x v="0"/>
    <n v="0"/>
    <x v="2"/>
  </r>
  <r>
    <n v="366"/>
    <n v="29"/>
    <x v="2"/>
    <x v="1"/>
    <n v="0"/>
    <x v="0"/>
    <n v="1210"/>
    <x v="0"/>
    <x v="0"/>
    <n v="2"/>
    <x v="0"/>
    <n v="3"/>
    <x v="3"/>
    <x v="2"/>
    <n v="1"/>
    <n v="1"/>
    <x v="3"/>
    <x v="1"/>
    <n v="78"/>
    <x v="0"/>
    <n v="2"/>
    <x v="1"/>
    <n v="2"/>
    <x v="0"/>
    <n v="2"/>
    <x v="1"/>
    <x v="1"/>
    <n v="6644"/>
    <x v="0"/>
    <n v="3687"/>
    <x v="2"/>
    <n v="2"/>
    <x v="3"/>
    <s v="Y"/>
    <x v="1"/>
    <n v="19"/>
    <x v="1"/>
    <n v="3"/>
    <x v="0"/>
    <n v="2"/>
    <x v="4"/>
    <n v="80"/>
    <n v="2"/>
    <n v="10"/>
    <x v="0"/>
    <n v="2"/>
    <x v="0"/>
    <n v="3"/>
    <x v="1"/>
    <n v="0"/>
    <x v="1"/>
    <n v="0"/>
    <x v="2"/>
    <n v="0"/>
    <x v="0"/>
    <n v="0"/>
    <x v="2"/>
  </r>
  <r>
    <n v="367"/>
    <n v="31"/>
    <x v="2"/>
    <x v="1"/>
    <n v="0"/>
    <x v="0"/>
    <n v="1463"/>
    <x v="0"/>
    <x v="1"/>
    <n v="23"/>
    <x v="2"/>
    <n v="3"/>
    <x v="3"/>
    <x v="2"/>
    <n v="1"/>
    <n v="2"/>
    <x v="0"/>
    <x v="1"/>
    <n v="64"/>
    <x v="1"/>
    <n v="2"/>
    <x v="1"/>
    <n v="2"/>
    <x v="4"/>
    <n v="4"/>
    <x v="0"/>
    <x v="1"/>
    <n v="5582"/>
    <x v="0"/>
    <n v="14408"/>
    <x v="3"/>
    <n v="0"/>
    <x v="1"/>
    <s v="Y"/>
    <x v="1"/>
    <n v="21"/>
    <x v="1"/>
    <n v="4"/>
    <x v="1"/>
    <n v="2"/>
    <x v="4"/>
    <n v="80"/>
    <n v="1"/>
    <n v="10"/>
    <x v="0"/>
    <n v="2"/>
    <x v="0"/>
    <n v="3"/>
    <x v="1"/>
    <n v="9"/>
    <x v="0"/>
    <n v="0"/>
    <x v="2"/>
    <n v="7"/>
    <x v="2"/>
    <n v="8"/>
    <x v="1"/>
  </r>
  <r>
    <n v="369"/>
    <n v="25"/>
    <x v="4"/>
    <x v="1"/>
    <n v="0"/>
    <x v="2"/>
    <n v="675"/>
    <x v="2"/>
    <x v="1"/>
    <n v="5"/>
    <x v="0"/>
    <n v="2"/>
    <x v="0"/>
    <x v="0"/>
    <n v="1"/>
    <n v="2"/>
    <x v="0"/>
    <x v="1"/>
    <n v="85"/>
    <x v="0"/>
    <n v="4"/>
    <x v="2"/>
    <n v="2"/>
    <x v="4"/>
    <n v="1"/>
    <x v="3"/>
    <x v="2"/>
    <n v="4000"/>
    <x v="1"/>
    <n v="18384"/>
    <x v="0"/>
    <n v="1"/>
    <x v="1"/>
    <s v="Y"/>
    <x v="1"/>
    <n v="12"/>
    <x v="0"/>
    <n v="3"/>
    <x v="0"/>
    <n v="4"/>
    <x v="1"/>
    <n v="80"/>
    <n v="2"/>
    <n v="6"/>
    <x v="0"/>
    <n v="2"/>
    <x v="0"/>
    <n v="3"/>
    <x v="1"/>
    <n v="6"/>
    <x v="0"/>
    <n v="3"/>
    <x v="0"/>
    <n v="1"/>
    <x v="0"/>
    <n v="5"/>
    <x v="0"/>
  </r>
  <r>
    <n v="372"/>
    <n v="45"/>
    <x v="0"/>
    <x v="1"/>
    <n v="0"/>
    <x v="0"/>
    <n v="1385"/>
    <x v="0"/>
    <x v="1"/>
    <n v="20"/>
    <x v="3"/>
    <n v="2"/>
    <x v="0"/>
    <x v="2"/>
    <n v="1"/>
    <n v="3"/>
    <x v="1"/>
    <x v="1"/>
    <n v="79"/>
    <x v="0"/>
    <n v="3"/>
    <x v="0"/>
    <n v="4"/>
    <x v="4"/>
    <n v="4"/>
    <x v="0"/>
    <x v="1"/>
    <n v="13496"/>
    <x v="10"/>
    <n v="7501"/>
    <x v="2"/>
    <n v="0"/>
    <x v="1"/>
    <s v="Y"/>
    <x v="0"/>
    <n v="14"/>
    <x v="2"/>
    <n v="3"/>
    <x v="0"/>
    <n v="2"/>
    <x v="4"/>
    <n v="80"/>
    <n v="0"/>
    <n v="21"/>
    <x v="4"/>
    <n v="2"/>
    <x v="0"/>
    <n v="3"/>
    <x v="1"/>
    <n v="20"/>
    <x v="4"/>
    <n v="7"/>
    <x v="1"/>
    <n v="4"/>
    <x v="1"/>
    <n v="10"/>
    <x v="1"/>
  </r>
  <r>
    <n v="373"/>
    <n v="36"/>
    <x v="0"/>
    <x v="1"/>
    <n v="0"/>
    <x v="0"/>
    <n v="1403"/>
    <x v="0"/>
    <x v="1"/>
    <n v="6"/>
    <x v="1"/>
    <n v="3"/>
    <x v="3"/>
    <x v="0"/>
    <n v="1"/>
    <n v="4"/>
    <x v="2"/>
    <x v="1"/>
    <n v="47"/>
    <x v="2"/>
    <n v="3"/>
    <x v="0"/>
    <n v="1"/>
    <x v="2"/>
    <n v="4"/>
    <x v="0"/>
    <x v="1"/>
    <n v="3210"/>
    <x v="3"/>
    <n v="20251"/>
    <x v="0"/>
    <n v="0"/>
    <x v="1"/>
    <s v="Y"/>
    <x v="1"/>
    <n v="11"/>
    <x v="0"/>
    <n v="3"/>
    <x v="0"/>
    <n v="3"/>
    <x v="3"/>
    <n v="80"/>
    <n v="1"/>
    <n v="16"/>
    <x v="1"/>
    <n v="4"/>
    <x v="1"/>
    <n v="3"/>
    <x v="1"/>
    <n v="15"/>
    <x v="4"/>
    <n v="13"/>
    <x v="3"/>
    <n v="10"/>
    <x v="2"/>
    <n v="11"/>
    <x v="3"/>
  </r>
  <r>
    <n v="374"/>
    <n v="55"/>
    <x v="1"/>
    <x v="1"/>
    <n v="0"/>
    <x v="0"/>
    <n v="452"/>
    <x v="1"/>
    <x v="1"/>
    <n v="1"/>
    <x v="0"/>
    <n v="3"/>
    <x v="3"/>
    <x v="2"/>
    <n v="1"/>
    <n v="4"/>
    <x v="2"/>
    <x v="1"/>
    <n v="81"/>
    <x v="0"/>
    <n v="3"/>
    <x v="0"/>
    <n v="5"/>
    <x v="5"/>
    <n v="1"/>
    <x v="3"/>
    <x v="0"/>
    <n v="19045"/>
    <x v="7"/>
    <n v="18938"/>
    <x v="0"/>
    <n v="0"/>
    <x v="1"/>
    <s v="Y"/>
    <x v="0"/>
    <n v="14"/>
    <x v="2"/>
    <n v="3"/>
    <x v="0"/>
    <n v="3"/>
    <x v="3"/>
    <n v="80"/>
    <n v="0"/>
    <n v="37"/>
    <x v="4"/>
    <n v="2"/>
    <x v="0"/>
    <n v="3"/>
    <x v="1"/>
    <n v="36"/>
    <x v="3"/>
    <n v="10"/>
    <x v="1"/>
    <n v="4"/>
    <x v="1"/>
    <n v="13"/>
    <x v="3"/>
  </r>
  <r>
    <n v="376"/>
    <n v="47"/>
    <x v="1"/>
    <x v="0"/>
    <n v="1"/>
    <x v="2"/>
    <n v="666"/>
    <x v="2"/>
    <x v="1"/>
    <n v="29"/>
    <x v="2"/>
    <n v="4"/>
    <x v="2"/>
    <x v="0"/>
    <n v="1"/>
    <n v="1"/>
    <x v="3"/>
    <x v="1"/>
    <n v="88"/>
    <x v="0"/>
    <n v="3"/>
    <x v="0"/>
    <n v="3"/>
    <x v="5"/>
    <n v="2"/>
    <x v="1"/>
    <x v="1"/>
    <n v="11849"/>
    <x v="6"/>
    <n v="10268"/>
    <x v="3"/>
    <n v="1"/>
    <x v="1"/>
    <s v="Y"/>
    <x v="0"/>
    <n v="12"/>
    <x v="0"/>
    <n v="3"/>
    <x v="0"/>
    <n v="4"/>
    <x v="1"/>
    <n v="80"/>
    <n v="1"/>
    <n v="10"/>
    <x v="0"/>
    <n v="2"/>
    <x v="0"/>
    <n v="2"/>
    <x v="2"/>
    <n v="10"/>
    <x v="0"/>
    <n v="7"/>
    <x v="1"/>
    <n v="9"/>
    <x v="2"/>
    <n v="9"/>
    <x v="1"/>
  </r>
  <r>
    <n v="377"/>
    <n v="28"/>
    <x v="2"/>
    <x v="1"/>
    <n v="0"/>
    <x v="0"/>
    <n v="1158"/>
    <x v="0"/>
    <x v="1"/>
    <n v="9"/>
    <x v="1"/>
    <n v="3"/>
    <x v="3"/>
    <x v="2"/>
    <n v="1"/>
    <n v="4"/>
    <x v="2"/>
    <x v="1"/>
    <n v="94"/>
    <x v="0"/>
    <n v="3"/>
    <x v="0"/>
    <n v="1"/>
    <x v="1"/>
    <n v="4"/>
    <x v="0"/>
    <x v="1"/>
    <n v="2070"/>
    <x v="2"/>
    <n v="2613"/>
    <x v="2"/>
    <n v="1"/>
    <x v="1"/>
    <s v="Y"/>
    <x v="1"/>
    <n v="23"/>
    <x v="1"/>
    <n v="4"/>
    <x v="1"/>
    <n v="4"/>
    <x v="1"/>
    <n v="80"/>
    <n v="1"/>
    <n v="5"/>
    <x v="3"/>
    <n v="3"/>
    <x v="1"/>
    <n v="2"/>
    <x v="2"/>
    <n v="5"/>
    <x v="2"/>
    <n v="2"/>
    <x v="0"/>
    <n v="0"/>
    <x v="0"/>
    <n v="4"/>
    <x v="0"/>
  </r>
  <r>
    <n v="378"/>
    <n v="37"/>
    <x v="0"/>
    <x v="1"/>
    <n v="0"/>
    <x v="0"/>
    <n v="228"/>
    <x v="1"/>
    <x v="0"/>
    <n v="6"/>
    <x v="1"/>
    <n v="4"/>
    <x v="2"/>
    <x v="2"/>
    <n v="1"/>
    <n v="3"/>
    <x v="1"/>
    <x v="1"/>
    <n v="98"/>
    <x v="0"/>
    <n v="3"/>
    <x v="0"/>
    <n v="2"/>
    <x v="0"/>
    <n v="4"/>
    <x v="0"/>
    <x v="1"/>
    <n v="6502"/>
    <x v="0"/>
    <n v="22825"/>
    <x v="1"/>
    <n v="4"/>
    <x v="2"/>
    <s v="Y"/>
    <x v="1"/>
    <n v="14"/>
    <x v="2"/>
    <n v="3"/>
    <x v="0"/>
    <n v="2"/>
    <x v="4"/>
    <n v="80"/>
    <n v="1"/>
    <n v="7"/>
    <x v="0"/>
    <n v="5"/>
    <x v="2"/>
    <n v="4"/>
    <x v="3"/>
    <n v="5"/>
    <x v="2"/>
    <n v="4"/>
    <x v="0"/>
    <n v="0"/>
    <x v="0"/>
    <n v="1"/>
    <x v="2"/>
  </r>
  <r>
    <n v="379"/>
    <n v="21"/>
    <x v="4"/>
    <x v="1"/>
    <n v="0"/>
    <x v="0"/>
    <n v="996"/>
    <x v="2"/>
    <x v="1"/>
    <n v="3"/>
    <x v="0"/>
    <n v="2"/>
    <x v="0"/>
    <x v="2"/>
    <n v="1"/>
    <n v="4"/>
    <x v="2"/>
    <x v="1"/>
    <n v="100"/>
    <x v="0"/>
    <n v="2"/>
    <x v="1"/>
    <n v="1"/>
    <x v="1"/>
    <n v="3"/>
    <x v="2"/>
    <x v="0"/>
    <n v="3230"/>
    <x v="3"/>
    <n v="10531"/>
    <x v="3"/>
    <n v="1"/>
    <x v="1"/>
    <s v="Y"/>
    <x v="1"/>
    <n v="17"/>
    <x v="3"/>
    <n v="3"/>
    <x v="0"/>
    <n v="1"/>
    <x v="0"/>
    <n v="80"/>
    <n v="0"/>
    <n v="3"/>
    <x v="3"/>
    <n v="4"/>
    <x v="1"/>
    <n v="4"/>
    <x v="3"/>
    <n v="3"/>
    <x v="2"/>
    <n v="2"/>
    <x v="0"/>
    <n v="1"/>
    <x v="0"/>
    <n v="0"/>
    <x v="2"/>
  </r>
  <r>
    <n v="380"/>
    <n v="37"/>
    <x v="0"/>
    <x v="1"/>
    <n v="0"/>
    <x v="2"/>
    <n v="728"/>
    <x v="2"/>
    <x v="1"/>
    <n v="1"/>
    <x v="0"/>
    <n v="4"/>
    <x v="2"/>
    <x v="2"/>
    <n v="1"/>
    <n v="1"/>
    <x v="3"/>
    <x v="0"/>
    <n v="80"/>
    <x v="0"/>
    <n v="3"/>
    <x v="0"/>
    <n v="3"/>
    <x v="7"/>
    <n v="4"/>
    <x v="0"/>
    <x v="2"/>
    <n v="13603"/>
    <x v="10"/>
    <n v="11677"/>
    <x v="3"/>
    <n v="2"/>
    <x v="3"/>
    <s v="Y"/>
    <x v="0"/>
    <n v="18"/>
    <x v="1"/>
    <n v="3"/>
    <x v="0"/>
    <n v="1"/>
    <x v="0"/>
    <n v="80"/>
    <n v="2"/>
    <n v="15"/>
    <x v="1"/>
    <n v="2"/>
    <x v="0"/>
    <n v="3"/>
    <x v="1"/>
    <n v="5"/>
    <x v="2"/>
    <n v="2"/>
    <x v="0"/>
    <n v="0"/>
    <x v="0"/>
    <n v="2"/>
    <x v="0"/>
  </r>
  <r>
    <n v="381"/>
    <n v="35"/>
    <x v="2"/>
    <x v="1"/>
    <n v="0"/>
    <x v="0"/>
    <n v="1315"/>
    <x v="0"/>
    <x v="1"/>
    <n v="22"/>
    <x v="2"/>
    <n v="3"/>
    <x v="3"/>
    <x v="0"/>
    <n v="1"/>
    <n v="2"/>
    <x v="0"/>
    <x v="0"/>
    <n v="71"/>
    <x v="1"/>
    <n v="4"/>
    <x v="2"/>
    <n v="3"/>
    <x v="5"/>
    <n v="2"/>
    <x v="1"/>
    <x v="2"/>
    <n v="11996"/>
    <x v="6"/>
    <n v="19100"/>
    <x v="0"/>
    <n v="7"/>
    <x v="0"/>
    <s v="Y"/>
    <x v="1"/>
    <n v="18"/>
    <x v="1"/>
    <n v="3"/>
    <x v="0"/>
    <n v="2"/>
    <x v="4"/>
    <n v="80"/>
    <n v="1"/>
    <n v="10"/>
    <x v="0"/>
    <n v="6"/>
    <x v="2"/>
    <n v="2"/>
    <x v="2"/>
    <n v="7"/>
    <x v="0"/>
    <n v="7"/>
    <x v="1"/>
    <n v="6"/>
    <x v="2"/>
    <n v="2"/>
    <x v="0"/>
  </r>
  <r>
    <n v="382"/>
    <n v="38"/>
    <x v="0"/>
    <x v="1"/>
    <n v="0"/>
    <x v="0"/>
    <n v="322"/>
    <x v="1"/>
    <x v="0"/>
    <n v="7"/>
    <x v="1"/>
    <n v="2"/>
    <x v="0"/>
    <x v="2"/>
    <n v="1"/>
    <n v="1"/>
    <x v="3"/>
    <x v="0"/>
    <n v="44"/>
    <x v="2"/>
    <n v="4"/>
    <x v="2"/>
    <n v="2"/>
    <x v="0"/>
    <n v="1"/>
    <x v="3"/>
    <x v="2"/>
    <n v="5605"/>
    <x v="0"/>
    <n v="19191"/>
    <x v="0"/>
    <n v="1"/>
    <x v="1"/>
    <s v="Y"/>
    <x v="0"/>
    <n v="24"/>
    <x v="1"/>
    <n v="4"/>
    <x v="1"/>
    <n v="3"/>
    <x v="3"/>
    <n v="80"/>
    <n v="1"/>
    <n v="8"/>
    <x v="0"/>
    <n v="3"/>
    <x v="1"/>
    <n v="3"/>
    <x v="1"/>
    <n v="8"/>
    <x v="0"/>
    <n v="0"/>
    <x v="2"/>
    <n v="7"/>
    <x v="2"/>
    <n v="7"/>
    <x v="1"/>
  </r>
  <r>
    <n v="384"/>
    <n v="26"/>
    <x v="2"/>
    <x v="1"/>
    <n v="0"/>
    <x v="1"/>
    <n v="1479"/>
    <x v="0"/>
    <x v="1"/>
    <n v="1"/>
    <x v="0"/>
    <n v="3"/>
    <x v="3"/>
    <x v="0"/>
    <n v="1"/>
    <n v="3"/>
    <x v="1"/>
    <x v="0"/>
    <n v="84"/>
    <x v="0"/>
    <n v="3"/>
    <x v="0"/>
    <n v="2"/>
    <x v="3"/>
    <n v="2"/>
    <x v="1"/>
    <x v="2"/>
    <n v="6397"/>
    <x v="0"/>
    <n v="26767"/>
    <x v="1"/>
    <n v="1"/>
    <x v="1"/>
    <s v="Y"/>
    <x v="1"/>
    <n v="20"/>
    <x v="1"/>
    <n v="4"/>
    <x v="1"/>
    <n v="1"/>
    <x v="0"/>
    <n v="80"/>
    <n v="1"/>
    <n v="6"/>
    <x v="0"/>
    <n v="6"/>
    <x v="2"/>
    <n v="1"/>
    <x v="0"/>
    <n v="6"/>
    <x v="0"/>
    <n v="5"/>
    <x v="0"/>
    <n v="1"/>
    <x v="0"/>
    <n v="4"/>
    <x v="0"/>
  </r>
  <r>
    <n v="385"/>
    <n v="50"/>
    <x v="1"/>
    <x v="1"/>
    <n v="0"/>
    <x v="0"/>
    <n v="797"/>
    <x v="2"/>
    <x v="1"/>
    <n v="4"/>
    <x v="0"/>
    <n v="1"/>
    <x v="1"/>
    <x v="0"/>
    <n v="1"/>
    <n v="1"/>
    <x v="3"/>
    <x v="1"/>
    <n v="96"/>
    <x v="0"/>
    <n v="3"/>
    <x v="0"/>
    <n v="5"/>
    <x v="7"/>
    <n v="2"/>
    <x v="1"/>
    <x v="2"/>
    <n v="19144"/>
    <x v="7"/>
    <n v="15815"/>
    <x v="3"/>
    <n v="3"/>
    <x v="3"/>
    <s v="Y"/>
    <x v="1"/>
    <n v="14"/>
    <x v="2"/>
    <n v="3"/>
    <x v="0"/>
    <n v="1"/>
    <x v="0"/>
    <n v="80"/>
    <n v="2"/>
    <n v="28"/>
    <x v="4"/>
    <n v="4"/>
    <x v="1"/>
    <n v="2"/>
    <x v="2"/>
    <n v="10"/>
    <x v="0"/>
    <n v="4"/>
    <x v="0"/>
    <n v="1"/>
    <x v="0"/>
    <n v="6"/>
    <x v="1"/>
  </r>
  <r>
    <n v="386"/>
    <n v="53"/>
    <x v="1"/>
    <x v="1"/>
    <n v="0"/>
    <x v="0"/>
    <n v="1070"/>
    <x v="0"/>
    <x v="1"/>
    <n v="3"/>
    <x v="0"/>
    <n v="4"/>
    <x v="2"/>
    <x v="2"/>
    <n v="1"/>
    <n v="3"/>
    <x v="1"/>
    <x v="1"/>
    <n v="45"/>
    <x v="2"/>
    <n v="3"/>
    <x v="0"/>
    <n v="4"/>
    <x v="7"/>
    <n v="3"/>
    <x v="2"/>
    <x v="1"/>
    <n v="17584"/>
    <x v="9"/>
    <n v="21016"/>
    <x v="0"/>
    <n v="3"/>
    <x v="3"/>
    <s v="Y"/>
    <x v="0"/>
    <n v="16"/>
    <x v="3"/>
    <n v="3"/>
    <x v="0"/>
    <n v="4"/>
    <x v="1"/>
    <n v="80"/>
    <n v="3"/>
    <n v="21"/>
    <x v="4"/>
    <n v="5"/>
    <x v="2"/>
    <n v="2"/>
    <x v="2"/>
    <n v="5"/>
    <x v="2"/>
    <n v="3"/>
    <x v="0"/>
    <n v="1"/>
    <x v="0"/>
    <n v="3"/>
    <x v="0"/>
  </r>
  <r>
    <n v="387"/>
    <n v="42"/>
    <x v="0"/>
    <x v="1"/>
    <n v="0"/>
    <x v="0"/>
    <n v="635"/>
    <x v="2"/>
    <x v="0"/>
    <n v="1"/>
    <x v="0"/>
    <n v="1"/>
    <x v="1"/>
    <x v="0"/>
    <n v="1"/>
    <n v="2"/>
    <x v="0"/>
    <x v="1"/>
    <n v="99"/>
    <x v="0"/>
    <n v="3"/>
    <x v="0"/>
    <n v="2"/>
    <x v="0"/>
    <n v="3"/>
    <x v="2"/>
    <x v="1"/>
    <n v="4907"/>
    <x v="1"/>
    <n v="24532"/>
    <x v="1"/>
    <n v="1"/>
    <x v="1"/>
    <s v="Y"/>
    <x v="1"/>
    <n v="25"/>
    <x v="1"/>
    <n v="4"/>
    <x v="1"/>
    <n v="3"/>
    <x v="3"/>
    <n v="80"/>
    <n v="0"/>
    <n v="20"/>
    <x v="1"/>
    <n v="3"/>
    <x v="1"/>
    <n v="3"/>
    <x v="1"/>
    <n v="20"/>
    <x v="4"/>
    <n v="16"/>
    <x v="3"/>
    <n v="11"/>
    <x v="3"/>
    <n v="6"/>
    <x v="1"/>
  </r>
  <r>
    <n v="388"/>
    <n v="29"/>
    <x v="2"/>
    <x v="1"/>
    <n v="0"/>
    <x v="1"/>
    <n v="442"/>
    <x v="1"/>
    <x v="0"/>
    <n v="2"/>
    <x v="0"/>
    <n v="2"/>
    <x v="0"/>
    <x v="0"/>
    <n v="1"/>
    <n v="2"/>
    <x v="0"/>
    <x v="1"/>
    <n v="44"/>
    <x v="2"/>
    <n v="3"/>
    <x v="0"/>
    <n v="2"/>
    <x v="0"/>
    <n v="4"/>
    <x v="0"/>
    <x v="0"/>
    <n v="4554"/>
    <x v="1"/>
    <n v="20260"/>
    <x v="0"/>
    <n v="1"/>
    <x v="1"/>
    <s v="Y"/>
    <x v="1"/>
    <n v="18"/>
    <x v="1"/>
    <n v="3"/>
    <x v="0"/>
    <n v="1"/>
    <x v="0"/>
    <n v="80"/>
    <n v="0"/>
    <n v="10"/>
    <x v="0"/>
    <n v="3"/>
    <x v="1"/>
    <n v="2"/>
    <x v="2"/>
    <n v="10"/>
    <x v="0"/>
    <n v="7"/>
    <x v="1"/>
    <n v="0"/>
    <x v="0"/>
    <n v="9"/>
    <x v="1"/>
  </r>
  <r>
    <n v="389"/>
    <n v="55"/>
    <x v="1"/>
    <x v="1"/>
    <n v="0"/>
    <x v="0"/>
    <n v="147"/>
    <x v="1"/>
    <x v="1"/>
    <n v="20"/>
    <x v="3"/>
    <n v="2"/>
    <x v="0"/>
    <x v="4"/>
    <n v="1"/>
    <n v="2"/>
    <x v="0"/>
    <x v="1"/>
    <n v="37"/>
    <x v="2"/>
    <n v="3"/>
    <x v="0"/>
    <n v="2"/>
    <x v="2"/>
    <n v="4"/>
    <x v="0"/>
    <x v="1"/>
    <n v="5415"/>
    <x v="1"/>
    <n v="15972"/>
    <x v="3"/>
    <n v="3"/>
    <x v="3"/>
    <s v="Y"/>
    <x v="0"/>
    <n v="19"/>
    <x v="1"/>
    <n v="3"/>
    <x v="0"/>
    <n v="4"/>
    <x v="1"/>
    <n v="80"/>
    <n v="1"/>
    <n v="12"/>
    <x v="1"/>
    <n v="4"/>
    <x v="1"/>
    <n v="3"/>
    <x v="1"/>
    <n v="10"/>
    <x v="0"/>
    <n v="7"/>
    <x v="1"/>
    <n v="0"/>
    <x v="0"/>
    <n v="8"/>
    <x v="1"/>
  </r>
  <r>
    <n v="390"/>
    <n v="26"/>
    <x v="2"/>
    <x v="1"/>
    <n v="0"/>
    <x v="1"/>
    <n v="496"/>
    <x v="1"/>
    <x v="1"/>
    <n v="11"/>
    <x v="3"/>
    <n v="2"/>
    <x v="0"/>
    <x v="2"/>
    <n v="1"/>
    <n v="1"/>
    <x v="3"/>
    <x v="1"/>
    <n v="60"/>
    <x v="1"/>
    <n v="3"/>
    <x v="0"/>
    <n v="2"/>
    <x v="4"/>
    <n v="1"/>
    <x v="3"/>
    <x v="1"/>
    <n v="4741"/>
    <x v="1"/>
    <n v="22722"/>
    <x v="1"/>
    <n v="1"/>
    <x v="1"/>
    <s v="Y"/>
    <x v="0"/>
    <n v="13"/>
    <x v="2"/>
    <n v="3"/>
    <x v="0"/>
    <n v="3"/>
    <x v="3"/>
    <n v="80"/>
    <n v="1"/>
    <n v="5"/>
    <x v="3"/>
    <n v="3"/>
    <x v="1"/>
    <n v="3"/>
    <x v="1"/>
    <n v="5"/>
    <x v="2"/>
    <n v="3"/>
    <x v="0"/>
    <n v="3"/>
    <x v="1"/>
    <n v="3"/>
    <x v="0"/>
  </r>
  <r>
    <n v="391"/>
    <n v="37"/>
    <x v="0"/>
    <x v="1"/>
    <n v="0"/>
    <x v="0"/>
    <n v="1372"/>
    <x v="0"/>
    <x v="1"/>
    <n v="1"/>
    <x v="0"/>
    <n v="3"/>
    <x v="3"/>
    <x v="0"/>
    <n v="1"/>
    <n v="4"/>
    <x v="2"/>
    <x v="0"/>
    <n v="42"/>
    <x v="2"/>
    <n v="3"/>
    <x v="0"/>
    <n v="1"/>
    <x v="1"/>
    <n v="4"/>
    <x v="0"/>
    <x v="0"/>
    <n v="2115"/>
    <x v="2"/>
    <n v="15881"/>
    <x v="3"/>
    <n v="1"/>
    <x v="1"/>
    <s v="Y"/>
    <x v="1"/>
    <n v="12"/>
    <x v="0"/>
    <n v="3"/>
    <x v="0"/>
    <n v="2"/>
    <x v="4"/>
    <n v="80"/>
    <n v="0"/>
    <n v="17"/>
    <x v="1"/>
    <n v="3"/>
    <x v="1"/>
    <n v="3"/>
    <x v="1"/>
    <n v="17"/>
    <x v="4"/>
    <n v="12"/>
    <x v="3"/>
    <n v="5"/>
    <x v="1"/>
    <n v="7"/>
    <x v="1"/>
  </r>
  <r>
    <n v="392"/>
    <n v="44"/>
    <x v="0"/>
    <x v="0"/>
    <n v="1"/>
    <x v="1"/>
    <n v="920"/>
    <x v="2"/>
    <x v="1"/>
    <n v="24"/>
    <x v="2"/>
    <n v="3"/>
    <x v="3"/>
    <x v="0"/>
    <n v="1"/>
    <n v="4"/>
    <x v="2"/>
    <x v="1"/>
    <n v="43"/>
    <x v="2"/>
    <n v="3"/>
    <x v="0"/>
    <n v="1"/>
    <x v="2"/>
    <n v="3"/>
    <x v="2"/>
    <x v="2"/>
    <n v="3161"/>
    <x v="3"/>
    <n v="19920"/>
    <x v="0"/>
    <n v="3"/>
    <x v="3"/>
    <s v="Y"/>
    <x v="0"/>
    <n v="22"/>
    <x v="1"/>
    <n v="4"/>
    <x v="1"/>
    <n v="4"/>
    <x v="1"/>
    <n v="80"/>
    <n v="1"/>
    <n v="19"/>
    <x v="1"/>
    <n v="0"/>
    <x v="0"/>
    <n v="1"/>
    <x v="0"/>
    <n v="1"/>
    <x v="1"/>
    <n v="0"/>
    <x v="2"/>
    <n v="0"/>
    <x v="0"/>
    <n v="0"/>
    <x v="2"/>
  </r>
  <r>
    <n v="393"/>
    <n v="38"/>
    <x v="0"/>
    <x v="1"/>
    <n v="0"/>
    <x v="0"/>
    <n v="688"/>
    <x v="2"/>
    <x v="1"/>
    <n v="23"/>
    <x v="2"/>
    <n v="4"/>
    <x v="2"/>
    <x v="0"/>
    <n v="1"/>
    <n v="4"/>
    <x v="2"/>
    <x v="1"/>
    <n v="82"/>
    <x v="0"/>
    <n v="3"/>
    <x v="0"/>
    <n v="2"/>
    <x v="4"/>
    <n v="4"/>
    <x v="0"/>
    <x v="2"/>
    <n v="5745"/>
    <x v="0"/>
    <n v="18899"/>
    <x v="0"/>
    <n v="9"/>
    <x v="0"/>
    <s v="Y"/>
    <x v="1"/>
    <n v="14"/>
    <x v="2"/>
    <n v="3"/>
    <x v="0"/>
    <n v="2"/>
    <x v="4"/>
    <n v="80"/>
    <n v="1"/>
    <n v="10"/>
    <x v="0"/>
    <n v="2"/>
    <x v="0"/>
    <n v="3"/>
    <x v="1"/>
    <n v="2"/>
    <x v="2"/>
    <n v="2"/>
    <x v="0"/>
    <n v="1"/>
    <x v="0"/>
    <n v="2"/>
    <x v="0"/>
  </r>
  <r>
    <n v="394"/>
    <n v="26"/>
    <x v="2"/>
    <x v="0"/>
    <n v="1"/>
    <x v="0"/>
    <n v="1449"/>
    <x v="0"/>
    <x v="1"/>
    <n v="16"/>
    <x v="3"/>
    <n v="4"/>
    <x v="2"/>
    <x v="2"/>
    <n v="1"/>
    <n v="1"/>
    <x v="3"/>
    <x v="1"/>
    <n v="45"/>
    <x v="2"/>
    <n v="3"/>
    <x v="0"/>
    <n v="1"/>
    <x v="2"/>
    <n v="2"/>
    <x v="1"/>
    <x v="2"/>
    <n v="2373"/>
    <x v="2"/>
    <n v="14180"/>
    <x v="3"/>
    <n v="2"/>
    <x v="3"/>
    <s v="Y"/>
    <x v="0"/>
    <n v="13"/>
    <x v="2"/>
    <n v="3"/>
    <x v="0"/>
    <n v="4"/>
    <x v="1"/>
    <n v="80"/>
    <n v="1"/>
    <n v="5"/>
    <x v="3"/>
    <n v="2"/>
    <x v="0"/>
    <n v="3"/>
    <x v="1"/>
    <n v="3"/>
    <x v="2"/>
    <n v="2"/>
    <x v="0"/>
    <n v="0"/>
    <x v="0"/>
    <n v="2"/>
    <x v="0"/>
  </r>
  <r>
    <n v="395"/>
    <n v="28"/>
    <x v="2"/>
    <x v="1"/>
    <n v="0"/>
    <x v="0"/>
    <n v="1117"/>
    <x v="0"/>
    <x v="1"/>
    <n v="8"/>
    <x v="1"/>
    <n v="2"/>
    <x v="0"/>
    <x v="0"/>
    <n v="1"/>
    <n v="4"/>
    <x v="2"/>
    <x v="0"/>
    <n v="66"/>
    <x v="1"/>
    <n v="3"/>
    <x v="0"/>
    <n v="1"/>
    <x v="1"/>
    <n v="4"/>
    <x v="0"/>
    <x v="0"/>
    <n v="3310"/>
    <x v="3"/>
    <n v="4488"/>
    <x v="2"/>
    <n v="1"/>
    <x v="1"/>
    <s v="Y"/>
    <x v="1"/>
    <n v="21"/>
    <x v="1"/>
    <n v="4"/>
    <x v="1"/>
    <n v="4"/>
    <x v="1"/>
    <n v="80"/>
    <n v="0"/>
    <n v="5"/>
    <x v="3"/>
    <n v="3"/>
    <x v="1"/>
    <n v="3"/>
    <x v="1"/>
    <n v="5"/>
    <x v="2"/>
    <n v="3"/>
    <x v="0"/>
    <n v="0"/>
    <x v="0"/>
    <n v="2"/>
    <x v="0"/>
  </r>
  <r>
    <n v="396"/>
    <n v="49"/>
    <x v="1"/>
    <x v="1"/>
    <n v="0"/>
    <x v="1"/>
    <n v="636"/>
    <x v="2"/>
    <x v="1"/>
    <n v="10"/>
    <x v="1"/>
    <n v="4"/>
    <x v="2"/>
    <x v="0"/>
    <n v="1"/>
    <n v="3"/>
    <x v="1"/>
    <x v="0"/>
    <n v="35"/>
    <x v="2"/>
    <n v="3"/>
    <x v="0"/>
    <n v="5"/>
    <x v="7"/>
    <n v="1"/>
    <x v="3"/>
    <x v="0"/>
    <n v="18665"/>
    <x v="9"/>
    <n v="25594"/>
    <x v="1"/>
    <n v="9"/>
    <x v="0"/>
    <s v="Y"/>
    <x v="0"/>
    <n v="11"/>
    <x v="0"/>
    <n v="3"/>
    <x v="0"/>
    <n v="4"/>
    <x v="1"/>
    <n v="80"/>
    <n v="0"/>
    <n v="22"/>
    <x v="4"/>
    <n v="4"/>
    <x v="1"/>
    <n v="3"/>
    <x v="1"/>
    <n v="3"/>
    <x v="2"/>
    <n v="2"/>
    <x v="0"/>
    <n v="1"/>
    <x v="0"/>
    <n v="2"/>
    <x v="0"/>
  </r>
  <r>
    <n v="397"/>
    <n v="36"/>
    <x v="0"/>
    <x v="1"/>
    <n v="0"/>
    <x v="0"/>
    <n v="506"/>
    <x v="2"/>
    <x v="1"/>
    <n v="3"/>
    <x v="0"/>
    <n v="3"/>
    <x v="3"/>
    <x v="4"/>
    <n v="1"/>
    <n v="3"/>
    <x v="1"/>
    <x v="1"/>
    <n v="30"/>
    <x v="2"/>
    <n v="3"/>
    <x v="0"/>
    <n v="2"/>
    <x v="1"/>
    <n v="2"/>
    <x v="1"/>
    <x v="0"/>
    <n v="4485"/>
    <x v="1"/>
    <n v="26285"/>
    <x v="1"/>
    <n v="4"/>
    <x v="2"/>
    <s v="Y"/>
    <x v="1"/>
    <n v="12"/>
    <x v="0"/>
    <n v="3"/>
    <x v="0"/>
    <n v="4"/>
    <x v="1"/>
    <n v="80"/>
    <n v="0"/>
    <n v="10"/>
    <x v="0"/>
    <n v="2"/>
    <x v="0"/>
    <n v="3"/>
    <x v="1"/>
    <n v="8"/>
    <x v="0"/>
    <n v="0"/>
    <x v="2"/>
    <n v="7"/>
    <x v="2"/>
    <n v="7"/>
    <x v="1"/>
  </r>
  <r>
    <n v="399"/>
    <n v="31"/>
    <x v="2"/>
    <x v="1"/>
    <n v="0"/>
    <x v="1"/>
    <n v="444"/>
    <x v="1"/>
    <x v="0"/>
    <n v="5"/>
    <x v="0"/>
    <n v="3"/>
    <x v="3"/>
    <x v="3"/>
    <n v="1"/>
    <n v="4"/>
    <x v="2"/>
    <x v="0"/>
    <n v="84"/>
    <x v="0"/>
    <n v="3"/>
    <x v="0"/>
    <n v="1"/>
    <x v="6"/>
    <n v="2"/>
    <x v="1"/>
    <x v="2"/>
    <n v="2789"/>
    <x v="3"/>
    <n v="3909"/>
    <x v="2"/>
    <n v="1"/>
    <x v="1"/>
    <s v="Y"/>
    <x v="1"/>
    <n v="11"/>
    <x v="0"/>
    <n v="3"/>
    <x v="0"/>
    <n v="3"/>
    <x v="3"/>
    <n v="80"/>
    <n v="1"/>
    <n v="2"/>
    <x v="2"/>
    <n v="5"/>
    <x v="2"/>
    <n v="2"/>
    <x v="2"/>
    <n v="2"/>
    <x v="2"/>
    <n v="2"/>
    <x v="0"/>
    <n v="2"/>
    <x v="1"/>
    <n v="2"/>
    <x v="0"/>
  </r>
  <r>
    <n v="401"/>
    <n v="26"/>
    <x v="2"/>
    <x v="0"/>
    <n v="1"/>
    <x v="0"/>
    <n v="950"/>
    <x v="2"/>
    <x v="0"/>
    <n v="4"/>
    <x v="0"/>
    <n v="4"/>
    <x v="2"/>
    <x v="3"/>
    <n v="1"/>
    <n v="4"/>
    <x v="2"/>
    <x v="1"/>
    <n v="48"/>
    <x v="2"/>
    <n v="2"/>
    <x v="1"/>
    <n v="2"/>
    <x v="0"/>
    <n v="4"/>
    <x v="0"/>
    <x v="0"/>
    <n v="5828"/>
    <x v="0"/>
    <n v="8450"/>
    <x v="3"/>
    <n v="1"/>
    <x v="1"/>
    <s v="Y"/>
    <x v="0"/>
    <n v="12"/>
    <x v="0"/>
    <n v="3"/>
    <x v="0"/>
    <n v="2"/>
    <x v="4"/>
    <n v="80"/>
    <n v="0"/>
    <n v="8"/>
    <x v="0"/>
    <n v="0"/>
    <x v="0"/>
    <n v="3"/>
    <x v="1"/>
    <n v="8"/>
    <x v="0"/>
    <n v="7"/>
    <x v="1"/>
    <n v="7"/>
    <x v="2"/>
    <n v="4"/>
    <x v="0"/>
  </r>
  <r>
    <n v="403"/>
    <n v="37"/>
    <x v="0"/>
    <x v="1"/>
    <n v="0"/>
    <x v="1"/>
    <n v="889"/>
    <x v="2"/>
    <x v="1"/>
    <n v="9"/>
    <x v="1"/>
    <n v="3"/>
    <x v="3"/>
    <x v="2"/>
    <n v="1"/>
    <n v="2"/>
    <x v="0"/>
    <x v="1"/>
    <n v="53"/>
    <x v="1"/>
    <n v="3"/>
    <x v="0"/>
    <n v="1"/>
    <x v="1"/>
    <n v="4"/>
    <x v="0"/>
    <x v="1"/>
    <n v="2326"/>
    <x v="2"/>
    <n v="11411"/>
    <x v="3"/>
    <n v="1"/>
    <x v="1"/>
    <s v="Y"/>
    <x v="0"/>
    <n v="12"/>
    <x v="0"/>
    <n v="3"/>
    <x v="0"/>
    <n v="3"/>
    <x v="3"/>
    <n v="80"/>
    <n v="3"/>
    <n v="4"/>
    <x v="3"/>
    <n v="3"/>
    <x v="1"/>
    <n v="2"/>
    <x v="2"/>
    <n v="4"/>
    <x v="2"/>
    <n v="2"/>
    <x v="0"/>
    <n v="1"/>
    <x v="0"/>
    <n v="2"/>
    <x v="0"/>
  </r>
  <r>
    <n v="404"/>
    <n v="42"/>
    <x v="0"/>
    <x v="1"/>
    <n v="0"/>
    <x v="1"/>
    <n v="555"/>
    <x v="2"/>
    <x v="0"/>
    <n v="26"/>
    <x v="2"/>
    <n v="3"/>
    <x v="3"/>
    <x v="3"/>
    <n v="1"/>
    <n v="3"/>
    <x v="1"/>
    <x v="0"/>
    <n v="77"/>
    <x v="0"/>
    <n v="3"/>
    <x v="0"/>
    <n v="4"/>
    <x v="0"/>
    <n v="2"/>
    <x v="1"/>
    <x v="1"/>
    <n v="13525"/>
    <x v="10"/>
    <n v="14864"/>
    <x v="3"/>
    <n v="5"/>
    <x v="2"/>
    <s v="Y"/>
    <x v="1"/>
    <n v="14"/>
    <x v="2"/>
    <n v="3"/>
    <x v="0"/>
    <n v="4"/>
    <x v="1"/>
    <n v="80"/>
    <n v="1"/>
    <n v="23"/>
    <x v="4"/>
    <n v="2"/>
    <x v="0"/>
    <n v="4"/>
    <x v="3"/>
    <n v="20"/>
    <x v="4"/>
    <n v="4"/>
    <x v="0"/>
    <n v="4"/>
    <x v="1"/>
    <n v="8"/>
    <x v="1"/>
  </r>
  <r>
    <n v="405"/>
    <n v="18"/>
    <x v="4"/>
    <x v="0"/>
    <n v="1"/>
    <x v="0"/>
    <n v="230"/>
    <x v="1"/>
    <x v="1"/>
    <n v="3"/>
    <x v="0"/>
    <n v="3"/>
    <x v="3"/>
    <x v="0"/>
    <n v="1"/>
    <n v="3"/>
    <x v="1"/>
    <x v="1"/>
    <n v="54"/>
    <x v="1"/>
    <n v="3"/>
    <x v="0"/>
    <n v="1"/>
    <x v="2"/>
    <n v="3"/>
    <x v="2"/>
    <x v="0"/>
    <n v="1420"/>
    <x v="2"/>
    <n v="25233"/>
    <x v="1"/>
    <n v="1"/>
    <x v="1"/>
    <s v="Y"/>
    <x v="1"/>
    <n v="13"/>
    <x v="2"/>
    <n v="3"/>
    <x v="0"/>
    <n v="3"/>
    <x v="3"/>
    <n v="80"/>
    <n v="0"/>
    <n v="0"/>
    <x v="2"/>
    <n v="2"/>
    <x v="0"/>
    <n v="3"/>
    <x v="1"/>
    <n v="0"/>
    <x v="1"/>
    <n v="0"/>
    <x v="2"/>
    <n v="0"/>
    <x v="0"/>
    <n v="0"/>
    <x v="2"/>
  </r>
  <r>
    <n v="406"/>
    <n v="35"/>
    <x v="2"/>
    <x v="1"/>
    <n v="0"/>
    <x v="0"/>
    <n v="1232"/>
    <x v="0"/>
    <x v="0"/>
    <n v="16"/>
    <x v="3"/>
    <n v="3"/>
    <x v="3"/>
    <x v="3"/>
    <n v="1"/>
    <n v="3"/>
    <x v="1"/>
    <x v="1"/>
    <n v="96"/>
    <x v="0"/>
    <n v="3"/>
    <x v="0"/>
    <n v="3"/>
    <x v="0"/>
    <n v="2"/>
    <x v="1"/>
    <x v="1"/>
    <n v="8020"/>
    <x v="11"/>
    <n v="5100"/>
    <x v="2"/>
    <n v="0"/>
    <x v="1"/>
    <s v="Y"/>
    <x v="1"/>
    <n v="15"/>
    <x v="2"/>
    <n v="3"/>
    <x v="0"/>
    <n v="3"/>
    <x v="3"/>
    <n v="80"/>
    <n v="2"/>
    <n v="12"/>
    <x v="1"/>
    <n v="3"/>
    <x v="1"/>
    <n v="2"/>
    <x v="2"/>
    <n v="11"/>
    <x v="4"/>
    <n v="9"/>
    <x v="1"/>
    <n v="6"/>
    <x v="2"/>
    <n v="9"/>
    <x v="1"/>
  </r>
  <r>
    <n v="407"/>
    <n v="36"/>
    <x v="0"/>
    <x v="1"/>
    <n v="0"/>
    <x v="1"/>
    <n v="566"/>
    <x v="2"/>
    <x v="1"/>
    <n v="18"/>
    <x v="3"/>
    <n v="4"/>
    <x v="2"/>
    <x v="0"/>
    <n v="1"/>
    <n v="3"/>
    <x v="1"/>
    <x v="1"/>
    <n v="81"/>
    <x v="0"/>
    <n v="4"/>
    <x v="2"/>
    <n v="1"/>
    <x v="2"/>
    <n v="4"/>
    <x v="0"/>
    <x v="1"/>
    <n v="3688"/>
    <x v="3"/>
    <n v="7122"/>
    <x v="2"/>
    <n v="4"/>
    <x v="2"/>
    <s v="Y"/>
    <x v="1"/>
    <n v="18"/>
    <x v="1"/>
    <n v="3"/>
    <x v="0"/>
    <n v="4"/>
    <x v="1"/>
    <n v="80"/>
    <n v="2"/>
    <n v="4"/>
    <x v="3"/>
    <n v="2"/>
    <x v="0"/>
    <n v="3"/>
    <x v="1"/>
    <n v="1"/>
    <x v="1"/>
    <n v="0"/>
    <x v="2"/>
    <n v="0"/>
    <x v="0"/>
    <n v="0"/>
    <x v="2"/>
  </r>
  <r>
    <n v="408"/>
    <n v="51"/>
    <x v="1"/>
    <x v="1"/>
    <n v="0"/>
    <x v="0"/>
    <n v="1302"/>
    <x v="0"/>
    <x v="1"/>
    <n v="2"/>
    <x v="0"/>
    <n v="3"/>
    <x v="3"/>
    <x v="2"/>
    <n v="1"/>
    <n v="4"/>
    <x v="2"/>
    <x v="1"/>
    <n v="84"/>
    <x v="0"/>
    <n v="1"/>
    <x v="3"/>
    <n v="2"/>
    <x v="3"/>
    <n v="2"/>
    <x v="1"/>
    <x v="2"/>
    <n v="5482"/>
    <x v="1"/>
    <n v="16321"/>
    <x v="0"/>
    <n v="5"/>
    <x v="2"/>
    <s v="Y"/>
    <x v="1"/>
    <n v="18"/>
    <x v="1"/>
    <n v="3"/>
    <x v="0"/>
    <n v="4"/>
    <x v="1"/>
    <n v="80"/>
    <n v="1"/>
    <n v="13"/>
    <x v="1"/>
    <n v="3"/>
    <x v="1"/>
    <n v="3"/>
    <x v="1"/>
    <n v="4"/>
    <x v="2"/>
    <n v="1"/>
    <x v="2"/>
    <n v="1"/>
    <x v="0"/>
    <n v="2"/>
    <x v="0"/>
  </r>
  <r>
    <n v="410"/>
    <n v="41"/>
    <x v="0"/>
    <x v="1"/>
    <n v="0"/>
    <x v="0"/>
    <n v="334"/>
    <x v="1"/>
    <x v="0"/>
    <n v="2"/>
    <x v="0"/>
    <n v="4"/>
    <x v="2"/>
    <x v="0"/>
    <n v="1"/>
    <n v="4"/>
    <x v="2"/>
    <x v="1"/>
    <n v="88"/>
    <x v="0"/>
    <n v="3"/>
    <x v="0"/>
    <n v="4"/>
    <x v="5"/>
    <n v="2"/>
    <x v="1"/>
    <x v="0"/>
    <n v="16015"/>
    <x v="12"/>
    <n v="15896"/>
    <x v="3"/>
    <n v="1"/>
    <x v="1"/>
    <s v="Y"/>
    <x v="1"/>
    <n v="19"/>
    <x v="1"/>
    <n v="3"/>
    <x v="0"/>
    <n v="2"/>
    <x v="4"/>
    <n v="80"/>
    <n v="0"/>
    <n v="22"/>
    <x v="4"/>
    <n v="2"/>
    <x v="0"/>
    <n v="3"/>
    <x v="1"/>
    <n v="22"/>
    <x v="3"/>
    <n v="10"/>
    <x v="1"/>
    <n v="0"/>
    <x v="0"/>
    <n v="4"/>
    <x v="0"/>
  </r>
  <r>
    <n v="411"/>
    <n v="18"/>
    <x v="4"/>
    <x v="1"/>
    <n v="0"/>
    <x v="0"/>
    <n v="812"/>
    <x v="2"/>
    <x v="0"/>
    <n v="10"/>
    <x v="1"/>
    <n v="3"/>
    <x v="3"/>
    <x v="2"/>
    <n v="1"/>
    <n v="4"/>
    <x v="2"/>
    <x v="0"/>
    <n v="69"/>
    <x v="1"/>
    <n v="2"/>
    <x v="1"/>
    <n v="1"/>
    <x v="6"/>
    <n v="3"/>
    <x v="2"/>
    <x v="0"/>
    <n v="1200"/>
    <x v="2"/>
    <n v="9724"/>
    <x v="3"/>
    <n v="1"/>
    <x v="1"/>
    <s v="Y"/>
    <x v="1"/>
    <n v="12"/>
    <x v="0"/>
    <n v="3"/>
    <x v="0"/>
    <n v="1"/>
    <x v="0"/>
    <n v="80"/>
    <n v="0"/>
    <n v="0"/>
    <x v="2"/>
    <n v="2"/>
    <x v="0"/>
    <n v="3"/>
    <x v="1"/>
    <n v="0"/>
    <x v="1"/>
    <n v="0"/>
    <x v="2"/>
    <n v="0"/>
    <x v="0"/>
    <n v="0"/>
    <x v="2"/>
  </r>
  <r>
    <n v="412"/>
    <n v="28"/>
    <x v="2"/>
    <x v="1"/>
    <n v="0"/>
    <x v="0"/>
    <n v="1476"/>
    <x v="0"/>
    <x v="1"/>
    <n v="16"/>
    <x v="3"/>
    <n v="2"/>
    <x v="0"/>
    <x v="2"/>
    <n v="1"/>
    <n v="2"/>
    <x v="0"/>
    <x v="1"/>
    <n v="68"/>
    <x v="1"/>
    <n v="4"/>
    <x v="2"/>
    <n v="2"/>
    <x v="4"/>
    <n v="1"/>
    <x v="3"/>
    <x v="0"/>
    <n v="5661"/>
    <x v="0"/>
    <n v="4824"/>
    <x v="2"/>
    <n v="0"/>
    <x v="1"/>
    <s v="Y"/>
    <x v="1"/>
    <n v="19"/>
    <x v="1"/>
    <n v="3"/>
    <x v="0"/>
    <n v="3"/>
    <x v="3"/>
    <n v="80"/>
    <n v="0"/>
    <n v="9"/>
    <x v="0"/>
    <n v="2"/>
    <x v="0"/>
    <n v="3"/>
    <x v="1"/>
    <n v="8"/>
    <x v="0"/>
    <n v="3"/>
    <x v="0"/>
    <n v="0"/>
    <x v="0"/>
    <n v="7"/>
    <x v="1"/>
  </r>
  <r>
    <n v="416"/>
    <n v="31"/>
    <x v="2"/>
    <x v="1"/>
    <n v="0"/>
    <x v="0"/>
    <n v="218"/>
    <x v="1"/>
    <x v="0"/>
    <n v="7"/>
    <x v="1"/>
    <n v="3"/>
    <x v="3"/>
    <x v="4"/>
    <n v="1"/>
    <n v="2"/>
    <x v="0"/>
    <x v="1"/>
    <n v="100"/>
    <x v="0"/>
    <n v="4"/>
    <x v="2"/>
    <n v="2"/>
    <x v="0"/>
    <n v="4"/>
    <x v="0"/>
    <x v="1"/>
    <n v="6929"/>
    <x v="0"/>
    <n v="12241"/>
    <x v="3"/>
    <n v="4"/>
    <x v="2"/>
    <s v="Y"/>
    <x v="1"/>
    <n v="11"/>
    <x v="0"/>
    <n v="3"/>
    <x v="0"/>
    <n v="2"/>
    <x v="4"/>
    <n v="80"/>
    <n v="1"/>
    <n v="10"/>
    <x v="0"/>
    <n v="3"/>
    <x v="1"/>
    <n v="2"/>
    <x v="2"/>
    <n v="8"/>
    <x v="0"/>
    <n v="7"/>
    <x v="1"/>
    <n v="7"/>
    <x v="2"/>
    <n v="7"/>
    <x v="1"/>
  </r>
  <r>
    <n v="417"/>
    <n v="39"/>
    <x v="0"/>
    <x v="1"/>
    <n v="0"/>
    <x v="0"/>
    <n v="1132"/>
    <x v="0"/>
    <x v="1"/>
    <n v="1"/>
    <x v="0"/>
    <n v="3"/>
    <x v="3"/>
    <x v="2"/>
    <n v="1"/>
    <n v="3"/>
    <x v="1"/>
    <x v="1"/>
    <n v="48"/>
    <x v="2"/>
    <n v="4"/>
    <x v="2"/>
    <n v="3"/>
    <x v="4"/>
    <n v="4"/>
    <x v="0"/>
    <x v="2"/>
    <n v="9613"/>
    <x v="4"/>
    <n v="10942"/>
    <x v="3"/>
    <n v="0"/>
    <x v="1"/>
    <s v="Y"/>
    <x v="1"/>
    <n v="17"/>
    <x v="3"/>
    <n v="3"/>
    <x v="0"/>
    <n v="1"/>
    <x v="0"/>
    <n v="80"/>
    <n v="3"/>
    <n v="19"/>
    <x v="1"/>
    <n v="5"/>
    <x v="2"/>
    <n v="2"/>
    <x v="2"/>
    <n v="18"/>
    <x v="4"/>
    <n v="10"/>
    <x v="1"/>
    <n v="3"/>
    <x v="1"/>
    <n v="7"/>
    <x v="1"/>
  </r>
  <r>
    <n v="419"/>
    <n v="36"/>
    <x v="0"/>
    <x v="1"/>
    <n v="0"/>
    <x v="2"/>
    <n v="1105"/>
    <x v="0"/>
    <x v="1"/>
    <n v="24"/>
    <x v="2"/>
    <n v="4"/>
    <x v="2"/>
    <x v="0"/>
    <n v="1"/>
    <n v="2"/>
    <x v="0"/>
    <x v="0"/>
    <n v="47"/>
    <x v="2"/>
    <n v="3"/>
    <x v="0"/>
    <n v="2"/>
    <x v="2"/>
    <n v="2"/>
    <x v="1"/>
    <x v="1"/>
    <n v="5674"/>
    <x v="0"/>
    <n v="6927"/>
    <x v="2"/>
    <n v="7"/>
    <x v="0"/>
    <s v="Y"/>
    <x v="1"/>
    <n v="15"/>
    <x v="2"/>
    <n v="3"/>
    <x v="0"/>
    <n v="3"/>
    <x v="3"/>
    <n v="80"/>
    <n v="1"/>
    <n v="11"/>
    <x v="1"/>
    <n v="3"/>
    <x v="1"/>
    <n v="3"/>
    <x v="1"/>
    <n v="9"/>
    <x v="0"/>
    <n v="8"/>
    <x v="1"/>
    <n v="0"/>
    <x v="0"/>
    <n v="8"/>
    <x v="1"/>
  </r>
  <r>
    <n v="420"/>
    <n v="32"/>
    <x v="2"/>
    <x v="1"/>
    <n v="0"/>
    <x v="0"/>
    <n v="906"/>
    <x v="2"/>
    <x v="0"/>
    <n v="7"/>
    <x v="1"/>
    <n v="3"/>
    <x v="3"/>
    <x v="0"/>
    <n v="1"/>
    <n v="4"/>
    <x v="2"/>
    <x v="1"/>
    <n v="91"/>
    <x v="0"/>
    <n v="2"/>
    <x v="1"/>
    <n v="2"/>
    <x v="0"/>
    <n v="3"/>
    <x v="2"/>
    <x v="1"/>
    <n v="5484"/>
    <x v="1"/>
    <n v="16985"/>
    <x v="0"/>
    <n v="1"/>
    <x v="1"/>
    <s v="Y"/>
    <x v="1"/>
    <n v="14"/>
    <x v="2"/>
    <n v="3"/>
    <x v="0"/>
    <n v="3"/>
    <x v="3"/>
    <n v="80"/>
    <n v="1"/>
    <n v="13"/>
    <x v="1"/>
    <n v="3"/>
    <x v="1"/>
    <n v="2"/>
    <x v="2"/>
    <n v="13"/>
    <x v="4"/>
    <n v="8"/>
    <x v="1"/>
    <n v="4"/>
    <x v="1"/>
    <n v="8"/>
    <x v="1"/>
  </r>
  <r>
    <n v="421"/>
    <n v="38"/>
    <x v="0"/>
    <x v="1"/>
    <n v="0"/>
    <x v="0"/>
    <n v="849"/>
    <x v="2"/>
    <x v="1"/>
    <n v="25"/>
    <x v="2"/>
    <n v="2"/>
    <x v="0"/>
    <x v="0"/>
    <n v="1"/>
    <n v="1"/>
    <x v="3"/>
    <x v="0"/>
    <n v="81"/>
    <x v="0"/>
    <n v="2"/>
    <x v="1"/>
    <n v="3"/>
    <x v="7"/>
    <n v="2"/>
    <x v="1"/>
    <x v="1"/>
    <n v="12061"/>
    <x v="6"/>
    <n v="26707"/>
    <x v="1"/>
    <n v="3"/>
    <x v="3"/>
    <s v="Y"/>
    <x v="1"/>
    <n v="17"/>
    <x v="3"/>
    <n v="3"/>
    <x v="0"/>
    <n v="3"/>
    <x v="3"/>
    <n v="80"/>
    <n v="1"/>
    <n v="19"/>
    <x v="1"/>
    <n v="2"/>
    <x v="0"/>
    <n v="3"/>
    <x v="1"/>
    <n v="10"/>
    <x v="0"/>
    <n v="8"/>
    <x v="1"/>
    <n v="0"/>
    <x v="0"/>
    <n v="1"/>
    <x v="2"/>
  </r>
  <r>
    <n v="422"/>
    <n v="58"/>
    <x v="3"/>
    <x v="1"/>
    <n v="0"/>
    <x v="2"/>
    <n v="390"/>
    <x v="1"/>
    <x v="1"/>
    <n v="1"/>
    <x v="0"/>
    <n v="4"/>
    <x v="2"/>
    <x v="0"/>
    <n v="1"/>
    <n v="4"/>
    <x v="2"/>
    <x v="1"/>
    <n v="32"/>
    <x v="2"/>
    <n v="1"/>
    <x v="3"/>
    <n v="2"/>
    <x v="4"/>
    <n v="3"/>
    <x v="2"/>
    <x v="2"/>
    <n v="5660"/>
    <x v="0"/>
    <n v="17056"/>
    <x v="0"/>
    <n v="2"/>
    <x v="3"/>
    <s v="Y"/>
    <x v="0"/>
    <n v="13"/>
    <x v="2"/>
    <n v="3"/>
    <x v="0"/>
    <n v="4"/>
    <x v="1"/>
    <n v="80"/>
    <n v="1"/>
    <n v="12"/>
    <x v="1"/>
    <n v="2"/>
    <x v="0"/>
    <n v="3"/>
    <x v="1"/>
    <n v="5"/>
    <x v="2"/>
    <n v="3"/>
    <x v="0"/>
    <n v="1"/>
    <x v="0"/>
    <n v="2"/>
    <x v="0"/>
  </r>
  <r>
    <n v="423"/>
    <n v="31"/>
    <x v="2"/>
    <x v="1"/>
    <n v="0"/>
    <x v="0"/>
    <n v="691"/>
    <x v="2"/>
    <x v="1"/>
    <n v="5"/>
    <x v="0"/>
    <n v="4"/>
    <x v="2"/>
    <x v="4"/>
    <n v="1"/>
    <n v="3"/>
    <x v="1"/>
    <x v="1"/>
    <n v="86"/>
    <x v="0"/>
    <n v="3"/>
    <x v="0"/>
    <n v="1"/>
    <x v="1"/>
    <n v="4"/>
    <x v="0"/>
    <x v="1"/>
    <n v="4821"/>
    <x v="1"/>
    <n v="10077"/>
    <x v="3"/>
    <n v="0"/>
    <x v="1"/>
    <s v="Y"/>
    <x v="0"/>
    <n v="12"/>
    <x v="0"/>
    <n v="3"/>
    <x v="0"/>
    <n v="3"/>
    <x v="3"/>
    <n v="80"/>
    <n v="1"/>
    <n v="6"/>
    <x v="0"/>
    <n v="4"/>
    <x v="1"/>
    <n v="3"/>
    <x v="1"/>
    <n v="5"/>
    <x v="2"/>
    <n v="2"/>
    <x v="0"/>
    <n v="0"/>
    <x v="0"/>
    <n v="3"/>
    <x v="0"/>
  </r>
  <r>
    <n v="424"/>
    <n v="31"/>
    <x v="2"/>
    <x v="1"/>
    <n v="0"/>
    <x v="0"/>
    <n v="106"/>
    <x v="1"/>
    <x v="2"/>
    <n v="2"/>
    <x v="0"/>
    <n v="3"/>
    <x v="3"/>
    <x v="5"/>
    <n v="1"/>
    <n v="1"/>
    <x v="3"/>
    <x v="1"/>
    <n v="62"/>
    <x v="1"/>
    <n v="2"/>
    <x v="1"/>
    <n v="2"/>
    <x v="8"/>
    <n v="1"/>
    <x v="3"/>
    <x v="1"/>
    <n v="6410"/>
    <x v="0"/>
    <n v="17822"/>
    <x v="0"/>
    <n v="3"/>
    <x v="3"/>
    <s v="Y"/>
    <x v="1"/>
    <n v="12"/>
    <x v="0"/>
    <n v="3"/>
    <x v="0"/>
    <n v="4"/>
    <x v="1"/>
    <n v="80"/>
    <n v="0"/>
    <n v="9"/>
    <x v="0"/>
    <n v="1"/>
    <x v="0"/>
    <n v="3"/>
    <x v="1"/>
    <n v="2"/>
    <x v="2"/>
    <n v="2"/>
    <x v="0"/>
    <n v="1"/>
    <x v="0"/>
    <n v="0"/>
    <x v="2"/>
  </r>
  <r>
    <n v="425"/>
    <n v="45"/>
    <x v="0"/>
    <x v="1"/>
    <n v="0"/>
    <x v="1"/>
    <n v="1249"/>
    <x v="0"/>
    <x v="1"/>
    <n v="7"/>
    <x v="1"/>
    <n v="3"/>
    <x v="3"/>
    <x v="0"/>
    <n v="1"/>
    <n v="1"/>
    <x v="3"/>
    <x v="1"/>
    <n v="97"/>
    <x v="0"/>
    <n v="3"/>
    <x v="0"/>
    <n v="3"/>
    <x v="2"/>
    <n v="1"/>
    <x v="3"/>
    <x v="2"/>
    <n v="5210"/>
    <x v="1"/>
    <n v="20308"/>
    <x v="0"/>
    <n v="1"/>
    <x v="1"/>
    <s v="Y"/>
    <x v="1"/>
    <n v="18"/>
    <x v="1"/>
    <n v="3"/>
    <x v="0"/>
    <n v="1"/>
    <x v="0"/>
    <n v="80"/>
    <n v="1"/>
    <n v="24"/>
    <x v="4"/>
    <n v="2"/>
    <x v="0"/>
    <n v="3"/>
    <x v="1"/>
    <n v="24"/>
    <x v="3"/>
    <n v="9"/>
    <x v="1"/>
    <n v="9"/>
    <x v="2"/>
    <n v="11"/>
    <x v="3"/>
  </r>
  <r>
    <n v="426"/>
    <n v="31"/>
    <x v="2"/>
    <x v="1"/>
    <n v="0"/>
    <x v="0"/>
    <n v="192"/>
    <x v="1"/>
    <x v="1"/>
    <n v="2"/>
    <x v="0"/>
    <n v="4"/>
    <x v="2"/>
    <x v="0"/>
    <n v="1"/>
    <n v="3"/>
    <x v="1"/>
    <x v="1"/>
    <n v="32"/>
    <x v="2"/>
    <n v="3"/>
    <x v="0"/>
    <n v="1"/>
    <x v="1"/>
    <n v="4"/>
    <x v="0"/>
    <x v="2"/>
    <n v="2695"/>
    <x v="3"/>
    <n v="7747"/>
    <x v="2"/>
    <n v="0"/>
    <x v="1"/>
    <s v="Y"/>
    <x v="0"/>
    <n v="18"/>
    <x v="1"/>
    <n v="3"/>
    <x v="0"/>
    <n v="2"/>
    <x v="4"/>
    <n v="80"/>
    <n v="1"/>
    <n v="3"/>
    <x v="3"/>
    <n v="2"/>
    <x v="0"/>
    <n v="1"/>
    <x v="0"/>
    <n v="2"/>
    <x v="2"/>
    <n v="2"/>
    <x v="0"/>
    <n v="2"/>
    <x v="1"/>
    <n v="2"/>
    <x v="0"/>
  </r>
  <r>
    <n v="428"/>
    <n v="33"/>
    <x v="2"/>
    <x v="1"/>
    <n v="0"/>
    <x v="1"/>
    <n v="553"/>
    <x v="2"/>
    <x v="1"/>
    <n v="5"/>
    <x v="0"/>
    <n v="4"/>
    <x v="2"/>
    <x v="0"/>
    <n v="1"/>
    <n v="4"/>
    <x v="2"/>
    <x v="0"/>
    <n v="74"/>
    <x v="1"/>
    <n v="3"/>
    <x v="0"/>
    <n v="3"/>
    <x v="5"/>
    <n v="2"/>
    <x v="1"/>
    <x v="1"/>
    <n v="11878"/>
    <x v="6"/>
    <n v="23364"/>
    <x v="1"/>
    <n v="6"/>
    <x v="2"/>
    <s v="Y"/>
    <x v="1"/>
    <n v="11"/>
    <x v="0"/>
    <n v="3"/>
    <x v="0"/>
    <n v="2"/>
    <x v="4"/>
    <n v="80"/>
    <n v="2"/>
    <n v="12"/>
    <x v="1"/>
    <n v="2"/>
    <x v="0"/>
    <n v="3"/>
    <x v="1"/>
    <n v="10"/>
    <x v="0"/>
    <n v="6"/>
    <x v="1"/>
    <n v="8"/>
    <x v="2"/>
    <n v="8"/>
    <x v="1"/>
  </r>
  <r>
    <n v="429"/>
    <n v="39"/>
    <x v="0"/>
    <x v="1"/>
    <n v="0"/>
    <x v="0"/>
    <n v="117"/>
    <x v="1"/>
    <x v="1"/>
    <n v="10"/>
    <x v="1"/>
    <n v="1"/>
    <x v="1"/>
    <x v="2"/>
    <n v="1"/>
    <n v="3"/>
    <x v="1"/>
    <x v="1"/>
    <n v="99"/>
    <x v="0"/>
    <n v="3"/>
    <x v="0"/>
    <n v="4"/>
    <x v="5"/>
    <n v="1"/>
    <x v="3"/>
    <x v="1"/>
    <n v="17068"/>
    <x v="12"/>
    <n v="5355"/>
    <x v="2"/>
    <n v="1"/>
    <x v="1"/>
    <s v="Y"/>
    <x v="0"/>
    <n v="14"/>
    <x v="2"/>
    <n v="3"/>
    <x v="0"/>
    <n v="4"/>
    <x v="1"/>
    <n v="80"/>
    <n v="0"/>
    <n v="21"/>
    <x v="4"/>
    <n v="3"/>
    <x v="1"/>
    <n v="3"/>
    <x v="1"/>
    <n v="21"/>
    <x v="3"/>
    <n v="9"/>
    <x v="1"/>
    <n v="11"/>
    <x v="3"/>
    <n v="10"/>
    <x v="1"/>
  </r>
  <r>
    <n v="430"/>
    <n v="43"/>
    <x v="0"/>
    <x v="1"/>
    <n v="0"/>
    <x v="1"/>
    <n v="185"/>
    <x v="1"/>
    <x v="1"/>
    <n v="10"/>
    <x v="1"/>
    <n v="4"/>
    <x v="2"/>
    <x v="0"/>
    <n v="1"/>
    <n v="3"/>
    <x v="1"/>
    <x v="0"/>
    <n v="33"/>
    <x v="2"/>
    <n v="3"/>
    <x v="0"/>
    <n v="1"/>
    <x v="2"/>
    <n v="4"/>
    <x v="0"/>
    <x v="0"/>
    <n v="2455"/>
    <x v="2"/>
    <n v="10675"/>
    <x v="3"/>
    <n v="0"/>
    <x v="1"/>
    <s v="Y"/>
    <x v="1"/>
    <n v="19"/>
    <x v="1"/>
    <n v="3"/>
    <x v="0"/>
    <n v="1"/>
    <x v="0"/>
    <n v="80"/>
    <n v="0"/>
    <n v="9"/>
    <x v="0"/>
    <n v="5"/>
    <x v="2"/>
    <n v="3"/>
    <x v="1"/>
    <n v="8"/>
    <x v="0"/>
    <n v="7"/>
    <x v="1"/>
    <n v="1"/>
    <x v="0"/>
    <n v="7"/>
    <x v="1"/>
  </r>
  <r>
    <n v="431"/>
    <n v="49"/>
    <x v="1"/>
    <x v="1"/>
    <n v="0"/>
    <x v="0"/>
    <n v="1091"/>
    <x v="0"/>
    <x v="1"/>
    <n v="1"/>
    <x v="0"/>
    <n v="2"/>
    <x v="0"/>
    <x v="4"/>
    <n v="1"/>
    <n v="3"/>
    <x v="1"/>
    <x v="0"/>
    <n v="90"/>
    <x v="0"/>
    <n v="2"/>
    <x v="1"/>
    <n v="4"/>
    <x v="4"/>
    <n v="3"/>
    <x v="2"/>
    <x v="0"/>
    <n v="13964"/>
    <x v="10"/>
    <n v="17810"/>
    <x v="0"/>
    <n v="7"/>
    <x v="0"/>
    <s v="Y"/>
    <x v="0"/>
    <n v="12"/>
    <x v="0"/>
    <n v="3"/>
    <x v="0"/>
    <n v="4"/>
    <x v="1"/>
    <n v="80"/>
    <n v="0"/>
    <n v="25"/>
    <x v="4"/>
    <n v="2"/>
    <x v="0"/>
    <n v="3"/>
    <x v="1"/>
    <n v="7"/>
    <x v="0"/>
    <n v="1"/>
    <x v="2"/>
    <n v="0"/>
    <x v="0"/>
    <n v="7"/>
    <x v="1"/>
  </r>
  <r>
    <n v="433"/>
    <n v="52"/>
    <x v="1"/>
    <x v="0"/>
    <n v="1"/>
    <x v="0"/>
    <n v="723"/>
    <x v="2"/>
    <x v="1"/>
    <n v="8"/>
    <x v="1"/>
    <n v="4"/>
    <x v="2"/>
    <x v="2"/>
    <n v="1"/>
    <n v="3"/>
    <x v="1"/>
    <x v="1"/>
    <n v="85"/>
    <x v="0"/>
    <n v="2"/>
    <x v="1"/>
    <n v="2"/>
    <x v="1"/>
    <n v="2"/>
    <x v="1"/>
    <x v="1"/>
    <n v="4941"/>
    <x v="1"/>
    <n v="17747"/>
    <x v="0"/>
    <n v="2"/>
    <x v="3"/>
    <s v="Y"/>
    <x v="1"/>
    <n v="15"/>
    <x v="2"/>
    <n v="3"/>
    <x v="0"/>
    <n v="1"/>
    <x v="0"/>
    <n v="80"/>
    <n v="0"/>
    <n v="11"/>
    <x v="1"/>
    <n v="3"/>
    <x v="1"/>
    <n v="2"/>
    <x v="2"/>
    <n v="8"/>
    <x v="0"/>
    <n v="2"/>
    <x v="0"/>
    <n v="7"/>
    <x v="2"/>
    <n v="7"/>
    <x v="1"/>
  </r>
  <r>
    <n v="434"/>
    <n v="27"/>
    <x v="2"/>
    <x v="1"/>
    <n v="0"/>
    <x v="0"/>
    <n v="1220"/>
    <x v="0"/>
    <x v="1"/>
    <n v="5"/>
    <x v="0"/>
    <n v="3"/>
    <x v="3"/>
    <x v="0"/>
    <n v="1"/>
    <n v="3"/>
    <x v="1"/>
    <x v="0"/>
    <n v="85"/>
    <x v="0"/>
    <n v="3"/>
    <x v="0"/>
    <n v="1"/>
    <x v="1"/>
    <n v="2"/>
    <x v="1"/>
    <x v="0"/>
    <n v="2478"/>
    <x v="2"/>
    <n v="20938"/>
    <x v="0"/>
    <n v="1"/>
    <x v="1"/>
    <s v="Y"/>
    <x v="0"/>
    <n v="12"/>
    <x v="0"/>
    <n v="3"/>
    <x v="0"/>
    <n v="2"/>
    <x v="4"/>
    <n v="80"/>
    <n v="0"/>
    <n v="4"/>
    <x v="3"/>
    <n v="2"/>
    <x v="0"/>
    <n v="2"/>
    <x v="2"/>
    <n v="4"/>
    <x v="2"/>
    <n v="3"/>
    <x v="0"/>
    <n v="1"/>
    <x v="0"/>
    <n v="2"/>
    <x v="0"/>
  </r>
  <r>
    <n v="436"/>
    <n v="32"/>
    <x v="2"/>
    <x v="1"/>
    <n v="0"/>
    <x v="0"/>
    <n v="588"/>
    <x v="2"/>
    <x v="0"/>
    <n v="8"/>
    <x v="1"/>
    <n v="2"/>
    <x v="0"/>
    <x v="4"/>
    <n v="1"/>
    <n v="3"/>
    <x v="1"/>
    <x v="0"/>
    <n v="65"/>
    <x v="1"/>
    <n v="2"/>
    <x v="1"/>
    <n v="2"/>
    <x v="0"/>
    <n v="2"/>
    <x v="1"/>
    <x v="1"/>
    <n v="5228"/>
    <x v="1"/>
    <n v="24624"/>
    <x v="1"/>
    <n v="1"/>
    <x v="1"/>
    <s v="Y"/>
    <x v="0"/>
    <n v="11"/>
    <x v="0"/>
    <n v="3"/>
    <x v="0"/>
    <n v="4"/>
    <x v="1"/>
    <n v="80"/>
    <n v="0"/>
    <n v="13"/>
    <x v="1"/>
    <n v="2"/>
    <x v="0"/>
    <n v="3"/>
    <x v="1"/>
    <n v="13"/>
    <x v="4"/>
    <n v="12"/>
    <x v="3"/>
    <n v="11"/>
    <x v="3"/>
    <n v="9"/>
    <x v="1"/>
  </r>
  <r>
    <n v="437"/>
    <n v="27"/>
    <x v="2"/>
    <x v="1"/>
    <n v="0"/>
    <x v="0"/>
    <n v="1377"/>
    <x v="0"/>
    <x v="0"/>
    <n v="2"/>
    <x v="0"/>
    <n v="3"/>
    <x v="3"/>
    <x v="0"/>
    <n v="1"/>
    <n v="4"/>
    <x v="2"/>
    <x v="1"/>
    <n v="74"/>
    <x v="1"/>
    <n v="3"/>
    <x v="0"/>
    <n v="2"/>
    <x v="0"/>
    <n v="3"/>
    <x v="2"/>
    <x v="0"/>
    <n v="4478"/>
    <x v="1"/>
    <n v="5242"/>
    <x v="2"/>
    <n v="1"/>
    <x v="1"/>
    <s v="Y"/>
    <x v="0"/>
    <n v="11"/>
    <x v="0"/>
    <n v="3"/>
    <x v="0"/>
    <n v="1"/>
    <x v="0"/>
    <n v="80"/>
    <n v="0"/>
    <n v="5"/>
    <x v="3"/>
    <n v="3"/>
    <x v="1"/>
    <n v="3"/>
    <x v="1"/>
    <n v="5"/>
    <x v="2"/>
    <n v="4"/>
    <x v="0"/>
    <n v="0"/>
    <x v="0"/>
    <n v="4"/>
    <x v="0"/>
  </r>
  <r>
    <n v="438"/>
    <n v="31"/>
    <x v="2"/>
    <x v="1"/>
    <n v="0"/>
    <x v="0"/>
    <n v="691"/>
    <x v="2"/>
    <x v="0"/>
    <n v="7"/>
    <x v="1"/>
    <n v="3"/>
    <x v="3"/>
    <x v="3"/>
    <n v="1"/>
    <n v="4"/>
    <x v="2"/>
    <x v="1"/>
    <n v="73"/>
    <x v="1"/>
    <n v="3"/>
    <x v="0"/>
    <n v="2"/>
    <x v="0"/>
    <n v="4"/>
    <x v="0"/>
    <x v="2"/>
    <n v="7547"/>
    <x v="11"/>
    <n v="7143"/>
    <x v="2"/>
    <n v="4"/>
    <x v="2"/>
    <s v="Y"/>
    <x v="1"/>
    <n v="12"/>
    <x v="0"/>
    <n v="3"/>
    <x v="0"/>
    <n v="4"/>
    <x v="1"/>
    <n v="80"/>
    <n v="3"/>
    <n v="13"/>
    <x v="1"/>
    <n v="3"/>
    <x v="1"/>
    <n v="3"/>
    <x v="1"/>
    <n v="7"/>
    <x v="0"/>
    <n v="7"/>
    <x v="1"/>
    <n v="1"/>
    <x v="0"/>
    <n v="7"/>
    <x v="1"/>
  </r>
  <r>
    <n v="439"/>
    <n v="32"/>
    <x v="2"/>
    <x v="1"/>
    <n v="0"/>
    <x v="0"/>
    <n v="1018"/>
    <x v="0"/>
    <x v="1"/>
    <n v="2"/>
    <x v="0"/>
    <n v="4"/>
    <x v="2"/>
    <x v="2"/>
    <n v="1"/>
    <n v="1"/>
    <x v="3"/>
    <x v="0"/>
    <n v="74"/>
    <x v="1"/>
    <n v="4"/>
    <x v="2"/>
    <n v="2"/>
    <x v="1"/>
    <n v="4"/>
    <x v="0"/>
    <x v="0"/>
    <n v="5055"/>
    <x v="1"/>
    <n v="10557"/>
    <x v="3"/>
    <n v="7"/>
    <x v="0"/>
    <s v="Y"/>
    <x v="1"/>
    <n v="16"/>
    <x v="3"/>
    <n v="3"/>
    <x v="0"/>
    <n v="3"/>
    <x v="3"/>
    <n v="80"/>
    <n v="0"/>
    <n v="10"/>
    <x v="0"/>
    <n v="0"/>
    <x v="0"/>
    <n v="2"/>
    <x v="2"/>
    <n v="7"/>
    <x v="0"/>
    <n v="7"/>
    <x v="1"/>
    <n v="0"/>
    <x v="0"/>
    <n v="7"/>
    <x v="1"/>
  </r>
  <r>
    <n v="440"/>
    <n v="28"/>
    <x v="2"/>
    <x v="0"/>
    <n v="1"/>
    <x v="0"/>
    <n v="1157"/>
    <x v="0"/>
    <x v="1"/>
    <n v="2"/>
    <x v="0"/>
    <n v="4"/>
    <x v="2"/>
    <x v="2"/>
    <n v="1"/>
    <n v="1"/>
    <x v="3"/>
    <x v="1"/>
    <n v="84"/>
    <x v="0"/>
    <n v="1"/>
    <x v="3"/>
    <n v="1"/>
    <x v="1"/>
    <n v="4"/>
    <x v="0"/>
    <x v="1"/>
    <n v="3464"/>
    <x v="3"/>
    <n v="24737"/>
    <x v="1"/>
    <n v="5"/>
    <x v="2"/>
    <s v="Y"/>
    <x v="0"/>
    <n v="13"/>
    <x v="2"/>
    <n v="3"/>
    <x v="0"/>
    <n v="4"/>
    <x v="1"/>
    <n v="80"/>
    <n v="0"/>
    <n v="5"/>
    <x v="3"/>
    <n v="4"/>
    <x v="1"/>
    <n v="2"/>
    <x v="2"/>
    <n v="3"/>
    <x v="2"/>
    <n v="2"/>
    <x v="0"/>
    <n v="2"/>
    <x v="1"/>
    <n v="2"/>
    <x v="0"/>
  </r>
  <r>
    <n v="441"/>
    <n v="30"/>
    <x v="2"/>
    <x v="1"/>
    <n v="0"/>
    <x v="0"/>
    <n v="1275"/>
    <x v="0"/>
    <x v="1"/>
    <n v="28"/>
    <x v="2"/>
    <n v="2"/>
    <x v="0"/>
    <x v="2"/>
    <n v="1"/>
    <n v="4"/>
    <x v="2"/>
    <x v="0"/>
    <n v="64"/>
    <x v="1"/>
    <n v="3"/>
    <x v="0"/>
    <n v="2"/>
    <x v="1"/>
    <n v="4"/>
    <x v="0"/>
    <x v="1"/>
    <n v="5775"/>
    <x v="0"/>
    <n v="11934"/>
    <x v="3"/>
    <n v="1"/>
    <x v="1"/>
    <s v="Y"/>
    <x v="1"/>
    <n v="13"/>
    <x v="2"/>
    <n v="3"/>
    <x v="0"/>
    <n v="4"/>
    <x v="1"/>
    <n v="80"/>
    <n v="2"/>
    <n v="11"/>
    <x v="1"/>
    <n v="2"/>
    <x v="0"/>
    <n v="3"/>
    <x v="1"/>
    <n v="10"/>
    <x v="0"/>
    <n v="8"/>
    <x v="1"/>
    <n v="1"/>
    <x v="0"/>
    <n v="9"/>
    <x v="1"/>
  </r>
  <r>
    <n v="442"/>
    <n v="31"/>
    <x v="2"/>
    <x v="1"/>
    <n v="0"/>
    <x v="1"/>
    <n v="798"/>
    <x v="2"/>
    <x v="1"/>
    <n v="7"/>
    <x v="1"/>
    <n v="2"/>
    <x v="0"/>
    <x v="0"/>
    <n v="1"/>
    <n v="3"/>
    <x v="1"/>
    <x v="0"/>
    <n v="48"/>
    <x v="2"/>
    <n v="2"/>
    <x v="1"/>
    <n v="3"/>
    <x v="3"/>
    <n v="3"/>
    <x v="2"/>
    <x v="1"/>
    <n v="8943"/>
    <x v="4"/>
    <n v="14034"/>
    <x v="3"/>
    <n v="1"/>
    <x v="1"/>
    <s v="Y"/>
    <x v="1"/>
    <n v="24"/>
    <x v="1"/>
    <n v="4"/>
    <x v="1"/>
    <n v="1"/>
    <x v="0"/>
    <n v="80"/>
    <n v="1"/>
    <n v="10"/>
    <x v="0"/>
    <n v="2"/>
    <x v="0"/>
    <n v="3"/>
    <x v="1"/>
    <n v="10"/>
    <x v="0"/>
    <n v="9"/>
    <x v="1"/>
    <n v="8"/>
    <x v="2"/>
    <n v="9"/>
    <x v="1"/>
  </r>
  <r>
    <n v="444"/>
    <n v="39"/>
    <x v="0"/>
    <x v="1"/>
    <n v="0"/>
    <x v="1"/>
    <n v="672"/>
    <x v="2"/>
    <x v="1"/>
    <n v="7"/>
    <x v="1"/>
    <n v="2"/>
    <x v="0"/>
    <x v="2"/>
    <n v="1"/>
    <n v="3"/>
    <x v="1"/>
    <x v="1"/>
    <n v="54"/>
    <x v="1"/>
    <n v="2"/>
    <x v="1"/>
    <n v="5"/>
    <x v="5"/>
    <n v="4"/>
    <x v="0"/>
    <x v="1"/>
    <n v="19272"/>
    <x v="7"/>
    <n v="21141"/>
    <x v="0"/>
    <n v="1"/>
    <x v="1"/>
    <s v="Y"/>
    <x v="1"/>
    <n v="15"/>
    <x v="2"/>
    <n v="3"/>
    <x v="0"/>
    <n v="1"/>
    <x v="0"/>
    <n v="80"/>
    <n v="1"/>
    <n v="21"/>
    <x v="4"/>
    <n v="2"/>
    <x v="0"/>
    <n v="3"/>
    <x v="1"/>
    <n v="21"/>
    <x v="3"/>
    <n v="9"/>
    <x v="1"/>
    <n v="13"/>
    <x v="3"/>
    <n v="3"/>
    <x v="0"/>
  </r>
  <r>
    <n v="445"/>
    <n v="39"/>
    <x v="0"/>
    <x v="0"/>
    <n v="1"/>
    <x v="0"/>
    <n v="1162"/>
    <x v="0"/>
    <x v="0"/>
    <n v="3"/>
    <x v="0"/>
    <n v="2"/>
    <x v="0"/>
    <x v="2"/>
    <n v="1"/>
    <n v="4"/>
    <x v="2"/>
    <x v="0"/>
    <n v="41"/>
    <x v="2"/>
    <n v="3"/>
    <x v="0"/>
    <n v="2"/>
    <x v="0"/>
    <n v="3"/>
    <x v="2"/>
    <x v="1"/>
    <n v="5238"/>
    <x v="1"/>
    <n v="17778"/>
    <x v="0"/>
    <n v="4"/>
    <x v="2"/>
    <s v="Y"/>
    <x v="0"/>
    <n v="18"/>
    <x v="1"/>
    <n v="3"/>
    <x v="0"/>
    <n v="1"/>
    <x v="0"/>
    <n v="80"/>
    <n v="0"/>
    <n v="12"/>
    <x v="1"/>
    <n v="3"/>
    <x v="1"/>
    <n v="2"/>
    <x v="2"/>
    <n v="1"/>
    <x v="1"/>
    <n v="0"/>
    <x v="2"/>
    <n v="0"/>
    <x v="0"/>
    <n v="0"/>
    <x v="2"/>
  </r>
  <r>
    <n v="446"/>
    <n v="33"/>
    <x v="2"/>
    <x v="1"/>
    <n v="0"/>
    <x v="1"/>
    <n v="508"/>
    <x v="2"/>
    <x v="0"/>
    <n v="10"/>
    <x v="1"/>
    <n v="3"/>
    <x v="3"/>
    <x v="3"/>
    <n v="1"/>
    <n v="2"/>
    <x v="0"/>
    <x v="1"/>
    <n v="46"/>
    <x v="2"/>
    <n v="2"/>
    <x v="1"/>
    <n v="2"/>
    <x v="0"/>
    <n v="4"/>
    <x v="0"/>
    <x v="0"/>
    <n v="4682"/>
    <x v="1"/>
    <n v="4317"/>
    <x v="2"/>
    <n v="3"/>
    <x v="3"/>
    <s v="Y"/>
    <x v="1"/>
    <n v="14"/>
    <x v="2"/>
    <n v="3"/>
    <x v="0"/>
    <n v="3"/>
    <x v="3"/>
    <n v="80"/>
    <n v="0"/>
    <n v="9"/>
    <x v="0"/>
    <n v="6"/>
    <x v="2"/>
    <n v="2"/>
    <x v="2"/>
    <n v="7"/>
    <x v="0"/>
    <n v="7"/>
    <x v="1"/>
    <n v="0"/>
    <x v="0"/>
    <n v="1"/>
    <x v="2"/>
  </r>
  <r>
    <n v="447"/>
    <n v="47"/>
    <x v="1"/>
    <x v="1"/>
    <n v="0"/>
    <x v="0"/>
    <n v="1482"/>
    <x v="0"/>
    <x v="1"/>
    <n v="5"/>
    <x v="0"/>
    <n v="5"/>
    <x v="4"/>
    <x v="0"/>
    <n v="1"/>
    <n v="4"/>
    <x v="2"/>
    <x v="1"/>
    <n v="42"/>
    <x v="2"/>
    <n v="3"/>
    <x v="0"/>
    <n v="5"/>
    <x v="7"/>
    <n v="3"/>
    <x v="2"/>
    <x v="1"/>
    <n v="18300"/>
    <x v="9"/>
    <n v="16375"/>
    <x v="0"/>
    <n v="4"/>
    <x v="2"/>
    <s v="Y"/>
    <x v="1"/>
    <n v="11"/>
    <x v="0"/>
    <n v="3"/>
    <x v="0"/>
    <n v="2"/>
    <x v="4"/>
    <n v="80"/>
    <n v="1"/>
    <n v="21"/>
    <x v="4"/>
    <n v="2"/>
    <x v="0"/>
    <n v="3"/>
    <x v="1"/>
    <n v="3"/>
    <x v="2"/>
    <n v="2"/>
    <x v="0"/>
    <n v="1"/>
    <x v="0"/>
    <n v="1"/>
    <x v="2"/>
  </r>
  <r>
    <n v="448"/>
    <n v="43"/>
    <x v="0"/>
    <x v="1"/>
    <n v="0"/>
    <x v="1"/>
    <n v="559"/>
    <x v="2"/>
    <x v="1"/>
    <n v="10"/>
    <x v="1"/>
    <n v="4"/>
    <x v="2"/>
    <x v="0"/>
    <n v="1"/>
    <n v="3"/>
    <x v="1"/>
    <x v="0"/>
    <n v="82"/>
    <x v="0"/>
    <n v="2"/>
    <x v="1"/>
    <n v="2"/>
    <x v="2"/>
    <n v="3"/>
    <x v="2"/>
    <x v="2"/>
    <n v="5257"/>
    <x v="1"/>
    <n v="6227"/>
    <x v="2"/>
    <n v="1"/>
    <x v="1"/>
    <s v="Y"/>
    <x v="1"/>
    <n v="11"/>
    <x v="0"/>
    <n v="3"/>
    <x v="0"/>
    <n v="2"/>
    <x v="4"/>
    <n v="80"/>
    <n v="1"/>
    <n v="9"/>
    <x v="0"/>
    <n v="3"/>
    <x v="1"/>
    <n v="4"/>
    <x v="3"/>
    <n v="9"/>
    <x v="0"/>
    <n v="7"/>
    <x v="1"/>
    <n v="0"/>
    <x v="0"/>
    <n v="0"/>
    <x v="2"/>
  </r>
  <r>
    <n v="449"/>
    <n v="27"/>
    <x v="2"/>
    <x v="1"/>
    <n v="0"/>
    <x v="2"/>
    <n v="210"/>
    <x v="1"/>
    <x v="0"/>
    <n v="1"/>
    <x v="0"/>
    <n v="1"/>
    <x v="1"/>
    <x v="3"/>
    <n v="1"/>
    <n v="3"/>
    <x v="1"/>
    <x v="1"/>
    <n v="73"/>
    <x v="1"/>
    <n v="3"/>
    <x v="0"/>
    <n v="2"/>
    <x v="0"/>
    <n v="2"/>
    <x v="1"/>
    <x v="1"/>
    <n v="6349"/>
    <x v="0"/>
    <n v="22107"/>
    <x v="1"/>
    <n v="0"/>
    <x v="1"/>
    <s v="Y"/>
    <x v="0"/>
    <n v="13"/>
    <x v="2"/>
    <n v="3"/>
    <x v="0"/>
    <n v="4"/>
    <x v="1"/>
    <n v="80"/>
    <n v="1"/>
    <n v="6"/>
    <x v="0"/>
    <n v="0"/>
    <x v="0"/>
    <n v="3"/>
    <x v="1"/>
    <n v="5"/>
    <x v="2"/>
    <n v="4"/>
    <x v="0"/>
    <n v="1"/>
    <x v="0"/>
    <n v="4"/>
    <x v="0"/>
  </r>
  <r>
    <n v="450"/>
    <n v="54"/>
    <x v="1"/>
    <x v="1"/>
    <n v="0"/>
    <x v="1"/>
    <n v="928"/>
    <x v="2"/>
    <x v="1"/>
    <n v="20"/>
    <x v="3"/>
    <n v="4"/>
    <x v="2"/>
    <x v="0"/>
    <n v="1"/>
    <n v="4"/>
    <x v="2"/>
    <x v="0"/>
    <n v="31"/>
    <x v="2"/>
    <n v="3"/>
    <x v="0"/>
    <n v="2"/>
    <x v="1"/>
    <n v="3"/>
    <x v="2"/>
    <x v="0"/>
    <n v="4869"/>
    <x v="1"/>
    <n v="16885"/>
    <x v="0"/>
    <n v="3"/>
    <x v="3"/>
    <s v="Y"/>
    <x v="1"/>
    <n v="12"/>
    <x v="0"/>
    <n v="3"/>
    <x v="0"/>
    <n v="4"/>
    <x v="1"/>
    <n v="80"/>
    <n v="0"/>
    <n v="20"/>
    <x v="1"/>
    <n v="4"/>
    <x v="1"/>
    <n v="2"/>
    <x v="2"/>
    <n v="4"/>
    <x v="2"/>
    <n v="3"/>
    <x v="0"/>
    <n v="0"/>
    <x v="0"/>
    <n v="3"/>
    <x v="0"/>
  </r>
  <r>
    <n v="451"/>
    <n v="43"/>
    <x v="0"/>
    <x v="1"/>
    <n v="0"/>
    <x v="0"/>
    <n v="1001"/>
    <x v="0"/>
    <x v="1"/>
    <n v="7"/>
    <x v="1"/>
    <n v="3"/>
    <x v="3"/>
    <x v="0"/>
    <n v="1"/>
    <n v="3"/>
    <x v="1"/>
    <x v="0"/>
    <n v="43"/>
    <x v="2"/>
    <n v="3"/>
    <x v="0"/>
    <n v="3"/>
    <x v="4"/>
    <n v="1"/>
    <x v="3"/>
    <x v="1"/>
    <n v="9985"/>
    <x v="4"/>
    <n v="9262"/>
    <x v="3"/>
    <n v="8"/>
    <x v="0"/>
    <s v="Y"/>
    <x v="1"/>
    <n v="16"/>
    <x v="3"/>
    <n v="3"/>
    <x v="0"/>
    <n v="1"/>
    <x v="0"/>
    <n v="80"/>
    <n v="1"/>
    <n v="10"/>
    <x v="0"/>
    <n v="1"/>
    <x v="0"/>
    <n v="2"/>
    <x v="2"/>
    <n v="1"/>
    <x v="1"/>
    <n v="0"/>
    <x v="2"/>
    <n v="0"/>
    <x v="0"/>
    <n v="0"/>
    <x v="2"/>
  </r>
  <r>
    <n v="452"/>
    <n v="45"/>
    <x v="0"/>
    <x v="1"/>
    <n v="0"/>
    <x v="0"/>
    <n v="549"/>
    <x v="2"/>
    <x v="1"/>
    <n v="8"/>
    <x v="1"/>
    <n v="4"/>
    <x v="2"/>
    <x v="1"/>
    <n v="1"/>
    <n v="4"/>
    <x v="2"/>
    <x v="1"/>
    <n v="75"/>
    <x v="1"/>
    <n v="3"/>
    <x v="0"/>
    <n v="2"/>
    <x v="1"/>
    <n v="4"/>
    <x v="0"/>
    <x v="1"/>
    <n v="3697"/>
    <x v="3"/>
    <n v="9278"/>
    <x v="3"/>
    <n v="9"/>
    <x v="0"/>
    <s v="Y"/>
    <x v="1"/>
    <n v="14"/>
    <x v="2"/>
    <n v="3"/>
    <x v="0"/>
    <n v="1"/>
    <x v="0"/>
    <n v="80"/>
    <n v="2"/>
    <n v="12"/>
    <x v="1"/>
    <n v="3"/>
    <x v="1"/>
    <n v="3"/>
    <x v="1"/>
    <n v="10"/>
    <x v="0"/>
    <n v="9"/>
    <x v="1"/>
    <n v="9"/>
    <x v="2"/>
    <n v="8"/>
    <x v="1"/>
  </r>
  <r>
    <n v="453"/>
    <n v="40"/>
    <x v="0"/>
    <x v="1"/>
    <n v="0"/>
    <x v="0"/>
    <n v="1124"/>
    <x v="0"/>
    <x v="0"/>
    <n v="1"/>
    <x v="0"/>
    <n v="2"/>
    <x v="0"/>
    <x v="2"/>
    <n v="1"/>
    <n v="2"/>
    <x v="0"/>
    <x v="1"/>
    <n v="57"/>
    <x v="1"/>
    <n v="1"/>
    <x v="3"/>
    <n v="2"/>
    <x v="0"/>
    <n v="4"/>
    <x v="0"/>
    <x v="1"/>
    <n v="7457"/>
    <x v="11"/>
    <n v="13273"/>
    <x v="3"/>
    <n v="2"/>
    <x v="3"/>
    <s v="Y"/>
    <x v="0"/>
    <n v="22"/>
    <x v="1"/>
    <n v="4"/>
    <x v="1"/>
    <n v="3"/>
    <x v="3"/>
    <n v="80"/>
    <n v="3"/>
    <n v="6"/>
    <x v="0"/>
    <n v="2"/>
    <x v="0"/>
    <n v="2"/>
    <x v="2"/>
    <n v="4"/>
    <x v="2"/>
    <n v="3"/>
    <x v="0"/>
    <n v="0"/>
    <x v="0"/>
    <n v="2"/>
    <x v="0"/>
  </r>
  <r>
    <n v="454"/>
    <n v="29"/>
    <x v="2"/>
    <x v="0"/>
    <n v="1"/>
    <x v="0"/>
    <n v="318"/>
    <x v="1"/>
    <x v="1"/>
    <n v="8"/>
    <x v="1"/>
    <n v="4"/>
    <x v="2"/>
    <x v="1"/>
    <n v="1"/>
    <n v="2"/>
    <x v="0"/>
    <x v="1"/>
    <n v="77"/>
    <x v="0"/>
    <n v="1"/>
    <x v="3"/>
    <n v="1"/>
    <x v="2"/>
    <n v="1"/>
    <x v="3"/>
    <x v="1"/>
    <n v="2119"/>
    <x v="2"/>
    <n v="4759"/>
    <x v="2"/>
    <n v="1"/>
    <x v="1"/>
    <s v="Y"/>
    <x v="0"/>
    <n v="11"/>
    <x v="0"/>
    <n v="3"/>
    <x v="0"/>
    <n v="4"/>
    <x v="1"/>
    <n v="80"/>
    <n v="0"/>
    <n v="7"/>
    <x v="0"/>
    <n v="4"/>
    <x v="1"/>
    <n v="2"/>
    <x v="2"/>
    <n v="7"/>
    <x v="0"/>
    <n v="7"/>
    <x v="1"/>
    <n v="0"/>
    <x v="0"/>
    <n v="7"/>
    <x v="1"/>
  </r>
  <r>
    <n v="455"/>
    <n v="29"/>
    <x v="2"/>
    <x v="1"/>
    <n v="0"/>
    <x v="0"/>
    <n v="738"/>
    <x v="2"/>
    <x v="1"/>
    <n v="9"/>
    <x v="1"/>
    <n v="5"/>
    <x v="4"/>
    <x v="1"/>
    <n v="1"/>
    <n v="2"/>
    <x v="0"/>
    <x v="1"/>
    <n v="30"/>
    <x v="2"/>
    <n v="2"/>
    <x v="1"/>
    <n v="1"/>
    <x v="2"/>
    <n v="4"/>
    <x v="0"/>
    <x v="0"/>
    <n v="3983"/>
    <x v="3"/>
    <n v="7621"/>
    <x v="2"/>
    <n v="0"/>
    <x v="1"/>
    <s v="Y"/>
    <x v="1"/>
    <n v="17"/>
    <x v="3"/>
    <n v="3"/>
    <x v="0"/>
    <n v="3"/>
    <x v="3"/>
    <n v="80"/>
    <n v="0"/>
    <n v="4"/>
    <x v="3"/>
    <n v="2"/>
    <x v="0"/>
    <n v="3"/>
    <x v="1"/>
    <n v="3"/>
    <x v="2"/>
    <n v="2"/>
    <x v="0"/>
    <n v="2"/>
    <x v="1"/>
    <n v="2"/>
    <x v="0"/>
  </r>
  <r>
    <n v="456"/>
    <n v="30"/>
    <x v="2"/>
    <x v="1"/>
    <n v="0"/>
    <x v="0"/>
    <n v="570"/>
    <x v="2"/>
    <x v="0"/>
    <n v="5"/>
    <x v="0"/>
    <n v="3"/>
    <x v="3"/>
    <x v="3"/>
    <n v="1"/>
    <n v="4"/>
    <x v="2"/>
    <x v="0"/>
    <n v="30"/>
    <x v="2"/>
    <n v="2"/>
    <x v="1"/>
    <n v="2"/>
    <x v="0"/>
    <n v="3"/>
    <x v="2"/>
    <x v="2"/>
    <n v="6118"/>
    <x v="0"/>
    <n v="5431"/>
    <x v="2"/>
    <n v="1"/>
    <x v="1"/>
    <s v="Y"/>
    <x v="1"/>
    <n v="13"/>
    <x v="2"/>
    <n v="3"/>
    <x v="0"/>
    <n v="3"/>
    <x v="3"/>
    <n v="80"/>
    <n v="3"/>
    <n v="10"/>
    <x v="0"/>
    <n v="2"/>
    <x v="0"/>
    <n v="3"/>
    <x v="1"/>
    <n v="10"/>
    <x v="0"/>
    <n v="9"/>
    <x v="1"/>
    <n v="1"/>
    <x v="0"/>
    <n v="2"/>
    <x v="0"/>
  </r>
  <r>
    <n v="458"/>
    <n v="27"/>
    <x v="2"/>
    <x v="1"/>
    <n v="0"/>
    <x v="0"/>
    <n v="1130"/>
    <x v="0"/>
    <x v="0"/>
    <n v="8"/>
    <x v="1"/>
    <n v="4"/>
    <x v="2"/>
    <x v="3"/>
    <n v="1"/>
    <n v="2"/>
    <x v="0"/>
    <x v="0"/>
    <n v="56"/>
    <x v="1"/>
    <n v="3"/>
    <x v="0"/>
    <n v="2"/>
    <x v="0"/>
    <n v="2"/>
    <x v="1"/>
    <x v="1"/>
    <n v="6214"/>
    <x v="0"/>
    <n v="3415"/>
    <x v="2"/>
    <n v="1"/>
    <x v="1"/>
    <s v="Y"/>
    <x v="1"/>
    <n v="18"/>
    <x v="1"/>
    <n v="3"/>
    <x v="0"/>
    <n v="1"/>
    <x v="0"/>
    <n v="80"/>
    <n v="1"/>
    <n v="8"/>
    <x v="0"/>
    <n v="3"/>
    <x v="1"/>
    <n v="3"/>
    <x v="1"/>
    <n v="8"/>
    <x v="0"/>
    <n v="7"/>
    <x v="1"/>
    <n v="0"/>
    <x v="0"/>
    <n v="7"/>
    <x v="1"/>
  </r>
  <r>
    <n v="460"/>
    <n v="37"/>
    <x v="0"/>
    <x v="1"/>
    <n v="0"/>
    <x v="0"/>
    <n v="1192"/>
    <x v="0"/>
    <x v="1"/>
    <n v="5"/>
    <x v="0"/>
    <n v="2"/>
    <x v="0"/>
    <x v="2"/>
    <n v="1"/>
    <n v="4"/>
    <x v="2"/>
    <x v="1"/>
    <n v="61"/>
    <x v="1"/>
    <n v="3"/>
    <x v="0"/>
    <n v="2"/>
    <x v="3"/>
    <n v="4"/>
    <x v="0"/>
    <x v="2"/>
    <n v="6347"/>
    <x v="0"/>
    <n v="23177"/>
    <x v="1"/>
    <n v="7"/>
    <x v="0"/>
    <s v="Y"/>
    <x v="1"/>
    <n v="16"/>
    <x v="3"/>
    <n v="3"/>
    <x v="0"/>
    <n v="3"/>
    <x v="3"/>
    <n v="80"/>
    <n v="2"/>
    <n v="8"/>
    <x v="0"/>
    <n v="2"/>
    <x v="0"/>
    <n v="2"/>
    <x v="2"/>
    <n v="6"/>
    <x v="0"/>
    <n v="2"/>
    <x v="0"/>
    <n v="0"/>
    <x v="0"/>
    <n v="4"/>
    <x v="0"/>
  </r>
  <r>
    <n v="461"/>
    <n v="38"/>
    <x v="0"/>
    <x v="1"/>
    <n v="0"/>
    <x v="0"/>
    <n v="343"/>
    <x v="1"/>
    <x v="1"/>
    <n v="15"/>
    <x v="3"/>
    <n v="2"/>
    <x v="0"/>
    <x v="0"/>
    <n v="1"/>
    <n v="3"/>
    <x v="1"/>
    <x v="1"/>
    <n v="92"/>
    <x v="0"/>
    <n v="2"/>
    <x v="1"/>
    <n v="3"/>
    <x v="7"/>
    <n v="4"/>
    <x v="0"/>
    <x v="2"/>
    <n v="11510"/>
    <x v="6"/>
    <n v="15682"/>
    <x v="3"/>
    <n v="0"/>
    <x v="1"/>
    <s v="Y"/>
    <x v="0"/>
    <n v="14"/>
    <x v="2"/>
    <n v="3"/>
    <x v="0"/>
    <n v="2"/>
    <x v="4"/>
    <n v="80"/>
    <n v="1"/>
    <n v="12"/>
    <x v="1"/>
    <n v="3"/>
    <x v="1"/>
    <n v="3"/>
    <x v="1"/>
    <n v="11"/>
    <x v="4"/>
    <n v="10"/>
    <x v="1"/>
    <n v="2"/>
    <x v="1"/>
    <n v="9"/>
    <x v="1"/>
  </r>
  <r>
    <n v="462"/>
    <n v="31"/>
    <x v="2"/>
    <x v="1"/>
    <n v="0"/>
    <x v="0"/>
    <n v="1232"/>
    <x v="0"/>
    <x v="1"/>
    <n v="7"/>
    <x v="1"/>
    <n v="4"/>
    <x v="2"/>
    <x v="2"/>
    <n v="1"/>
    <n v="3"/>
    <x v="1"/>
    <x v="0"/>
    <n v="39"/>
    <x v="2"/>
    <n v="3"/>
    <x v="0"/>
    <n v="3"/>
    <x v="3"/>
    <n v="4"/>
    <x v="0"/>
    <x v="0"/>
    <n v="7143"/>
    <x v="11"/>
    <n v="25713"/>
    <x v="1"/>
    <n v="1"/>
    <x v="1"/>
    <s v="Y"/>
    <x v="0"/>
    <n v="14"/>
    <x v="2"/>
    <n v="3"/>
    <x v="0"/>
    <n v="3"/>
    <x v="3"/>
    <n v="80"/>
    <n v="0"/>
    <n v="11"/>
    <x v="1"/>
    <n v="2"/>
    <x v="0"/>
    <n v="2"/>
    <x v="2"/>
    <n v="11"/>
    <x v="4"/>
    <n v="9"/>
    <x v="1"/>
    <n v="4"/>
    <x v="1"/>
    <n v="10"/>
    <x v="1"/>
  </r>
  <r>
    <n v="463"/>
    <n v="29"/>
    <x v="2"/>
    <x v="1"/>
    <n v="0"/>
    <x v="0"/>
    <n v="144"/>
    <x v="1"/>
    <x v="0"/>
    <n v="10"/>
    <x v="1"/>
    <n v="1"/>
    <x v="1"/>
    <x v="3"/>
    <n v="1"/>
    <n v="4"/>
    <x v="2"/>
    <x v="0"/>
    <n v="39"/>
    <x v="2"/>
    <n v="2"/>
    <x v="1"/>
    <n v="2"/>
    <x v="0"/>
    <n v="2"/>
    <x v="1"/>
    <x v="2"/>
    <n v="8268"/>
    <x v="11"/>
    <n v="11866"/>
    <x v="3"/>
    <n v="1"/>
    <x v="1"/>
    <s v="Y"/>
    <x v="0"/>
    <n v="14"/>
    <x v="2"/>
    <n v="3"/>
    <x v="0"/>
    <n v="1"/>
    <x v="0"/>
    <n v="80"/>
    <n v="2"/>
    <n v="7"/>
    <x v="0"/>
    <n v="2"/>
    <x v="0"/>
    <n v="3"/>
    <x v="1"/>
    <n v="7"/>
    <x v="0"/>
    <n v="7"/>
    <x v="1"/>
    <n v="1"/>
    <x v="0"/>
    <n v="7"/>
    <x v="1"/>
  </r>
  <r>
    <n v="464"/>
    <n v="35"/>
    <x v="2"/>
    <x v="1"/>
    <n v="0"/>
    <x v="0"/>
    <n v="1296"/>
    <x v="0"/>
    <x v="1"/>
    <n v="5"/>
    <x v="0"/>
    <n v="4"/>
    <x v="2"/>
    <x v="4"/>
    <n v="1"/>
    <n v="3"/>
    <x v="1"/>
    <x v="1"/>
    <n v="62"/>
    <x v="1"/>
    <n v="3"/>
    <x v="0"/>
    <n v="3"/>
    <x v="3"/>
    <n v="2"/>
    <x v="1"/>
    <x v="0"/>
    <n v="8095"/>
    <x v="11"/>
    <n v="18264"/>
    <x v="0"/>
    <n v="0"/>
    <x v="1"/>
    <s v="Y"/>
    <x v="1"/>
    <n v="13"/>
    <x v="2"/>
    <n v="3"/>
    <x v="0"/>
    <n v="4"/>
    <x v="1"/>
    <n v="80"/>
    <n v="0"/>
    <n v="17"/>
    <x v="1"/>
    <n v="5"/>
    <x v="2"/>
    <n v="3"/>
    <x v="1"/>
    <n v="16"/>
    <x v="4"/>
    <n v="6"/>
    <x v="1"/>
    <n v="0"/>
    <x v="0"/>
    <n v="13"/>
    <x v="3"/>
  </r>
  <r>
    <n v="465"/>
    <n v="23"/>
    <x v="4"/>
    <x v="1"/>
    <n v="0"/>
    <x v="0"/>
    <n v="1309"/>
    <x v="0"/>
    <x v="1"/>
    <n v="26"/>
    <x v="2"/>
    <n v="1"/>
    <x v="1"/>
    <x v="0"/>
    <n v="1"/>
    <n v="3"/>
    <x v="1"/>
    <x v="1"/>
    <n v="83"/>
    <x v="0"/>
    <n v="3"/>
    <x v="0"/>
    <n v="1"/>
    <x v="1"/>
    <n v="4"/>
    <x v="0"/>
    <x v="2"/>
    <n v="2904"/>
    <x v="3"/>
    <n v="16092"/>
    <x v="0"/>
    <n v="1"/>
    <x v="1"/>
    <s v="Y"/>
    <x v="1"/>
    <n v="12"/>
    <x v="0"/>
    <n v="3"/>
    <x v="0"/>
    <n v="3"/>
    <x v="3"/>
    <n v="80"/>
    <n v="2"/>
    <n v="4"/>
    <x v="3"/>
    <n v="2"/>
    <x v="0"/>
    <n v="2"/>
    <x v="2"/>
    <n v="4"/>
    <x v="2"/>
    <n v="2"/>
    <x v="0"/>
    <n v="0"/>
    <x v="0"/>
    <n v="2"/>
    <x v="0"/>
  </r>
  <r>
    <n v="466"/>
    <n v="41"/>
    <x v="0"/>
    <x v="1"/>
    <n v="0"/>
    <x v="0"/>
    <n v="483"/>
    <x v="1"/>
    <x v="1"/>
    <n v="6"/>
    <x v="1"/>
    <n v="3"/>
    <x v="3"/>
    <x v="2"/>
    <n v="1"/>
    <n v="4"/>
    <x v="2"/>
    <x v="1"/>
    <n v="95"/>
    <x v="0"/>
    <n v="2"/>
    <x v="1"/>
    <n v="2"/>
    <x v="3"/>
    <n v="2"/>
    <x v="1"/>
    <x v="0"/>
    <n v="6032"/>
    <x v="0"/>
    <n v="10110"/>
    <x v="3"/>
    <n v="6"/>
    <x v="2"/>
    <s v="Y"/>
    <x v="0"/>
    <n v="15"/>
    <x v="2"/>
    <n v="3"/>
    <x v="0"/>
    <n v="4"/>
    <x v="1"/>
    <n v="80"/>
    <n v="0"/>
    <n v="8"/>
    <x v="0"/>
    <n v="3"/>
    <x v="1"/>
    <n v="3"/>
    <x v="1"/>
    <n v="5"/>
    <x v="2"/>
    <n v="4"/>
    <x v="0"/>
    <n v="1"/>
    <x v="0"/>
    <n v="2"/>
    <x v="0"/>
  </r>
  <r>
    <n v="467"/>
    <n v="47"/>
    <x v="1"/>
    <x v="1"/>
    <n v="0"/>
    <x v="1"/>
    <n v="1309"/>
    <x v="0"/>
    <x v="0"/>
    <n v="4"/>
    <x v="0"/>
    <n v="1"/>
    <x v="1"/>
    <x v="2"/>
    <n v="1"/>
    <n v="2"/>
    <x v="0"/>
    <x v="1"/>
    <n v="99"/>
    <x v="0"/>
    <n v="3"/>
    <x v="0"/>
    <n v="2"/>
    <x v="6"/>
    <n v="3"/>
    <x v="2"/>
    <x v="0"/>
    <n v="2976"/>
    <x v="3"/>
    <n v="25751"/>
    <x v="1"/>
    <n v="3"/>
    <x v="3"/>
    <s v="Y"/>
    <x v="1"/>
    <n v="19"/>
    <x v="1"/>
    <n v="3"/>
    <x v="0"/>
    <n v="1"/>
    <x v="0"/>
    <n v="80"/>
    <n v="0"/>
    <n v="5"/>
    <x v="3"/>
    <n v="3"/>
    <x v="1"/>
    <n v="3"/>
    <x v="1"/>
    <n v="0"/>
    <x v="1"/>
    <n v="0"/>
    <x v="2"/>
    <n v="0"/>
    <x v="0"/>
    <n v="0"/>
    <x v="2"/>
  </r>
  <r>
    <n v="468"/>
    <n v="42"/>
    <x v="0"/>
    <x v="1"/>
    <n v="0"/>
    <x v="0"/>
    <n v="810"/>
    <x v="2"/>
    <x v="1"/>
    <n v="23"/>
    <x v="2"/>
    <n v="5"/>
    <x v="4"/>
    <x v="0"/>
    <n v="1"/>
    <n v="1"/>
    <x v="3"/>
    <x v="0"/>
    <n v="44"/>
    <x v="2"/>
    <n v="3"/>
    <x v="0"/>
    <n v="4"/>
    <x v="7"/>
    <n v="4"/>
    <x v="0"/>
    <x v="0"/>
    <n v="15992"/>
    <x v="5"/>
    <n v="15901"/>
    <x v="3"/>
    <n v="2"/>
    <x v="3"/>
    <s v="Y"/>
    <x v="1"/>
    <n v="14"/>
    <x v="2"/>
    <n v="3"/>
    <x v="0"/>
    <n v="2"/>
    <x v="4"/>
    <n v="80"/>
    <n v="0"/>
    <n v="16"/>
    <x v="1"/>
    <n v="2"/>
    <x v="0"/>
    <n v="3"/>
    <x v="1"/>
    <n v="1"/>
    <x v="1"/>
    <n v="0"/>
    <x v="2"/>
    <n v="0"/>
    <x v="0"/>
    <n v="0"/>
    <x v="2"/>
  </r>
  <r>
    <n v="469"/>
    <n v="29"/>
    <x v="2"/>
    <x v="1"/>
    <n v="0"/>
    <x v="2"/>
    <n v="746"/>
    <x v="2"/>
    <x v="0"/>
    <n v="2"/>
    <x v="0"/>
    <n v="3"/>
    <x v="3"/>
    <x v="0"/>
    <n v="1"/>
    <n v="4"/>
    <x v="2"/>
    <x v="1"/>
    <n v="61"/>
    <x v="1"/>
    <n v="3"/>
    <x v="0"/>
    <n v="2"/>
    <x v="0"/>
    <n v="3"/>
    <x v="2"/>
    <x v="1"/>
    <n v="4649"/>
    <x v="1"/>
    <n v="16928"/>
    <x v="0"/>
    <n v="1"/>
    <x v="1"/>
    <s v="Y"/>
    <x v="1"/>
    <n v="14"/>
    <x v="2"/>
    <n v="3"/>
    <x v="0"/>
    <n v="1"/>
    <x v="0"/>
    <n v="80"/>
    <n v="1"/>
    <n v="4"/>
    <x v="3"/>
    <n v="3"/>
    <x v="1"/>
    <n v="2"/>
    <x v="2"/>
    <n v="4"/>
    <x v="2"/>
    <n v="3"/>
    <x v="0"/>
    <n v="0"/>
    <x v="0"/>
    <n v="2"/>
    <x v="0"/>
  </r>
  <r>
    <n v="470"/>
    <n v="42"/>
    <x v="0"/>
    <x v="1"/>
    <n v="0"/>
    <x v="0"/>
    <n v="544"/>
    <x v="2"/>
    <x v="2"/>
    <n v="2"/>
    <x v="0"/>
    <n v="1"/>
    <x v="1"/>
    <x v="4"/>
    <n v="1"/>
    <n v="3"/>
    <x v="1"/>
    <x v="1"/>
    <n v="52"/>
    <x v="1"/>
    <n v="3"/>
    <x v="0"/>
    <n v="1"/>
    <x v="8"/>
    <n v="3"/>
    <x v="2"/>
    <x v="2"/>
    <n v="2696"/>
    <x v="3"/>
    <n v="24017"/>
    <x v="1"/>
    <n v="0"/>
    <x v="1"/>
    <s v="Y"/>
    <x v="0"/>
    <n v="11"/>
    <x v="0"/>
    <n v="3"/>
    <x v="0"/>
    <n v="3"/>
    <x v="3"/>
    <n v="80"/>
    <n v="1"/>
    <n v="4"/>
    <x v="3"/>
    <n v="5"/>
    <x v="2"/>
    <n v="3"/>
    <x v="1"/>
    <n v="3"/>
    <x v="2"/>
    <n v="2"/>
    <x v="0"/>
    <n v="1"/>
    <x v="0"/>
    <n v="0"/>
    <x v="2"/>
  </r>
  <r>
    <n v="471"/>
    <n v="32"/>
    <x v="2"/>
    <x v="1"/>
    <n v="0"/>
    <x v="0"/>
    <n v="1062"/>
    <x v="0"/>
    <x v="1"/>
    <n v="2"/>
    <x v="0"/>
    <n v="3"/>
    <x v="3"/>
    <x v="2"/>
    <n v="1"/>
    <n v="3"/>
    <x v="1"/>
    <x v="0"/>
    <n v="75"/>
    <x v="1"/>
    <n v="3"/>
    <x v="0"/>
    <n v="1"/>
    <x v="2"/>
    <n v="2"/>
    <x v="1"/>
    <x v="1"/>
    <n v="2370"/>
    <x v="2"/>
    <n v="3956"/>
    <x v="2"/>
    <n v="1"/>
    <x v="1"/>
    <s v="Y"/>
    <x v="1"/>
    <n v="13"/>
    <x v="2"/>
    <n v="3"/>
    <x v="0"/>
    <n v="3"/>
    <x v="3"/>
    <n v="80"/>
    <n v="1"/>
    <n v="8"/>
    <x v="0"/>
    <n v="4"/>
    <x v="1"/>
    <n v="3"/>
    <x v="1"/>
    <n v="8"/>
    <x v="0"/>
    <n v="0"/>
    <x v="2"/>
    <n v="0"/>
    <x v="0"/>
    <n v="7"/>
    <x v="1"/>
  </r>
  <r>
    <n v="473"/>
    <n v="48"/>
    <x v="1"/>
    <x v="1"/>
    <n v="0"/>
    <x v="0"/>
    <n v="530"/>
    <x v="2"/>
    <x v="0"/>
    <n v="29"/>
    <x v="2"/>
    <n v="1"/>
    <x v="1"/>
    <x v="2"/>
    <n v="1"/>
    <n v="1"/>
    <x v="3"/>
    <x v="0"/>
    <n v="91"/>
    <x v="0"/>
    <n v="3"/>
    <x v="0"/>
    <n v="3"/>
    <x v="5"/>
    <n v="3"/>
    <x v="2"/>
    <x v="1"/>
    <n v="12504"/>
    <x v="6"/>
    <n v="23978"/>
    <x v="1"/>
    <n v="3"/>
    <x v="3"/>
    <s v="Y"/>
    <x v="1"/>
    <n v="21"/>
    <x v="1"/>
    <n v="4"/>
    <x v="1"/>
    <n v="2"/>
    <x v="4"/>
    <n v="80"/>
    <n v="1"/>
    <n v="15"/>
    <x v="1"/>
    <n v="3"/>
    <x v="1"/>
    <n v="1"/>
    <x v="0"/>
    <n v="0"/>
    <x v="1"/>
    <n v="0"/>
    <x v="2"/>
    <n v="0"/>
    <x v="0"/>
    <n v="0"/>
    <x v="2"/>
  </r>
  <r>
    <n v="474"/>
    <n v="37"/>
    <x v="0"/>
    <x v="1"/>
    <n v="0"/>
    <x v="0"/>
    <n v="1319"/>
    <x v="0"/>
    <x v="1"/>
    <n v="6"/>
    <x v="1"/>
    <n v="3"/>
    <x v="3"/>
    <x v="2"/>
    <n v="1"/>
    <n v="3"/>
    <x v="1"/>
    <x v="1"/>
    <n v="51"/>
    <x v="1"/>
    <n v="4"/>
    <x v="2"/>
    <n v="2"/>
    <x v="1"/>
    <n v="1"/>
    <x v="3"/>
    <x v="2"/>
    <n v="5974"/>
    <x v="0"/>
    <n v="17001"/>
    <x v="0"/>
    <n v="4"/>
    <x v="2"/>
    <s v="Y"/>
    <x v="0"/>
    <n v="13"/>
    <x v="2"/>
    <n v="3"/>
    <x v="0"/>
    <n v="1"/>
    <x v="0"/>
    <n v="80"/>
    <n v="2"/>
    <n v="13"/>
    <x v="1"/>
    <n v="2"/>
    <x v="0"/>
    <n v="3"/>
    <x v="1"/>
    <n v="7"/>
    <x v="0"/>
    <n v="7"/>
    <x v="1"/>
    <n v="6"/>
    <x v="2"/>
    <n v="7"/>
    <x v="1"/>
  </r>
  <r>
    <n v="475"/>
    <n v="30"/>
    <x v="2"/>
    <x v="1"/>
    <n v="0"/>
    <x v="2"/>
    <n v="641"/>
    <x v="2"/>
    <x v="0"/>
    <n v="25"/>
    <x v="2"/>
    <n v="2"/>
    <x v="0"/>
    <x v="4"/>
    <n v="1"/>
    <n v="4"/>
    <x v="2"/>
    <x v="0"/>
    <n v="85"/>
    <x v="0"/>
    <n v="3"/>
    <x v="0"/>
    <n v="2"/>
    <x v="0"/>
    <n v="3"/>
    <x v="2"/>
    <x v="1"/>
    <n v="4736"/>
    <x v="1"/>
    <n v="6069"/>
    <x v="2"/>
    <n v="7"/>
    <x v="0"/>
    <s v="Y"/>
    <x v="0"/>
    <n v="12"/>
    <x v="0"/>
    <n v="3"/>
    <x v="0"/>
    <n v="2"/>
    <x v="4"/>
    <n v="80"/>
    <n v="1"/>
    <n v="4"/>
    <x v="3"/>
    <n v="2"/>
    <x v="0"/>
    <n v="4"/>
    <x v="3"/>
    <n v="2"/>
    <x v="2"/>
    <n v="2"/>
    <x v="0"/>
    <n v="2"/>
    <x v="1"/>
    <n v="2"/>
    <x v="0"/>
  </r>
  <r>
    <n v="476"/>
    <n v="26"/>
    <x v="2"/>
    <x v="1"/>
    <n v="0"/>
    <x v="0"/>
    <n v="933"/>
    <x v="2"/>
    <x v="0"/>
    <n v="1"/>
    <x v="0"/>
    <n v="3"/>
    <x v="3"/>
    <x v="0"/>
    <n v="1"/>
    <n v="3"/>
    <x v="1"/>
    <x v="1"/>
    <n v="57"/>
    <x v="1"/>
    <n v="3"/>
    <x v="0"/>
    <n v="2"/>
    <x v="0"/>
    <n v="3"/>
    <x v="2"/>
    <x v="1"/>
    <n v="5296"/>
    <x v="1"/>
    <n v="20156"/>
    <x v="0"/>
    <n v="1"/>
    <x v="1"/>
    <s v="Y"/>
    <x v="1"/>
    <n v="17"/>
    <x v="3"/>
    <n v="3"/>
    <x v="0"/>
    <n v="2"/>
    <x v="4"/>
    <n v="80"/>
    <n v="1"/>
    <n v="8"/>
    <x v="0"/>
    <n v="3"/>
    <x v="1"/>
    <n v="3"/>
    <x v="1"/>
    <n v="8"/>
    <x v="0"/>
    <n v="7"/>
    <x v="1"/>
    <n v="7"/>
    <x v="2"/>
    <n v="7"/>
    <x v="1"/>
  </r>
  <r>
    <n v="477"/>
    <n v="42"/>
    <x v="0"/>
    <x v="1"/>
    <n v="0"/>
    <x v="0"/>
    <n v="1332"/>
    <x v="0"/>
    <x v="1"/>
    <n v="2"/>
    <x v="0"/>
    <n v="4"/>
    <x v="2"/>
    <x v="1"/>
    <n v="1"/>
    <n v="1"/>
    <x v="3"/>
    <x v="1"/>
    <n v="98"/>
    <x v="0"/>
    <n v="2"/>
    <x v="1"/>
    <n v="2"/>
    <x v="4"/>
    <n v="4"/>
    <x v="0"/>
    <x v="0"/>
    <n v="6781"/>
    <x v="0"/>
    <n v="17078"/>
    <x v="0"/>
    <n v="3"/>
    <x v="3"/>
    <s v="Y"/>
    <x v="1"/>
    <n v="23"/>
    <x v="1"/>
    <n v="4"/>
    <x v="1"/>
    <n v="2"/>
    <x v="4"/>
    <n v="80"/>
    <n v="0"/>
    <n v="14"/>
    <x v="1"/>
    <n v="6"/>
    <x v="2"/>
    <n v="3"/>
    <x v="1"/>
    <n v="1"/>
    <x v="1"/>
    <n v="0"/>
    <x v="2"/>
    <n v="0"/>
    <x v="0"/>
    <n v="0"/>
    <x v="2"/>
  </r>
  <r>
    <n v="478"/>
    <n v="21"/>
    <x v="4"/>
    <x v="0"/>
    <n v="1"/>
    <x v="1"/>
    <n v="756"/>
    <x v="2"/>
    <x v="0"/>
    <n v="1"/>
    <x v="0"/>
    <n v="1"/>
    <x v="1"/>
    <x v="4"/>
    <n v="1"/>
    <n v="1"/>
    <x v="3"/>
    <x v="0"/>
    <n v="99"/>
    <x v="0"/>
    <n v="2"/>
    <x v="1"/>
    <n v="1"/>
    <x v="6"/>
    <n v="2"/>
    <x v="1"/>
    <x v="0"/>
    <n v="2174"/>
    <x v="2"/>
    <n v="9150"/>
    <x v="3"/>
    <n v="1"/>
    <x v="1"/>
    <s v="Y"/>
    <x v="0"/>
    <n v="11"/>
    <x v="0"/>
    <n v="3"/>
    <x v="0"/>
    <n v="3"/>
    <x v="3"/>
    <n v="80"/>
    <n v="0"/>
    <n v="3"/>
    <x v="3"/>
    <n v="3"/>
    <x v="1"/>
    <n v="3"/>
    <x v="1"/>
    <n v="3"/>
    <x v="2"/>
    <n v="2"/>
    <x v="0"/>
    <n v="1"/>
    <x v="0"/>
    <n v="2"/>
    <x v="0"/>
  </r>
  <r>
    <n v="479"/>
    <n v="36"/>
    <x v="0"/>
    <x v="1"/>
    <n v="0"/>
    <x v="2"/>
    <n v="845"/>
    <x v="2"/>
    <x v="0"/>
    <n v="1"/>
    <x v="0"/>
    <n v="5"/>
    <x v="4"/>
    <x v="2"/>
    <n v="1"/>
    <n v="4"/>
    <x v="2"/>
    <x v="0"/>
    <n v="45"/>
    <x v="2"/>
    <n v="3"/>
    <x v="0"/>
    <n v="2"/>
    <x v="0"/>
    <n v="4"/>
    <x v="0"/>
    <x v="0"/>
    <n v="6653"/>
    <x v="0"/>
    <n v="15276"/>
    <x v="3"/>
    <n v="4"/>
    <x v="2"/>
    <s v="Y"/>
    <x v="1"/>
    <n v="15"/>
    <x v="2"/>
    <n v="3"/>
    <x v="0"/>
    <n v="2"/>
    <x v="4"/>
    <n v="80"/>
    <n v="0"/>
    <n v="7"/>
    <x v="0"/>
    <n v="6"/>
    <x v="2"/>
    <n v="3"/>
    <x v="1"/>
    <n v="1"/>
    <x v="1"/>
    <n v="0"/>
    <x v="2"/>
    <n v="0"/>
    <x v="0"/>
    <n v="0"/>
    <x v="2"/>
  </r>
  <r>
    <n v="481"/>
    <n v="36"/>
    <x v="0"/>
    <x v="1"/>
    <n v="0"/>
    <x v="1"/>
    <n v="541"/>
    <x v="2"/>
    <x v="0"/>
    <n v="3"/>
    <x v="0"/>
    <n v="4"/>
    <x v="2"/>
    <x v="2"/>
    <n v="1"/>
    <n v="1"/>
    <x v="3"/>
    <x v="1"/>
    <n v="48"/>
    <x v="2"/>
    <n v="2"/>
    <x v="1"/>
    <n v="3"/>
    <x v="0"/>
    <n v="4"/>
    <x v="0"/>
    <x v="1"/>
    <n v="9699"/>
    <x v="4"/>
    <n v="7246"/>
    <x v="2"/>
    <n v="4"/>
    <x v="2"/>
    <s v="Y"/>
    <x v="1"/>
    <n v="11"/>
    <x v="0"/>
    <n v="3"/>
    <x v="0"/>
    <n v="1"/>
    <x v="0"/>
    <n v="80"/>
    <n v="1"/>
    <n v="16"/>
    <x v="1"/>
    <n v="2"/>
    <x v="0"/>
    <n v="3"/>
    <x v="1"/>
    <n v="13"/>
    <x v="4"/>
    <n v="9"/>
    <x v="1"/>
    <n v="1"/>
    <x v="0"/>
    <n v="12"/>
    <x v="3"/>
  </r>
  <r>
    <n v="482"/>
    <n v="57"/>
    <x v="3"/>
    <x v="1"/>
    <n v="0"/>
    <x v="0"/>
    <n v="593"/>
    <x v="2"/>
    <x v="1"/>
    <n v="1"/>
    <x v="0"/>
    <n v="4"/>
    <x v="2"/>
    <x v="2"/>
    <n v="1"/>
    <n v="4"/>
    <x v="2"/>
    <x v="1"/>
    <n v="88"/>
    <x v="0"/>
    <n v="3"/>
    <x v="0"/>
    <n v="2"/>
    <x v="4"/>
    <n v="3"/>
    <x v="2"/>
    <x v="1"/>
    <n v="6755"/>
    <x v="0"/>
    <n v="2967"/>
    <x v="2"/>
    <n v="2"/>
    <x v="3"/>
    <s v="Y"/>
    <x v="1"/>
    <n v="11"/>
    <x v="0"/>
    <n v="3"/>
    <x v="0"/>
    <n v="3"/>
    <x v="3"/>
    <n v="80"/>
    <n v="0"/>
    <n v="15"/>
    <x v="1"/>
    <n v="2"/>
    <x v="0"/>
    <n v="3"/>
    <x v="1"/>
    <n v="3"/>
    <x v="2"/>
    <n v="2"/>
    <x v="0"/>
    <n v="1"/>
    <x v="0"/>
    <n v="2"/>
    <x v="0"/>
  </r>
  <r>
    <n v="483"/>
    <n v="40"/>
    <x v="0"/>
    <x v="1"/>
    <n v="0"/>
    <x v="0"/>
    <n v="1171"/>
    <x v="0"/>
    <x v="1"/>
    <n v="10"/>
    <x v="1"/>
    <n v="4"/>
    <x v="2"/>
    <x v="0"/>
    <n v="1"/>
    <n v="4"/>
    <x v="2"/>
    <x v="0"/>
    <n v="46"/>
    <x v="2"/>
    <n v="4"/>
    <x v="2"/>
    <n v="1"/>
    <x v="2"/>
    <n v="3"/>
    <x v="2"/>
    <x v="1"/>
    <n v="2213"/>
    <x v="2"/>
    <n v="22495"/>
    <x v="1"/>
    <n v="3"/>
    <x v="3"/>
    <s v="Y"/>
    <x v="0"/>
    <n v="13"/>
    <x v="2"/>
    <n v="3"/>
    <x v="0"/>
    <n v="3"/>
    <x v="3"/>
    <n v="80"/>
    <n v="1"/>
    <n v="10"/>
    <x v="0"/>
    <n v="3"/>
    <x v="1"/>
    <n v="3"/>
    <x v="1"/>
    <n v="7"/>
    <x v="0"/>
    <n v="7"/>
    <x v="1"/>
    <n v="1"/>
    <x v="0"/>
    <n v="7"/>
    <x v="1"/>
  </r>
  <r>
    <n v="484"/>
    <n v="21"/>
    <x v="4"/>
    <x v="1"/>
    <n v="0"/>
    <x v="2"/>
    <n v="895"/>
    <x v="2"/>
    <x v="0"/>
    <n v="9"/>
    <x v="1"/>
    <n v="2"/>
    <x v="0"/>
    <x v="2"/>
    <n v="1"/>
    <n v="1"/>
    <x v="3"/>
    <x v="1"/>
    <n v="39"/>
    <x v="2"/>
    <n v="3"/>
    <x v="0"/>
    <n v="1"/>
    <x v="6"/>
    <n v="4"/>
    <x v="0"/>
    <x v="0"/>
    <n v="2610"/>
    <x v="3"/>
    <n v="2851"/>
    <x v="2"/>
    <n v="1"/>
    <x v="1"/>
    <s v="Y"/>
    <x v="1"/>
    <n v="24"/>
    <x v="1"/>
    <n v="4"/>
    <x v="1"/>
    <n v="3"/>
    <x v="3"/>
    <n v="80"/>
    <n v="0"/>
    <n v="3"/>
    <x v="3"/>
    <n v="3"/>
    <x v="1"/>
    <n v="2"/>
    <x v="2"/>
    <n v="3"/>
    <x v="2"/>
    <n v="2"/>
    <x v="0"/>
    <n v="2"/>
    <x v="1"/>
    <n v="2"/>
    <x v="0"/>
  </r>
  <r>
    <n v="485"/>
    <n v="33"/>
    <x v="2"/>
    <x v="0"/>
    <n v="1"/>
    <x v="0"/>
    <n v="350"/>
    <x v="1"/>
    <x v="0"/>
    <n v="5"/>
    <x v="0"/>
    <n v="3"/>
    <x v="3"/>
    <x v="3"/>
    <n v="1"/>
    <n v="4"/>
    <x v="2"/>
    <x v="0"/>
    <n v="34"/>
    <x v="2"/>
    <n v="3"/>
    <x v="0"/>
    <n v="1"/>
    <x v="6"/>
    <n v="3"/>
    <x v="2"/>
    <x v="0"/>
    <n v="2851"/>
    <x v="3"/>
    <n v="9150"/>
    <x v="3"/>
    <n v="1"/>
    <x v="1"/>
    <s v="Y"/>
    <x v="0"/>
    <n v="13"/>
    <x v="2"/>
    <n v="3"/>
    <x v="0"/>
    <n v="2"/>
    <x v="4"/>
    <n v="80"/>
    <n v="0"/>
    <n v="1"/>
    <x v="2"/>
    <n v="2"/>
    <x v="0"/>
    <n v="3"/>
    <x v="1"/>
    <n v="1"/>
    <x v="1"/>
    <n v="0"/>
    <x v="2"/>
    <n v="0"/>
    <x v="0"/>
    <n v="0"/>
    <x v="2"/>
  </r>
  <r>
    <n v="486"/>
    <n v="37"/>
    <x v="0"/>
    <x v="1"/>
    <n v="0"/>
    <x v="0"/>
    <n v="921"/>
    <x v="2"/>
    <x v="1"/>
    <n v="10"/>
    <x v="1"/>
    <n v="3"/>
    <x v="3"/>
    <x v="2"/>
    <n v="1"/>
    <n v="3"/>
    <x v="1"/>
    <x v="0"/>
    <n v="98"/>
    <x v="0"/>
    <n v="3"/>
    <x v="0"/>
    <n v="1"/>
    <x v="2"/>
    <n v="1"/>
    <x v="3"/>
    <x v="1"/>
    <n v="3452"/>
    <x v="3"/>
    <n v="17663"/>
    <x v="0"/>
    <n v="6"/>
    <x v="2"/>
    <s v="Y"/>
    <x v="1"/>
    <n v="20"/>
    <x v="1"/>
    <n v="4"/>
    <x v="1"/>
    <n v="2"/>
    <x v="4"/>
    <n v="80"/>
    <n v="1"/>
    <n v="17"/>
    <x v="1"/>
    <n v="3"/>
    <x v="1"/>
    <n v="3"/>
    <x v="1"/>
    <n v="5"/>
    <x v="2"/>
    <n v="4"/>
    <x v="0"/>
    <n v="0"/>
    <x v="0"/>
    <n v="3"/>
    <x v="0"/>
  </r>
  <r>
    <n v="487"/>
    <n v="46"/>
    <x v="1"/>
    <x v="1"/>
    <n v="0"/>
    <x v="2"/>
    <n v="1144"/>
    <x v="0"/>
    <x v="1"/>
    <n v="7"/>
    <x v="1"/>
    <n v="4"/>
    <x v="2"/>
    <x v="2"/>
    <n v="1"/>
    <n v="3"/>
    <x v="1"/>
    <x v="0"/>
    <n v="30"/>
    <x v="2"/>
    <n v="3"/>
    <x v="0"/>
    <n v="2"/>
    <x v="3"/>
    <n v="3"/>
    <x v="2"/>
    <x v="1"/>
    <n v="5258"/>
    <x v="1"/>
    <n v="16044"/>
    <x v="0"/>
    <n v="2"/>
    <x v="3"/>
    <s v="Y"/>
    <x v="1"/>
    <n v="14"/>
    <x v="2"/>
    <n v="3"/>
    <x v="0"/>
    <n v="3"/>
    <x v="3"/>
    <n v="80"/>
    <n v="0"/>
    <n v="7"/>
    <x v="0"/>
    <n v="2"/>
    <x v="0"/>
    <n v="4"/>
    <x v="3"/>
    <n v="1"/>
    <x v="1"/>
    <n v="0"/>
    <x v="2"/>
    <n v="0"/>
    <x v="0"/>
    <n v="0"/>
    <x v="2"/>
  </r>
  <r>
    <n v="488"/>
    <n v="41"/>
    <x v="0"/>
    <x v="0"/>
    <n v="1"/>
    <x v="1"/>
    <n v="143"/>
    <x v="1"/>
    <x v="0"/>
    <n v="4"/>
    <x v="0"/>
    <n v="3"/>
    <x v="3"/>
    <x v="3"/>
    <n v="1"/>
    <n v="1"/>
    <x v="3"/>
    <x v="1"/>
    <n v="56"/>
    <x v="1"/>
    <n v="3"/>
    <x v="0"/>
    <n v="2"/>
    <x v="0"/>
    <n v="2"/>
    <x v="1"/>
    <x v="0"/>
    <n v="9355"/>
    <x v="4"/>
    <n v="9558"/>
    <x v="3"/>
    <n v="1"/>
    <x v="1"/>
    <s v="Y"/>
    <x v="1"/>
    <n v="18"/>
    <x v="1"/>
    <n v="3"/>
    <x v="0"/>
    <n v="3"/>
    <x v="3"/>
    <n v="80"/>
    <n v="0"/>
    <n v="8"/>
    <x v="0"/>
    <n v="5"/>
    <x v="2"/>
    <n v="3"/>
    <x v="1"/>
    <n v="8"/>
    <x v="0"/>
    <n v="7"/>
    <x v="1"/>
    <n v="7"/>
    <x v="2"/>
    <n v="7"/>
    <x v="1"/>
  </r>
  <r>
    <n v="491"/>
    <n v="50"/>
    <x v="1"/>
    <x v="1"/>
    <n v="0"/>
    <x v="0"/>
    <n v="1046"/>
    <x v="0"/>
    <x v="1"/>
    <n v="10"/>
    <x v="1"/>
    <n v="3"/>
    <x v="3"/>
    <x v="4"/>
    <n v="1"/>
    <n v="4"/>
    <x v="2"/>
    <x v="1"/>
    <n v="100"/>
    <x v="0"/>
    <n v="2"/>
    <x v="1"/>
    <n v="3"/>
    <x v="4"/>
    <n v="4"/>
    <x v="0"/>
    <x v="0"/>
    <n v="10496"/>
    <x v="8"/>
    <n v="2755"/>
    <x v="2"/>
    <n v="6"/>
    <x v="2"/>
    <s v="Y"/>
    <x v="1"/>
    <n v="15"/>
    <x v="2"/>
    <n v="3"/>
    <x v="0"/>
    <n v="4"/>
    <x v="1"/>
    <n v="80"/>
    <n v="0"/>
    <n v="20"/>
    <x v="1"/>
    <n v="2"/>
    <x v="0"/>
    <n v="3"/>
    <x v="1"/>
    <n v="4"/>
    <x v="2"/>
    <n v="3"/>
    <x v="0"/>
    <n v="1"/>
    <x v="0"/>
    <n v="3"/>
    <x v="0"/>
  </r>
  <r>
    <n v="492"/>
    <n v="40"/>
    <x v="0"/>
    <x v="0"/>
    <n v="1"/>
    <x v="0"/>
    <n v="575"/>
    <x v="2"/>
    <x v="0"/>
    <n v="22"/>
    <x v="2"/>
    <n v="2"/>
    <x v="0"/>
    <x v="3"/>
    <n v="1"/>
    <n v="3"/>
    <x v="1"/>
    <x v="1"/>
    <n v="68"/>
    <x v="1"/>
    <n v="2"/>
    <x v="1"/>
    <n v="2"/>
    <x v="0"/>
    <n v="3"/>
    <x v="2"/>
    <x v="1"/>
    <n v="6380"/>
    <x v="0"/>
    <n v="6110"/>
    <x v="2"/>
    <n v="2"/>
    <x v="3"/>
    <s v="Y"/>
    <x v="0"/>
    <n v="12"/>
    <x v="0"/>
    <n v="3"/>
    <x v="0"/>
    <n v="1"/>
    <x v="0"/>
    <n v="80"/>
    <n v="2"/>
    <n v="8"/>
    <x v="0"/>
    <n v="6"/>
    <x v="2"/>
    <n v="3"/>
    <x v="1"/>
    <n v="6"/>
    <x v="0"/>
    <n v="4"/>
    <x v="0"/>
    <n v="1"/>
    <x v="0"/>
    <n v="0"/>
    <x v="2"/>
  </r>
  <r>
    <n v="493"/>
    <n v="31"/>
    <x v="2"/>
    <x v="1"/>
    <n v="0"/>
    <x v="0"/>
    <n v="408"/>
    <x v="1"/>
    <x v="1"/>
    <n v="9"/>
    <x v="1"/>
    <n v="4"/>
    <x v="2"/>
    <x v="0"/>
    <n v="1"/>
    <n v="3"/>
    <x v="1"/>
    <x v="1"/>
    <n v="42"/>
    <x v="2"/>
    <n v="2"/>
    <x v="1"/>
    <n v="1"/>
    <x v="1"/>
    <n v="2"/>
    <x v="1"/>
    <x v="0"/>
    <n v="2657"/>
    <x v="3"/>
    <n v="7551"/>
    <x v="2"/>
    <n v="0"/>
    <x v="1"/>
    <s v="Y"/>
    <x v="0"/>
    <n v="16"/>
    <x v="3"/>
    <n v="3"/>
    <x v="0"/>
    <n v="4"/>
    <x v="1"/>
    <n v="80"/>
    <n v="0"/>
    <n v="3"/>
    <x v="3"/>
    <n v="5"/>
    <x v="2"/>
    <n v="3"/>
    <x v="1"/>
    <n v="2"/>
    <x v="2"/>
    <n v="2"/>
    <x v="0"/>
    <n v="2"/>
    <x v="1"/>
    <n v="2"/>
    <x v="0"/>
  </r>
  <r>
    <n v="494"/>
    <n v="21"/>
    <x v="4"/>
    <x v="0"/>
    <n v="1"/>
    <x v="0"/>
    <n v="156"/>
    <x v="1"/>
    <x v="0"/>
    <n v="12"/>
    <x v="3"/>
    <n v="3"/>
    <x v="3"/>
    <x v="0"/>
    <n v="1"/>
    <n v="3"/>
    <x v="1"/>
    <x v="0"/>
    <n v="90"/>
    <x v="0"/>
    <n v="4"/>
    <x v="2"/>
    <n v="1"/>
    <x v="6"/>
    <n v="2"/>
    <x v="1"/>
    <x v="0"/>
    <n v="2716"/>
    <x v="3"/>
    <n v="25422"/>
    <x v="1"/>
    <n v="1"/>
    <x v="1"/>
    <s v="Y"/>
    <x v="1"/>
    <n v="15"/>
    <x v="2"/>
    <n v="3"/>
    <x v="0"/>
    <n v="4"/>
    <x v="1"/>
    <n v="80"/>
    <n v="0"/>
    <n v="1"/>
    <x v="2"/>
    <n v="0"/>
    <x v="0"/>
    <n v="3"/>
    <x v="1"/>
    <n v="1"/>
    <x v="1"/>
    <n v="0"/>
    <x v="2"/>
    <n v="0"/>
    <x v="0"/>
    <n v="0"/>
    <x v="2"/>
  </r>
  <r>
    <n v="495"/>
    <n v="29"/>
    <x v="2"/>
    <x v="1"/>
    <n v="0"/>
    <x v="0"/>
    <n v="1283"/>
    <x v="0"/>
    <x v="1"/>
    <n v="23"/>
    <x v="2"/>
    <n v="3"/>
    <x v="3"/>
    <x v="0"/>
    <n v="1"/>
    <n v="4"/>
    <x v="2"/>
    <x v="1"/>
    <n v="54"/>
    <x v="1"/>
    <n v="3"/>
    <x v="0"/>
    <n v="1"/>
    <x v="1"/>
    <n v="4"/>
    <x v="0"/>
    <x v="0"/>
    <n v="2201"/>
    <x v="2"/>
    <n v="18168"/>
    <x v="0"/>
    <n v="9"/>
    <x v="0"/>
    <s v="Y"/>
    <x v="1"/>
    <n v="16"/>
    <x v="3"/>
    <n v="3"/>
    <x v="0"/>
    <n v="4"/>
    <x v="1"/>
    <n v="80"/>
    <n v="0"/>
    <n v="6"/>
    <x v="0"/>
    <n v="4"/>
    <x v="1"/>
    <n v="3"/>
    <x v="1"/>
    <n v="3"/>
    <x v="2"/>
    <n v="2"/>
    <x v="0"/>
    <n v="1"/>
    <x v="0"/>
    <n v="2"/>
    <x v="0"/>
  </r>
  <r>
    <n v="496"/>
    <n v="35"/>
    <x v="2"/>
    <x v="1"/>
    <n v="0"/>
    <x v="0"/>
    <n v="755"/>
    <x v="2"/>
    <x v="1"/>
    <n v="9"/>
    <x v="1"/>
    <n v="4"/>
    <x v="2"/>
    <x v="0"/>
    <n v="1"/>
    <n v="3"/>
    <x v="1"/>
    <x v="1"/>
    <n v="97"/>
    <x v="0"/>
    <n v="2"/>
    <x v="1"/>
    <n v="2"/>
    <x v="4"/>
    <n v="2"/>
    <x v="1"/>
    <x v="0"/>
    <n v="6540"/>
    <x v="0"/>
    <n v="19394"/>
    <x v="0"/>
    <n v="9"/>
    <x v="0"/>
    <s v="Y"/>
    <x v="1"/>
    <n v="19"/>
    <x v="1"/>
    <n v="3"/>
    <x v="0"/>
    <n v="3"/>
    <x v="3"/>
    <n v="80"/>
    <n v="0"/>
    <n v="10"/>
    <x v="0"/>
    <n v="5"/>
    <x v="2"/>
    <n v="3"/>
    <x v="1"/>
    <n v="1"/>
    <x v="1"/>
    <n v="1"/>
    <x v="2"/>
    <n v="0"/>
    <x v="0"/>
    <n v="0"/>
    <x v="2"/>
  </r>
  <r>
    <n v="497"/>
    <n v="27"/>
    <x v="2"/>
    <x v="1"/>
    <n v="0"/>
    <x v="0"/>
    <n v="1469"/>
    <x v="0"/>
    <x v="1"/>
    <n v="1"/>
    <x v="0"/>
    <n v="2"/>
    <x v="0"/>
    <x v="2"/>
    <n v="1"/>
    <n v="4"/>
    <x v="2"/>
    <x v="1"/>
    <n v="82"/>
    <x v="0"/>
    <n v="3"/>
    <x v="0"/>
    <n v="1"/>
    <x v="2"/>
    <n v="2"/>
    <x v="1"/>
    <x v="2"/>
    <n v="3816"/>
    <x v="3"/>
    <n v="17881"/>
    <x v="0"/>
    <n v="1"/>
    <x v="1"/>
    <s v="Y"/>
    <x v="1"/>
    <n v="11"/>
    <x v="0"/>
    <n v="3"/>
    <x v="0"/>
    <n v="2"/>
    <x v="4"/>
    <n v="80"/>
    <n v="1"/>
    <n v="5"/>
    <x v="3"/>
    <n v="2"/>
    <x v="0"/>
    <n v="3"/>
    <x v="1"/>
    <n v="5"/>
    <x v="2"/>
    <n v="2"/>
    <x v="0"/>
    <n v="0"/>
    <x v="0"/>
    <n v="4"/>
    <x v="0"/>
  </r>
  <r>
    <n v="498"/>
    <n v="28"/>
    <x v="2"/>
    <x v="1"/>
    <n v="0"/>
    <x v="0"/>
    <n v="304"/>
    <x v="1"/>
    <x v="0"/>
    <n v="9"/>
    <x v="1"/>
    <n v="4"/>
    <x v="2"/>
    <x v="0"/>
    <n v="1"/>
    <n v="2"/>
    <x v="0"/>
    <x v="1"/>
    <n v="92"/>
    <x v="0"/>
    <n v="3"/>
    <x v="0"/>
    <n v="2"/>
    <x v="0"/>
    <n v="4"/>
    <x v="0"/>
    <x v="0"/>
    <n v="5253"/>
    <x v="1"/>
    <n v="20750"/>
    <x v="0"/>
    <n v="1"/>
    <x v="1"/>
    <s v="Y"/>
    <x v="1"/>
    <n v="16"/>
    <x v="3"/>
    <n v="3"/>
    <x v="0"/>
    <n v="4"/>
    <x v="1"/>
    <n v="80"/>
    <n v="0"/>
    <n v="7"/>
    <x v="0"/>
    <n v="1"/>
    <x v="0"/>
    <n v="3"/>
    <x v="1"/>
    <n v="7"/>
    <x v="0"/>
    <n v="5"/>
    <x v="0"/>
    <n v="0"/>
    <x v="0"/>
    <n v="7"/>
    <x v="1"/>
  </r>
  <r>
    <n v="499"/>
    <n v="49"/>
    <x v="1"/>
    <x v="1"/>
    <n v="0"/>
    <x v="0"/>
    <n v="1261"/>
    <x v="0"/>
    <x v="1"/>
    <n v="7"/>
    <x v="1"/>
    <n v="3"/>
    <x v="3"/>
    <x v="1"/>
    <n v="1"/>
    <n v="2"/>
    <x v="0"/>
    <x v="1"/>
    <n v="31"/>
    <x v="2"/>
    <n v="2"/>
    <x v="1"/>
    <n v="3"/>
    <x v="4"/>
    <n v="3"/>
    <x v="2"/>
    <x v="0"/>
    <n v="10965"/>
    <x v="8"/>
    <n v="12066"/>
    <x v="3"/>
    <n v="8"/>
    <x v="0"/>
    <s v="Y"/>
    <x v="1"/>
    <n v="24"/>
    <x v="1"/>
    <n v="4"/>
    <x v="1"/>
    <n v="3"/>
    <x v="3"/>
    <n v="80"/>
    <n v="0"/>
    <n v="26"/>
    <x v="4"/>
    <n v="2"/>
    <x v="0"/>
    <n v="3"/>
    <x v="1"/>
    <n v="5"/>
    <x v="2"/>
    <n v="2"/>
    <x v="0"/>
    <n v="0"/>
    <x v="0"/>
    <n v="0"/>
    <x v="2"/>
  </r>
  <r>
    <n v="500"/>
    <n v="51"/>
    <x v="1"/>
    <x v="1"/>
    <n v="0"/>
    <x v="0"/>
    <n v="1178"/>
    <x v="0"/>
    <x v="0"/>
    <n v="14"/>
    <x v="3"/>
    <n v="2"/>
    <x v="0"/>
    <x v="0"/>
    <n v="1"/>
    <n v="3"/>
    <x v="1"/>
    <x v="0"/>
    <n v="87"/>
    <x v="0"/>
    <n v="3"/>
    <x v="0"/>
    <n v="2"/>
    <x v="0"/>
    <n v="4"/>
    <x v="0"/>
    <x v="1"/>
    <n v="4936"/>
    <x v="1"/>
    <n v="14862"/>
    <x v="3"/>
    <n v="4"/>
    <x v="2"/>
    <s v="Y"/>
    <x v="1"/>
    <n v="11"/>
    <x v="0"/>
    <n v="3"/>
    <x v="0"/>
    <n v="3"/>
    <x v="3"/>
    <n v="80"/>
    <n v="1"/>
    <n v="18"/>
    <x v="1"/>
    <n v="2"/>
    <x v="0"/>
    <n v="2"/>
    <x v="2"/>
    <n v="7"/>
    <x v="0"/>
    <n v="7"/>
    <x v="1"/>
    <n v="0"/>
    <x v="0"/>
    <n v="7"/>
    <x v="1"/>
  </r>
  <r>
    <n v="501"/>
    <n v="36"/>
    <x v="0"/>
    <x v="1"/>
    <n v="0"/>
    <x v="0"/>
    <n v="329"/>
    <x v="1"/>
    <x v="1"/>
    <n v="2"/>
    <x v="0"/>
    <n v="3"/>
    <x v="3"/>
    <x v="0"/>
    <n v="1"/>
    <n v="4"/>
    <x v="2"/>
    <x v="0"/>
    <n v="96"/>
    <x v="0"/>
    <n v="3"/>
    <x v="0"/>
    <n v="1"/>
    <x v="1"/>
    <n v="3"/>
    <x v="2"/>
    <x v="1"/>
    <n v="2543"/>
    <x v="3"/>
    <n v="11868"/>
    <x v="3"/>
    <n v="4"/>
    <x v="2"/>
    <s v="Y"/>
    <x v="1"/>
    <n v="13"/>
    <x v="2"/>
    <n v="3"/>
    <x v="0"/>
    <n v="2"/>
    <x v="4"/>
    <n v="80"/>
    <n v="1"/>
    <n v="6"/>
    <x v="0"/>
    <n v="3"/>
    <x v="1"/>
    <n v="3"/>
    <x v="1"/>
    <n v="2"/>
    <x v="2"/>
    <n v="2"/>
    <x v="0"/>
    <n v="2"/>
    <x v="1"/>
    <n v="2"/>
    <x v="0"/>
  </r>
  <r>
    <n v="502"/>
    <n v="34"/>
    <x v="2"/>
    <x v="0"/>
    <n v="1"/>
    <x v="2"/>
    <n v="1362"/>
    <x v="0"/>
    <x v="0"/>
    <n v="19"/>
    <x v="3"/>
    <n v="3"/>
    <x v="3"/>
    <x v="3"/>
    <n v="1"/>
    <n v="1"/>
    <x v="3"/>
    <x v="1"/>
    <n v="67"/>
    <x v="1"/>
    <n v="4"/>
    <x v="2"/>
    <n v="2"/>
    <x v="0"/>
    <n v="4"/>
    <x v="0"/>
    <x v="0"/>
    <n v="5304"/>
    <x v="1"/>
    <n v="4652"/>
    <x v="2"/>
    <n v="8"/>
    <x v="0"/>
    <s v="Y"/>
    <x v="0"/>
    <n v="13"/>
    <x v="2"/>
    <n v="3"/>
    <x v="0"/>
    <n v="2"/>
    <x v="4"/>
    <n v="80"/>
    <n v="0"/>
    <n v="9"/>
    <x v="0"/>
    <n v="3"/>
    <x v="1"/>
    <n v="2"/>
    <x v="2"/>
    <n v="5"/>
    <x v="2"/>
    <n v="2"/>
    <x v="0"/>
    <n v="0"/>
    <x v="0"/>
    <n v="4"/>
    <x v="0"/>
  </r>
  <r>
    <n v="505"/>
    <n v="55"/>
    <x v="1"/>
    <x v="1"/>
    <n v="0"/>
    <x v="0"/>
    <n v="1311"/>
    <x v="0"/>
    <x v="1"/>
    <n v="2"/>
    <x v="0"/>
    <n v="3"/>
    <x v="3"/>
    <x v="0"/>
    <n v="1"/>
    <n v="3"/>
    <x v="1"/>
    <x v="0"/>
    <n v="97"/>
    <x v="0"/>
    <n v="3"/>
    <x v="0"/>
    <n v="4"/>
    <x v="5"/>
    <n v="4"/>
    <x v="0"/>
    <x v="0"/>
    <n v="16659"/>
    <x v="12"/>
    <n v="23258"/>
    <x v="1"/>
    <n v="2"/>
    <x v="3"/>
    <s v="Y"/>
    <x v="0"/>
    <n v="13"/>
    <x v="2"/>
    <n v="3"/>
    <x v="0"/>
    <n v="3"/>
    <x v="3"/>
    <n v="80"/>
    <n v="0"/>
    <n v="30"/>
    <x v="4"/>
    <n v="2"/>
    <x v="0"/>
    <n v="3"/>
    <x v="1"/>
    <n v="5"/>
    <x v="2"/>
    <n v="4"/>
    <x v="0"/>
    <n v="1"/>
    <x v="0"/>
    <n v="2"/>
    <x v="0"/>
  </r>
  <r>
    <n v="507"/>
    <n v="24"/>
    <x v="4"/>
    <x v="1"/>
    <n v="0"/>
    <x v="0"/>
    <n v="1371"/>
    <x v="0"/>
    <x v="0"/>
    <n v="10"/>
    <x v="1"/>
    <n v="4"/>
    <x v="2"/>
    <x v="3"/>
    <n v="1"/>
    <n v="4"/>
    <x v="2"/>
    <x v="0"/>
    <n v="77"/>
    <x v="0"/>
    <n v="3"/>
    <x v="0"/>
    <n v="2"/>
    <x v="0"/>
    <n v="3"/>
    <x v="2"/>
    <x v="2"/>
    <n v="4260"/>
    <x v="1"/>
    <n v="5915"/>
    <x v="2"/>
    <n v="1"/>
    <x v="1"/>
    <s v="Y"/>
    <x v="0"/>
    <n v="12"/>
    <x v="0"/>
    <n v="3"/>
    <x v="0"/>
    <n v="4"/>
    <x v="1"/>
    <n v="80"/>
    <n v="1"/>
    <n v="5"/>
    <x v="3"/>
    <n v="2"/>
    <x v="0"/>
    <n v="4"/>
    <x v="3"/>
    <n v="5"/>
    <x v="2"/>
    <n v="2"/>
    <x v="0"/>
    <n v="0"/>
    <x v="0"/>
    <n v="3"/>
    <x v="0"/>
  </r>
  <r>
    <n v="508"/>
    <n v="30"/>
    <x v="2"/>
    <x v="1"/>
    <n v="0"/>
    <x v="0"/>
    <n v="202"/>
    <x v="1"/>
    <x v="0"/>
    <n v="2"/>
    <x v="0"/>
    <n v="1"/>
    <x v="1"/>
    <x v="4"/>
    <n v="1"/>
    <n v="3"/>
    <x v="1"/>
    <x v="1"/>
    <n v="72"/>
    <x v="1"/>
    <n v="3"/>
    <x v="0"/>
    <n v="1"/>
    <x v="6"/>
    <n v="2"/>
    <x v="1"/>
    <x v="1"/>
    <n v="2476"/>
    <x v="2"/>
    <n v="17434"/>
    <x v="0"/>
    <n v="1"/>
    <x v="1"/>
    <s v="Y"/>
    <x v="1"/>
    <n v="18"/>
    <x v="1"/>
    <n v="3"/>
    <x v="0"/>
    <n v="1"/>
    <x v="0"/>
    <n v="80"/>
    <n v="1"/>
    <n v="1"/>
    <x v="2"/>
    <n v="3"/>
    <x v="1"/>
    <n v="3"/>
    <x v="1"/>
    <n v="1"/>
    <x v="1"/>
    <n v="0"/>
    <x v="2"/>
    <n v="0"/>
    <x v="0"/>
    <n v="0"/>
    <x v="2"/>
  </r>
  <r>
    <n v="510"/>
    <n v="26"/>
    <x v="2"/>
    <x v="0"/>
    <n v="1"/>
    <x v="1"/>
    <n v="575"/>
    <x v="2"/>
    <x v="1"/>
    <n v="3"/>
    <x v="0"/>
    <n v="1"/>
    <x v="1"/>
    <x v="4"/>
    <n v="1"/>
    <n v="3"/>
    <x v="1"/>
    <x v="1"/>
    <n v="73"/>
    <x v="1"/>
    <n v="3"/>
    <x v="0"/>
    <n v="1"/>
    <x v="1"/>
    <n v="1"/>
    <x v="3"/>
    <x v="0"/>
    <n v="3102"/>
    <x v="3"/>
    <n v="6582"/>
    <x v="2"/>
    <n v="0"/>
    <x v="1"/>
    <s v="Y"/>
    <x v="1"/>
    <n v="22"/>
    <x v="1"/>
    <n v="4"/>
    <x v="1"/>
    <n v="3"/>
    <x v="3"/>
    <n v="80"/>
    <n v="0"/>
    <n v="7"/>
    <x v="0"/>
    <n v="2"/>
    <x v="0"/>
    <n v="3"/>
    <x v="1"/>
    <n v="6"/>
    <x v="0"/>
    <n v="4"/>
    <x v="0"/>
    <n v="0"/>
    <x v="0"/>
    <n v="4"/>
    <x v="0"/>
  </r>
  <r>
    <n v="511"/>
    <n v="22"/>
    <x v="4"/>
    <x v="1"/>
    <n v="0"/>
    <x v="0"/>
    <n v="253"/>
    <x v="1"/>
    <x v="1"/>
    <n v="11"/>
    <x v="3"/>
    <n v="3"/>
    <x v="3"/>
    <x v="2"/>
    <n v="1"/>
    <n v="1"/>
    <x v="3"/>
    <x v="0"/>
    <n v="43"/>
    <x v="2"/>
    <n v="3"/>
    <x v="0"/>
    <n v="1"/>
    <x v="1"/>
    <n v="2"/>
    <x v="1"/>
    <x v="1"/>
    <n v="2244"/>
    <x v="2"/>
    <n v="24440"/>
    <x v="1"/>
    <n v="1"/>
    <x v="1"/>
    <s v="Y"/>
    <x v="1"/>
    <n v="13"/>
    <x v="2"/>
    <n v="3"/>
    <x v="0"/>
    <n v="4"/>
    <x v="1"/>
    <n v="80"/>
    <n v="1"/>
    <n v="2"/>
    <x v="2"/>
    <n v="1"/>
    <x v="0"/>
    <n v="3"/>
    <x v="1"/>
    <n v="2"/>
    <x v="2"/>
    <n v="1"/>
    <x v="2"/>
    <n v="1"/>
    <x v="0"/>
    <n v="2"/>
    <x v="0"/>
  </r>
  <r>
    <n v="513"/>
    <n v="36"/>
    <x v="0"/>
    <x v="1"/>
    <n v="0"/>
    <x v="0"/>
    <n v="164"/>
    <x v="1"/>
    <x v="0"/>
    <n v="2"/>
    <x v="0"/>
    <n v="2"/>
    <x v="0"/>
    <x v="2"/>
    <n v="1"/>
    <n v="2"/>
    <x v="0"/>
    <x v="1"/>
    <n v="61"/>
    <x v="1"/>
    <n v="2"/>
    <x v="1"/>
    <n v="3"/>
    <x v="0"/>
    <n v="3"/>
    <x v="2"/>
    <x v="1"/>
    <n v="7596"/>
    <x v="11"/>
    <n v="3809"/>
    <x v="2"/>
    <n v="1"/>
    <x v="1"/>
    <s v="Y"/>
    <x v="1"/>
    <n v="13"/>
    <x v="2"/>
    <n v="3"/>
    <x v="0"/>
    <n v="2"/>
    <x v="4"/>
    <n v="80"/>
    <n v="2"/>
    <n v="10"/>
    <x v="0"/>
    <n v="2"/>
    <x v="0"/>
    <n v="3"/>
    <x v="1"/>
    <n v="10"/>
    <x v="0"/>
    <n v="9"/>
    <x v="1"/>
    <n v="9"/>
    <x v="2"/>
    <n v="0"/>
    <x v="2"/>
  </r>
  <r>
    <n v="514"/>
    <n v="30"/>
    <x v="2"/>
    <x v="0"/>
    <n v="1"/>
    <x v="1"/>
    <n v="464"/>
    <x v="1"/>
    <x v="1"/>
    <n v="4"/>
    <x v="0"/>
    <n v="3"/>
    <x v="3"/>
    <x v="4"/>
    <n v="1"/>
    <n v="3"/>
    <x v="1"/>
    <x v="1"/>
    <n v="40"/>
    <x v="2"/>
    <n v="3"/>
    <x v="0"/>
    <n v="1"/>
    <x v="1"/>
    <n v="4"/>
    <x v="0"/>
    <x v="0"/>
    <n v="2285"/>
    <x v="2"/>
    <n v="3427"/>
    <x v="2"/>
    <n v="9"/>
    <x v="0"/>
    <s v="Y"/>
    <x v="0"/>
    <n v="23"/>
    <x v="1"/>
    <n v="4"/>
    <x v="1"/>
    <n v="3"/>
    <x v="3"/>
    <n v="80"/>
    <n v="0"/>
    <n v="3"/>
    <x v="3"/>
    <n v="4"/>
    <x v="1"/>
    <n v="3"/>
    <x v="1"/>
    <n v="1"/>
    <x v="1"/>
    <n v="0"/>
    <x v="2"/>
    <n v="0"/>
    <x v="0"/>
    <n v="0"/>
    <x v="2"/>
  </r>
  <r>
    <n v="515"/>
    <n v="37"/>
    <x v="0"/>
    <x v="1"/>
    <n v="0"/>
    <x v="0"/>
    <n v="1107"/>
    <x v="0"/>
    <x v="1"/>
    <n v="14"/>
    <x v="3"/>
    <n v="3"/>
    <x v="3"/>
    <x v="0"/>
    <n v="1"/>
    <n v="4"/>
    <x v="2"/>
    <x v="0"/>
    <n v="95"/>
    <x v="0"/>
    <n v="3"/>
    <x v="0"/>
    <n v="1"/>
    <x v="2"/>
    <n v="1"/>
    <x v="3"/>
    <x v="2"/>
    <n v="3034"/>
    <x v="3"/>
    <n v="26914"/>
    <x v="1"/>
    <n v="1"/>
    <x v="1"/>
    <s v="Y"/>
    <x v="1"/>
    <n v="12"/>
    <x v="0"/>
    <n v="3"/>
    <x v="0"/>
    <n v="3"/>
    <x v="3"/>
    <n v="80"/>
    <n v="1"/>
    <n v="18"/>
    <x v="1"/>
    <n v="2"/>
    <x v="0"/>
    <n v="2"/>
    <x v="2"/>
    <n v="18"/>
    <x v="4"/>
    <n v="7"/>
    <x v="1"/>
    <n v="12"/>
    <x v="3"/>
    <n v="17"/>
    <x v="3"/>
  </r>
  <r>
    <n v="516"/>
    <n v="40"/>
    <x v="0"/>
    <x v="1"/>
    <n v="0"/>
    <x v="0"/>
    <n v="759"/>
    <x v="2"/>
    <x v="0"/>
    <n v="2"/>
    <x v="0"/>
    <n v="2"/>
    <x v="0"/>
    <x v="3"/>
    <n v="1"/>
    <n v="4"/>
    <x v="2"/>
    <x v="0"/>
    <n v="46"/>
    <x v="2"/>
    <n v="3"/>
    <x v="0"/>
    <n v="2"/>
    <x v="0"/>
    <n v="2"/>
    <x v="1"/>
    <x v="2"/>
    <n v="5715"/>
    <x v="0"/>
    <n v="22553"/>
    <x v="1"/>
    <n v="7"/>
    <x v="0"/>
    <s v="Y"/>
    <x v="1"/>
    <n v="12"/>
    <x v="0"/>
    <n v="3"/>
    <x v="0"/>
    <n v="3"/>
    <x v="3"/>
    <n v="80"/>
    <n v="2"/>
    <n v="8"/>
    <x v="0"/>
    <n v="5"/>
    <x v="2"/>
    <n v="3"/>
    <x v="1"/>
    <n v="5"/>
    <x v="2"/>
    <n v="4"/>
    <x v="0"/>
    <n v="1"/>
    <x v="0"/>
    <n v="3"/>
    <x v="0"/>
  </r>
  <r>
    <n v="517"/>
    <n v="42"/>
    <x v="0"/>
    <x v="1"/>
    <n v="0"/>
    <x v="0"/>
    <n v="201"/>
    <x v="1"/>
    <x v="1"/>
    <n v="1"/>
    <x v="0"/>
    <n v="4"/>
    <x v="2"/>
    <x v="0"/>
    <n v="1"/>
    <n v="2"/>
    <x v="0"/>
    <x v="0"/>
    <n v="95"/>
    <x v="0"/>
    <n v="3"/>
    <x v="0"/>
    <n v="1"/>
    <x v="2"/>
    <n v="1"/>
    <x v="3"/>
    <x v="2"/>
    <n v="2576"/>
    <x v="3"/>
    <n v="20490"/>
    <x v="0"/>
    <n v="3"/>
    <x v="3"/>
    <s v="Y"/>
    <x v="1"/>
    <n v="16"/>
    <x v="3"/>
    <n v="3"/>
    <x v="0"/>
    <n v="2"/>
    <x v="4"/>
    <n v="80"/>
    <n v="1"/>
    <n v="8"/>
    <x v="0"/>
    <n v="5"/>
    <x v="2"/>
    <n v="3"/>
    <x v="1"/>
    <n v="5"/>
    <x v="2"/>
    <n v="2"/>
    <x v="0"/>
    <n v="1"/>
    <x v="0"/>
    <n v="2"/>
    <x v="0"/>
  </r>
  <r>
    <n v="518"/>
    <n v="37"/>
    <x v="0"/>
    <x v="1"/>
    <n v="0"/>
    <x v="0"/>
    <n v="1305"/>
    <x v="0"/>
    <x v="1"/>
    <n v="10"/>
    <x v="1"/>
    <n v="4"/>
    <x v="2"/>
    <x v="0"/>
    <n v="1"/>
    <n v="3"/>
    <x v="1"/>
    <x v="1"/>
    <n v="49"/>
    <x v="2"/>
    <n v="3"/>
    <x v="0"/>
    <n v="2"/>
    <x v="3"/>
    <n v="2"/>
    <x v="1"/>
    <x v="0"/>
    <n v="4197"/>
    <x v="1"/>
    <n v="21123"/>
    <x v="0"/>
    <n v="2"/>
    <x v="3"/>
    <s v="Y"/>
    <x v="0"/>
    <n v="12"/>
    <x v="0"/>
    <n v="3"/>
    <x v="0"/>
    <n v="4"/>
    <x v="1"/>
    <n v="80"/>
    <n v="0"/>
    <n v="18"/>
    <x v="1"/>
    <n v="2"/>
    <x v="0"/>
    <n v="2"/>
    <x v="2"/>
    <n v="1"/>
    <x v="1"/>
    <n v="0"/>
    <x v="2"/>
    <n v="0"/>
    <x v="0"/>
    <n v="1"/>
    <x v="2"/>
  </r>
  <r>
    <n v="520"/>
    <n v="43"/>
    <x v="0"/>
    <x v="1"/>
    <n v="0"/>
    <x v="0"/>
    <n v="982"/>
    <x v="2"/>
    <x v="1"/>
    <n v="12"/>
    <x v="3"/>
    <n v="3"/>
    <x v="3"/>
    <x v="0"/>
    <n v="1"/>
    <n v="1"/>
    <x v="3"/>
    <x v="1"/>
    <n v="59"/>
    <x v="1"/>
    <n v="2"/>
    <x v="1"/>
    <n v="4"/>
    <x v="7"/>
    <n v="2"/>
    <x v="1"/>
    <x v="2"/>
    <n v="14336"/>
    <x v="10"/>
    <n v="4345"/>
    <x v="2"/>
    <n v="1"/>
    <x v="1"/>
    <s v="Y"/>
    <x v="1"/>
    <n v="11"/>
    <x v="0"/>
    <n v="3"/>
    <x v="0"/>
    <n v="3"/>
    <x v="3"/>
    <n v="80"/>
    <n v="1"/>
    <n v="25"/>
    <x v="4"/>
    <n v="3"/>
    <x v="1"/>
    <n v="3"/>
    <x v="1"/>
    <n v="25"/>
    <x v="3"/>
    <n v="10"/>
    <x v="1"/>
    <n v="3"/>
    <x v="1"/>
    <n v="9"/>
    <x v="1"/>
  </r>
  <r>
    <n v="521"/>
    <n v="40"/>
    <x v="0"/>
    <x v="1"/>
    <n v="0"/>
    <x v="0"/>
    <n v="555"/>
    <x v="2"/>
    <x v="1"/>
    <n v="2"/>
    <x v="0"/>
    <n v="3"/>
    <x v="3"/>
    <x v="2"/>
    <n v="1"/>
    <n v="2"/>
    <x v="0"/>
    <x v="0"/>
    <n v="78"/>
    <x v="0"/>
    <n v="2"/>
    <x v="1"/>
    <n v="2"/>
    <x v="2"/>
    <n v="3"/>
    <x v="2"/>
    <x v="1"/>
    <n v="3448"/>
    <x v="3"/>
    <n v="13436"/>
    <x v="3"/>
    <n v="6"/>
    <x v="2"/>
    <s v="Y"/>
    <x v="1"/>
    <n v="22"/>
    <x v="1"/>
    <n v="4"/>
    <x v="1"/>
    <n v="2"/>
    <x v="4"/>
    <n v="80"/>
    <n v="1"/>
    <n v="20"/>
    <x v="1"/>
    <n v="3"/>
    <x v="1"/>
    <n v="3"/>
    <x v="1"/>
    <n v="1"/>
    <x v="1"/>
    <n v="0"/>
    <x v="2"/>
    <n v="0"/>
    <x v="0"/>
    <n v="0"/>
    <x v="2"/>
  </r>
  <r>
    <n v="522"/>
    <n v="54"/>
    <x v="1"/>
    <x v="1"/>
    <n v="0"/>
    <x v="0"/>
    <n v="821"/>
    <x v="2"/>
    <x v="1"/>
    <n v="5"/>
    <x v="0"/>
    <n v="2"/>
    <x v="0"/>
    <x v="2"/>
    <n v="1"/>
    <n v="1"/>
    <x v="3"/>
    <x v="1"/>
    <n v="86"/>
    <x v="0"/>
    <n v="3"/>
    <x v="0"/>
    <n v="5"/>
    <x v="7"/>
    <n v="1"/>
    <x v="3"/>
    <x v="1"/>
    <n v="19406"/>
    <x v="7"/>
    <n v="8509"/>
    <x v="3"/>
    <n v="4"/>
    <x v="2"/>
    <s v="Y"/>
    <x v="1"/>
    <n v="11"/>
    <x v="0"/>
    <n v="3"/>
    <x v="0"/>
    <n v="3"/>
    <x v="3"/>
    <n v="80"/>
    <n v="1"/>
    <n v="24"/>
    <x v="4"/>
    <n v="4"/>
    <x v="1"/>
    <n v="2"/>
    <x v="2"/>
    <n v="4"/>
    <x v="2"/>
    <n v="2"/>
    <x v="0"/>
    <n v="1"/>
    <x v="0"/>
    <n v="2"/>
    <x v="0"/>
  </r>
  <r>
    <n v="523"/>
    <n v="34"/>
    <x v="2"/>
    <x v="1"/>
    <n v="0"/>
    <x v="2"/>
    <n v="1381"/>
    <x v="0"/>
    <x v="0"/>
    <n v="4"/>
    <x v="0"/>
    <n v="4"/>
    <x v="2"/>
    <x v="3"/>
    <n v="1"/>
    <n v="3"/>
    <x v="1"/>
    <x v="0"/>
    <n v="72"/>
    <x v="1"/>
    <n v="3"/>
    <x v="0"/>
    <n v="2"/>
    <x v="0"/>
    <n v="3"/>
    <x v="2"/>
    <x v="1"/>
    <n v="6538"/>
    <x v="0"/>
    <n v="12740"/>
    <x v="3"/>
    <n v="9"/>
    <x v="0"/>
    <s v="Y"/>
    <x v="1"/>
    <n v="15"/>
    <x v="2"/>
    <n v="3"/>
    <x v="0"/>
    <n v="1"/>
    <x v="0"/>
    <n v="80"/>
    <n v="1"/>
    <n v="6"/>
    <x v="0"/>
    <n v="3"/>
    <x v="1"/>
    <n v="3"/>
    <x v="1"/>
    <n v="3"/>
    <x v="2"/>
    <n v="2"/>
    <x v="0"/>
    <n v="1"/>
    <x v="0"/>
    <n v="2"/>
    <x v="0"/>
  </r>
  <r>
    <n v="524"/>
    <n v="31"/>
    <x v="2"/>
    <x v="1"/>
    <n v="0"/>
    <x v="0"/>
    <n v="480"/>
    <x v="1"/>
    <x v="1"/>
    <n v="7"/>
    <x v="1"/>
    <n v="2"/>
    <x v="0"/>
    <x v="2"/>
    <n v="1"/>
    <n v="2"/>
    <x v="0"/>
    <x v="0"/>
    <n v="31"/>
    <x v="2"/>
    <n v="3"/>
    <x v="0"/>
    <n v="2"/>
    <x v="3"/>
    <n v="1"/>
    <x v="3"/>
    <x v="1"/>
    <n v="4306"/>
    <x v="1"/>
    <n v="4156"/>
    <x v="2"/>
    <n v="1"/>
    <x v="1"/>
    <s v="Y"/>
    <x v="1"/>
    <n v="12"/>
    <x v="0"/>
    <n v="3"/>
    <x v="0"/>
    <n v="2"/>
    <x v="4"/>
    <n v="80"/>
    <n v="1"/>
    <n v="13"/>
    <x v="1"/>
    <n v="5"/>
    <x v="2"/>
    <n v="1"/>
    <x v="0"/>
    <n v="13"/>
    <x v="4"/>
    <n v="10"/>
    <x v="1"/>
    <n v="3"/>
    <x v="1"/>
    <n v="12"/>
    <x v="3"/>
  </r>
  <r>
    <n v="525"/>
    <n v="43"/>
    <x v="0"/>
    <x v="1"/>
    <n v="0"/>
    <x v="1"/>
    <n v="313"/>
    <x v="1"/>
    <x v="1"/>
    <n v="21"/>
    <x v="2"/>
    <n v="3"/>
    <x v="3"/>
    <x v="2"/>
    <n v="1"/>
    <n v="4"/>
    <x v="2"/>
    <x v="1"/>
    <n v="61"/>
    <x v="1"/>
    <n v="3"/>
    <x v="0"/>
    <n v="1"/>
    <x v="2"/>
    <n v="4"/>
    <x v="0"/>
    <x v="1"/>
    <n v="2258"/>
    <x v="2"/>
    <n v="15238"/>
    <x v="3"/>
    <n v="7"/>
    <x v="0"/>
    <s v="Y"/>
    <x v="1"/>
    <n v="20"/>
    <x v="1"/>
    <n v="4"/>
    <x v="1"/>
    <n v="1"/>
    <x v="0"/>
    <n v="80"/>
    <n v="1"/>
    <n v="8"/>
    <x v="0"/>
    <n v="1"/>
    <x v="0"/>
    <n v="3"/>
    <x v="1"/>
    <n v="3"/>
    <x v="2"/>
    <n v="2"/>
    <x v="0"/>
    <n v="1"/>
    <x v="0"/>
    <n v="2"/>
    <x v="0"/>
  </r>
  <r>
    <n v="526"/>
    <n v="43"/>
    <x v="0"/>
    <x v="1"/>
    <n v="0"/>
    <x v="0"/>
    <n v="1473"/>
    <x v="0"/>
    <x v="1"/>
    <n v="8"/>
    <x v="1"/>
    <n v="4"/>
    <x v="2"/>
    <x v="1"/>
    <n v="1"/>
    <n v="3"/>
    <x v="1"/>
    <x v="0"/>
    <n v="74"/>
    <x v="1"/>
    <n v="3"/>
    <x v="0"/>
    <n v="2"/>
    <x v="4"/>
    <n v="3"/>
    <x v="2"/>
    <x v="2"/>
    <n v="4522"/>
    <x v="1"/>
    <n v="2227"/>
    <x v="2"/>
    <n v="4"/>
    <x v="2"/>
    <s v="Y"/>
    <x v="0"/>
    <n v="14"/>
    <x v="2"/>
    <n v="3"/>
    <x v="0"/>
    <n v="4"/>
    <x v="1"/>
    <n v="80"/>
    <n v="0"/>
    <n v="8"/>
    <x v="0"/>
    <n v="3"/>
    <x v="1"/>
    <n v="3"/>
    <x v="1"/>
    <n v="5"/>
    <x v="2"/>
    <n v="2"/>
    <x v="0"/>
    <n v="0"/>
    <x v="0"/>
    <n v="2"/>
    <x v="0"/>
  </r>
  <r>
    <n v="527"/>
    <n v="25"/>
    <x v="4"/>
    <x v="1"/>
    <n v="0"/>
    <x v="0"/>
    <n v="891"/>
    <x v="2"/>
    <x v="0"/>
    <n v="4"/>
    <x v="0"/>
    <n v="2"/>
    <x v="0"/>
    <x v="0"/>
    <n v="1"/>
    <n v="2"/>
    <x v="0"/>
    <x v="0"/>
    <n v="99"/>
    <x v="0"/>
    <n v="2"/>
    <x v="1"/>
    <n v="2"/>
    <x v="0"/>
    <n v="4"/>
    <x v="0"/>
    <x v="0"/>
    <n v="4487"/>
    <x v="1"/>
    <n v="12090"/>
    <x v="3"/>
    <n v="1"/>
    <x v="1"/>
    <s v="Y"/>
    <x v="0"/>
    <n v="11"/>
    <x v="0"/>
    <n v="3"/>
    <x v="0"/>
    <n v="2"/>
    <x v="4"/>
    <n v="80"/>
    <n v="0"/>
    <n v="5"/>
    <x v="3"/>
    <n v="3"/>
    <x v="1"/>
    <n v="3"/>
    <x v="1"/>
    <n v="5"/>
    <x v="2"/>
    <n v="4"/>
    <x v="0"/>
    <n v="1"/>
    <x v="0"/>
    <n v="3"/>
    <x v="0"/>
  </r>
  <r>
    <n v="529"/>
    <n v="37"/>
    <x v="0"/>
    <x v="1"/>
    <n v="0"/>
    <x v="2"/>
    <n v="1063"/>
    <x v="0"/>
    <x v="1"/>
    <n v="25"/>
    <x v="2"/>
    <n v="5"/>
    <x v="4"/>
    <x v="2"/>
    <n v="1"/>
    <n v="2"/>
    <x v="0"/>
    <x v="0"/>
    <n v="72"/>
    <x v="1"/>
    <n v="3"/>
    <x v="0"/>
    <n v="2"/>
    <x v="1"/>
    <n v="3"/>
    <x v="2"/>
    <x v="1"/>
    <n v="4449"/>
    <x v="1"/>
    <n v="23866"/>
    <x v="1"/>
    <n v="3"/>
    <x v="3"/>
    <s v="Y"/>
    <x v="0"/>
    <n v="15"/>
    <x v="2"/>
    <n v="3"/>
    <x v="0"/>
    <n v="1"/>
    <x v="0"/>
    <n v="80"/>
    <n v="2"/>
    <n v="15"/>
    <x v="1"/>
    <n v="2"/>
    <x v="0"/>
    <n v="3"/>
    <x v="1"/>
    <n v="13"/>
    <x v="4"/>
    <n v="11"/>
    <x v="3"/>
    <n v="10"/>
    <x v="2"/>
    <n v="7"/>
    <x v="1"/>
  </r>
  <r>
    <n v="530"/>
    <n v="31"/>
    <x v="2"/>
    <x v="1"/>
    <n v="0"/>
    <x v="0"/>
    <n v="329"/>
    <x v="1"/>
    <x v="1"/>
    <n v="1"/>
    <x v="0"/>
    <n v="2"/>
    <x v="0"/>
    <x v="0"/>
    <n v="1"/>
    <n v="4"/>
    <x v="2"/>
    <x v="1"/>
    <n v="98"/>
    <x v="0"/>
    <n v="2"/>
    <x v="1"/>
    <n v="1"/>
    <x v="2"/>
    <n v="1"/>
    <x v="3"/>
    <x v="1"/>
    <n v="2218"/>
    <x v="2"/>
    <n v="16193"/>
    <x v="0"/>
    <n v="1"/>
    <x v="1"/>
    <s v="Y"/>
    <x v="1"/>
    <n v="12"/>
    <x v="0"/>
    <n v="3"/>
    <x v="0"/>
    <n v="3"/>
    <x v="3"/>
    <n v="80"/>
    <n v="1"/>
    <n v="4"/>
    <x v="3"/>
    <n v="3"/>
    <x v="1"/>
    <n v="3"/>
    <x v="1"/>
    <n v="4"/>
    <x v="2"/>
    <n v="2"/>
    <x v="0"/>
    <n v="3"/>
    <x v="1"/>
    <n v="2"/>
    <x v="0"/>
  </r>
  <r>
    <n v="531"/>
    <n v="39"/>
    <x v="0"/>
    <x v="1"/>
    <n v="0"/>
    <x v="1"/>
    <n v="1218"/>
    <x v="0"/>
    <x v="1"/>
    <n v="1"/>
    <x v="0"/>
    <n v="1"/>
    <x v="1"/>
    <x v="0"/>
    <n v="1"/>
    <n v="2"/>
    <x v="0"/>
    <x v="1"/>
    <n v="52"/>
    <x v="1"/>
    <n v="3"/>
    <x v="0"/>
    <n v="5"/>
    <x v="5"/>
    <n v="3"/>
    <x v="2"/>
    <x v="2"/>
    <n v="19197"/>
    <x v="7"/>
    <n v="8213"/>
    <x v="3"/>
    <n v="1"/>
    <x v="1"/>
    <s v="Y"/>
    <x v="0"/>
    <n v="14"/>
    <x v="2"/>
    <n v="3"/>
    <x v="0"/>
    <n v="3"/>
    <x v="3"/>
    <n v="80"/>
    <n v="1"/>
    <n v="21"/>
    <x v="4"/>
    <n v="3"/>
    <x v="1"/>
    <n v="3"/>
    <x v="1"/>
    <n v="21"/>
    <x v="3"/>
    <n v="8"/>
    <x v="1"/>
    <n v="1"/>
    <x v="0"/>
    <n v="6"/>
    <x v="1"/>
  </r>
  <r>
    <n v="532"/>
    <n v="56"/>
    <x v="3"/>
    <x v="1"/>
    <n v="0"/>
    <x v="1"/>
    <n v="906"/>
    <x v="2"/>
    <x v="0"/>
    <n v="6"/>
    <x v="1"/>
    <n v="3"/>
    <x v="3"/>
    <x v="0"/>
    <n v="1"/>
    <n v="3"/>
    <x v="1"/>
    <x v="0"/>
    <n v="86"/>
    <x v="0"/>
    <n v="4"/>
    <x v="2"/>
    <n v="4"/>
    <x v="0"/>
    <n v="1"/>
    <x v="3"/>
    <x v="1"/>
    <n v="13212"/>
    <x v="10"/>
    <n v="18256"/>
    <x v="0"/>
    <n v="9"/>
    <x v="0"/>
    <s v="Y"/>
    <x v="1"/>
    <n v="11"/>
    <x v="0"/>
    <n v="3"/>
    <x v="0"/>
    <n v="4"/>
    <x v="1"/>
    <n v="80"/>
    <n v="3"/>
    <n v="36"/>
    <x v="4"/>
    <n v="0"/>
    <x v="0"/>
    <n v="2"/>
    <x v="2"/>
    <n v="7"/>
    <x v="0"/>
    <n v="7"/>
    <x v="1"/>
    <n v="7"/>
    <x v="2"/>
    <n v="7"/>
    <x v="1"/>
  </r>
  <r>
    <n v="533"/>
    <n v="30"/>
    <x v="2"/>
    <x v="1"/>
    <n v="0"/>
    <x v="0"/>
    <n v="1082"/>
    <x v="0"/>
    <x v="0"/>
    <n v="12"/>
    <x v="3"/>
    <n v="3"/>
    <x v="3"/>
    <x v="4"/>
    <n v="1"/>
    <n v="2"/>
    <x v="0"/>
    <x v="0"/>
    <n v="83"/>
    <x v="0"/>
    <n v="3"/>
    <x v="0"/>
    <n v="2"/>
    <x v="0"/>
    <n v="3"/>
    <x v="2"/>
    <x v="0"/>
    <n v="6577"/>
    <x v="0"/>
    <n v="19558"/>
    <x v="0"/>
    <n v="0"/>
    <x v="1"/>
    <s v="Y"/>
    <x v="1"/>
    <n v="11"/>
    <x v="0"/>
    <n v="3"/>
    <x v="0"/>
    <n v="2"/>
    <x v="4"/>
    <n v="80"/>
    <n v="0"/>
    <n v="6"/>
    <x v="0"/>
    <n v="6"/>
    <x v="2"/>
    <n v="3"/>
    <x v="1"/>
    <n v="5"/>
    <x v="2"/>
    <n v="4"/>
    <x v="0"/>
    <n v="4"/>
    <x v="1"/>
    <n v="4"/>
    <x v="0"/>
  </r>
  <r>
    <n v="534"/>
    <n v="41"/>
    <x v="0"/>
    <x v="1"/>
    <n v="0"/>
    <x v="0"/>
    <n v="645"/>
    <x v="2"/>
    <x v="0"/>
    <n v="1"/>
    <x v="0"/>
    <n v="3"/>
    <x v="3"/>
    <x v="3"/>
    <n v="1"/>
    <n v="2"/>
    <x v="0"/>
    <x v="1"/>
    <n v="49"/>
    <x v="2"/>
    <n v="4"/>
    <x v="2"/>
    <n v="3"/>
    <x v="0"/>
    <n v="1"/>
    <x v="3"/>
    <x v="1"/>
    <n v="8392"/>
    <x v="11"/>
    <n v="19566"/>
    <x v="0"/>
    <n v="1"/>
    <x v="1"/>
    <s v="Y"/>
    <x v="1"/>
    <n v="16"/>
    <x v="3"/>
    <n v="3"/>
    <x v="0"/>
    <n v="3"/>
    <x v="3"/>
    <n v="80"/>
    <n v="1"/>
    <n v="10"/>
    <x v="0"/>
    <n v="2"/>
    <x v="0"/>
    <n v="3"/>
    <x v="1"/>
    <n v="10"/>
    <x v="0"/>
    <n v="7"/>
    <x v="1"/>
    <n v="0"/>
    <x v="0"/>
    <n v="7"/>
    <x v="1"/>
  </r>
  <r>
    <n v="536"/>
    <n v="28"/>
    <x v="2"/>
    <x v="1"/>
    <n v="0"/>
    <x v="0"/>
    <n v="1300"/>
    <x v="0"/>
    <x v="1"/>
    <n v="17"/>
    <x v="3"/>
    <n v="2"/>
    <x v="0"/>
    <x v="2"/>
    <n v="1"/>
    <n v="3"/>
    <x v="1"/>
    <x v="1"/>
    <n v="79"/>
    <x v="0"/>
    <n v="3"/>
    <x v="0"/>
    <n v="2"/>
    <x v="2"/>
    <n v="1"/>
    <x v="3"/>
    <x v="2"/>
    <n v="4558"/>
    <x v="1"/>
    <n v="13535"/>
    <x v="3"/>
    <n v="1"/>
    <x v="1"/>
    <s v="Y"/>
    <x v="1"/>
    <n v="12"/>
    <x v="0"/>
    <n v="3"/>
    <x v="0"/>
    <n v="4"/>
    <x v="1"/>
    <n v="80"/>
    <n v="1"/>
    <n v="10"/>
    <x v="0"/>
    <n v="2"/>
    <x v="0"/>
    <n v="3"/>
    <x v="1"/>
    <n v="10"/>
    <x v="0"/>
    <n v="0"/>
    <x v="2"/>
    <n v="1"/>
    <x v="0"/>
    <n v="8"/>
    <x v="1"/>
  </r>
  <r>
    <n v="538"/>
    <n v="25"/>
    <x v="4"/>
    <x v="0"/>
    <n v="1"/>
    <x v="0"/>
    <n v="688"/>
    <x v="2"/>
    <x v="1"/>
    <n v="3"/>
    <x v="0"/>
    <n v="3"/>
    <x v="3"/>
    <x v="2"/>
    <n v="1"/>
    <n v="1"/>
    <x v="3"/>
    <x v="1"/>
    <n v="91"/>
    <x v="0"/>
    <n v="3"/>
    <x v="0"/>
    <n v="1"/>
    <x v="2"/>
    <n v="1"/>
    <x v="3"/>
    <x v="1"/>
    <n v="4031"/>
    <x v="1"/>
    <n v="9396"/>
    <x v="3"/>
    <n v="5"/>
    <x v="2"/>
    <s v="Y"/>
    <x v="1"/>
    <n v="13"/>
    <x v="2"/>
    <n v="3"/>
    <x v="0"/>
    <n v="3"/>
    <x v="3"/>
    <n v="80"/>
    <n v="1"/>
    <n v="6"/>
    <x v="0"/>
    <n v="5"/>
    <x v="2"/>
    <n v="3"/>
    <x v="1"/>
    <n v="2"/>
    <x v="2"/>
    <n v="2"/>
    <x v="0"/>
    <n v="0"/>
    <x v="0"/>
    <n v="2"/>
    <x v="0"/>
  </r>
  <r>
    <n v="543"/>
    <n v="52"/>
    <x v="1"/>
    <x v="1"/>
    <n v="0"/>
    <x v="0"/>
    <n v="319"/>
    <x v="1"/>
    <x v="1"/>
    <n v="3"/>
    <x v="0"/>
    <n v="3"/>
    <x v="3"/>
    <x v="2"/>
    <n v="1"/>
    <n v="4"/>
    <x v="2"/>
    <x v="1"/>
    <n v="39"/>
    <x v="2"/>
    <n v="2"/>
    <x v="1"/>
    <n v="3"/>
    <x v="3"/>
    <n v="3"/>
    <x v="2"/>
    <x v="1"/>
    <n v="7969"/>
    <x v="11"/>
    <n v="19609"/>
    <x v="0"/>
    <n v="2"/>
    <x v="3"/>
    <s v="Y"/>
    <x v="0"/>
    <n v="14"/>
    <x v="2"/>
    <n v="3"/>
    <x v="0"/>
    <n v="3"/>
    <x v="3"/>
    <n v="80"/>
    <n v="0"/>
    <n v="28"/>
    <x v="4"/>
    <n v="4"/>
    <x v="1"/>
    <n v="3"/>
    <x v="1"/>
    <n v="5"/>
    <x v="2"/>
    <n v="4"/>
    <x v="0"/>
    <n v="0"/>
    <x v="0"/>
    <n v="4"/>
    <x v="0"/>
  </r>
  <r>
    <n v="544"/>
    <n v="45"/>
    <x v="0"/>
    <x v="1"/>
    <n v="0"/>
    <x v="0"/>
    <n v="192"/>
    <x v="1"/>
    <x v="1"/>
    <n v="10"/>
    <x v="1"/>
    <n v="2"/>
    <x v="0"/>
    <x v="0"/>
    <n v="1"/>
    <n v="1"/>
    <x v="3"/>
    <x v="1"/>
    <n v="69"/>
    <x v="1"/>
    <n v="3"/>
    <x v="0"/>
    <n v="1"/>
    <x v="1"/>
    <n v="4"/>
    <x v="0"/>
    <x v="1"/>
    <n v="2654"/>
    <x v="3"/>
    <n v="9655"/>
    <x v="3"/>
    <n v="3"/>
    <x v="3"/>
    <s v="Y"/>
    <x v="1"/>
    <n v="21"/>
    <x v="1"/>
    <n v="4"/>
    <x v="1"/>
    <n v="4"/>
    <x v="1"/>
    <n v="80"/>
    <n v="2"/>
    <n v="8"/>
    <x v="0"/>
    <n v="3"/>
    <x v="1"/>
    <n v="2"/>
    <x v="2"/>
    <n v="2"/>
    <x v="2"/>
    <n v="2"/>
    <x v="0"/>
    <n v="0"/>
    <x v="0"/>
    <n v="2"/>
    <x v="0"/>
  </r>
  <r>
    <n v="546"/>
    <n v="52"/>
    <x v="1"/>
    <x v="1"/>
    <n v="0"/>
    <x v="0"/>
    <n v="1490"/>
    <x v="0"/>
    <x v="1"/>
    <n v="4"/>
    <x v="0"/>
    <n v="2"/>
    <x v="0"/>
    <x v="0"/>
    <n v="1"/>
    <n v="4"/>
    <x v="2"/>
    <x v="0"/>
    <n v="30"/>
    <x v="2"/>
    <n v="3"/>
    <x v="0"/>
    <n v="4"/>
    <x v="5"/>
    <n v="4"/>
    <x v="0"/>
    <x v="1"/>
    <n v="16555"/>
    <x v="12"/>
    <n v="10310"/>
    <x v="3"/>
    <n v="2"/>
    <x v="3"/>
    <s v="Y"/>
    <x v="1"/>
    <n v="13"/>
    <x v="2"/>
    <n v="3"/>
    <x v="0"/>
    <n v="4"/>
    <x v="1"/>
    <n v="80"/>
    <n v="0"/>
    <n v="31"/>
    <x v="4"/>
    <n v="2"/>
    <x v="0"/>
    <n v="1"/>
    <x v="0"/>
    <n v="5"/>
    <x v="2"/>
    <n v="2"/>
    <x v="0"/>
    <n v="1"/>
    <x v="0"/>
    <n v="4"/>
    <x v="0"/>
  </r>
  <r>
    <n v="547"/>
    <n v="42"/>
    <x v="0"/>
    <x v="1"/>
    <n v="0"/>
    <x v="1"/>
    <n v="532"/>
    <x v="2"/>
    <x v="1"/>
    <n v="29"/>
    <x v="2"/>
    <n v="2"/>
    <x v="0"/>
    <x v="0"/>
    <n v="1"/>
    <n v="1"/>
    <x v="3"/>
    <x v="0"/>
    <n v="92"/>
    <x v="0"/>
    <n v="3"/>
    <x v="0"/>
    <n v="2"/>
    <x v="1"/>
    <n v="3"/>
    <x v="2"/>
    <x v="2"/>
    <n v="4556"/>
    <x v="1"/>
    <n v="12932"/>
    <x v="3"/>
    <n v="2"/>
    <x v="3"/>
    <s v="Y"/>
    <x v="1"/>
    <n v="11"/>
    <x v="0"/>
    <n v="3"/>
    <x v="0"/>
    <n v="2"/>
    <x v="4"/>
    <n v="80"/>
    <n v="1"/>
    <n v="19"/>
    <x v="1"/>
    <n v="3"/>
    <x v="1"/>
    <n v="3"/>
    <x v="1"/>
    <n v="5"/>
    <x v="2"/>
    <n v="4"/>
    <x v="0"/>
    <n v="0"/>
    <x v="0"/>
    <n v="2"/>
    <x v="0"/>
  </r>
  <r>
    <n v="548"/>
    <n v="30"/>
    <x v="2"/>
    <x v="1"/>
    <n v="0"/>
    <x v="0"/>
    <n v="317"/>
    <x v="1"/>
    <x v="1"/>
    <n v="2"/>
    <x v="0"/>
    <n v="3"/>
    <x v="3"/>
    <x v="0"/>
    <n v="1"/>
    <n v="3"/>
    <x v="1"/>
    <x v="0"/>
    <n v="43"/>
    <x v="2"/>
    <n v="1"/>
    <x v="3"/>
    <n v="2"/>
    <x v="3"/>
    <n v="4"/>
    <x v="0"/>
    <x v="0"/>
    <n v="6091"/>
    <x v="0"/>
    <n v="24793"/>
    <x v="1"/>
    <n v="2"/>
    <x v="3"/>
    <s v="Y"/>
    <x v="1"/>
    <n v="20"/>
    <x v="1"/>
    <n v="4"/>
    <x v="1"/>
    <n v="3"/>
    <x v="3"/>
    <n v="80"/>
    <n v="0"/>
    <n v="11"/>
    <x v="1"/>
    <n v="2"/>
    <x v="0"/>
    <n v="3"/>
    <x v="1"/>
    <n v="5"/>
    <x v="2"/>
    <n v="4"/>
    <x v="0"/>
    <n v="0"/>
    <x v="0"/>
    <n v="2"/>
    <x v="0"/>
  </r>
  <r>
    <n v="549"/>
    <n v="60"/>
    <x v="3"/>
    <x v="1"/>
    <n v="0"/>
    <x v="0"/>
    <n v="422"/>
    <x v="1"/>
    <x v="1"/>
    <n v="7"/>
    <x v="1"/>
    <n v="3"/>
    <x v="3"/>
    <x v="0"/>
    <n v="1"/>
    <n v="1"/>
    <x v="3"/>
    <x v="0"/>
    <n v="41"/>
    <x v="2"/>
    <n v="3"/>
    <x v="0"/>
    <n v="5"/>
    <x v="5"/>
    <n v="1"/>
    <x v="3"/>
    <x v="1"/>
    <n v="19566"/>
    <x v="7"/>
    <n v="3854"/>
    <x v="2"/>
    <n v="5"/>
    <x v="2"/>
    <s v="Y"/>
    <x v="1"/>
    <n v="11"/>
    <x v="0"/>
    <n v="3"/>
    <x v="0"/>
    <n v="4"/>
    <x v="1"/>
    <n v="80"/>
    <n v="0"/>
    <n v="33"/>
    <x v="4"/>
    <n v="5"/>
    <x v="2"/>
    <n v="1"/>
    <x v="0"/>
    <n v="29"/>
    <x v="3"/>
    <n v="8"/>
    <x v="1"/>
    <n v="11"/>
    <x v="3"/>
    <n v="10"/>
    <x v="1"/>
  </r>
  <r>
    <n v="550"/>
    <n v="46"/>
    <x v="1"/>
    <x v="1"/>
    <n v="0"/>
    <x v="0"/>
    <n v="1485"/>
    <x v="0"/>
    <x v="1"/>
    <n v="18"/>
    <x v="3"/>
    <n v="3"/>
    <x v="3"/>
    <x v="2"/>
    <n v="1"/>
    <n v="3"/>
    <x v="1"/>
    <x v="0"/>
    <n v="87"/>
    <x v="0"/>
    <n v="3"/>
    <x v="0"/>
    <n v="2"/>
    <x v="3"/>
    <n v="3"/>
    <x v="2"/>
    <x v="2"/>
    <n v="4810"/>
    <x v="1"/>
    <n v="26314"/>
    <x v="1"/>
    <n v="2"/>
    <x v="3"/>
    <s v="Y"/>
    <x v="1"/>
    <n v="14"/>
    <x v="2"/>
    <n v="3"/>
    <x v="0"/>
    <n v="3"/>
    <x v="3"/>
    <n v="80"/>
    <n v="1"/>
    <n v="19"/>
    <x v="1"/>
    <n v="5"/>
    <x v="2"/>
    <n v="2"/>
    <x v="2"/>
    <n v="10"/>
    <x v="0"/>
    <n v="7"/>
    <x v="1"/>
    <n v="0"/>
    <x v="0"/>
    <n v="8"/>
    <x v="1"/>
  </r>
  <r>
    <n v="551"/>
    <n v="42"/>
    <x v="0"/>
    <x v="1"/>
    <n v="0"/>
    <x v="1"/>
    <n v="1368"/>
    <x v="0"/>
    <x v="1"/>
    <n v="28"/>
    <x v="2"/>
    <n v="4"/>
    <x v="2"/>
    <x v="4"/>
    <n v="1"/>
    <n v="4"/>
    <x v="2"/>
    <x v="0"/>
    <n v="88"/>
    <x v="0"/>
    <n v="2"/>
    <x v="1"/>
    <n v="2"/>
    <x v="4"/>
    <n v="4"/>
    <x v="0"/>
    <x v="1"/>
    <n v="4523"/>
    <x v="1"/>
    <n v="4386"/>
    <x v="2"/>
    <n v="0"/>
    <x v="1"/>
    <s v="Y"/>
    <x v="1"/>
    <n v="11"/>
    <x v="0"/>
    <n v="3"/>
    <x v="0"/>
    <n v="4"/>
    <x v="1"/>
    <n v="80"/>
    <n v="3"/>
    <n v="7"/>
    <x v="0"/>
    <n v="4"/>
    <x v="1"/>
    <n v="4"/>
    <x v="3"/>
    <n v="6"/>
    <x v="0"/>
    <n v="5"/>
    <x v="0"/>
    <n v="0"/>
    <x v="0"/>
    <n v="4"/>
    <x v="0"/>
  </r>
  <r>
    <n v="554"/>
    <n v="24"/>
    <x v="4"/>
    <x v="0"/>
    <n v="1"/>
    <x v="0"/>
    <n v="1448"/>
    <x v="0"/>
    <x v="0"/>
    <n v="1"/>
    <x v="0"/>
    <n v="1"/>
    <x v="1"/>
    <x v="4"/>
    <n v="1"/>
    <n v="1"/>
    <x v="3"/>
    <x v="0"/>
    <n v="62"/>
    <x v="1"/>
    <n v="3"/>
    <x v="0"/>
    <n v="1"/>
    <x v="6"/>
    <n v="2"/>
    <x v="1"/>
    <x v="0"/>
    <n v="3202"/>
    <x v="3"/>
    <n v="21972"/>
    <x v="0"/>
    <n v="1"/>
    <x v="1"/>
    <s v="Y"/>
    <x v="0"/>
    <n v="16"/>
    <x v="3"/>
    <n v="3"/>
    <x v="0"/>
    <n v="2"/>
    <x v="4"/>
    <n v="80"/>
    <n v="0"/>
    <n v="6"/>
    <x v="0"/>
    <n v="4"/>
    <x v="1"/>
    <n v="3"/>
    <x v="1"/>
    <n v="5"/>
    <x v="2"/>
    <n v="3"/>
    <x v="0"/>
    <n v="1"/>
    <x v="0"/>
    <n v="4"/>
    <x v="0"/>
  </r>
  <r>
    <n v="555"/>
    <n v="34"/>
    <x v="2"/>
    <x v="0"/>
    <n v="1"/>
    <x v="1"/>
    <n v="296"/>
    <x v="1"/>
    <x v="0"/>
    <n v="6"/>
    <x v="1"/>
    <n v="2"/>
    <x v="0"/>
    <x v="3"/>
    <n v="1"/>
    <n v="4"/>
    <x v="2"/>
    <x v="0"/>
    <n v="33"/>
    <x v="2"/>
    <n v="1"/>
    <x v="3"/>
    <n v="1"/>
    <x v="6"/>
    <n v="3"/>
    <x v="2"/>
    <x v="2"/>
    <n v="2351"/>
    <x v="2"/>
    <n v="12253"/>
    <x v="3"/>
    <n v="0"/>
    <x v="1"/>
    <s v="Y"/>
    <x v="1"/>
    <n v="16"/>
    <x v="3"/>
    <n v="3"/>
    <x v="0"/>
    <n v="4"/>
    <x v="1"/>
    <n v="80"/>
    <n v="1"/>
    <n v="3"/>
    <x v="3"/>
    <n v="3"/>
    <x v="1"/>
    <n v="2"/>
    <x v="2"/>
    <n v="2"/>
    <x v="2"/>
    <n v="2"/>
    <x v="0"/>
    <n v="1"/>
    <x v="0"/>
    <n v="0"/>
    <x v="2"/>
  </r>
  <r>
    <n v="556"/>
    <n v="38"/>
    <x v="0"/>
    <x v="1"/>
    <n v="0"/>
    <x v="1"/>
    <n v="1490"/>
    <x v="0"/>
    <x v="1"/>
    <n v="2"/>
    <x v="0"/>
    <n v="2"/>
    <x v="0"/>
    <x v="0"/>
    <n v="1"/>
    <n v="4"/>
    <x v="2"/>
    <x v="1"/>
    <n v="42"/>
    <x v="2"/>
    <n v="3"/>
    <x v="0"/>
    <n v="1"/>
    <x v="2"/>
    <n v="4"/>
    <x v="0"/>
    <x v="1"/>
    <n v="1702"/>
    <x v="2"/>
    <n v="12106"/>
    <x v="3"/>
    <n v="1"/>
    <x v="1"/>
    <s v="Y"/>
    <x v="0"/>
    <n v="23"/>
    <x v="1"/>
    <n v="4"/>
    <x v="1"/>
    <n v="3"/>
    <x v="3"/>
    <n v="80"/>
    <n v="1"/>
    <n v="1"/>
    <x v="2"/>
    <n v="3"/>
    <x v="1"/>
    <n v="3"/>
    <x v="1"/>
    <n v="1"/>
    <x v="1"/>
    <n v="0"/>
    <x v="2"/>
    <n v="0"/>
    <x v="0"/>
    <n v="0"/>
    <x v="2"/>
  </r>
  <r>
    <n v="558"/>
    <n v="40"/>
    <x v="0"/>
    <x v="1"/>
    <n v="0"/>
    <x v="0"/>
    <n v="1398"/>
    <x v="0"/>
    <x v="0"/>
    <n v="2"/>
    <x v="0"/>
    <n v="4"/>
    <x v="2"/>
    <x v="0"/>
    <n v="1"/>
    <n v="3"/>
    <x v="1"/>
    <x v="0"/>
    <n v="79"/>
    <x v="0"/>
    <n v="3"/>
    <x v="0"/>
    <n v="5"/>
    <x v="5"/>
    <n v="3"/>
    <x v="2"/>
    <x v="1"/>
    <n v="18041"/>
    <x v="9"/>
    <n v="13022"/>
    <x v="3"/>
    <n v="0"/>
    <x v="1"/>
    <s v="Y"/>
    <x v="1"/>
    <n v="14"/>
    <x v="2"/>
    <n v="3"/>
    <x v="0"/>
    <n v="4"/>
    <x v="1"/>
    <n v="80"/>
    <n v="0"/>
    <n v="21"/>
    <x v="4"/>
    <n v="2"/>
    <x v="0"/>
    <n v="3"/>
    <x v="1"/>
    <n v="20"/>
    <x v="4"/>
    <n v="15"/>
    <x v="3"/>
    <n v="1"/>
    <x v="0"/>
    <n v="12"/>
    <x v="3"/>
  </r>
  <r>
    <n v="560"/>
    <n v="26"/>
    <x v="2"/>
    <x v="1"/>
    <n v="0"/>
    <x v="0"/>
    <n v="1349"/>
    <x v="0"/>
    <x v="1"/>
    <n v="23"/>
    <x v="2"/>
    <n v="3"/>
    <x v="3"/>
    <x v="0"/>
    <n v="1"/>
    <n v="1"/>
    <x v="3"/>
    <x v="0"/>
    <n v="90"/>
    <x v="0"/>
    <n v="3"/>
    <x v="0"/>
    <n v="1"/>
    <x v="1"/>
    <n v="4"/>
    <x v="0"/>
    <x v="2"/>
    <n v="2886"/>
    <x v="3"/>
    <n v="3032"/>
    <x v="2"/>
    <n v="1"/>
    <x v="1"/>
    <s v="Y"/>
    <x v="1"/>
    <n v="22"/>
    <x v="1"/>
    <n v="4"/>
    <x v="1"/>
    <n v="2"/>
    <x v="4"/>
    <n v="80"/>
    <n v="2"/>
    <n v="3"/>
    <x v="3"/>
    <n v="3"/>
    <x v="1"/>
    <n v="1"/>
    <x v="0"/>
    <n v="3"/>
    <x v="2"/>
    <n v="2"/>
    <x v="0"/>
    <n v="0"/>
    <x v="0"/>
    <n v="2"/>
    <x v="0"/>
  </r>
  <r>
    <n v="562"/>
    <n v="30"/>
    <x v="2"/>
    <x v="1"/>
    <n v="0"/>
    <x v="2"/>
    <n v="1400"/>
    <x v="0"/>
    <x v="1"/>
    <n v="3"/>
    <x v="0"/>
    <n v="3"/>
    <x v="3"/>
    <x v="0"/>
    <n v="1"/>
    <n v="3"/>
    <x v="1"/>
    <x v="1"/>
    <n v="53"/>
    <x v="1"/>
    <n v="3"/>
    <x v="0"/>
    <n v="1"/>
    <x v="2"/>
    <n v="4"/>
    <x v="0"/>
    <x v="1"/>
    <n v="2097"/>
    <x v="2"/>
    <n v="16734"/>
    <x v="0"/>
    <n v="4"/>
    <x v="2"/>
    <s v="Y"/>
    <x v="1"/>
    <n v="15"/>
    <x v="2"/>
    <n v="3"/>
    <x v="0"/>
    <n v="3"/>
    <x v="3"/>
    <n v="80"/>
    <n v="1"/>
    <n v="9"/>
    <x v="0"/>
    <n v="3"/>
    <x v="1"/>
    <n v="1"/>
    <x v="0"/>
    <n v="5"/>
    <x v="2"/>
    <n v="3"/>
    <x v="0"/>
    <n v="1"/>
    <x v="0"/>
    <n v="4"/>
    <x v="0"/>
  </r>
  <r>
    <n v="564"/>
    <n v="29"/>
    <x v="2"/>
    <x v="1"/>
    <n v="0"/>
    <x v="0"/>
    <n v="986"/>
    <x v="2"/>
    <x v="1"/>
    <n v="3"/>
    <x v="0"/>
    <n v="4"/>
    <x v="2"/>
    <x v="2"/>
    <n v="1"/>
    <n v="2"/>
    <x v="0"/>
    <x v="1"/>
    <n v="93"/>
    <x v="0"/>
    <n v="2"/>
    <x v="1"/>
    <n v="3"/>
    <x v="7"/>
    <n v="3"/>
    <x v="2"/>
    <x v="1"/>
    <n v="11935"/>
    <x v="6"/>
    <n v="21526"/>
    <x v="0"/>
    <n v="1"/>
    <x v="1"/>
    <s v="Y"/>
    <x v="1"/>
    <n v="18"/>
    <x v="1"/>
    <n v="3"/>
    <x v="0"/>
    <n v="3"/>
    <x v="3"/>
    <n v="80"/>
    <n v="0"/>
    <n v="10"/>
    <x v="0"/>
    <n v="2"/>
    <x v="0"/>
    <n v="3"/>
    <x v="1"/>
    <n v="10"/>
    <x v="0"/>
    <n v="2"/>
    <x v="0"/>
    <n v="0"/>
    <x v="0"/>
    <n v="7"/>
    <x v="1"/>
  </r>
  <r>
    <n v="565"/>
    <n v="29"/>
    <x v="2"/>
    <x v="0"/>
    <n v="1"/>
    <x v="0"/>
    <n v="408"/>
    <x v="1"/>
    <x v="1"/>
    <n v="25"/>
    <x v="2"/>
    <n v="5"/>
    <x v="4"/>
    <x v="4"/>
    <n v="1"/>
    <n v="3"/>
    <x v="1"/>
    <x v="0"/>
    <n v="71"/>
    <x v="1"/>
    <n v="2"/>
    <x v="1"/>
    <n v="1"/>
    <x v="1"/>
    <n v="2"/>
    <x v="1"/>
    <x v="1"/>
    <n v="2546"/>
    <x v="3"/>
    <n v="18300"/>
    <x v="0"/>
    <n v="5"/>
    <x v="2"/>
    <s v="Y"/>
    <x v="1"/>
    <n v="16"/>
    <x v="3"/>
    <n v="3"/>
    <x v="0"/>
    <n v="2"/>
    <x v="4"/>
    <n v="80"/>
    <n v="0"/>
    <n v="6"/>
    <x v="0"/>
    <n v="2"/>
    <x v="0"/>
    <n v="4"/>
    <x v="3"/>
    <n v="2"/>
    <x v="2"/>
    <n v="2"/>
    <x v="0"/>
    <n v="1"/>
    <x v="0"/>
    <n v="1"/>
    <x v="2"/>
  </r>
  <r>
    <n v="566"/>
    <n v="19"/>
    <x v="4"/>
    <x v="0"/>
    <n v="1"/>
    <x v="0"/>
    <n v="489"/>
    <x v="1"/>
    <x v="2"/>
    <n v="2"/>
    <x v="0"/>
    <n v="2"/>
    <x v="0"/>
    <x v="4"/>
    <n v="1"/>
    <n v="1"/>
    <x v="3"/>
    <x v="1"/>
    <n v="52"/>
    <x v="1"/>
    <n v="2"/>
    <x v="1"/>
    <n v="1"/>
    <x v="8"/>
    <n v="4"/>
    <x v="0"/>
    <x v="0"/>
    <n v="2564"/>
    <x v="3"/>
    <n v="18437"/>
    <x v="0"/>
    <n v="1"/>
    <x v="1"/>
    <s v="Y"/>
    <x v="1"/>
    <n v="12"/>
    <x v="0"/>
    <n v="3"/>
    <x v="0"/>
    <n v="3"/>
    <x v="3"/>
    <n v="80"/>
    <n v="0"/>
    <n v="1"/>
    <x v="2"/>
    <n v="3"/>
    <x v="1"/>
    <n v="4"/>
    <x v="3"/>
    <n v="1"/>
    <x v="1"/>
    <n v="0"/>
    <x v="2"/>
    <n v="0"/>
    <x v="0"/>
    <n v="0"/>
    <x v="2"/>
  </r>
  <r>
    <n v="567"/>
    <n v="30"/>
    <x v="2"/>
    <x v="1"/>
    <n v="0"/>
    <x v="2"/>
    <n v="1398"/>
    <x v="0"/>
    <x v="0"/>
    <n v="22"/>
    <x v="2"/>
    <n v="4"/>
    <x v="2"/>
    <x v="1"/>
    <n v="1"/>
    <n v="3"/>
    <x v="1"/>
    <x v="0"/>
    <n v="69"/>
    <x v="1"/>
    <n v="3"/>
    <x v="0"/>
    <n v="3"/>
    <x v="0"/>
    <n v="1"/>
    <x v="3"/>
    <x v="1"/>
    <n v="8412"/>
    <x v="11"/>
    <n v="2890"/>
    <x v="2"/>
    <n v="0"/>
    <x v="1"/>
    <s v="Y"/>
    <x v="1"/>
    <n v="11"/>
    <x v="0"/>
    <n v="3"/>
    <x v="0"/>
    <n v="3"/>
    <x v="3"/>
    <n v="80"/>
    <n v="0"/>
    <n v="10"/>
    <x v="0"/>
    <n v="3"/>
    <x v="1"/>
    <n v="3"/>
    <x v="1"/>
    <n v="9"/>
    <x v="0"/>
    <n v="8"/>
    <x v="1"/>
    <n v="7"/>
    <x v="2"/>
    <n v="8"/>
    <x v="1"/>
  </r>
  <r>
    <n v="568"/>
    <n v="57"/>
    <x v="3"/>
    <x v="1"/>
    <n v="0"/>
    <x v="0"/>
    <n v="210"/>
    <x v="1"/>
    <x v="0"/>
    <n v="29"/>
    <x v="2"/>
    <n v="3"/>
    <x v="3"/>
    <x v="3"/>
    <n v="1"/>
    <n v="1"/>
    <x v="3"/>
    <x v="1"/>
    <n v="56"/>
    <x v="1"/>
    <n v="2"/>
    <x v="1"/>
    <n v="4"/>
    <x v="5"/>
    <n v="4"/>
    <x v="0"/>
    <x v="2"/>
    <n v="14118"/>
    <x v="10"/>
    <n v="22102"/>
    <x v="1"/>
    <n v="3"/>
    <x v="3"/>
    <s v="Y"/>
    <x v="1"/>
    <n v="12"/>
    <x v="0"/>
    <n v="3"/>
    <x v="0"/>
    <n v="3"/>
    <x v="3"/>
    <n v="80"/>
    <n v="1"/>
    <n v="32"/>
    <x v="4"/>
    <n v="3"/>
    <x v="1"/>
    <n v="2"/>
    <x v="2"/>
    <n v="1"/>
    <x v="1"/>
    <n v="0"/>
    <x v="2"/>
    <n v="0"/>
    <x v="0"/>
    <n v="0"/>
    <x v="2"/>
  </r>
  <r>
    <n v="569"/>
    <n v="50"/>
    <x v="1"/>
    <x v="1"/>
    <n v="0"/>
    <x v="0"/>
    <n v="1099"/>
    <x v="0"/>
    <x v="1"/>
    <n v="29"/>
    <x v="2"/>
    <n v="4"/>
    <x v="2"/>
    <x v="0"/>
    <n v="1"/>
    <n v="2"/>
    <x v="0"/>
    <x v="1"/>
    <n v="88"/>
    <x v="0"/>
    <n v="2"/>
    <x v="1"/>
    <n v="4"/>
    <x v="5"/>
    <n v="3"/>
    <x v="2"/>
    <x v="1"/>
    <n v="17046"/>
    <x v="12"/>
    <n v="9314"/>
    <x v="3"/>
    <n v="0"/>
    <x v="1"/>
    <s v="Y"/>
    <x v="1"/>
    <n v="15"/>
    <x v="2"/>
    <n v="3"/>
    <x v="0"/>
    <n v="2"/>
    <x v="4"/>
    <n v="80"/>
    <n v="1"/>
    <n v="28"/>
    <x v="4"/>
    <n v="2"/>
    <x v="0"/>
    <n v="3"/>
    <x v="1"/>
    <n v="27"/>
    <x v="3"/>
    <n v="10"/>
    <x v="1"/>
    <n v="15"/>
    <x v="3"/>
    <n v="7"/>
    <x v="1"/>
  </r>
  <r>
    <n v="571"/>
    <n v="30"/>
    <x v="2"/>
    <x v="1"/>
    <n v="0"/>
    <x v="2"/>
    <n v="1116"/>
    <x v="0"/>
    <x v="1"/>
    <n v="2"/>
    <x v="0"/>
    <n v="3"/>
    <x v="3"/>
    <x v="2"/>
    <n v="1"/>
    <n v="3"/>
    <x v="1"/>
    <x v="0"/>
    <n v="49"/>
    <x v="2"/>
    <n v="3"/>
    <x v="0"/>
    <n v="1"/>
    <x v="2"/>
    <n v="4"/>
    <x v="0"/>
    <x v="0"/>
    <n v="2564"/>
    <x v="3"/>
    <n v="7181"/>
    <x v="2"/>
    <n v="0"/>
    <x v="1"/>
    <s v="Y"/>
    <x v="1"/>
    <n v="14"/>
    <x v="2"/>
    <n v="3"/>
    <x v="0"/>
    <n v="3"/>
    <x v="3"/>
    <n v="80"/>
    <n v="0"/>
    <n v="12"/>
    <x v="1"/>
    <n v="2"/>
    <x v="0"/>
    <n v="2"/>
    <x v="2"/>
    <n v="11"/>
    <x v="4"/>
    <n v="7"/>
    <x v="1"/>
    <n v="6"/>
    <x v="2"/>
    <n v="7"/>
    <x v="1"/>
  </r>
  <r>
    <n v="573"/>
    <n v="60"/>
    <x v="3"/>
    <x v="1"/>
    <n v="0"/>
    <x v="1"/>
    <n v="1499"/>
    <x v="0"/>
    <x v="0"/>
    <n v="28"/>
    <x v="2"/>
    <n v="3"/>
    <x v="3"/>
    <x v="3"/>
    <n v="1"/>
    <n v="3"/>
    <x v="1"/>
    <x v="0"/>
    <n v="80"/>
    <x v="0"/>
    <n v="2"/>
    <x v="1"/>
    <n v="3"/>
    <x v="0"/>
    <n v="1"/>
    <x v="3"/>
    <x v="1"/>
    <n v="10266"/>
    <x v="8"/>
    <n v="2845"/>
    <x v="2"/>
    <n v="4"/>
    <x v="2"/>
    <s v="Y"/>
    <x v="1"/>
    <n v="19"/>
    <x v="1"/>
    <n v="3"/>
    <x v="0"/>
    <n v="4"/>
    <x v="1"/>
    <n v="80"/>
    <n v="0"/>
    <n v="22"/>
    <x v="4"/>
    <n v="5"/>
    <x v="2"/>
    <n v="4"/>
    <x v="3"/>
    <n v="18"/>
    <x v="4"/>
    <n v="13"/>
    <x v="3"/>
    <n v="13"/>
    <x v="3"/>
    <n v="11"/>
    <x v="3"/>
  </r>
  <r>
    <n v="574"/>
    <n v="47"/>
    <x v="1"/>
    <x v="1"/>
    <n v="0"/>
    <x v="0"/>
    <n v="983"/>
    <x v="2"/>
    <x v="1"/>
    <n v="2"/>
    <x v="0"/>
    <n v="2"/>
    <x v="0"/>
    <x v="2"/>
    <n v="1"/>
    <n v="1"/>
    <x v="3"/>
    <x v="0"/>
    <n v="65"/>
    <x v="1"/>
    <n v="3"/>
    <x v="0"/>
    <n v="2"/>
    <x v="3"/>
    <n v="4"/>
    <x v="0"/>
    <x v="2"/>
    <n v="5070"/>
    <x v="1"/>
    <n v="7389"/>
    <x v="2"/>
    <n v="5"/>
    <x v="2"/>
    <s v="Y"/>
    <x v="1"/>
    <n v="13"/>
    <x v="2"/>
    <n v="3"/>
    <x v="0"/>
    <n v="3"/>
    <x v="3"/>
    <n v="80"/>
    <n v="3"/>
    <n v="20"/>
    <x v="1"/>
    <n v="2"/>
    <x v="0"/>
    <n v="3"/>
    <x v="1"/>
    <n v="5"/>
    <x v="2"/>
    <n v="0"/>
    <x v="2"/>
    <n v="0"/>
    <x v="0"/>
    <n v="4"/>
    <x v="0"/>
  </r>
  <r>
    <n v="575"/>
    <n v="46"/>
    <x v="1"/>
    <x v="1"/>
    <n v="0"/>
    <x v="0"/>
    <n v="1009"/>
    <x v="0"/>
    <x v="1"/>
    <n v="2"/>
    <x v="0"/>
    <n v="3"/>
    <x v="3"/>
    <x v="0"/>
    <n v="1"/>
    <n v="1"/>
    <x v="3"/>
    <x v="1"/>
    <n v="51"/>
    <x v="1"/>
    <n v="3"/>
    <x v="0"/>
    <n v="4"/>
    <x v="7"/>
    <n v="3"/>
    <x v="2"/>
    <x v="1"/>
    <n v="17861"/>
    <x v="9"/>
    <n v="2288"/>
    <x v="2"/>
    <n v="6"/>
    <x v="2"/>
    <s v="Y"/>
    <x v="1"/>
    <n v="13"/>
    <x v="2"/>
    <n v="3"/>
    <x v="0"/>
    <n v="3"/>
    <x v="3"/>
    <n v="80"/>
    <n v="0"/>
    <n v="26"/>
    <x v="4"/>
    <n v="2"/>
    <x v="0"/>
    <n v="1"/>
    <x v="0"/>
    <n v="3"/>
    <x v="2"/>
    <n v="2"/>
    <x v="0"/>
    <n v="0"/>
    <x v="0"/>
    <n v="1"/>
    <x v="2"/>
  </r>
  <r>
    <n v="577"/>
    <n v="35"/>
    <x v="2"/>
    <x v="1"/>
    <n v="0"/>
    <x v="0"/>
    <n v="144"/>
    <x v="1"/>
    <x v="1"/>
    <n v="22"/>
    <x v="2"/>
    <n v="3"/>
    <x v="3"/>
    <x v="0"/>
    <n v="1"/>
    <n v="4"/>
    <x v="2"/>
    <x v="1"/>
    <n v="46"/>
    <x v="2"/>
    <n v="1"/>
    <x v="3"/>
    <n v="1"/>
    <x v="2"/>
    <n v="3"/>
    <x v="2"/>
    <x v="0"/>
    <n v="4230"/>
    <x v="1"/>
    <n v="19225"/>
    <x v="0"/>
    <n v="0"/>
    <x v="1"/>
    <s v="Y"/>
    <x v="1"/>
    <n v="15"/>
    <x v="2"/>
    <n v="3"/>
    <x v="0"/>
    <n v="3"/>
    <x v="3"/>
    <n v="80"/>
    <n v="0"/>
    <n v="6"/>
    <x v="0"/>
    <n v="2"/>
    <x v="0"/>
    <n v="3"/>
    <x v="1"/>
    <n v="5"/>
    <x v="2"/>
    <n v="4"/>
    <x v="0"/>
    <n v="4"/>
    <x v="1"/>
    <n v="3"/>
    <x v="0"/>
  </r>
  <r>
    <n v="578"/>
    <n v="54"/>
    <x v="1"/>
    <x v="1"/>
    <n v="0"/>
    <x v="0"/>
    <n v="548"/>
    <x v="2"/>
    <x v="1"/>
    <n v="8"/>
    <x v="1"/>
    <n v="4"/>
    <x v="2"/>
    <x v="0"/>
    <n v="1"/>
    <n v="3"/>
    <x v="1"/>
    <x v="0"/>
    <n v="42"/>
    <x v="2"/>
    <n v="3"/>
    <x v="0"/>
    <n v="2"/>
    <x v="2"/>
    <n v="3"/>
    <x v="2"/>
    <x v="0"/>
    <n v="3780"/>
    <x v="3"/>
    <n v="23428"/>
    <x v="1"/>
    <n v="7"/>
    <x v="0"/>
    <s v="Y"/>
    <x v="1"/>
    <n v="11"/>
    <x v="0"/>
    <n v="3"/>
    <x v="0"/>
    <n v="3"/>
    <x v="3"/>
    <n v="80"/>
    <n v="0"/>
    <n v="19"/>
    <x v="1"/>
    <n v="3"/>
    <x v="1"/>
    <n v="3"/>
    <x v="1"/>
    <n v="1"/>
    <x v="1"/>
    <n v="0"/>
    <x v="2"/>
    <n v="0"/>
    <x v="0"/>
    <n v="0"/>
    <x v="2"/>
  </r>
  <r>
    <n v="579"/>
    <n v="34"/>
    <x v="2"/>
    <x v="1"/>
    <n v="0"/>
    <x v="0"/>
    <n v="1303"/>
    <x v="0"/>
    <x v="1"/>
    <n v="2"/>
    <x v="0"/>
    <n v="4"/>
    <x v="2"/>
    <x v="0"/>
    <n v="1"/>
    <n v="4"/>
    <x v="2"/>
    <x v="1"/>
    <n v="62"/>
    <x v="1"/>
    <n v="2"/>
    <x v="1"/>
    <n v="1"/>
    <x v="1"/>
    <n v="3"/>
    <x v="2"/>
    <x v="2"/>
    <n v="2768"/>
    <x v="3"/>
    <n v="8416"/>
    <x v="3"/>
    <n v="3"/>
    <x v="3"/>
    <s v="Y"/>
    <x v="1"/>
    <n v="12"/>
    <x v="0"/>
    <n v="3"/>
    <x v="0"/>
    <n v="3"/>
    <x v="3"/>
    <n v="80"/>
    <n v="1"/>
    <n v="14"/>
    <x v="1"/>
    <n v="3"/>
    <x v="1"/>
    <n v="3"/>
    <x v="1"/>
    <n v="7"/>
    <x v="0"/>
    <n v="3"/>
    <x v="0"/>
    <n v="5"/>
    <x v="1"/>
    <n v="7"/>
    <x v="1"/>
  </r>
  <r>
    <n v="580"/>
    <n v="46"/>
    <x v="1"/>
    <x v="1"/>
    <n v="0"/>
    <x v="0"/>
    <n v="1125"/>
    <x v="0"/>
    <x v="0"/>
    <n v="10"/>
    <x v="1"/>
    <n v="3"/>
    <x v="3"/>
    <x v="3"/>
    <n v="1"/>
    <n v="3"/>
    <x v="1"/>
    <x v="0"/>
    <n v="94"/>
    <x v="0"/>
    <n v="2"/>
    <x v="1"/>
    <n v="3"/>
    <x v="0"/>
    <n v="4"/>
    <x v="0"/>
    <x v="1"/>
    <n v="9071"/>
    <x v="4"/>
    <n v="11563"/>
    <x v="3"/>
    <n v="2"/>
    <x v="3"/>
    <s v="Y"/>
    <x v="0"/>
    <n v="19"/>
    <x v="1"/>
    <n v="3"/>
    <x v="0"/>
    <n v="3"/>
    <x v="3"/>
    <n v="80"/>
    <n v="1"/>
    <n v="15"/>
    <x v="1"/>
    <n v="3"/>
    <x v="1"/>
    <n v="3"/>
    <x v="1"/>
    <n v="3"/>
    <x v="2"/>
    <n v="2"/>
    <x v="0"/>
    <n v="1"/>
    <x v="0"/>
    <n v="2"/>
    <x v="0"/>
  </r>
  <r>
    <n v="581"/>
    <n v="31"/>
    <x v="2"/>
    <x v="1"/>
    <n v="0"/>
    <x v="0"/>
    <n v="1274"/>
    <x v="0"/>
    <x v="1"/>
    <n v="9"/>
    <x v="1"/>
    <n v="1"/>
    <x v="1"/>
    <x v="0"/>
    <n v="1"/>
    <n v="3"/>
    <x v="1"/>
    <x v="1"/>
    <n v="33"/>
    <x v="2"/>
    <n v="3"/>
    <x v="0"/>
    <n v="3"/>
    <x v="3"/>
    <n v="2"/>
    <x v="1"/>
    <x v="2"/>
    <n v="10648"/>
    <x v="8"/>
    <n v="14394"/>
    <x v="3"/>
    <n v="1"/>
    <x v="1"/>
    <s v="Y"/>
    <x v="1"/>
    <n v="25"/>
    <x v="1"/>
    <n v="4"/>
    <x v="1"/>
    <n v="4"/>
    <x v="1"/>
    <n v="80"/>
    <n v="1"/>
    <n v="13"/>
    <x v="1"/>
    <n v="6"/>
    <x v="2"/>
    <n v="4"/>
    <x v="3"/>
    <n v="13"/>
    <x v="4"/>
    <n v="8"/>
    <x v="1"/>
    <n v="0"/>
    <x v="0"/>
    <n v="8"/>
    <x v="1"/>
  </r>
  <r>
    <n v="582"/>
    <n v="33"/>
    <x v="2"/>
    <x v="0"/>
    <n v="1"/>
    <x v="0"/>
    <n v="1277"/>
    <x v="0"/>
    <x v="1"/>
    <n v="15"/>
    <x v="3"/>
    <n v="1"/>
    <x v="1"/>
    <x v="2"/>
    <n v="1"/>
    <n v="2"/>
    <x v="0"/>
    <x v="1"/>
    <n v="56"/>
    <x v="1"/>
    <n v="3"/>
    <x v="0"/>
    <n v="3"/>
    <x v="5"/>
    <n v="3"/>
    <x v="2"/>
    <x v="1"/>
    <n v="13610"/>
    <x v="10"/>
    <n v="24619"/>
    <x v="1"/>
    <n v="7"/>
    <x v="0"/>
    <s v="Y"/>
    <x v="0"/>
    <n v="12"/>
    <x v="0"/>
    <n v="3"/>
    <x v="0"/>
    <n v="4"/>
    <x v="1"/>
    <n v="80"/>
    <n v="0"/>
    <n v="15"/>
    <x v="1"/>
    <n v="2"/>
    <x v="0"/>
    <n v="4"/>
    <x v="3"/>
    <n v="7"/>
    <x v="0"/>
    <n v="6"/>
    <x v="1"/>
    <n v="7"/>
    <x v="2"/>
    <n v="7"/>
    <x v="1"/>
  </r>
  <r>
    <n v="584"/>
    <n v="33"/>
    <x v="2"/>
    <x v="0"/>
    <n v="1"/>
    <x v="0"/>
    <n v="587"/>
    <x v="2"/>
    <x v="1"/>
    <n v="10"/>
    <x v="1"/>
    <n v="1"/>
    <x v="1"/>
    <x v="2"/>
    <n v="1"/>
    <n v="1"/>
    <x v="3"/>
    <x v="1"/>
    <n v="38"/>
    <x v="2"/>
    <n v="1"/>
    <x v="3"/>
    <n v="1"/>
    <x v="2"/>
    <n v="4"/>
    <x v="0"/>
    <x v="2"/>
    <n v="3408"/>
    <x v="3"/>
    <n v="6705"/>
    <x v="2"/>
    <n v="7"/>
    <x v="0"/>
    <s v="Y"/>
    <x v="1"/>
    <n v="13"/>
    <x v="2"/>
    <n v="3"/>
    <x v="0"/>
    <n v="1"/>
    <x v="0"/>
    <n v="80"/>
    <n v="3"/>
    <n v="8"/>
    <x v="0"/>
    <n v="2"/>
    <x v="0"/>
    <n v="3"/>
    <x v="1"/>
    <n v="4"/>
    <x v="2"/>
    <n v="3"/>
    <x v="0"/>
    <n v="1"/>
    <x v="0"/>
    <n v="3"/>
    <x v="0"/>
  </r>
  <r>
    <n v="585"/>
    <n v="30"/>
    <x v="2"/>
    <x v="1"/>
    <n v="0"/>
    <x v="0"/>
    <n v="413"/>
    <x v="1"/>
    <x v="0"/>
    <n v="7"/>
    <x v="1"/>
    <n v="1"/>
    <x v="1"/>
    <x v="3"/>
    <n v="1"/>
    <n v="4"/>
    <x v="2"/>
    <x v="1"/>
    <n v="57"/>
    <x v="1"/>
    <n v="3"/>
    <x v="0"/>
    <n v="1"/>
    <x v="6"/>
    <n v="2"/>
    <x v="1"/>
    <x v="0"/>
    <n v="2983"/>
    <x v="3"/>
    <n v="18398"/>
    <x v="0"/>
    <n v="0"/>
    <x v="1"/>
    <s v="Y"/>
    <x v="1"/>
    <n v="14"/>
    <x v="2"/>
    <n v="3"/>
    <x v="0"/>
    <n v="1"/>
    <x v="0"/>
    <n v="80"/>
    <n v="0"/>
    <n v="4"/>
    <x v="3"/>
    <n v="3"/>
    <x v="1"/>
    <n v="3"/>
    <x v="1"/>
    <n v="3"/>
    <x v="2"/>
    <n v="2"/>
    <x v="0"/>
    <n v="1"/>
    <x v="0"/>
    <n v="2"/>
    <x v="0"/>
  </r>
  <r>
    <n v="586"/>
    <n v="35"/>
    <x v="2"/>
    <x v="1"/>
    <n v="0"/>
    <x v="0"/>
    <n v="1276"/>
    <x v="0"/>
    <x v="1"/>
    <n v="16"/>
    <x v="3"/>
    <n v="3"/>
    <x v="3"/>
    <x v="0"/>
    <n v="1"/>
    <n v="4"/>
    <x v="2"/>
    <x v="1"/>
    <n v="72"/>
    <x v="1"/>
    <n v="3"/>
    <x v="0"/>
    <n v="3"/>
    <x v="4"/>
    <n v="3"/>
    <x v="2"/>
    <x v="1"/>
    <n v="7632"/>
    <x v="11"/>
    <n v="14295"/>
    <x v="3"/>
    <n v="4"/>
    <x v="2"/>
    <s v="Y"/>
    <x v="0"/>
    <n v="12"/>
    <x v="0"/>
    <n v="3"/>
    <x v="0"/>
    <n v="3"/>
    <x v="3"/>
    <n v="80"/>
    <n v="0"/>
    <n v="10"/>
    <x v="0"/>
    <n v="2"/>
    <x v="0"/>
    <n v="3"/>
    <x v="1"/>
    <n v="8"/>
    <x v="0"/>
    <n v="7"/>
    <x v="1"/>
    <n v="0"/>
    <x v="0"/>
    <n v="0"/>
    <x v="2"/>
  </r>
  <r>
    <n v="587"/>
    <n v="31"/>
    <x v="2"/>
    <x v="0"/>
    <n v="1"/>
    <x v="1"/>
    <n v="534"/>
    <x v="2"/>
    <x v="1"/>
    <n v="20"/>
    <x v="3"/>
    <n v="3"/>
    <x v="3"/>
    <x v="0"/>
    <n v="1"/>
    <n v="1"/>
    <x v="3"/>
    <x v="1"/>
    <n v="66"/>
    <x v="1"/>
    <n v="3"/>
    <x v="0"/>
    <n v="3"/>
    <x v="4"/>
    <n v="3"/>
    <x v="2"/>
    <x v="1"/>
    <n v="9824"/>
    <x v="4"/>
    <n v="22908"/>
    <x v="1"/>
    <n v="3"/>
    <x v="3"/>
    <s v="Y"/>
    <x v="1"/>
    <n v="12"/>
    <x v="0"/>
    <n v="3"/>
    <x v="0"/>
    <n v="1"/>
    <x v="0"/>
    <n v="80"/>
    <n v="0"/>
    <n v="12"/>
    <x v="1"/>
    <n v="2"/>
    <x v="0"/>
    <n v="3"/>
    <x v="1"/>
    <n v="1"/>
    <x v="1"/>
    <n v="0"/>
    <x v="2"/>
    <n v="0"/>
    <x v="0"/>
    <n v="0"/>
    <x v="2"/>
  </r>
  <r>
    <n v="590"/>
    <n v="34"/>
    <x v="2"/>
    <x v="0"/>
    <n v="1"/>
    <x v="1"/>
    <n v="988"/>
    <x v="2"/>
    <x v="2"/>
    <n v="23"/>
    <x v="2"/>
    <n v="3"/>
    <x v="3"/>
    <x v="5"/>
    <n v="1"/>
    <n v="2"/>
    <x v="0"/>
    <x v="0"/>
    <n v="43"/>
    <x v="2"/>
    <n v="3"/>
    <x v="0"/>
    <n v="3"/>
    <x v="8"/>
    <n v="1"/>
    <x v="3"/>
    <x v="2"/>
    <n v="9950"/>
    <x v="4"/>
    <n v="11533"/>
    <x v="3"/>
    <n v="9"/>
    <x v="0"/>
    <s v="Y"/>
    <x v="0"/>
    <n v="15"/>
    <x v="2"/>
    <n v="3"/>
    <x v="0"/>
    <n v="3"/>
    <x v="3"/>
    <n v="80"/>
    <n v="3"/>
    <n v="11"/>
    <x v="1"/>
    <n v="2"/>
    <x v="0"/>
    <n v="3"/>
    <x v="1"/>
    <n v="3"/>
    <x v="2"/>
    <n v="2"/>
    <x v="0"/>
    <n v="0"/>
    <x v="0"/>
    <n v="2"/>
    <x v="0"/>
  </r>
  <r>
    <n v="591"/>
    <n v="42"/>
    <x v="0"/>
    <x v="1"/>
    <n v="0"/>
    <x v="1"/>
    <n v="1474"/>
    <x v="0"/>
    <x v="1"/>
    <n v="5"/>
    <x v="0"/>
    <n v="2"/>
    <x v="0"/>
    <x v="1"/>
    <n v="1"/>
    <n v="2"/>
    <x v="0"/>
    <x v="1"/>
    <n v="97"/>
    <x v="0"/>
    <n v="3"/>
    <x v="0"/>
    <n v="1"/>
    <x v="2"/>
    <n v="3"/>
    <x v="2"/>
    <x v="1"/>
    <n v="2093"/>
    <x v="2"/>
    <n v="9260"/>
    <x v="3"/>
    <n v="4"/>
    <x v="2"/>
    <s v="Y"/>
    <x v="1"/>
    <n v="17"/>
    <x v="3"/>
    <n v="3"/>
    <x v="0"/>
    <n v="4"/>
    <x v="1"/>
    <n v="80"/>
    <n v="1"/>
    <n v="8"/>
    <x v="0"/>
    <n v="4"/>
    <x v="1"/>
    <n v="3"/>
    <x v="1"/>
    <n v="2"/>
    <x v="2"/>
    <n v="2"/>
    <x v="0"/>
    <n v="2"/>
    <x v="1"/>
    <n v="0"/>
    <x v="2"/>
  </r>
  <r>
    <n v="592"/>
    <n v="36"/>
    <x v="0"/>
    <x v="1"/>
    <n v="0"/>
    <x v="2"/>
    <n v="635"/>
    <x v="2"/>
    <x v="0"/>
    <n v="10"/>
    <x v="1"/>
    <n v="4"/>
    <x v="2"/>
    <x v="2"/>
    <n v="1"/>
    <n v="2"/>
    <x v="0"/>
    <x v="1"/>
    <n v="32"/>
    <x v="2"/>
    <n v="3"/>
    <x v="0"/>
    <n v="3"/>
    <x v="0"/>
    <n v="4"/>
    <x v="0"/>
    <x v="0"/>
    <n v="9980"/>
    <x v="4"/>
    <n v="15318"/>
    <x v="3"/>
    <n v="1"/>
    <x v="1"/>
    <s v="Y"/>
    <x v="1"/>
    <n v="14"/>
    <x v="2"/>
    <n v="3"/>
    <x v="0"/>
    <n v="4"/>
    <x v="1"/>
    <n v="80"/>
    <n v="0"/>
    <n v="10"/>
    <x v="0"/>
    <n v="3"/>
    <x v="1"/>
    <n v="2"/>
    <x v="2"/>
    <n v="10"/>
    <x v="0"/>
    <n v="3"/>
    <x v="0"/>
    <n v="9"/>
    <x v="2"/>
    <n v="7"/>
    <x v="1"/>
  </r>
  <r>
    <n v="593"/>
    <n v="22"/>
    <x v="4"/>
    <x v="0"/>
    <n v="1"/>
    <x v="1"/>
    <n v="1368"/>
    <x v="0"/>
    <x v="1"/>
    <n v="4"/>
    <x v="0"/>
    <n v="1"/>
    <x v="1"/>
    <x v="4"/>
    <n v="1"/>
    <n v="3"/>
    <x v="1"/>
    <x v="1"/>
    <n v="99"/>
    <x v="0"/>
    <n v="2"/>
    <x v="1"/>
    <n v="1"/>
    <x v="2"/>
    <n v="3"/>
    <x v="2"/>
    <x v="0"/>
    <n v="3894"/>
    <x v="3"/>
    <n v="9129"/>
    <x v="3"/>
    <n v="5"/>
    <x v="2"/>
    <s v="Y"/>
    <x v="1"/>
    <n v="16"/>
    <x v="3"/>
    <n v="3"/>
    <x v="0"/>
    <n v="3"/>
    <x v="3"/>
    <n v="80"/>
    <n v="0"/>
    <n v="4"/>
    <x v="3"/>
    <n v="3"/>
    <x v="1"/>
    <n v="3"/>
    <x v="1"/>
    <n v="2"/>
    <x v="2"/>
    <n v="2"/>
    <x v="0"/>
    <n v="1"/>
    <x v="0"/>
    <n v="2"/>
    <x v="0"/>
  </r>
  <r>
    <n v="595"/>
    <n v="48"/>
    <x v="1"/>
    <x v="1"/>
    <n v="0"/>
    <x v="0"/>
    <n v="163"/>
    <x v="1"/>
    <x v="0"/>
    <n v="2"/>
    <x v="0"/>
    <n v="5"/>
    <x v="4"/>
    <x v="3"/>
    <n v="1"/>
    <n v="2"/>
    <x v="0"/>
    <x v="0"/>
    <n v="37"/>
    <x v="2"/>
    <n v="3"/>
    <x v="0"/>
    <n v="2"/>
    <x v="0"/>
    <n v="4"/>
    <x v="0"/>
    <x v="1"/>
    <n v="4051"/>
    <x v="1"/>
    <n v="19658"/>
    <x v="0"/>
    <n v="2"/>
    <x v="3"/>
    <s v="Y"/>
    <x v="1"/>
    <n v="14"/>
    <x v="2"/>
    <n v="3"/>
    <x v="0"/>
    <n v="1"/>
    <x v="0"/>
    <n v="80"/>
    <n v="1"/>
    <n v="14"/>
    <x v="1"/>
    <n v="2"/>
    <x v="0"/>
    <n v="3"/>
    <x v="1"/>
    <n v="9"/>
    <x v="0"/>
    <n v="7"/>
    <x v="1"/>
    <n v="6"/>
    <x v="2"/>
    <n v="7"/>
    <x v="1"/>
  </r>
  <r>
    <n v="597"/>
    <n v="55"/>
    <x v="1"/>
    <x v="1"/>
    <n v="0"/>
    <x v="0"/>
    <n v="1117"/>
    <x v="0"/>
    <x v="0"/>
    <n v="18"/>
    <x v="3"/>
    <n v="5"/>
    <x v="4"/>
    <x v="0"/>
    <n v="1"/>
    <n v="1"/>
    <x v="3"/>
    <x v="0"/>
    <n v="83"/>
    <x v="0"/>
    <n v="3"/>
    <x v="0"/>
    <n v="4"/>
    <x v="5"/>
    <n v="2"/>
    <x v="1"/>
    <x v="0"/>
    <n v="16835"/>
    <x v="12"/>
    <n v="9873"/>
    <x v="3"/>
    <n v="3"/>
    <x v="3"/>
    <s v="Y"/>
    <x v="1"/>
    <n v="23"/>
    <x v="1"/>
    <n v="4"/>
    <x v="1"/>
    <n v="4"/>
    <x v="1"/>
    <n v="80"/>
    <n v="0"/>
    <n v="37"/>
    <x v="4"/>
    <n v="2"/>
    <x v="0"/>
    <n v="3"/>
    <x v="1"/>
    <n v="10"/>
    <x v="0"/>
    <n v="9"/>
    <x v="1"/>
    <n v="7"/>
    <x v="2"/>
    <n v="7"/>
    <x v="1"/>
  </r>
  <r>
    <n v="599"/>
    <n v="41"/>
    <x v="0"/>
    <x v="1"/>
    <n v="0"/>
    <x v="2"/>
    <n v="267"/>
    <x v="1"/>
    <x v="0"/>
    <n v="10"/>
    <x v="1"/>
    <n v="2"/>
    <x v="0"/>
    <x v="0"/>
    <n v="1"/>
    <n v="4"/>
    <x v="2"/>
    <x v="1"/>
    <n v="56"/>
    <x v="1"/>
    <n v="3"/>
    <x v="0"/>
    <n v="2"/>
    <x v="0"/>
    <n v="4"/>
    <x v="0"/>
    <x v="0"/>
    <n v="6230"/>
    <x v="0"/>
    <n v="13430"/>
    <x v="3"/>
    <n v="7"/>
    <x v="0"/>
    <s v="Y"/>
    <x v="1"/>
    <n v="14"/>
    <x v="2"/>
    <n v="3"/>
    <x v="0"/>
    <n v="4"/>
    <x v="1"/>
    <n v="80"/>
    <n v="0"/>
    <n v="16"/>
    <x v="1"/>
    <n v="3"/>
    <x v="1"/>
    <n v="3"/>
    <x v="1"/>
    <n v="14"/>
    <x v="4"/>
    <n v="3"/>
    <x v="0"/>
    <n v="1"/>
    <x v="0"/>
    <n v="10"/>
    <x v="1"/>
  </r>
  <r>
    <n v="600"/>
    <n v="35"/>
    <x v="2"/>
    <x v="1"/>
    <n v="0"/>
    <x v="0"/>
    <n v="619"/>
    <x v="2"/>
    <x v="0"/>
    <n v="1"/>
    <x v="0"/>
    <n v="3"/>
    <x v="3"/>
    <x v="3"/>
    <n v="1"/>
    <n v="2"/>
    <x v="0"/>
    <x v="1"/>
    <n v="85"/>
    <x v="0"/>
    <n v="3"/>
    <x v="0"/>
    <n v="2"/>
    <x v="0"/>
    <n v="3"/>
    <x v="2"/>
    <x v="1"/>
    <n v="4717"/>
    <x v="1"/>
    <n v="18659"/>
    <x v="0"/>
    <n v="9"/>
    <x v="0"/>
    <s v="Y"/>
    <x v="1"/>
    <n v="11"/>
    <x v="0"/>
    <n v="3"/>
    <x v="0"/>
    <n v="3"/>
    <x v="3"/>
    <n v="80"/>
    <n v="0"/>
    <n v="15"/>
    <x v="1"/>
    <n v="2"/>
    <x v="0"/>
    <n v="3"/>
    <x v="1"/>
    <n v="11"/>
    <x v="4"/>
    <n v="9"/>
    <x v="1"/>
    <n v="6"/>
    <x v="2"/>
    <n v="9"/>
    <x v="1"/>
  </r>
  <r>
    <n v="601"/>
    <n v="40"/>
    <x v="0"/>
    <x v="1"/>
    <n v="0"/>
    <x v="0"/>
    <n v="302"/>
    <x v="1"/>
    <x v="1"/>
    <n v="6"/>
    <x v="1"/>
    <n v="3"/>
    <x v="3"/>
    <x v="0"/>
    <n v="1"/>
    <n v="2"/>
    <x v="0"/>
    <x v="0"/>
    <n v="75"/>
    <x v="1"/>
    <n v="3"/>
    <x v="0"/>
    <n v="4"/>
    <x v="3"/>
    <n v="3"/>
    <x v="2"/>
    <x v="0"/>
    <n v="13237"/>
    <x v="10"/>
    <n v="20364"/>
    <x v="0"/>
    <n v="7"/>
    <x v="0"/>
    <s v="Y"/>
    <x v="1"/>
    <n v="15"/>
    <x v="2"/>
    <n v="3"/>
    <x v="0"/>
    <n v="3"/>
    <x v="3"/>
    <n v="80"/>
    <n v="0"/>
    <n v="22"/>
    <x v="4"/>
    <n v="3"/>
    <x v="1"/>
    <n v="3"/>
    <x v="1"/>
    <n v="20"/>
    <x v="4"/>
    <n v="6"/>
    <x v="1"/>
    <n v="5"/>
    <x v="1"/>
    <n v="13"/>
    <x v="3"/>
  </r>
  <r>
    <n v="602"/>
    <n v="39"/>
    <x v="0"/>
    <x v="1"/>
    <n v="0"/>
    <x v="1"/>
    <n v="443"/>
    <x v="1"/>
    <x v="1"/>
    <n v="8"/>
    <x v="1"/>
    <n v="1"/>
    <x v="1"/>
    <x v="0"/>
    <n v="1"/>
    <n v="3"/>
    <x v="1"/>
    <x v="0"/>
    <n v="48"/>
    <x v="2"/>
    <n v="3"/>
    <x v="0"/>
    <n v="1"/>
    <x v="2"/>
    <n v="3"/>
    <x v="2"/>
    <x v="1"/>
    <n v="3755"/>
    <x v="3"/>
    <n v="17872"/>
    <x v="0"/>
    <n v="1"/>
    <x v="1"/>
    <s v="Y"/>
    <x v="1"/>
    <n v="11"/>
    <x v="0"/>
    <n v="3"/>
    <x v="0"/>
    <n v="1"/>
    <x v="0"/>
    <n v="80"/>
    <n v="1"/>
    <n v="8"/>
    <x v="0"/>
    <n v="3"/>
    <x v="1"/>
    <n v="3"/>
    <x v="1"/>
    <n v="8"/>
    <x v="0"/>
    <n v="3"/>
    <x v="0"/>
    <n v="0"/>
    <x v="0"/>
    <n v="7"/>
    <x v="1"/>
  </r>
  <r>
    <n v="604"/>
    <n v="31"/>
    <x v="2"/>
    <x v="1"/>
    <n v="0"/>
    <x v="0"/>
    <n v="828"/>
    <x v="2"/>
    <x v="0"/>
    <n v="2"/>
    <x v="0"/>
    <n v="1"/>
    <x v="1"/>
    <x v="0"/>
    <n v="1"/>
    <n v="2"/>
    <x v="0"/>
    <x v="1"/>
    <n v="77"/>
    <x v="0"/>
    <n v="3"/>
    <x v="0"/>
    <n v="2"/>
    <x v="0"/>
    <n v="4"/>
    <x v="0"/>
    <x v="0"/>
    <n v="6582"/>
    <x v="0"/>
    <n v="8346"/>
    <x v="3"/>
    <n v="4"/>
    <x v="2"/>
    <s v="Y"/>
    <x v="0"/>
    <n v="13"/>
    <x v="2"/>
    <n v="3"/>
    <x v="0"/>
    <n v="3"/>
    <x v="3"/>
    <n v="80"/>
    <n v="0"/>
    <n v="10"/>
    <x v="0"/>
    <n v="2"/>
    <x v="0"/>
    <n v="4"/>
    <x v="3"/>
    <n v="6"/>
    <x v="0"/>
    <n v="5"/>
    <x v="0"/>
    <n v="0"/>
    <x v="0"/>
    <n v="5"/>
    <x v="0"/>
  </r>
  <r>
    <n v="605"/>
    <n v="42"/>
    <x v="0"/>
    <x v="1"/>
    <n v="0"/>
    <x v="0"/>
    <n v="319"/>
    <x v="1"/>
    <x v="1"/>
    <n v="24"/>
    <x v="2"/>
    <n v="3"/>
    <x v="3"/>
    <x v="2"/>
    <n v="1"/>
    <n v="4"/>
    <x v="2"/>
    <x v="1"/>
    <n v="56"/>
    <x v="1"/>
    <n v="3"/>
    <x v="0"/>
    <n v="3"/>
    <x v="3"/>
    <n v="1"/>
    <x v="3"/>
    <x v="1"/>
    <n v="7406"/>
    <x v="11"/>
    <n v="6950"/>
    <x v="2"/>
    <n v="1"/>
    <x v="1"/>
    <s v="Y"/>
    <x v="0"/>
    <n v="21"/>
    <x v="1"/>
    <n v="4"/>
    <x v="1"/>
    <n v="4"/>
    <x v="1"/>
    <n v="80"/>
    <n v="1"/>
    <n v="10"/>
    <x v="0"/>
    <n v="5"/>
    <x v="2"/>
    <n v="2"/>
    <x v="2"/>
    <n v="10"/>
    <x v="0"/>
    <n v="9"/>
    <x v="1"/>
    <n v="5"/>
    <x v="1"/>
    <n v="8"/>
    <x v="1"/>
  </r>
  <r>
    <n v="606"/>
    <n v="45"/>
    <x v="0"/>
    <x v="1"/>
    <n v="0"/>
    <x v="0"/>
    <n v="561"/>
    <x v="2"/>
    <x v="0"/>
    <n v="2"/>
    <x v="0"/>
    <n v="3"/>
    <x v="3"/>
    <x v="1"/>
    <n v="1"/>
    <n v="4"/>
    <x v="2"/>
    <x v="1"/>
    <n v="61"/>
    <x v="1"/>
    <n v="3"/>
    <x v="0"/>
    <n v="2"/>
    <x v="0"/>
    <n v="2"/>
    <x v="1"/>
    <x v="1"/>
    <n v="4805"/>
    <x v="1"/>
    <n v="16177"/>
    <x v="0"/>
    <n v="0"/>
    <x v="1"/>
    <s v="Y"/>
    <x v="1"/>
    <n v="19"/>
    <x v="1"/>
    <n v="3"/>
    <x v="0"/>
    <n v="2"/>
    <x v="4"/>
    <n v="80"/>
    <n v="1"/>
    <n v="9"/>
    <x v="0"/>
    <n v="3"/>
    <x v="1"/>
    <n v="4"/>
    <x v="3"/>
    <n v="8"/>
    <x v="0"/>
    <n v="7"/>
    <x v="1"/>
    <n v="3"/>
    <x v="1"/>
    <n v="7"/>
    <x v="1"/>
  </r>
  <r>
    <n v="608"/>
    <n v="26"/>
    <x v="2"/>
    <x v="0"/>
    <n v="1"/>
    <x v="1"/>
    <n v="426"/>
    <x v="1"/>
    <x v="2"/>
    <n v="17"/>
    <x v="3"/>
    <n v="4"/>
    <x v="2"/>
    <x v="0"/>
    <n v="1"/>
    <n v="2"/>
    <x v="0"/>
    <x v="0"/>
    <n v="58"/>
    <x v="1"/>
    <n v="3"/>
    <x v="0"/>
    <n v="1"/>
    <x v="8"/>
    <n v="3"/>
    <x v="2"/>
    <x v="2"/>
    <n v="2741"/>
    <x v="3"/>
    <n v="22808"/>
    <x v="1"/>
    <n v="0"/>
    <x v="1"/>
    <s v="Y"/>
    <x v="0"/>
    <n v="11"/>
    <x v="0"/>
    <n v="3"/>
    <x v="0"/>
    <n v="2"/>
    <x v="4"/>
    <n v="80"/>
    <n v="1"/>
    <n v="8"/>
    <x v="0"/>
    <n v="2"/>
    <x v="0"/>
    <n v="2"/>
    <x v="2"/>
    <n v="7"/>
    <x v="0"/>
    <n v="7"/>
    <x v="1"/>
    <n v="1"/>
    <x v="0"/>
    <n v="0"/>
    <x v="2"/>
  </r>
  <r>
    <n v="611"/>
    <n v="29"/>
    <x v="2"/>
    <x v="1"/>
    <n v="0"/>
    <x v="0"/>
    <n v="232"/>
    <x v="1"/>
    <x v="1"/>
    <n v="19"/>
    <x v="3"/>
    <n v="3"/>
    <x v="3"/>
    <x v="4"/>
    <n v="1"/>
    <n v="4"/>
    <x v="2"/>
    <x v="1"/>
    <n v="34"/>
    <x v="2"/>
    <n v="3"/>
    <x v="0"/>
    <n v="2"/>
    <x v="3"/>
    <n v="4"/>
    <x v="0"/>
    <x v="2"/>
    <n v="4262"/>
    <x v="1"/>
    <n v="22645"/>
    <x v="1"/>
    <n v="4"/>
    <x v="2"/>
    <s v="Y"/>
    <x v="1"/>
    <n v="12"/>
    <x v="0"/>
    <n v="3"/>
    <x v="0"/>
    <n v="2"/>
    <x v="4"/>
    <n v="80"/>
    <n v="2"/>
    <n v="8"/>
    <x v="0"/>
    <n v="2"/>
    <x v="0"/>
    <n v="4"/>
    <x v="3"/>
    <n v="3"/>
    <x v="2"/>
    <n v="2"/>
    <x v="0"/>
    <n v="1"/>
    <x v="0"/>
    <n v="2"/>
    <x v="0"/>
  </r>
  <r>
    <n v="612"/>
    <n v="33"/>
    <x v="2"/>
    <x v="1"/>
    <n v="0"/>
    <x v="0"/>
    <n v="922"/>
    <x v="2"/>
    <x v="1"/>
    <n v="1"/>
    <x v="0"/>
    <n v="5"/>
    <x v="4"/>
    <x v="2"/>
    <n v="1"/>
    <n v="1"/>
    <x v="3"/>
    <x v="0"/>
    <n v="95"/>
    <x v="0"/>
    <n v="4"/>
    <x v="2"/>
    <n v="4"/>
    <x v="7"/>
    <n v="3"/>
    <x v="2"/>
    <x v="2"/>
    <n v="16184"/>
    <x v="12"/>
    <n v="22578"/>
    <x v="1"/>
    <n v="4"/>
    <x v="2"/>
    <s v="Y"/>
    <x v="1"/>
    <n v="19"/>
    <x v="1"/>
    <n v="3"/>
    <x v="0"/>
    <n v="3"/>
    <x v="3"/>
    <n v="80"/>
    <n v="1"/>
    <n v="10"/>
    <x v="0"/>
    <n v="2"/>
    <x v="0"/>
    <n v="3"/>
    <x v="1"/>
    <n v="6"/>
    <x v="0"/>
    <n v="1"/>
    <x v="2"/>
    <n v="0"/>
    <x v="0"/>
    <n v="5"/>
    <x v="0"/>
  </r>
  <r>
    <n v="613"/>
    <n v="31"/>
    <x v="2"/>
    <x v="1"/>
    <n v="0"/>
    <x v="0"/>
    <n v="688"/>
    <x v="2"/>
    <x v="0"/>
    <n v="7"/>
    <x v="1"/>
    <n v="3"/>
    <x v="3"/>
    <x v="0"/>
    <n v="1"/>
    <n v="3"/>
    <x v="1"/>
    <x v="1"/>
    <n v="44"/>
    <x v="2"/>
    <n v="2"/>
    <x v="1"/>
    <n v="3"/>
    <x v="5"/>
    <n v="4"/>
    <x v="0"/>
    <x v="2"/>
    <n v="11557"/>
    <x v="6"/>
    <n v="25291"/>
    <x v="1"/>
    <n v="9"/>
    <x v="0"/>
    <s v="Y"/>
    <x v="1"/>
    <n v="21"/>
    <x v="1"/>
    <n v="4"/>
    <x v="1"/>
    <n v="3"/>
    <x v="3"/>
    <n v="80"/>
    <n v="1"/>
    <n v="10"/>
    <x v="0"/>
    <n v="3"/>
    <x v="1"/>
    <n v="2"/>
    <x v="2"/>
    <n v="5"/>
    <x v="2"/>
    <n v="4"/>
    <x v="0"/>
    <n v="0"/>
    <x v="0"/>
    <n v="1"/>
    <x v="2"/>
  </r>
  <r>
    <n v="614"/>
    <n v="18"/>
    <x v="4"/>
    <x v="0"/>
    <n v="1"/>
    <x v="1"/>
    <n v="1306"/>
    <x v="0"/>
    <x v="0"/>
    <n v="5"/>
    <x v="0"/>
    <n v="3"/>
    <x v="3"/>
    <x v="3"/>
    <n v="1"/>
    <n v="2"/>
    <x v="0"/>
    <x v="1"/>
    <n v="69"/>
    <x v="1"/>
    <n v="3"/>
    <x v="0"/>
    <n v="1"/>
    <x v="6"/>
    <n v="2"/>
    <x v="1"/>
    <x v="0"/>
    <n v="1878"/>
    <x v="2"/>
    <n v="8059"/>
    <x v="3"/>
    <n v="1"/>
    <x v="1"/>
    <s v="Y"/>
    <x v="0"/>
    <n v="14"/>
    <x v="2"/>
    <n v="3"/>
    <x v="0"/>
    <n v="4"/>
    <x v="1"/>
    <n v="80"/>
    <n v="0"/>
    <n v="0"/>
    <x v="2"/>
    <n v="3"/>
    <x v="1"/>
    <n v="3"/>
    <x v="1"/>
    <n v="0"/>
    <x v="1"/>
    <n v="0"/>
    <x v="2"/>
    <n v="0"/>
    <x v="0"/>
    <n v="0"/>
    <x v="2"/>
  </r>
  <r>
    <n v="615"/>
    <n v="40"/>
    <x v="0"/>
    <x v="1"/>
    <n v="0"/>
    <x v="2"/>
    <n v="1094"/>
    <x v="0"/>
    <x v="0"/>
    <n v="28"/>
    <x v="2"/>
    <n v="3"/>
    <x v="3"/>
    <x v="1"/>
    <n v="1"/>
    <n v="3"/>
    <x v="1"/>
    <x v="1"/>
    <n v="58"/>
    <x v="1"/>
    <n v="1"/>
    <x v="3"/>
    <n v="3"/>
    <x v="0"/>
    <n v="1"/>
    <x v="3"/>
    <x v="2"/>
    <n v="10932"/>
    <x v="8"/>
    <n v="11373"/>
    <x v="3"/>
    <n v="3"/>
    <x v="3"/>
    <s v="Y"/>
    <x v="1"/>
    <n v="15"/>
    <x v="2"/>
    <n v="3"/>
    <x v="0"/>
    <n v="3"/>
    <x v="3"/>
    <n v="80"/>
    <n v="1"/>
    <n v="20"/>
    <x v="1"/>
    <n v="2"/>
    <x v="0"/>
    <n v="3"/>
    <x v="1"/>
    <n v="1"/>
    <x v="1"/>
    <n v="0"/>
    <x v="2"/>
    <n v="0"/>
    <x v="0"/>
    <n v="1"/>
    <x v="2"/>
  </r>
  <r>
    <n v="616"/>
    <n v="41"/>
    <x v="0"/>
    <x v="1"/>
    <n v="0"/>
    <x v="2"/>
    <n v="509"/>
    <x v="2"/>
    <x v="1"/>
    <n v="2"/>
    <x v="0"/>
    <n v="4"/>
    <x v="2"/>
    <x v="1"/>
    <n v="1"/>
    <n v="1"/>
    <x v="3"/>
    <x v="0"/>
    <n v="62"/>
    <x v="1"/>
    <n v="2"/>
    <x v="1"/>
    <n v="2"/>
    <x v="4"/>
    <n v="3"/>
    <x v="2"/>
    <x v="0"/>
    <n v="6811"/>
    <x v="0"/>
    <n v="2112"/>
    <x v="2"/>
    <n v="2"/>
    <x v="3"/>
    <s v="Y"/>
    <x v="0"/>
    <n v="17"/>
    <x v="3"/>
    <n v="3"/>
    <x v="0"/>
    <n v="1"/>
    <x v="0"/>
    <n v="80"/>
    <n v="0"/>
    <n v="10"/>
    <x v="0"/>
    <n v="3"/>
    <x v="1"/>
    <n v="3"/>
    <x v="1"/>
    <n v="8"/>
    <x v="0"/>
    <n v="7"/>
    <x v="1"/>
    <n v="0"/>
    <x v="0"/>
    <n v="7"/>
    <x v="1"/>
  </r>
  <r>
    <n v="618"/>
    <n v="26"/>
    <x v="2"/>
    <x v="1"/>
    <n v="0"/>
    <x v="0"/>
    <n v="775"/>
    <x v="2"/>
    <x v="0"/>
    <n v="29"/>
    <x v="2"/>
    <n v="2"/>
    <x v="0"/>
    <x v="2"/>
    <n v="1"/>
    <n v="1"/>
    <x v="3"/>
    <x v="1"/>
    <n v="45"/>
    <x v="2"/>
    <n v="3"/>
    <x v="0"/>
    <n v="2"/>
    <x v="0"/>
    <n v="3"/>
    <x v="2"/>
    <x v="2"/>
    <n v="4306"/>
    <x v="1"/>
    <n v="4267"/>
    <x v="2"/>
    <n v="5"/>
    <x v="2"/>
    <s v="Y"/>
    <x v="1"/>
    <n v="12"/>
    <x v="0"/>
    <n v="3"/>
    <x v="0"/>
    <n v="1"/>
    <x v="0"/>
    <n v="80"/>
    <n v="2"/>
    <n v="8"/>
    <x v="0"/>
    <n v="5"/>
    <x v="2"/>
    <n v="3"/>
    <x v="1"/>
    <n v="0"/>
    <x v="1"/>
    <n v="0"/>
    <x v="2"/>
    <n v="0"/>
    <x v="0"/>
    <n v="0"/>
    <x v="2"/>
  </r>
  <r>
    <n v="620"/>
    <n v="35"/>
    <x v="2"/>
    <x v="1"/>
    <n v="0"/>
    <x v="0"/>
    <n v="195"/>
    <x v="1"/>
    <x v="0"/>
    <n v="1"/>
    <x v="0"/>
    <n v="3"/>
    <x v="3"/>
    <x v="2"/>
    <n v="1"/>
    <n v="1"/>
    <x v="3"/>
    <x v="0"/>
    <n v="80"/>
    <x v="0"/>
    <n v="3"/>
    <x v="0"/>
    <n v="2"/>
    <x v="0"/>
    <n v="3"/>
    <x v="2"/>
    <x v="0"/>
    <n v="4859"/>
    <x v="1"/>
    <n v="6698"/>
    <x v="2"/>
    <n v="1"/>
    <x v="1"/>
    <s v="Y"/>
    <x v="1"/>
    <n v="16"/>
    <x v="3"/>
    <n v="3"/>
    <x v="0"/>
    <n v="4"/>
    <x v="1"/>
    <n v="80"/>
    <n v="0"/>
    <n v="5"/>
    <x v="3"/>
    <n v="3"/>
    <x v="1"/>
    <n v="3"/>
    <x v="1"/>
    <n v="5"/>
    <x v="2"/>
    <n v="4"/>
    <x v="0"/>
    <n v="0"/>
    <x v="0"/>
    <n v="3"/>
    <x v="0"/>
  </r>
  <r>
    <n v="621"/>
    <n v="34"/>
    <x v="2"/>
    <x v="1"/>
    <n v="0"/>
    <x v="0"/>
    <n v="258"/>
    <x v="1"/>
    <x v="0"/>
    <n v="21"/>
    <x v="2"/>
    <n v="4"/>
    <x v="2"/>
    <x v="0"/>
    <n v="1"/>
    <n v="4"/>
    <x v="2"/>
    <x v="1"/>
    <n v="74"/>
    <x v="1"/>
    <n v="4"/>
    <x v="2"/>
    <n v="2"/>
    <x v="0"/>
    <n v="4"/>
    <x v="0"/>
    <x v="0"/>
    <n v="5337"/>
    <x v="1"/>
    <n v="19921"/>
    <x v="0"/>
    <n v="1"/>
    <x v="1"/>
    <s v="Y"/>
    <x v="1"/>
    <n v="12"/>
    <x v="0"/>
    <n v="3"/>
    <x v="0"/>
    <n v="4"/>
    <x v="1"/>
    <n v="80"/>
    <n v="0"/>
    <n v="10"/>
    <x v="0"/>
    <n v="3"/>
    <x v="1"/>
    <n v="3"/>
    <x v="1"/>
    <n v="10"/>
    <x v="0"/>
    <n v="7"/>
    <x v="1"/>
    <n v="5"/>
    <x v="1"/>
    <n v="7"/>
    <x v="1"/>
  </r>
  <r>
    <n v="622"/>
    <n v="26"/>
    <x v="2"/>
    <x v="0"/>
    <n v="1"/>
    <x v="0"/>
    <n v="471"/>
    <x v="1"/>
    <x v="1"/>
    <n v="24"/>
    <x v="2"/>
    <n v="3"/>
    <x v="3"/>
    <x v="4"/>
    <n v="1"/>
    <n v="3"/>
    <x v="1"/>
    <x v="1"/>
    <n v="66"/>
    <x v="1"/>
    <n v="1"/>
    <x v="3"/>
    <n v="1"/>
    <x v="2"/>
    <n v="4"/>
    <x v="0"/>
    <x v="0"/>
    <n v="2340"/>
    <x v="2"/>
    <n v="23213"/>
    <x v="1"/>
    <n v="1"/>
    <x v="1"/>
    <s v="Y"/>
    <x v="0"/>
    <n v="18"/>
    <x v="1"/>
    <n v="3"/>
    <x v="0"/>
    <n v="2"/>
    <x v="4"/>
    <n v="80"/>
    <n v="0"/>
    <n v="1"/>
    <x v="2"/>
    <n v="3"/>
    <x v="1"/>
    <n v="1"/>
    <x v="0"/>
    <n v="1"/>
    <x v="1"/>
    <n v="0"/>
    <x v="2"/>
    <n v="0"/>
    <x v="0"/>
    <n v="0"/>
    <x v="2"/>
  </r>
  <r>
    <n v="623"/>
    <n v="37"/>
    <x v="0"/>
    <x v="1"/>
    <n v="0"/>
    <x v="0"/>
    <n v="799"/>
    <x v="2"/>
    <x v="1"/>
    <n v="1"/>
    <x v="0"/>
    <n v="3"/>
    <x v="3"/>
    <x v="4"/>
    <n v="1"/>
    <n v="2"/>
    <x v="0"/>
    <x v="0"/>
    <n v="59"/>
    <x v="1"/>
    <n v="3"/>
    <x v="0"/>
    <n v="3"/>
    <x v="3"/>
    <n v="4"/>
    <x v="0"/>
    <x v="0"/>
    <n v="7491"/>
    <x v="11"/>
    <n v="23848"/>
    <x v="1"/>
    <n v="4"/>
    <x v="2"/>
    <s v="Y"/>
    <x v="1"/>
    <n v="17"/>
    <x v="3"/>
    <n v="3"/>
    <x v="0"/>
    <n v="4"/>
    <x v="1"/>
    <n v="80"/>
    <n v="0"/>
    <n v="12"/>
    <x v="1"/>
    <n v="3"/>
    <x v="1"/>
    <n v="4"/>
    <x v="3"/>
    <n v="6"/>
    <x v="0"/>
    <n v="5"/>
    <x v="0"/>
    <n v="1"/>
    <x v="0"/>
    <n v="2"/>
    <x v="0"/>
  </r>
  <r>
    <n v="624"/>
    <n v="46"/>
    <x v="1"/>
    <x v="1"/>
    <n v="0"/>
    <x v="1"/>
    <n v="1034"/>
    <x v="0"/>
    <x v="1"/>
    <n v="18"/>
    <x v="3"/>
    <n v="1"/>
    <x v="1"/>
    <x v="2"/>
    <n v="1"/>
    <n v="1"/>
    <x v="3"/>
    <x v="0"/>
    <n v="86"/>
    <x v="0"/>
    <n v="3"/>
    <x v="0"/>
    <n v="3"/>
    <x v="4"/>
    <n v="3"/>
    <x v="2"/>
    <x v="1"/>
    <n v="10527"/>
    <x v="8"/>
    <n v="8984"/>
    <x v="3"/>
    <n v="5"/>
    <x v="2"/>
    <s v="Y"/>
    <x v="1"/>
    <n v="11"/>
    <x v="0"/>
    <n v="3"/>
    <x v="0"/>
    <n v="4"/>
    <x v="1"/>
    <n v="80"/>
    <n v="0"/>
    <n v="28"/>
    <x v="4"/>
    <n v="3"/>
    <x v="1"/>
    <n v="2"/>
    <x v="2"/>
    <n v="2"/>
    <x v="2"/>
    <n v="2"/>
    <x v="0"/>
    <n v="1"/>
    <x v="0"/>
    <n v="2"/>
    <x v="0"/>
  </r>
  <r>
    <n v="625"/>
    <n v="41"/>
    <x v="0"/>
    <x v="1"/>
    <n v="0"/>
    <x v="0"/>
    <n v="1276"/>
    <x v="0"/>
    <x v="0"/>
    <n v="2"/>
    <x v="0"/>
    <n v="5"/>
    <x v="4"/>
    <x v="0"/>
    <n v="1"/>
    <n v="2"/>
    <x v="0"/>
    <x v="0"/>
    <n v="91"/>
    <x v="0"/>
    <n v="3"/>
    <x v="0"/>
    <n v="4"/>
    <x v="5"/>
    <n v="1"/>
    <x v="3"/>
    <x v="1"/>
    <n v="16595"/>
    <x v="12"/>
    <n v="5626"/>
    <x v="2"/>
    <n v="7"/>
    <x v="0"/>
    <s v="Y"/>
    <x v="1"/>
    <n v="16"/>
    <x v="3"/>
    <n v="3"/>
    <x v="0"/>
    <n v="2"/>
    <x v="4"/>
    <n v="80"/>
    <n v="1"/>
    <n v="22"/>
    <x v="4"/>
    <n v="2"/>
    <x v="0"/>
    <n v="3"/>
    <x v="1"/>
    <n v="18"/>
    <x v="4"/>
    <n v="16"/>
    <x v="3"/>
    <n v="11"/>
    <x v="3"/>
    <n v="8"/>
    <x v="1"/>
  </r>
  <r>
    <n v="626"/>
    <n v="37"/>
    <x v="0"/>
    <x v="1"/>
    <n v="0"/>
    <x v="2"/>
    <n v="142"/>
    <x v="1"/>
    <x v="0"/>
    <n v="9"/>
    <x v="1"/>
    <n v="4"/>
    <x v="2"/>
    <x v="2"/>
    <n v="1"/>
    <n v="1"/>
    <x v="3"/>
    <x v="1"/>
    <n v="69"/>
    <x v="1"/>
    <n v="3"/>
    <x v="0"/>
    <n v="3"/>
    <x v="0"/>
    <n v="2"/>
    <x v="1"/>
    <x v="2"/>
    <n v="8834"/>
    <x v="4"/>
    <n v="24666"/>
    <x v="1"/>
    <n v="1"/>
    <x v="1"/>
    <s v="Y"/>
    <x v="1"/>
    <n v="13"/>
    <x v="2"/>
    <n v="3"/>
    <x v="0"/>
    <n v="4"/>
    <x v="1"/>
    <n v="80"/>
    <n v="1"/>
    <n v="9"/>
    <x v="0"/>
    <n v="6"/>
    <x v="2"/>
    <n v="3"/>
    <x v="1"/>
    <n v="9"/>
    <x v="0"/>
    <n v="5"/>
    <x v="0"/>
    <n v="7"/>
    <x v="2"/>
    <n v="7"/>
    <x v="1"/>
  </r>
  <r>
    <n v="630"/>
    <n v="52"/>
    <x v="1"/>
    <x v="1"/>
    <n v="0"/>
    <x v="0"/>
    <n v="956"/>
    <x v="2"/>
    <x v="1"/>
    <n v="6"/>
    <x v="1"/>
    <n v="2"/>
    <x v="0"/>
    <x v="4"/>
    <n v="1"/>
    <n v="4"/>
    <x v="2"/>
    <x v="1"/>
    <n v="78"/>
    <x v="0"/>
    <n v="3"/>
    <x v="0"/>
    <n v="2"/>
    <x v="1"/>
    <n v="1"/>
    <x v="3"/>
    <x v="2"/>
    <n v="5577"/>
    <x v="0"/>
    <n v="22087"/>
    <x v="1"/>
    <n v="3"/>
    <x v="3"/>
    <s v="Y"/>
    <x v="0"/>
    <n v="12"/>
    <x v="0"/>
    <n v="3"/>
    <x v="0"/>
    <n v="2"/>
    <x v="4"/>
    <n v="80"/>
    <n v="2"/>
    <n v="18"/>
    <x v="1"/>
    <n v="3"/>
    <x v="1"/>
    <n v="3"/>
    <x v="1"/>
    <n v="10"/>
    <x v="0"/>
    <n v="9"/>
    <x v="1"/>
    <n v="6"/>
    <x v="2"/>
    <n v="9"/>
    <x v="1"/>
  </r>
  <r>
    <n v="631"/>
    <n v="32"/>
    <x v="2"/>
    <x v="0"/>
    <n v="1"/>
    <x v="2"/>
    <n v="1474"/>
    <x v="0"/>
    <x v="0"/>
    <n v="11"/>
    <x v="3"/>
    <n v="4"/>
    <x v="2"/>
    <x v="1"/>
    <n v="1"/>
    <n v="4"/>
    <x v="2"/>
    <x v="1"/>
    <n v="60"/>
    <x v="1"/>
    <n v="4"/>
    <x v="2"/>
    <n v="2"/>
    <x v="0"/>
    <n v="3"/>
    <x v="2"/>
    <x v="1"/>
    <n v="4707"/>
    <x v="1"/>
    <n v="23914"/>
    <x v="1"/>
    <n v="8"/>
    <x v="0"/>
    <s v="Y"/>
    <x v="1"/>
    <n v="12"/>
    <x v="0"/>
    <n v="3"/>
    <x v="0"/>
    <n v="4"/>
    <x v="1"/>
    <n v="80"/>
    <n v="0"/>
    <n v="6"/>
    <x v="0"/>
    <n v="2"/>
    <x v="0"/>
    <n v="3"/>
    <x v="1"/>
    <n v="4"/>
    <x v="2"/>
    <n v="2"/>
    <x v="0"/>
    <n v="1"/>
    <x v="0"/>
    <n v="2"/>
    <x v="0"/>
  </r>
  <r>
    <n v="632"/>
    <n v="24"/>
    <x v="4"/>
    <x v="1"/>
    <n v="0"/>
    <x v="1"/>
    <n v="535"/>
    <x v="2"/>
    <x v="0"/>
    <n v="24"/>
    <x v="2"/>
    <n v="3"/>
    <x v="3"/>
    <x v="2"/>
    <n v="1"/>
    <n v="4"/>
    <x v="2"/>
    <x v="1"/>
    <n v="38"/>
    <x v="2"/>
    <n v="3"/>
    <x v="0"/>
    <n v="1"/>
    <x v="6"/>
    <n v="4"/>
    <x v="0"/>
    <x v="1"/>
    <n v="2400"/>
    <x v="2"/>
    <n v="5530"/>
    <x v="2"/>
    <n v="0"/>
    <x v="1"/>
    <s v="Y"/>
    <x v="1"/>
    <n v="13"/>
    <x v="2"/>
    <n v="3"/>
    <x v="0"/>
    <n v="3"/>
    <x v="3"/>
    <n v="80"/>
    <n v="2"/>
    <n v="3"/>
    <x v="3"/>
    <n v="3"/>
    <x v="1"/>
    <n v="3"/>
    <x v="1"/>
    <n v="2"/>
    <x v="2"/>
    <n v="2"/>
    <x v="0"/>
    <n v="2"/>
    <x v="1"/>
    <n v="1"/>
    <x v="2"/>
  </r>
  <r>
    <n v="634"/>
    <n v="38"/>
    <x v="0"/>
    <x v="1"/>
    <n v="0"/>
    <x v="0"/>
    <n v="1495"/>
    <x v="0"/>
    <x v="1"/>
    <n v="10"/>
    <x v="1"/>
    <n v="3"/>
    <x v="3"/>
    <x v="2"/>
    <n v="1"/>
    <n v="3"/>
    <x v="1"/>
    <x v="0"/>
    <n v="76"/>
    <x v="0"/>
    <n v="3"/>
    <x v="0"/>
    <n v="2"/>
    <x v="4"/>
    <n v="3"/>
    <x v="2"/>
    <x v="1"/>
    <n v="9824"/>
    <x v="4"/>
    <n v="22174"/>
    <x v="1"/>
    <n v="3"/>
    <x v="3"/>
    <s v="Y"/>
    <x v="1"/>
    <n v="19"/>
    <x v="1"/>
    <n v="3"/>
    <x v="0"/>
    <n v="3"/>
    <x v="3"/>
    <n v="80"/>
    <n v="1"/>
    <n v="18"/>
    <x v="1"/>
    <n v="4"/>
    <x v="1"/>
    <n v="3"/>
    <x v="1"/>
    <n v="1"/>
    <x v="1"/>
    <n v="0"/>
    <x v="2"/>
    <n v="0"/>
    <x v="0"/>
    <n v="0"/>
    <x v="2"/>
  </r>
  <r>
    <n v="635"/>
    <n v="37"/>
    <x v="0"/>
    <x v="1"/>
    <n v="0"/>
    <x v="0"/>
    <n v="446"/>
    <x v="1"/>
    <x v="1"/>
    <n v="1"/>
    <x v="0"/>
    <n v="4"/>
    <x v="2"/>
    <x v="0"/>
    <n v="1"/>
    <n v="2"/>
    <x v="0"/>
    <x v="0"/>
    <n v="65"/>
    <x v="1"/>
    <n v="3"/>
    <x v="0"/>
    <n v="2"/>
    <x v="3"/>
    <n v="2"/>
    <x v="1"/>
    <x v="1"/>
    <n v="6447"/>
    <x v="0"/>
    <n v="15701"/>
    <x v="3"/>
    <n v="6"/>
    <x v="2"/>
    <s v="Y"/>
    <x v="1"/>
    <n v="12"/>
    <x v="0"/>
    <n v="3"/>
    <x v="0"/>
    <n v="2"/>
    <x v="4"/>
    <n v="80"/>
    <n v="1"/>
    <n v="8"/>
    <x v="0"/>
    <n v="2"/>
    <x v="0"/>
    <n v="2"/>
    <x v="2"/>
    <n v="6"/>
    <x v="0"/>
    <n v="5"/>
    <x v="0"/>
    <n v="4"/>
    <x v="1"/>
    <n v="3"/>
    <x v="0"/>
  </r>
  <r>
    <n v="638"/>
    <n v="49"/>
    <x v="1"/>
    <x v="1"/>
    <n v="0"/>
    <x v="0"/>
    <n v="1245"/>
    <x v="0"/>
    <x v="1"/>
    <n v="18"/>
    <x v="3"/>
    <n v="4"/>
    <x v="2"/>
    <x v="0"/>
    <n v="1"/>
    <n v="4"/>
    <x v="2"/>
    <x v="1"/>
    <n v="58"/>
    <x v="1"/>
    <n v="2"/>
    <x v="1"/>
    <n v="5"/>
    <x v="7"/>
    <n v="3"/>
    <x v="2"/>
    <x v="2"/>
    <n v="19502"/>
    <x v="7"/>
    <n v="2125"/>
    <x v="2"/>
    <n v="1"/>
    <x v="1"/>
    <s v="Y"/>
    <x v="0"/>
    <n v="17"/>
    <x v="3"/>
    <n v="3"/>
    <x v="0"/>
    <n v="3"/>
    <x v="3"/>
    <n v="80"/>
    <n v="1"/>
    <n v="31"/>
    <x v="4"/>
    <n v="5"/>
    <x v="2"/>
    <n v="3"/>
    <x v="1"/>
    <n v="31"/>
    <x v="3"/>
    <n v="9"/>
    <x v="1"/>
    <n v="0"/>
    <x v="0"/>
    <n v="9"/>
    <x v="1"/>
  </r>
  <r>
    <n v="639"/>
    <n v="24"/>
    <x v="4"/>
    <x v="1"/>
    <n v="0"/>
    <x v="0"/>
    <n v="691"/>
    <x v="2"/>
    <x v="1"/>
    <n v="23"/>
    <x v="2"/>
    <n v="3"/>
    <x v="3"/>
    <x v="2"/>
    <n v="1"/>
    <n v="2"/>
    <x v="0"/>
    <x v="1"/>
    <n v="89"/>
    <x v="0"/>
    <n v="4"/>
    <x v="2"/>
    <n v="1"/>
    <x v="1"/>
    <n v="4"/>
    <x v="0"/>
    <x v="1"/>
    <n v="2725"/>
    <x v="3"/>
    <n v="21630"/>
    <x v="0"/>
    <n v="1"/>
    <x v="1"/>
    <s v="Y"/>
    <x v="0"/>
    <n v="11"/>
    <x v="0"/>
    <n v="3"/>
    <x v="0"/>
    <n v="2"/>
    <x v="4"/>
    <n v="80"/>
    <n v="2"/>
    <n v="6"/>
    <x v="0"/>
    <n v="3"/>
    <x v="1"/>
    <n v="3"/>
    <x v="1"/>
    <n v="6"/>
    <x v="0"/>
    <n v="5"/>
    <x v="0"/>
    <n v="1"/>
    <x v="0"/>
    <n v="4"/>
    <x v="0"/>
  </r>
  <r>
    <n v="641"/>
    <n v="26"/>
    <x v="2"/>
    <x v="1"/>
    <n v="0"/>
    <x v="0"/>
    <n v="703"/>
    <x v="2"/>
    <x v="0"/>
    <n v="28"/>
    <x v="2"/>
    <n v="2"/>
    <x v="0"/>
    <x v="3"/>
    <n v="1"/>
    <n v="1"/>
    <x v="3"/>
    <x v="1"/>
    <n v="66"/>
    <x v="1"/>
    <n v="3"/>
    <x v="0"/>
    <n v="2"/>
    <x v="0"/>
    <n v="2"/>
    <x v="1"/>
    <x v="1"/>
    <n v="6272"/>
    <x v="0"/>
    <n v="7428"/>
    <x v="2"/>
    <n v="1"/>
    <x v="1"/>
    <s v="Y"/>
    <x v="1"/>
    <n v="20"/>
    <x v="1"/>
    <n v="4"/>
    <x v="1"/>
    <n v="4"/>
    <x v="1"/>
    <n v="80"/>
    <n v="2"/>
    <n v="6"/>
    <x v="0"/>
    <n v="5"/>
    <x v="2"/>
    <n v="4"/>
    <x v="3"/>
    <n v="5"/>
    <x v="2"/>
    <n v="3"/>
    <x v="0"/>
    <n v="1"/>
    <x v="0"/>
    <n v="4"/>
    <x v="0"/>
  </r>
  <r>
    <n v="643"/>
    <n v="24"/>
    <x v="4"/>
    <x v="1"/>
    <n v="0"/>
    <x v="0"/>
    <n v="823"/>
    <x v="2"/>
    <x v="1"/>
    <n v="17"/>
    <x v="3"/>
    <n v="2"/>
    <x v="0"/>
    <x v="1"/>
    <n v="1"/>
    <n v="4"/>
    <x v="2"/>
    <x v="1"/>
    <n v="94"/>
    <x v="0"/>
    <n v="2"/>
    <x v="1"/>
    <n v="1"/>
    <x v="2"/>
    <n v="2"/>
    <x v="1"/>
    <x v="1"/>
    <n v="2127"/>
    <x v="2"/>
    <n v="9100"/>
    <x v="3"/>
    <n v="1"/>
    <x v="1"/>
    <s v="Y"/>
    <x v="1"/>
    <n v="21"/>
    <x v="1"/>
    <n v="4"/>
    <x v="1"/>
    <n v="4"/>
    <x v="1"/>
    <n v="80"/>
    <n v="1"/>
    <n v="1"/>
    <x v="2"/>
    <n v="2"/>
    <x v="0"/>
    <n v="3"/>
    <x v="1"/>
    <n v="1"/>
    <x v="1"/>
    <n v="0"/>
    <x v="2"/>
    <n v="0"/>
    <x v="0"/>
    <n v="0"/>
    <x v="2"/>
  </r>
  <r>
    <n v="644"/>
    <n v="50"/>
    <x v="1"/>
    <x v="1"/>
    <n v="0"/>
    <x v="1"/>
    <n v="1246"/>
    <x v="0"/>
    <x v="2"/>
    <n v="3"/>
    <x v="0"/>
    <n v="3"/>
    <x v="3"/>
    <x v="2"/>
    <n v="1"/>
    <n v="1"/>
    <x v="3"/>
    <x v="1"/>
    <n v="99"/>
    <x v="0"/>
    <n v="3"/>
    <x v="0"/>
    <n v="5"/>
    <x v="5"/>
    <n v="2"/>
    <x v="1"/>
    <x v="1"/>
    <n v="18200"/>
    <x v="9"/>
    <n v="7999"/>
    <x v="2"/>
    <n v="1"/>
    <x v="1"/>
    <s v="Y"/>
    <x v="1"/>
    <n v="11"/>
    <x v="0"/>
    <n v="3"/>
    <x v="0"/>
    <n v="3"/>
    <x v="3"/>
    <n v="80"/>
    <n v="1"/>
    <n v="32"/>
    <x v="4"/>
    <n v="2"/>
    <x v="0"/>
    <n v="3"/>
    <x v="1"/>
    <n v="32"/>
    <x v="3"/>
    <n v="5"/>
    <x v="0"/>
    <n v="10"/>
    <x v="2"/>
    <n v="7"/>
    <x v="1"/>
  </r>
  <r>
    <n v="645"/>
    <n v="25"/>
    <x v="4"/>
    <x v="1"/>
    <n v="0"/>
    <x v="0"/>
    <n v="622"/>
    <x v="2"/>
    <x v="0"/>
    <n v="13"/>
    <x v="3"/>
    <n v="1"/>
    <x v="1"/>
    <x v="2"/>
    <n v="1"/>
    <n v="2"/>
    <x v="0"/>
    <x v="1"/>
    <n v="40"/>
    <x v="2"/>
    <n v="3"/>
    <x v="0"/>
    <n v="1"/>
    <x v="6"/>
    <n v="3"/>
    <x v="2"/>
    <x v="1"/>
    <n v="2096"/>
    <x v="2"/>
    <n v="26376"/>
    <x v="1"/>
    <n v="1"/>
    <x v="1"/>
    <s v="Y"/>
    <x v="1"/>
    <n v="11"/>
    <x v="0"/>
    <n v="3"/>
    <x v="0"/>
    <n v="3"/>
    <x v="3"/>
    <n v="80"/>
    <n v="0"/>
    <n v="7"/>
    <x v="0"/>
    <n v="1"/>
    <x v="0"/>
    <n v="3"/>
    <x v="1"/>
    <n v="7"/>
    <x v="0"/>
    <n v="4"/>
    <x v="0"/>
    <n v="0"/>
    <x v="0"/>
    <n v="6"/>
    <x v="1"/>
  </r>
  <r>
    <n v="647"/>
    <n v="24"/>
    <x v="4"/>
    <x v="0"/>
    <n v="1"/>
    <x v="1"/>
    <n v="1287"/>
    <x v="0"/>
    <x v="1"/>
    <n v="7"/>
    <x v="1"/>
    <n v="3"/>
    <x v="3"/>
    <x v="0"/>
    <n v="1"/>
    <n v="1"/>
    <x v="3"/>
    <x v="0"/>
    <n v="55"/>
    <x v="1"/>
    <n v="3"/>
    <x v="0"/>
    <n v="1"/>
    <x v="2"/>
    <n v="3"/>
    <x v="2"/>
    <x v="1"/>
    <n v="2886"/>
    <x v="3"/>
    <n v="14168"/>
    <x v="3"/>
    <n v="1"/>
    <x v="1"/>
    <s v="Y"/>
    <x v="0"/>
    <n v="16"/>
    <x v="3"/>
    <n v="3"/>
    <x v="0"/>
    <n v="4"/>
    <x v="1"/>
    <n v="80"/>
    <n v="1"/>
    <n v="6"/>
    <x v="0"/>
    <n v="4"/>
    <x v="1"/>
    <n v="3"/>
    <x v="1"/>
    <n v="6"/>
    <x v="0"/>
    <n v="3"/>
    <x v="0"/>
    <n v="1"/>
    <x v="0"/>
    <n v="2"/>
    <x v="0"/>
  </r>
  <r>
    <n v="648"/>
    <n v="30"/>
    <x v="2"/>
    <x v="0"/>
    <n v="1"/>
    <x v="1"/>
    <n v="448"/>
    <x v="1"/>
    <x v="0"/>
    <n v="12"/>
    <x v="3"/>
    <n v="4"/>
    <x v="2"/>
    <x v="0"/>
    <n v="1"/>
    <n v="2"/>
    <x v="0"/>
    <x v="1"/>
    <n v="74"/>
    <x v="1"/>
    <n v="2"/>
    <x v="1"/>
    <n v="1"/>
    <x v="6"/>
    <n v="1"/>
    <x v="3"/>
    <x v="1"/>
    <n v="2033"/>
    <x v="2"/>
    <n v="14470"/>
    <x v="3"/>
    <n v="1"/>
    <x v="1"/>
    <s v="Y"/>
    <x v="1"/>
    <n v="18"/>
    <x v="1"/>
    <n v="3"/>
    <x v="0"/>
    <n v="3"/>
    <x v="3"/>
    <n v="80"/>
    <n v="1"/>
    <n v="1"/>
    <x v="2"/>
    <n v="2"/>
    <x v="0"/>
    <n v="4"/>
    <x v="3"/>
    <n v="1"/>
    <x v="1"/>
    <n v="0"/>
    <x v="2"/>
    <n v="0"/>
    <x v="0"/>
    <n v="0"/>
    <x v="2"/>
  </r>
  <r>
    <n v="649"/>
    <n v="34"/>
    <x v="2"/>
    <x v="1"/>
    <n v="0"/>
    <x v="0"/>
    <n v="254"/>
    <x v="1"/>
    <x v="1"/>
    <n v="1"/>
    <x v="0"/>
    <n v="2"/>
    <x v="0"/>
    <x v="0"/>
    <n v="1"/>
    <n v="2"/>
    <x v="0"/>
    <x v="1"/>
    <n v="83"/>
    <x v="0"/>
    <n v="2"/>
    <x v="1"/>
    <n v="1"/>
    <x v="1"/>
    <n v="4"/>
    <x v="0"/>
    <x v="1"/>
    <n v="3622"/>
    <x v="3"/>
    <n v="22794"/>
    <x v="1"/>
    <n v="1"/>
    <x v="1"/>
    <s v="Y"/>
    <x v="0"/>
    <n v="13"/>
    <x v="2"/>
    <n v="3"/>
    <x v="0"/>
    <n v="4"/>
    <x v="1"/>
    <n v="80"/>
    <n v="1"/>
    <n v="6"/>
    <x v="0"/>
    <n v="3"/>
    <x v="1"/>
    <n v="3"/>
    <x v="1"/>
    <n v="6"/>
    <x v="0"/>
    <n v="5"/>
    <x v="0"/>
    <n v="1"/>
    <x v="0"/>
    <n v="3"/>
    <x v="0"/>
  </r>
  <r>
    <n v="650"/>
    <n v="31"/>
    <x v="2"/>
    <x v="0"/>
    <n v="1"/>
    <x v="0"/>
    <n v="1365"/>
    <x v="0"/>
    <x v="0"/>
    <n v="13"/>
    <x v="3"/>
    <n v="4"/>
    <x v="2"/>
    <x v="2"/>
    <n v="1"/>
    <n v="2"/>
    <x v="0"/>
    <x v="1"/>
    <n v="46"/>
    <x v="2"/>
    <n v="3"/>
    <x v="0"/>
    <n v="2"/>
    <x v="0"/>
    <n v="1"/>
    <x v="3"/>
    <x v="2"/>
    <n v="4233"/>
    <x v="1"/>
    <n v="11512"/>
    <x v="3"/>
    <n v="2"/>
    <x v="3"/>
    <s v="Y"/>
    <x v="1"/>
    <n v="17"/>
    <x v="3"/>
    <n v="3"/>
    <x v="0"/>
    <n v="3"/>
    <x v="3"/>
    <n v="80"/>
    <n v="0"/>
    <n v="9"/>
    <x v="0"/>
    <n v="2"/>
    <x v="0"/>
    <n v="1"/>
    <x v="0"/>
    <n v="3"/>
    <x v="2"/>
    <n v="1"/>
    <x v="2"/>
    <n v="1"/>
    <x v="0"/>
    <n v="2"/>
    <x v="0"/>
  </r>
  <r>
    <n v="652"/>
    <n v="35"/>
    <x v="2"/>
    <x v="1"/>
    <n v="0"/>
    <x v="0"/>
    <n v="538"/>
    <x v="2"/>
    <x v="1"/>
    <n v="25"/>
    <x v="2"/>
    <n v="2"/>
    <x v="0"/>
    <x v="1"/>
    <n v="1"/>
    <n v="1"/>
    <x v="3"/>
    <x v="1"/>
    <n v="54"/>
    <x v="1"/>
    <n v="2"/>
    <x v="1"/>
    <n v="2"/>
    <x v="2"/>
    <n v="4"/>
    <x v="0"/>
    <x v="0"/>
    <n v="3681"/>
    <x v="3"/>
    <n v="14004"/>
    <x v="3"/>
    <n v="4"/>
    <x v="2"/>
    <s v="Y"/>
    <x v="1"/>
    <n v="14"/>
    <x v="2"/>
    <n v="3"/>
    <x v="0"/>
    <n v="4"/>
    <x v="1"/>
    <n v="80"/>
    <n v="0"/>
    <n v="9"/>
    <x v="0"/>
    <n v="3"/>
    <x v="1"/>
    <n v="3"/>
    <x v="1"/>
    <n v="3"/>
    <x v="2"/>
    <n v="2"/>
    <x v="0"/>
    <n v="0"/>
    <x v="0"/>
    <n v="2"/>
    <x v="0"/>
  </r>
  <r>
    <n v="653"/>
    <n v="31"/>
    <x v="2"/>
    <x v="1"/>
    <n v="0"/>
    <x v="0"/>
    <n v="525"/>
    <x v="2"/>
    <x v="0"/>
    <n v="6"/>
    <x v="1"/>
    <n v="4"/>
    <x v="2"/>
    <x v="2"/>
    <n v="1"/>
    <n v="1"/>
    <x v="3"/>
    <x v="1"/>
    <n v="66"/>
    <x v="1"/>
    <n v="4"/>
    <x v="2"/>
    <n v="2"/>
    <x v="0"/>
    <n v="4"/>
    <x v="0"/>
    <x v="2"/>
    <n v="5460"/>
    <x v="1"/>
    <n v="6219"/>
    <x v="2"/>
    <n v="4"/>
    <x v="2"/>
    <s v="Y"/>
    <x v="1"/>
    <n v="22"/>
    <x v="1"/>
    <n v="4"/>
    <x v="1"/>
    <n v="4"/>
    <x v="1"/>
    <n v="80"/>
    <n v="2"/>
    <n v="13"/>
    <x v="1"/>
    <n v="4"/>
    <x v="1"/>
    <n v="4"/>
    <x v="3"/>
    <n v="7"/>
    <x v="0"/>
    <n v="7"/>
    <x v="1"/>
    <n v="5"/>
    <x v="1"/>
    <n v="7"/>
    <x v="1"/>
  </r>
  <r>
    <n v="655"/>
    <n v="27"/>
    <x v="2"/>
    <x v="1"/>
    <n v="0"/>
    <x v="0"/>
    <n v="798"/>
    <x v="2"/>
    <x v="1"/>
    <n v="6"/>
    <x v="1"/>
    <n v="4"/>
    <x v="2"/>
    <x v="2"/>
    <n v="1"/>
    <n v="1"/>
    <x v="3"/>
    <x v="0"/>
    <n v="66"/>
    <x v="1"/>
    <n v="2"/>
    <x v="1"/>
    <n v="1"/>
    <x v="1"/>
    <n v="3"/>
    <x v="2"/>
    <x v="2"/>
    <n v="2187"/>
    <x v="2"/>
    <n v="5013"/>
    <x v="2"/>
    <n v="0"/>
    <x v="1"/>
    <s v="Y"/>
    <x v="1"/>
    <n v="12"/>
    <x v="0"/>
    <n v="3"/>
    <x v="0"/>
    <n v="3"/>
    <x v="3"/>
    <n v="80"/>
    <n v="2"/>
    <n v="6"/>
    <x v="0"/>
    <n v="5"/>
    <x v="2"/>
    <n v="2"/>
    <x v="2"/>
    <n v="5"/>
    <x v="2"/>
    <n v="3"/>
    <x v="0"/>
    <n v="0"/>
    <x v="0"/>
    <n v="3"/>
    <x v="0"/>
  </r>
  <r>
    <n v="656"/>
    <n v="37"/>
    <x v="0"/>
    <x v="1"/>
    <n v="0"/>
    <x v="0"/>
    <n v="558"/>
    <x v="2"/>
    <x v="0"/>
    <n v="2"/>
    <x v="0"/>
    <n v="3"/>
    <x v="3"/>
    <x v="3"/>
    <n v="1"/>
    <n v="4"/>
    <x v="2"/>
    <x v="1"/>
    <n v="75"/>
    <x v="1"/>
    <n v="3"/>
    <x v="0"/>
    <n v="2"/>
    <x v="0"/>
    <n v="3"/>
    <x v="2"/>
    <x v="1"/>
    <n v="9602"/>
    <x v="4"/>
    <n v="3010"/>
    <x v="2"/>
    <n v="4"/>
    <x v="2"/>
    <s v="Y"/>
    <x v="0"/>
    <n v="11"/>
    <x v="0"/>
    <n v="3"/>
    <x v="0"/>
    <n v="3"/>
    <x v="3"/>
    <n v="80"/>
    <n v="1"/>
    <n v="17"/>
    <x v="1"/>
    <n v="3"/>
    <x v="1"/>
    <n v="2"/>
    <x v="2"/>
    <n v="3"/>
    <x v="2"/>
    <n v="0"/>
    <x v="2"/>
    <n v="1"/>
    <x v="0"/>
    <n v="0"/>
    <x v="2"/>
  </r>
  <r>
    <n v="657"/>
    <n v="20"/>
    <x v="4"/>
    <x v="1"/>
    <n v="0"/>
    <x v="0"/>
    <n v="959"/>
    <x v="2"/>
    <x v="1"/>
    <n v="1"/>
    <x v="0"/>
    <n v="3"/>
    <x v="3"/>
    <x v="0"/>
    <n v="1"/>
    <n v="4"/>
    <x v="2"/>
    <x v="0"/>
    <n v="83"/>
    <x v="0"/>
    <n v="2"/>
    <x v="1"/>
    <n v="1"/>
    <x v="1"/>
    <n v="2"/>
    <x v="1"/>
    <x v="0"/>
    <n v="2836"/>
    <x v="3"/>
    <n v="11757"/>
    <x v="3"/>
    <n v="1"/>
    <x v="1"/>
    <s v="Y"/>
    <x v="1"/>
    <n v="13"/>
    <x v="2"/>
    <n v="3"/>
    <x v="0"/>
    <n v="4"/>
    <x v="1"/>
    <n v="80"/>
    <n v="0"/>
    <n v="1"/>
    <x v="2"/>
    <n v="0"/>
    <x v="0"/>
    <n v="4"/>
    <x v="3"/>
    <n v="1"/>
    <x v="1"/>
    <n v="0"/>
    <x v="2"/>
    <n v="0"/>
    <x v="0"/>
    <n v="0"/>
    <x v="2"/>
  </r>
  <r>
    <n v="659"/>
    <n v="42"/>
    <x v="0"/>
    <x v="1"/>
    <n v="0"/>
    <x v="0"/>
    <n v="622"/>
    <x v="2"/>
    <x v="1"/>
    <n v="2"/>
    <x v="0"/>
    <n v="4"/>
    <x v="2"/>
    <x v="0"/>
    <n v="1"/>
    <n v="3"/>
    <x v="1"/>
    <x v="0"/>
    <n v="81"/>
    <x v="0"/>
    <n v="3"/>
    <x v="0"/>
    <n v="2"/>
    <x v="4"/>
    <n v="4"/>
    <x v="0"/>
    <x v="1"/>
    <n v="4089"/>
    <x v="1"/>
    <n v="5718"/>
    <x v="2"/>
    <n v="1"/>
    <x v="1"/>
    <s v="Y"/>
    <x v="1"/>
    <n v="13"/>
    <x v="2"/>
    <n v="3"/>
    <x v="0"/>
    <n v="2"/>
    <x v="4"/>
    <n v="80"/>
    <n v="2"/>
    <n v="10"/>
    <x v="0"/>
    <n v="4"/>
    <x v="1"/>
    <n v="3"/>
    <x v="1"/>
    <n v="10"/>
    <x v="0"/>
    <n v="2"/>
    <x v="0"/>
    <n v="2"/>
    <x v="1"/>
    <n v="2"/>
    <x v="0"/>
  </r>
  <r>
    <n v="661"/>
    <n v="43"/>
    <x v="0"/>
    <x v="1"/>
    <n v="0"/>
    <x v="0"/>
    <n v="782"/>
    <x v="2"/>
    <x v="1"/>
    <n v="6"/>
    <x v="1"/>
    <n v="4"/>
    <x v="2"/>
    <x v="1"/>
    <n v="1"/>
    <n v="2"/>
    <x v="0"/>
    <x v="1"/>
    <n v="50"/>
    <x v="2"/>
    <n v="2"/>
    <x v="1"/>
    <n v="4"/>
    <x v="7"/>
    <n v="4"/>
    <x v="0"/>
    <x v="2"/>
    <n v="16627"/>
    <x v="12"/>
    <n v="2671"/>
    <x v="2"/>
    <n v="4"/>
    <x v="2"/>
    <s v="Y"/>
    <x v="0"/>
    <n v="14"/>
    <x v="2"/>
    <n v="3"/>
    <x v="0"/>
    <n v="3"/>
    <x v="3"/>
    <n v="80"/>
    <n v="1"/>
    <n v="21"/>
    <x v="4"/>
    <n v="3"/>
    <x v="1"/>
    <n v="2"/>
    <x v="2"/>
    <n v="1"/>
    <x v="1"/>
    <n v="0"/>
    <x v="2"/>
    <n v="0"/>
    <x v="0"/>
    <n v="0"/>
    <x v="2"/>
  </r>
  <r>
    <n v="662"/>
    <n v="38"/>
    <x v="0"/>
    <x v="1"/>
    <n v="0"/>
    <x v="0"/>
    <n v="362"/>
    <x v="1"/>
    <x v="1"/>
    <n v="1"/>
    <x v="0"/>
    <n v="1"/>
    <x v="1"/>
    <x v="0"/>
    <n v="1"/>
    <n v="3"/>
    <x v="1"/>
    <x v="0"/>
    <n v="43"/>
    <x v="2"/>
    <n v="3"/>
    <x v="0"/>
    <n v="1"/>
    <x v="1"/>
    <n v="1"/>
    <x v="3"/>
    <x v="0"/>
    <n v="2619"/>
    <x v="3"/>
    <n v="14561"/>
    <x v="3"/>
    <n v="3"/>
    <x v="3"/>
    <s v="Y"/>
    <x v="1"/>
    <n v="17"/>
    <x v="3"/>
    <n v="3"/>
    <x v="0"/>
    <n v="4"/>
    <x v="1"/>
    <n v="80"/>
    <n v="0"/>
    <n v="8"/>
    <x v="0"/>
    <n v="3"/>
    <x v="1"/>
    <n v="2"/>
    <x v="2"/>
    <n v="0"/>
    <x v="1"/>
    <n v="0"/>
    <x v="2"/>
    <n v="0"/>
    <x v="0"/>
    <n v="0"/>
    <x v="2"/>
  </r>
  <r>
    <n v="663"/>
    <n v="43"/>
    <x v="0"/>
    <x v="1"/>
    <n v="0"/>
    <x v="1"/>
    <n v="1001"/>
    <x v="0"/>
    <x v="1"/>
    <n v="9"/>
    <x v="1"/>
    <n v="5"/>
    <x v="4"/>
    <x v="2"/>
    <n v="1"/>
    <n v="4"/>
    <x v="2"/>
    <x v="1"/>
    <n v="72"/>
    <x v="1"/>
    <n v="3"/>
    <x v="0"/>
    <n v="2"/>
    <x v="2"/>
    <n v="3"/>
    <x v="2"/>
    <x v="2"/>
    <n v="5679"/>
    <x v="0"/>
    <n v="19627"/>
    <x v="0"/>
    <n v="3"/>
    <x v="3"/>
    <s v="Y"/>
    <x v="0"/>
    <n v="13"/>
    <x v="2"/>
    <n v="3"/>
    <x v="0"/>
    <n v="2"/>
    <x v="4"/>
    <n v="80"/>
    <n v="1"/>
    <n v="10"/>
    <x v="0"/>
    <n v="3"/>
    <x v="1"/>
    <n v="3"/>
    <x v="1"/>
    <n v="8"/>
    <x v="0"/>
    <n v="7"/>
    <x v="1"/>
    <n v="4"/>
    <x v="1"/>
    <n v="7"/>
    <x v="1"/>
  </r>
  <r>
    <n v="664"/>
    <n v="48"/>
    <x v="1"/>
    <x v="1"/>
    <n v="0"/>
    <x v="0"/>
    <n v="1236"/>
    <x v="0"/>
    <x v="1"/>
    <n v="1"/>
    <x v="0"/>
    <n v="4"/>
    <x v="2"/>
    <x v="0"/>
    <n v="1"/>
    <n v="4"/>
    <x v="2"/>
    <x v="0"/>
    <n v="40"/>
    <x v="2"/>
    <n v="2"/>
    <x v="1"/>
    <n v="4"/>
    <x v="5"/>
    <n v="1"/>
    <x v="3"/>
    <x v="1"/>
    <n v="15402"/>
    <x v="5"/>
    <n v="17997"/>
    <x v="0"/>
    <n v="7"/>
    <x v="0"/>
    <s v="Y"/>
    <x v="1"/>
    <n v="11"/>
    <x v="0"/>
    <n v="3"/>
    <x v="0"/>
    <n v="1"/>
    <x v="0"/>
    <n v="80"/>
    <n v="1"/>
    <n v="21"/>
    <x v="4"/>
    <n v="3"/>
    <x v="1"/>
    <n v="1"/>
    <x v="0"/>
    <n v="3"/>
    <x v="2"/>
    <n v="2"/>
    <x v="0"/>
    <n v="0"/>
    <x v="0"/>
    <n v="2"/>
    <x v="0"/>
  </r>
  <r>
    <n v="665"/>
    <n v="44"/>
    <x v="0"/>
    <x v="1"/>
    <n v="0"/>
    <x v="0"/>
    <n v="1112"/>
    <x v="0"/>
    <x v="2"/>
    <n v="1"/>
    <x v="0"/>
    <n v="4"/>
    <x v="2"/>
    <x v="0"/>
    <n v="1"/>
    <n v="1"/>
    <x v="3"/>
    <x v="0"/>
    <n v="50"/>
    <x v="2"/>
    <n v="2"/>
    <x v="1"/>
    <n v="2"/>
    <x v="8"/>
    <n v="3"/>
    <x v="2"/>
    <x v="0"/>
    <n v="5985"/>
    <x v="0"/>
    <n v="26894"/>
    <x v="1"/>
    <n v="4"/>
    <x v="2"/>
    <s v="Y"/>
    <x v="1"/>
    <n v="11"/>
    <x v="0"/>
    <n v="3"/>
    <x v="0"/>
    <n v="2"/>
    <x v="4"/>
    <n v="80"/>
    <n v="0"/>
    <n v="10"/>
    <x v="0"/>
    <n v="1"/>
    <x v="0"/>
    <n v="4"/>
    <x v="3"/>
    <n v="2"/>
    <x v="2"/>
    <n v="2"/>
    <x v="0"/>
    <n v="0"/>
    <x v="0"/>
    <n v="2"/>
    <x v="0"/>
  </r>
  <r>
    <n v="666"/>
    <n v="34"/>
    <x v="2"/>
    <x v="1"/>
    <n v="0"/>
    <x v="0"/>
    <n v="204"/>
    <x v="1"/>
    <x v="0"/>
    <n v="14"/>
    <x v="3"/>
    <n v="3"/>
    <x v="3"/>
    <x v="4"/>
    <n v="1"/>
    <n v="3"/>
    <x v="1"/>
    <x v="0"/>
    <n v="31"/>
    <x v="2"/>
    <n v="3"/>
    <x v="0"/>
    <n v="1"/>
    <x v="6"/>
    <n v="3"/>
    <x v="2"/>
    <x v="2"/>
    <n v="2579"/>
    <x v="3"/>
    <n v="2912"/>
    <x v="2"/>
    <n v="1"/>
    <x v="1"/>
    <s v="Y"/>
    <x v="0"/>
    <n v="18"/>
    <x v="1"/>
    <n v="3"/>
    <x v="0"/>
    <n v="4"/>
    <x v="1"/>
    <n v="80"/>
    <n v="2"/>
    <n v="8"/>
    <x v="0"/>
    <n v="3"/>
    <x v="1"/>
    <n v="3"/>
    <x v="1"/>
    <n v="8"/>
    <x v="0"/>
    <n v="2"/>
    <x v="0"/>
    <n v="0"/>
    <x v="0"/>
    <n v="6"/>
    <x v="1"/>
  </r>
  <r>
    <n v="667"/>
    <n v="27"/>
    <x v="2"/>
    <x v="0"/>
    <n v="1"/>
    <x v="0"/>
    <n v="1420"/>
    <x v="0"/>
    <x v="0"/>
    <n v="2"/>
    <x v="0"/>
    <n v="1"/>
    <x v="1"/>
    <x v="3"/>
    <n v="1"/>
    <n v="3"/>
    <x v="1"/>
    <x v="1"/>
    <n v="85"/>
    <x v="0"/>
    <n v="3"/>
    <x v="0"/>
    <n v="1"/>
    <x v="6"/>
    <n v="1"/>
    <x v="3"/>
    <x v="2"/>
    <n v="3041"/>
    <x v="3"/>
    <n v="16346"/>
    <x v="0"/>
    <n v="0"/>
    <x v="1"/>
    <s v="Y"/>
    <x v="1"/>
    <n v="11"/>
    <x v="0"/>
    <n v="3"/>
    <x v="0"/>
    <n v="2"/>
    <x v="4"/>
    <n v="80"/>
    <n v="1"/>
    <n v="5"/>
    <x v="3"/>
    <n v="3"/>
    <x v="1"/>
    <n v="3"/>
    <x v="1"/>
    <n v="4"/>
    <x v="2"/>
    <n v="3"/>
    <x v="0"/>
    <n v="0"/>
    <x v="0"/>
    <n v="2"/>
    <x v="0"/>
  </r>
  <r>
    <n v="669"/>
    <n v="21"/>
    <x v="4"/>
    <x v="1"/>
    <n v="0"/>
    <x v="0"/>
    <n v="1343"/>
    <x v="0"/>
    <x v="0"/>
    <n v="22"/>
    <x v="2"/>
    <n v="1"/>
    <x v="1"/>
    <x v="4"/>
    <n v="1"/>
    <n v="3"/>
    <x v="1"/>
    <x v="1"/>
    <n v="49"/>
    <x v="2"/>
    <n v="3"/>
    <x v="0"/>
    <n v="1"/>
    <x v="6"/>
    <n v="3"/>
    <x v="2"/>
    <x v="0"/>
    <n v="3447"/>
    <x v="3"/>
    <n v="24444"/>
    <x v="1"/>
    <n v="1"/>
    <x v="1"/>
    <s v="Y"/>
    <x v="1"/>
    <n v="11"/>
    <x v="0"/>
    <n v="3"/>
    <x v="0"/>
    <n v="3"/>
    <x v="3"/>
    <n v="80"/>
    <n v="0"/>
    <n v="3"/>
    <x v="3"/>
    <n v="2"/>
    <x v="0"/>
    <n v="3"/>
    <x v="1"/>
    <n v="3"/>
    <x v="2"/>
    <n v="2"/>
    <x v="0"/>
    <n v="1"/>
    <x v="0"/>
    <n v="2"/>
    <x v="0"/>
  </r>
  <r>
    <n v="671"/>
    <n v="44"/>
    <x v="0"/>
    <x v="1"/>
    <n v="0"/>
    <x v="0"/>
    <n v="1315"/>
    <x v="0"/>
    <x v="1"/>
    <n v="3"/>
    <x v="0"/>
    <n v="4"/>
    <x v="2"/>
    <x v="1"/>
    <n v="1"/>
    <n v="4"/>
    <x v="2"/>
    <x v="1"/>
    <n v="35"/>
    <x v="2"/>
    <n v="3"/>
    <x v="0"/>
    <n v="5"/>
    <x v="5"/>
    <n v="4"/>
    <x v="0"/>
    <x v="1"/>
    <n v="19513"/>
    <x v="7"/>
    <n v="9358"/>
    <x v="3"/>
    <n v="4"/>
    <x v="2"/>
    <s v="Y"/>
    <x v="0"/>
    <n v="12"/>
    <x v="0"/>
    <n v="3"/>
    <x v="0"/>
    <n v="1"/>
    <x v="0"/>
    <n v="80"/>
    <n v="1"/>
    <n v="26"/>
    <x v="4"/>
    <n v="2"/>
    <x v="0"/>
    <n v="4"/>
    <x v="3"/>
    <n v="2"/>
    <x v="2"/>
    <n v="2"/>
    <x v="0"/>
    <n v="0"/>
    <x v="0"/>
    <n v="1"/>
    <x v="2"/>
  </r>
  <r>
    <n v="675"/>
    <n v="22"/>
    <x v="4"/>
    <x v="1"/>
    <n v="0"/>
    <x v="0"/>
    <n v="604"/>
    <x v="2"/>
    <x v="1"/>
    <n v="6"/>
    <x v="1"/>
    <n v="1"/>
    <x v="1"/>
    <x v="2"/>
    <n v="1"/>
    <n v="1"/>
    <x v="3"/>
    <x v="1"/>
    <n v="69"/>
    <x v="1"/>
    <n v="3"/>
    <x v="0"/>
    <n v="1"/>
    <x v="1"/>
    <n v="3"/>
    <x v="2"/>
    <x v="1"/>
    <n v="2773"/>
    <x v="3"/>
    <n v="12145"/>
    <x v="3"/>
    <n v="0"/>
    <x v="1"/>
    <s v="Y"/>
    <x v="1"/>
    <n v="20"/>
    <x v="1"/>
    <n v="4"/>
    <x v="1"/>
    <n v="4"/>
    <x v="1"/>
    <n v="80"/>
    <n v="0"/>
    <n v="3"/>
    <x v="3"/>
    <n v="3"/>
    <x v="1"/>
    <n v="3"/>
    <x v="1"/>
    <n v="2"/>
    <x v="2"/>
    <n v="2"/>
    <x v="0"/>
    <n v="2"/>
    <x v="1"/>
    <n v="2"/>
    <x v="0"/>
  </r>
  <r>
    <n v="677"/>
    <n v="33"/>
    <x v="2"/>
    <x v="1"/>
    <n v="0"/>
    <x v="0"/>
    <n v="1216"/>
    <x v="0"/>
    <x v="0"/>
    <n v="8"/>
    <x v="1"/>
    <n v="4"/>
    <x v="2"/>
    <x v="3"/>
    <n v="1"/>
    <n v="3"/>
    <x v="1"/>
    <x v="1"/>
    <n v="39"/>
    <x v="2"/>
    <n v="3"/>
    <x v="0"/>
    <n v="2"/>
    <x v="0"/>
    <n v="3"/>
    <x v="2"/>
    <x v="2"/>
    <n v="7104"/>
    <x v="11"/>
    <n v="20431"/>
    <x v="0"/>
    <n v="0"/>
    <x v="1"/>
    <s v="Y"/>
    <x v="1"/>
    <n v="12"/>
    <x v="0"/>
    <n v="3"/>
    <x v="0"/>
    <n v="4"/>
    <x v="1"/>
    <n v="80"/>
    <n v="0"/>
    <n v="6"/>
    <x v="0"/>
    <n v="3"/>
    <x v="1"/>
    <n v="3"/>
    <x v="1"/>
    <n v="5"/>
    <x v="2"/>
    <n v="0"/>
    <x v="2"/>
    <n v="1"/>
    <x v="0"/>
    <n v="2"/>
    <x v="0"/>
  </r>
  <r>
    <n v="679"/>
    <n v="32"/>
    <x v="2"/>
    <x v="1"/>
    <n v="0"/>
    <x v="0"/>
    <n v="646"/>
    <x v="2"/>
    <x v="1"/>
    <n v="9"/>
    <x v="1"/>
    <n v="4"/>
    <x v="2"/>
    <x v="0"/>
    <n v="1"/>
    <n v="1"/>
    <x v="3"/>
    <x v="0"/>
    <n v="92"/>
    <x v="0"/>
    <n v="3"/>
    <x v="0"/>
    <n v="2"/>
    <x v="1"/>
    <n v="4"/>
    <x v="0"/>
    <x v="1"/>
    <n v="6322"/>
    <x v="0"/>
    <n v="18089"/>
    <x v="0"/>
    <n v="1"/>
    <x v="1"/>
    <s v="Y"/>
    <x v="0"/>
    <n v="12"/>
    <x v="0"/>
    <n v="3"/>
    <x v="0"/>
    <n v="4"/>
    <x v="1"/>
    <n v="80"/>
    <n v="1"/>
    <n v="6"/>
    <x v="0"/>
    <n v="2"/>
    <x v="0"/>
    <n v="2"/>
    <x v="2"/>
    <n v="6"/>
    <x v="0"/>
    <n v="4"/>
    <x v="0"/>
    <n v="0"/>
    <x v="0"/>
    <n v="5"/>
    <x v="0"/>
  </r>
  <r>
    <n v="680"/>
    <n v="30"/>
    <x v="2"/>
    <x v="1"/>
    <n v="0"/>
    <x v="1"/>
    <n v="160"/>
    <x v="1"/>
    <x v="1"/>
    <n v="3"/>
    <x v="0"/>
    <n v="3"/>
    <x v="3"/>
    <x v="2"/>
    <n v="1"/>
    <n v="3"/>
    <x v="1"/>
    <x v="0"/>
    <n v="71"/>
    <x v="1"/>
    <n v="3"/>
    <x v="0"/>
    <n v="1"/>
    <x v="1"/>
    <n v="3"/>
    <x v="2"/>
    <x v="2"/>
    <n v="2083"/>
    <x v="2"/>
    <n v="22653"/>
    <x v="1"/>
    <n v="1"/>
    <x v="1"/>
    <s v="Y"/>
    <x v="1"/>
    <n v="20"/>
    <x v="1"/>
    <n v="4"/>
    <x v="1"/>
    <n v="3"/>
    <x v="3"/>
    <n v="80"/>
    <n v="1"/>
    <n v="1"/>
    <x v="2"/>
    <n v="2"/>
    <x v="0"/>
    <n v="3"/>
    <x v="1"/>
    <n v="1"/>
    <x v="1"/>
    <n v="0"/>
    <x v="2"/>
    <n v="0"/>
    <x v="0"/>
    <n v="0"/>
    <x v="2"/>
  </r>
  <r>
    <n v="682"/>
    <n v="53"/>
    <x v="1"/>
    <x v="1"/>
    <n v="0"/>
    <x v="0"/>
    <n v="238"/>
    <x v="1"/>
    <x v="0"/>
    <n v="1"/>
    <x v="0"/>
    <n v="1"/>
    <x v="1"/>
    <x v="2"/>
    <n v="1"/>
    <n v="4"/>
    <x v="2"/>
    <x v="0"/>
    <n v="34"/>
    <x v="2"/>
    <n v="3"/>
    <x v="0"/>
    <n v="2"/>
    <x v="0"/>
    <n v="1"/>
    <x v="3"/>
    <x v="0"/>
    <n v="8381"/>
    <x v="11"/>
    <n v="7507"/>
    <x v="2"/>
    <n v="7"/>
    <x v="0"/>
    <s v="Y"/>
    <x v="1"/>
    <n v="20"/>
    <x v="1"/>
    <n v="4"/>
    <x v="1"/>
    <n v="4"/>
    <x v="1"/>
    <n v="80"/>
    <n v="0"/>
    <n v="18"/>
    <x v="1"/>
    <n v="2"/>
    <x v="0"/>
    <n v="4"/>
    <x v="3"/>
    <n v="14"/>
    <x v="4"/>
    <n v="7"/>
    <x v="1"/>
    <n v="8"/>
    <x v="2"/>
    <n v="10"/>
    <x v="1"/>
  </r>
  <r>
    <n v="683"/>
    <n v="34"/>
    <x v="2"/>
    <x v="1"/>
    <n v="0"/>
    <x v="0"/>
    <n v="1397"/>
    <x v="0"/>
    <x v="1"/>
    <n v="1"/>
    <x v="0"/>
    <n v="5"/>
    <x v="4"/>
    <x v="0"/>
    <n v="1"/>
    <n v="2"/>
    <x v="0"/>
    <x v="1"/>
    <n v="42"/>
    <x v="2"/>
    <n v="3"/>
    <x v="0"/>
    <n v="1"/>
    <x v="1"/>
    <n v="4"/>
    <x v="0"/>
    <x v="1"/>
    <n v="2691"/>
    <x v="3"/>
    <n v="7660"/>
    <x v="2"/>
    <n v="1"/>
    <x v="1"/>
    <s v="Y"/>
    <x v="1"/>
    <n v="12"/>
    <x v="0"/>
    <n v="3"/>
    <x v="0"/>
    <n v="4"/>
    <x v="1"/>
    <n v="80"/>
    <n v="1"/>
    <n v="10"/>
    <x v="0"/>
    <n v="4"/>
    <x v="1"/>
    <n v="2"/>
    <x v="2"/>
    <n v="10"/>
    <x v="0"/>
    <n v="9"/>
    <x v="1"/>
    <n v="8"/>
    <x v="2"/>
    <n v="8"/>
    <x v="1"/>
  </r>
  <r>
    <n v="684"/>
    <n v="45"/>
    <x v="0"/>
    <x v="0"/>
    <n v="1"/>
    <x v="1"/>
    <n v="306"/>
    <x v="1"/>
    <x v="0"/>
    <n v="26"/>
    <x v="2"/>
    <n v="4"/>
    <x v="2"/>
    <x v="0"/>
    <n v="1"/>
    <n v="1"/>
    <x v="3"/>
    <x v="0"/>
    <n v="100"/>
    <x v="0"/>
    <n v="3"/>
    <x v="0"/>
    <n v="2"/>
    <x v="0"/>
    <n v="1"/>
    <x v="3"/>
    <x v="1"/>
    <n v="4286"/>
    <x v="1"/>
    <n v="5630"/>
    <x v="2"/>
    <n v="2"/>
    <x v="3"/>
    <s v="Y"/>
    <x v="1"/>
    <n v="14"/>
    <x v="2"/>
    <n v="3"/>
    <x v="0"/>
    <n v="4"/>
    <x v="1"/>
    <n v="80"/>
    <n v="2"/>
    <n v="5"/>
    <x v="3"/>
    <n v="4"/>
    <x v="1"/>
    <n v="3"/>
    <x v="1"/>
    <n v="1"/>
    <x v="1"/>
    <n v="1"/>
    <x v="2"/>
    <n v="0"/>
    <x v="0"/>
    <n v="0"/>
    <x v="2"/>
  </r>
  <r>
    <n v="686"/>
    <n v="26"/>
    <x v="2"/>
    <x v="1"/>
    <n v="0"/>
    <x v="0"/>
    <n v="991"/>
    <x v="2"/>
    <x v="1"/>
    <n v="6"/>
    <x v="1"/>
    <n v="3"/>
    <x v="3"/>
    <x v="0"/>
    <n v="1"/>
    <n v="3"/>
    <x v="1"/>
    <x v="0"/>
    <n v="71"/>
    <x v="1"/>
    <n v="3"/>
    <x v="0"/>
    <n v="1"/>
    <x v="2"/>
    <n v="4"/>
    <x v="0"/>
    <x v="1"/>
    <n v="2659"/>
    <x v="3"/>
    <n v="17759"/>
    <x v="0"/>
    <n v="1"/>
    <x v="1"/>
    <s v="Y"/>
    <x v="0"/>
    <n v="13"/>
    <x v="2"/>
    <n v="3"/>
    <x v="0"/>
    <n v="3"/>
    <x v="3"/>
    <n v="80"/>
    <n v="1"/>
    <n v="3"/>
    <x v="3"/>
    <n v="2"/>
    <x v="0"/>
    <n v="3"/>
    <x v="1"/>
    <n v="3"/>
    <x v="2"/>
    <n v="2"/>
    <x v="0"/>
    <n v="0"/>
    <x v="0"/>
    <n v="2"/>
    <x v="0"/>
  </r>
  <r>
    <n v="689"/>
    <n v="37"/>
    <x v="0"/>
    <x v="1"/>
    <n v="0"/>
    <x v="0"/>
    <n v="482"/>
    <x v="1"/>
    <x v="1"/>
    <n v="3"/>
    <x v="0"/>
    <n v="3"/>
    <x v="3"/>
    <x v="1"/>
    <n v="1"/>
    <n v="3"/>
    <x v="1"/>
    <x v="1"/>
    <n v="36"/>
    <x v="2"/>
    <n v="3"/>
    <x v="0"/>
    <n v="3"/>
    <x v="3"/>
    <n v="3"/>
    <x v="2"/>
    <x v="1"/>
    <n v="9434"/>
    <x v="4"/>
    <n v="9606"/>
    <x v="3"/>
    <n v="1"/>
    <x v="1"/>
    <s v="Y"/>
    <x v="1"/>
    <n v="15"/>
    <x v="2"/>
    <n v="3"/>
    <x v="0"/>
    <n v="3"/>
    <x v="3"/>
    <n v="80"/>
    <n v="1"/>
    <n v="10"/>
    <x v="0"/>
    <n v="2"/>
    <x v="0"/>
    <n v="3"/>
    <x v="1"/>
    <n v="10"/>
    <x v="0"/>
    <n v="7"/>
    <x v="1"/>
    <n v="7"/>
    <x v="2"/>
    <n v="8"/>
    <x v="1"/>
  </r>
  <r>
    <n v="690"/>
    <n v="29"/>
    <x v="2"/>
    <x v="1"/>
    <n v="0"/>
    <x v="0"/>
    <n v="1176"/>
    <x v="0"/>
    <x v="0"/>
    <n v="3"/>
    <x v="0"/>
    <n v="2"/>
    <x v="0"/>
    <x v="2"/>
    <n v="1"/>
    <n v="2"/>
    <x v="0"/>
    <x v="0"/>
    <n v="62"/>
    <x v="1"/>
    <n v="3"/>
    <x v="0"/>
    <n v="2"/>
    <x v="0"/>
    <n v="3"/>
    <x v="2"/>
    <x v="1"/>
    <n v="5561"/>
    <x v="0"/>
    <n v="3487"/>
    <x v="2"/>
    <n v="1"/>
    <x v="1"/>
    <s v="Y"/>
    <x v="1"/>
    <n v="14"/>
    <x v="2"/>
    <n v="3"/>
    <x v="0"/>
    <n v="1"/>
    <x v="0"/>
    <n v="80"/>
    <n v="1"/>
    <n v="6"/>
    <x v="0"/>
    <n v="5"/>
    <x v="2"/>
    <n v="2"/>
    <x v="2"/>
    <n v="6"/>
    <x v="0"/>
    <n v="0"/>
    <x v="2"/>
    <n v="1"/>
    <x v="0"/>
    <n v="2"/>
    <x v="0"/>
  </r>
  <r>
    <n v="691"/>
    <n v="35"/>
    <x v="2"/>
    <x v="1"/>
    <n v="0"/>
    <x v="0"/>
    <n v="1017"/>
    <x v="0"/>
    <x v="1"/>
    <n v="6"/>
    <x v="1"/>
    <n v="4"/>
    <x v="2"/>
    <x v="0"/>
    <n v="1"/>
    <n v="2"/>
    <x v="0"/>
    <x v="1"/>
    <n v="82"/>
    <x v="0"/>
    <n v="1"/>
    <x v="3"/>
    <n v="2"/>
    <x v="1"/>
    <n v="4"/>
    <x v="0"/>
    <x v="0"/>
    <n v="6646"/>
    <x v="0"/>
    <n v="19368"/>
    <x v="0"/>
    <n v="1"/>
    <x v="1"/>
    <s v="Y"/>
    <x v="1"/>
    <n v="13"/>
    <x v="2"/>
    <n v="3"/>
    <x v="0"/>
    <n v="2"/>
    <x v="4"/>
    <n v="80"/>
    <n v="0"/>
    <n v="17"/>
    <x v="1"/>
    <n v="3"/>
    <x v="1"/>
    <n v="3"/>
    <x v="1"/>
    <n v="17"/>
    <x v="4"/>
    <n v="11"/>
    <x v="3"/>
    <n v="11"/>
    <x v="3"/>
    <n v="8"/>
    <x v="1"/>
  </r>
  <r>
    <n v="692"/>
    <n v="33"/>
    <x v="2"/>
    <x v="1"/>
    <n v="0"/>
    <x v="1"/>
    <n v="1296"/>
    <x v="0"/>
    <x v="1"/>
    <n v="6"/>
    <x v="1"/>
    <n v="3"/>
    <x v="3"/>
    <x v="0"/>
    <n v="1"/>
    <n v="3"/>
    <x v="1"/>
    <x v="1"/>
    <n v="30"/>
    <x v="2"/>
    <n v="3"/>
    <x v="0"/>
    <n v="2"/>
    <x v="4"/>
    <n v="4"/>
    <x v="0"/>
    <x v="2"/>
    <n v="7725"/>
    <x v="11"/>
    <n v="5335"/>
    <x v="2"/>
    <n v="3"/>
    <x v="3"/>
    <s v="Y"/>
    <x v="1"/>
    <n v="23"/>
    <x v="1"/>
    <n v="4"/>
    <x v="1"/>
    <n v="3"/>
    <x v="3"/>
    <n v="80"/>
    <n v="1"/>
    <n v="15"/>
    <x v="1"/>
    <n v="2"/>
    <x v="0"/>
    <n v="1"/>
    <x v="0"/>
    <n v="13"/>
    <x v="4"/>
    <n v="11"/>
    <x v="3"/>
    <n v="4"/>
    <x v="1"/>
    <n v="7"/>
    <x v="1"/>
  </r>
  <r>
    <n v="698"/>
    <n v="54"/>
    <x v="1"/>
    <x v="1"/>
    <n v="0"/>
    <x v="0"/>
    <n v="397"/>
    <x v="1"/>
    <x v="2"/>
    <n v="19"/>
    <x v="3"/>
    <n v="4"/>
    <x v="2"/>
    <x v="2"/>
    <n v="1"/>
    <n v="3"/>
    <x v="1"/>
    <x v="1"/>
    <n v="88"/>
    <x v="0"/>
    <n v="3"/>
    <x v="0"/>
    <n v="3"/>
    <x v="8"/>
    <n v="2"/>
    <x v="1"/>
    <x v="1"/>
    <n v="10725"/>
    <x v="8"/>
    <n v="6729"/>
    <x v="2"/>
    <n v="2"/>
    <x v="3"/>
    <s v="Y"/>
    <x v="1"/>
    <n v="15"/>
    <x v="2"/>
    <n v="3"/>
    <x v="0"/>
    <n v="3"/>
    <x v="3"/>
    <n v="80"/>
    <n v="1"/>
    <n v="16"/>
    <x v="1"/>
    <n v="1"/>
    <x v="0"/>
    <n v="4"/>
    <x v="3"/>
    <n v="9"/>
    <x v="0"/>
    <n v="7"/>
    <x v="1"/>
    <n v="7"/>
    <x v="2"/>
    <n v="1"/>
    <x v="2"/>
  </r>
  <r>
    <n v="699"/>
    <n v="36"/>
    <x v="0"/>
    <x v="1"/>
    <n v="0"/>
    <x v="0"/>
    <n v="913"/>
    <x v="2"/>
    <x v="1"/>
    <n v="9"/>
    <x v="1"/>
    <n v="2"/>
    <x v="0"/>
    <x v="2"/>
    <n v="1"/>
    <n v="2"/>
    <x v="0"/>
    <x v="1"/>
    <n v="48"/>
    <x v="2"/>
    <n v="2"/>
    <x v="1"/>
    <n v="2"/>
    <x v="3"/>
    <n v="2"/>
    <x v="1"/>
    <x v="2"/>
    <n v="8847"/>
    <x v="4"/>
    <n v="13934"/>
    <x v="3"/>
    <n v="2"/>
    <x v="3"/>
    <s v="Y"/>
    <x v="0"/>
    <n v="11"/>
    <x v="0"/>
    <n v="3"/>
    <x v="0"/>
    <n v="3"/>
    <x v="3"/>
    <n v="80"/>
    <n v="1"/>
    <n v="13"/>
    <x v="1"/>
    <n v="2"/>
    <x v="0"/>
    <n v="3"/>
    <x v="1"/>
    <n v="3"/>
    <x v="2"/>
    <n v="2"/>
    <x v="0"/>
    <n v="0"/>
    <x v="0"/>
    <n v="2"/>
    <x v="0"/>
  </r>
  <r>
    <n v="700"/>
    <n v="27"/>
    <x v="2"/>
    <x v="1"/>
    <n v="0"/>
    <x v="0"/>
    <n v="1115"/>
    <x v="0"/>
    <x v="1"/>
    <n v="3"/>
    <x v="0"/>
    <n v="4"/>
    <x v="2"/>
    <x v="2"/>
    <n v="1"/>
    <n v="1"/>
    <x v="3"/>
    <x v="1"/>
    <n v="54"/>
    <x v="1"/>
    <n v="2"/>
    <x v="1"/>
    <n v="1"/>
    <x v="1"/>
    <n v="4"/>
    <x v="0"/>
    <x v="0"/>
    <n v="2045"/>
    <x v="2"/>
    <n v="15174"/>
    <x v="3"/>
    <n v="0"/>
    <x v="1"/>
    <s v="Y"/>
    <x v="1"/>
    <n v="13"/>
    <x v="2"/>
    <n v="3"/>
    <x v="0"/>
    <n v="4"/>
    <x v="1"/>
    <n v="80"/>
    <n v="0"/>
    <n v="5"/>
    <x v="3"/>
    <n v="0"/>
    <x v="0"/>
    <n v="3"/>
    <x v="1"/>
    <n v="4"/>
    <x v="2"/>
    <n v="2"/>
    <x v="0"/>
    <n v="1"/>
    <x v="0"/>
    <n v="1"/>
    <x v="2"/>
  </r>
  <r>
    <n v="701"/>
    <n v="20"/>
    <x v="4"/>
    <x v="0"/>
    <n v="1"/>
    <x v="0"/>
    <n v="1362"/>
    <x v="0"/>
    <x v="1"/>
    <n v="10"/>
    <x v="1"/>
    <n v="1"/>
    <x v="1"/>
    <x v="2"/>
    <n v="1"/>
    <n v="4"/>
    <x v="2"/>
    <x v="1"/>
    <n v="32"/>
    <x v="2"/>
    <n v="3"/>
    <x v="0"/>
    <n v="1"/>
    <x v="1"/>
    <n v="3"/>
    <x v="2"/>
    <x v="0"/>
    <n v="1009"/>
    <x v="2"/>
    <n v="26999"/>
    <x v="1"/>
    <n v="1"/>
    <x v="1"/>
    <s v="Y"/>
    <x v="0"/>
    <n v="11"/>
    <x v="0"/>
    <n v="3"/>
    <x v="0"/>
    <n v="4"/>
    <x v="1"/>
    <n v="80"/>
    <n v="0"/>
    <n v="1"/>
    <x v="2"/>
    <n v="5"/>
    <x v="2"/>
    <n v="3"/>
    <x v="1"/>
    <n v="1"/>
    <x v="1"/>
    <n v="0"/>
    <x v="2"/>
    <n v="1"/>
    <x v="0"/>
    <n v="1"/>
    <x v="2"/>
  </r>
  <r>
    <n v="702"/>
    <n v="33"/>
    <x v="2"/>
    <x v="0"/>
    <n v="1"/>
    <x v="1"/>
    <n v="1076"/>
    <x v="0"/>
    <x v="1"/>
    <n v="3"/>
    <x v="0"/>
    <n v="3"/>
    <x v="3"/>
    <x v="0"/>
    <n v="1"/>
    <n v="1"/>
    <x v="3"/>
    <x v="1"/>
    <n v="70"/>
    <x v="1"/>
    <n v="3"/>
    <x v="0"/>
    <n v="1"/>
    <x v="1"/>
    <n v="1"/>
    <x v="3"/>
    <x v="0"/>
    <n v="3348"/>
    <x v="3"/>
    <n v="3164"/>
    <x v="2"/>
    <n v="1"/>
    <x v="1"/>
    <s v="Y"/>
    <x v="0"/>
    <n v="11"/>
    <x v="0"/>
    <n v="3"/>
    <x v="0"/>
    <n v="1"/>
    <x v="0"/>
    <n v="80"/>
    <n v="0"/>
    <n v="10"/>
    <x v="0"/>
    <n v="3"/>
    <x v="1"/>
    <n v="3"/>
    <x v="1"/>
    <n v="10"/>
    <x v="0"/>
    <n v="8"/>
    <x v="1"/>
    <n v="9"/>
    <x v="2"/>
    <n v="7"/>
    <x v="1"/>
  </r>
  <r>
    <n v="704"/>
    <n v="35"/>
    <x v="2"/>
    <x v="1"/>
    <n v="0"/>
    <x v="2"/>
    <n v="727"/>
    <x v="2"/>
    <x v="1"/>
    <n v="3"/>
    <x v="0"/>
    <n v="3"/>
    <x v="3"/>
    <x v="0"/>
    <n v="1"/>
    <n v="3"/>
    <x v="1"/>
    <x v="1"/>
    <n v="41"/>
    <x v="2"/>
    <n v="2"/>
    <x v="1"/>
    <n v="1"/>
    <x v="2"/>
    <n v="3"/>
    <x v="2"/>
    <x v="1"/>
    <n v="1281"/>
    <x v="2"/>
    <n v="16900"/>
    <x v="0"/>
    <n v="1"/>
    <x v="1"/>
    <s v="Y"/>
    <x v="1"/>
    <n v="18"/>
    <x v="1"/>
    <n v="3"/>
    <x v="0"/>
    <n v="3"/>
    <x v="3"/>
    <n v="80"/>
    <n v="2"/>
    <n v="1"/>
    <x v="2"/>
    <n v="3"/>
    <x v="1"/>
    <n v="3"/>
    <x v="1"/>
    <n v="1"/>
    <x v="1"/>
    <n v="0"/>
    <x v="2"/>
    <n v="0"/>
    <x v="0"/>
    <n v="0"/>
    <x v="2"/>
  </r>
  <r>
    <n v="705"/>
    <n v="23"/>
    <x v="4"/>
    <x v="1"/>
    <n v="0"/>
    <x v="0"/>
    <n v="885"/>
    <x v="2"/>
    <x v="1"/>
    <n v="4"/>
    <x v="0"/>
    <n v="3"/>
    <x v="3"/>
    <x v="2"/>
    <n v="1"/>
    <n v="1"/>
    <x v="3"/>
    <x v="1"/>
    <n v="58"/>
    <x v="1"/>
    <n v="4"/>
    <x v="2"/>
    <n v="1"/>
    <x v="1"/>
    <n v="1"/>
    <x v="3"/>
    <x v="1"/>
    <n v="2819"/>
    <x v="3"/>
    <n v="8544"/>
    <x v="3"/>
    <n v="2"/>
    <x v="3"/>
    <s v="Y"/>
    <x v="1"/>
    <n v="16"/>
    <x v="3"/>
    <n v="3"/>
    <x v="0"/>
    <n v="1"/>
    <x v="0"/>
    <n v="80"/>
    <n v="1"/>
    <n v="5"/>
    <x v="3"/>
    <n v="3"/>
    <x v="1"/>
    <n v="4"/>
    <x v="3"/>
    <n v="3"/>
    <x v="2"/>
    <n v="2"/>
    <x v="0"/>
    <n v="0"/>
    <x v="0"/>
    <n v="2"/>
    <x v="0"/>
  </r>
  <r>
    <n v="707"/>
    <n v="25"/>
    <x v="4"/>
    <x v="1"/>
    <n v="0"/>
    <x v="0"/>
    <n v="810"/>
    <x v="2"/>
    <x v="0"/>
    <n v="8"/>
    <x v="1"/>
    <n v="3"/>
    <x v="3"/>
    <x v="0"/>
    <n v="1"/>
    <n v="4"/>
    <x v="2"/>
    <x v="1"/>
    <n v="57"/>
    <x v="1"/>
    <n v="4"/>
    <x v="2"/>
    <n v="2"/>
    <x v="0"/>
    <n v="2"/>
    <x v="1"/>
    <x v="1"/>
    <n v="4851"/>
    <x v="1"/>
    <n v="15678"/>
    <x v="3"/>
    <n v="0"/>
    <x v="1"/>
    <s v="Y"/>
    <x v="1"/>
    <n v="22"/>
    <x v="1"/>
    <n v="4"/>
    <x v="1"/>
    <n v="3"/>
    <x v="3"/>
    <n v="80"/>
    <n v="1"/>
    <n v="4"/>
    <x v="3"/>
    <n v="4"/>
    <x v="1"/>
    <n v="3"/>
    <x v="1"/>
    <n v="3"/>
    <x v="2"/>
    <n v="2"/>
    <x v="0"/>
    <n v="1"/>
    <x v="0"/>
    <n v="2"/>
    <x v="0"/>
  </r>
  <r>
    <n v="709"/>
    <n v="38"/>
    <x v="0"/>
    <x v="1"/>
    <n v="0"/>
    <x v="0"/>
    <n v="243"/>
    <x v="1"/>
    <x v="0"/>
    <n v="7"/>
    <x v="1"/>
    <n v="4"/>
    <x v="2"/>
    <x v="3"/>
    <n v="1"/>
    <n v="4"/>
    <x v="2"/>
    <x v="0"/>
    <n v="46"/>
    <x v="2"/>
    <n v="2"/>
    <x v="1"/>
    <n v="2"/>
    <x v="0"/>
    <n v="4"/>
    <x v="0"/>
    <x v="0"/>
    <n v="4028"/>
    <x v="1"/>
    <n v="7791"/>
    <x v="2"/>
    <n v="0"/>
    <x v="1"/>
    <s v="Y"/>
    <x v="1"/>
    <n v="20"/>
    <x v="1"/>
    <n v="4"/>
    <x v="1"/>
    <n v="1"/>
    <x v="0"/>
    <n v="80"/>
    <n v="0"/>
    <n v="8"/>
    <x v="0"/>
    <n v="2"/>
    <x v="0"/>
    <n v="3"/>
    <x v="1"/>
    <n v="7"/>
    <x v="0"/>
    <n v="7"/>
    <x v="1"/>
    <n v="0"/>
    <x v="0"/>
    <n v="5"/>
    <x v="0"/>
  </r>
  <r>
    <n v="710"/>
    <n v="29"/>
    <x v="2"/>
    <x v="1"/>
    <n v="0"/>
    <x v="1"/>
    <n v="806"/>
    <x v="2"/>
    <x v="1"/>
    <n v="1"/>
    <x v="0"/>
    <n v="4"/>
    <x v="2"/>
    <x v="0"/>
    <n v="1"/>
    <n v="2"/>
    <x v="0"/>
    <x v="1"/>
    <n v="76"/>
    <x v="0"/>
    <n v="1"/>
    <x v="3"/>
    <n v="1"/>
    <x v="1"/>
    <n v="4"/>
    <x v="0"/>
    <x v="2"/>
    <n v="2720"/>
    <x v="3"/>
    <n v="18959"/>
    <x v="0"/>
    <n v="1"/>
    <x v="1"/>
    <s v="Y"/>
    <x v="1"/>
    <n v="18"/>
    <x v="1"/>
    <n v="3"/>
    <x v="0"/>
    <n v="4"/>
    <x v="1"/>
    <n v="80"/>
    <n v="1"/>
    <n v="10"/>
    <x v="0"/>
    <n v="5"/>
    <x v="2"/>
    <n v="3"/>
    <x v="1"/>
    <n v="10"/>
    <x v="0"/>
    <n v="7"/>
    <x v="1"/>
    <n v="2"/>
    <x v="1"/>
    <n v="8"/>
    <x v="1"/>
  </r>
  <r>
    <n v="712"/>
    <n v="48"/>
    <x v="1"/>
    <x v="1"/>
    <n v="0"/>
    <x v="0"/>
    <n v="817"/>
    <x v="2"/>
    <x v="0"/>
    <n v="2"/>
    <x v="0"/>
    <n v="1"/>
    <x v="1"/>
    <x v="3"/>
    <n v="1"/>
    <n v="2"/>
    <x v="0"/>
    <x v="1"/>
    <n v="56"/>
    <x v="1"/>
    <n v="4"/>
    <x v="2"/>
    <n v="2"/>
    <x v="0"/>
    <n v="2"/>
    <x v="1"/>
    <x v="1"/>
    <n v="8120"/>
    <x v="11"/>
    <n v="18597"/>
    <x v="0"/>
    <n v="3"/>
    <x v="3"/>
    <s v="Y"/>
    <x v="1"/>
    <n v="12"/>
    <x v="0"/>
    <n v="3"/>
    <x v="0"/>
    <n v="4"/>
    <x v="1"/>
    <n v="80"/>
    <n v="0"/>
    <n v="12"/>
    <x v="1"/>
    <n v="3"/>
    <x v="1"/>
    <n v="3"/>
    <x v="1"/>
    <n v="2"/>
    <x v="2"/>
    <n v="2"/>
    <x v="0"/>
    <n v="2"/>
    <x v="1"/>
    <n v="2"/>
    <x v="0"/>
  </r>
  <r>
    <n v="714"/>
    <n v="27"/>
    <x v="2"/>
    <x v="1"/>
    <n v="0"/>
    <x v="1"/>
    <n v="1410"/>
    <x v="0"/>
    <x v="0"/>
    <n v="3"/>
    <x v="0"/>
    <n v="1"/>
    <x v="1"/>
    <x v="2"/>
    <n v="1"/>
    <n v="4"/>
    <x v="2"/>
    <x v="0"/>
    <n v="71"/>
    <x v="1"/>
    <n v="4"/>
    <x v="2"/>
    <n v="2"/>
    <x v="0"/>
    <n v="4"/>
    <x v="0"/>
    <x v="2"/>
    <n v="4647"/>
    <x v="1"/>
    <n v="16673"/>
    <x v="0"/>
    <n v="1"/>
    <x v="1"/>
    <s v="Y"/>
    <x v="0"/>
    <n v="20"/>
    <x v="1"/>
    <n v="4"/>
    <x v="1"/>
    <n v="2"/>
    <x v="4"/>
    <n v="80"/>
    <n v="2"/>
    <n v="6"/>
    <x v="0"/>
    <n v="3"/>
    <x v="1"/>
    <n v="3"/>
    <x v="1"/>
    <n v="6"/>
    <x v="0"/>
    <n v="5"/>
    <x v="0"/>
    <n v="0"/>
    <x v="0"/>
    <n v="4"/>
    <x v="0"/>
  </r>
  <r>
    <n v="715"/>
    <n v="37"/>
    <x v="0"/>
    <x v="1"/>
    <n v="0"/>
    <x v="0"/>
    <n v="1225"/>
    <x v="0"/>
    <x v="1"/>
    <n v="10"/>
    <x v="1"/>
    <n v="2"/>
    <x v="0"/>
    <x v="0"/>
    <n v="1"/>
    <n v="4"/>
    <x v="2"/>
    <x v="1"/>
    <n v="80"/>
    <x v="0"/>
    <n v="4"/>
    <x v="2"/>
    <n v="1"/>
    <x v="1"/>
    <n v="4"/>
    <x v="0"/>
    <x v="0"/>
    <n v="4680"/>
    <x v="1"/>
    <n v="15232"/>
    <x v="3"/>
    <n v="3"/>
    <x v="3"/>
    <s v="Y"/>
    <x v="1"/>
    <n v="17"/>
    <x v="3"/>
    <n v="3"/>
    <x v="0"/>
    <n v="1"/>
    <x v="0"/>
    <n v="80"/>
    <n v="0"/>
    <n v="4"/>
    <x v="3"/>
    <n v="2"/>
    <x v="0"/>
    <n v="3"/>
    <x v="1"/>
    <n v="1"/>
    <x v="1"/>
    <n v="0"/>
    <x v="2"/>
    <n v="0"/>
    <x v="0"/>
    <n v="0"/>
    <x v="2"/>
  </r>
  <r>
    <n v="716"/>
    <n v="50"/>
    <x v="1"/>
    <x v="1"/>
    <n v="0"/>
    <x v="0"/>
    <n v="1207"/>
    <x v="0"/>
    <x v="1"/>
    <n v="28"/>
    <x v="2"/>
    <n v="1"/>
    <x v="1"/>
    <x v="2"/>
    <n v="1"/>
    <n v="4"/>
    <x v="2"/>
    <x v="1"/>
    <n v="74"/>
    <x v="1"/>
    <n v="4"/>
    <x v="2"/>
    <n v="1"/>
    <x v="2"/>
    <n v="3"/>
    <x v="2"/>
    <x v="1"/>
    <n v="3221"/>
    <x v="3"/>
    <n v="3297"/>
    <x v="2"/>
    <n v="1"/>
    <x v="1"/>
    <s v="Y"/>
    <x v="0"/>
    <n v="11"/>
    <x v="0"/>
    <n v="3"/>
    <x v="0"/>
    <n v="3"/>
    <x v="3"/>
    <n v="80"/>
    <n v="3"/>
    <n v="20"/>
    <x v="1"/>
    <n v="3"/>
    <x v="1"/>
    <n v="3"/>
    <x v="1"/>
    <n v="20"/>
    <x v="4"/>
    <n v="8"/>
    <x v="1"/>
    <n v="3"/>
    <x v="1"/>
    <n v="8"/>
    <x v="1"/>
  </r>
  <r>
    <n v="717"/>
    <n v="34"/>
    <x v="2"/>
    <x v="1"/>
    <n v="0"/>
    <x v="0"/>
    <n v="1442"/>
    <x v="0"/>
    <x v="1"/>
    <n v="9"/>
    <x v="1"/>
    <n v="3"/>
    <x v="3"/>
    <x v="2"/>
    <n v="1"/>
    <n v="4"/>
    <x v="2"/>
    <x v="0"/>
    <n v="46"/>
    <x v="2"/>
    <n v="2"/>
    <x v="1"/>
    <n v="3"/>
    <x v="4"/>
    <n v="2"/>
    <x v="1"/>
    <x v="0"/>
    <n v="8621"/>
    <x v="4"/>
    <n v="17654"/>
    <x v="0"/>
    <n v="1"/>
    <x v="1"/>
    <s v="Y"/>
    <x v="1"/>
    <n v="14"/>
    <x v="2"/>
    <n v="3"/>
    <x v="0"/>
    <n v="2"/>
    <x v="4"/>
    <n v="80"/>
    <n v="0"/>
    <n v="9"/>
    <x v="0"/>
    <n v="3"/>
    <x v="1"/>
    <n v="4"/>
    <x v="3"/>
    <n v="8"/>
    <x v="0"/>
    <n v="7"/>
    <x v="1"/>
    <n v="7"/>
    <x v="2"/>
    <n v="7"/>
    <x v="1"/>
  </r>
  <r>
    <n v="720"/>
    <n v="24"/>
    <x v="4"/>
    <x v="0"/>
    <n v="1"/>
    <x v="0"/>
    <n v="693"/>
    <x v="2"/>
    <x v="0"/>
    <n v="3"/>
    <x v="0"/>
    <n v="2"/>
    <x v="0"/>
    <x v="0"/>
    <n v="1"/>
    <n v="1"/>
    <x v="3"/>
    <x v="0"/>
    <n v="65"/>
    <x v="1"/>
    <n v="3"/>
    <x v="0"/>
    <n v="2"/>
    <x v="0"/>
    <n v="3"/>
    <x v="2"/>
    <x v="0"/>
    <n v="4577"/>
    <x v="1"/>
    <n v="24785"/>
    <x v="1"/>
    <n v="9"/>
    <x v="0"/>
    <s v="Y"/>
    <x v="1"/>
    <n v="14"/>
    <x v="2"/>
    <n v="3"/>
    <x v="0"/>
    <n v="1"/>
    <x v="0"/>
    <n v="80"/>
    <n v="0"/>
    <n v="4"/>
    <x v="3"/>
    <n v="3"/>
    <x v="1"/>
    <n v="3"/>
    <x v="1"/>
    <n v="2"/>
    <x v="2"/>
    <n v="2"/>
    <x v="0"/>
    <n v="2"/>
    <x v="1"/>
    <n v="0"/>
    <x v="2"/>
  </r>
  <r>
    <n v="721"/>
    <n v="39"/>
    <x v="0"/>
    <x v="1"/>
    <n v="0"/>
    <x v="0"/>
    <n v="408"/>
    <x v="1"/>
    <x v="1"/>
    <n v="2"/>
    <x v="0"/>
    <n v="4"/>
    <x v="2"/>
    <x v="4"/>
    <n v="1"/>
    <n v="4"/>
    <x v="2"/>
    <x v="0"/>
    <n v="80"/>
    <x v="0"/>
    <n v="2"/>
    <x v="1"/>
    <n v="2"/>
    <x v="4"/>
    <n v="3"/>
    <x v="2"/>
    <x v="0"/>
    <n v="4553"/>
    <x v="1"/>
    <n v="20978"/>
    <x v="0"/>
    <n v="1"/>
    <x v="1"/>
    <s v="Y"/>
    <x v="1"/>
    <n v="11"/>
    <x v="0"/>
    <n v="3"/>
    <x v="0"/>
    <n v="1"/>
    <x v="0"/>
    <n v="80"/>
    <n v="0"/>
    <n v="20"/>
    <x v="1"/>
    <n v="4"/>
    <x v="1"/>
    <n v="3"/>
    <x v="1"/>
    <n v="20"/>
    <x v="4"/>
    <n v="7"/>
    <x v="1"/>
    <n v="11"/>
    <x v="3"/>
    <n v="10"/>
    <x v="1"/>
  </r>
  <r>
    <n v="722"/>
    <n v="32"/>
    <x v="2"/>
    <x v="1"/>
    <n v="0"/>
    <x v="0"/>
    <n v="929"/>
    <x v="2"/>
    <x v="0"/>
    <n v="10"/>
    <x v="1"/>
    <n v="3"/>
    <x v="3"/>
    <x v="3"/>
    <n v="1"/>
    <n v="4"/>
    <x v="2"/>
    <x v="1"/>
    <n v="55"/>
    <x v="1"/>
    <n v="3"/>
    <x v="0"/>
    <n v="2"/>
    <x v="0"/>
    <n v="4"/>
    <x v="0"/>
    <x v="0"/>
    <n v="5396"/>
    <x v="1"/>
    <n v="21703"/>
    <x v="0"/>
    <n v="1"/>
    <x v="1"/>
    <s v="Y"/>
    <x v="1"/>
    <n v="12"/>
    <x v="0"/>
    <n v="3"/>
    <x v="0"/>
    <n v="4"/>
    <x v="1"/>
    <n v="80"/>
    <n v="0"/>
    <n v="10"/>
    <x v="0"/>
    <n v="2"/>
    <x v="0"/>
    <n v="2"/>
    <x v="2"/>
    <n v="10"/>
    <x v="0"/>
    <n v="7"/>
    <x v="1"/>
    <n v="0"/>
    <x v="0"/>
    <n v="8"/>
    <x v="1"/>
  </r>
  <r>
    <n v="723"/>
    <n v="50"/>
    <x v="1"/>
    <x v="0"/>
    <n v="1"/>
    <x v="1"/>
    <n v="562"/>
    <x v="2"/>
    <x v="0"/>
    <n v="8"/>
    <x v="1"/>
    <n v="2"/>
    <x v="0"/>
    <x v="4"/>
    <n v="1"/>
    <n v="2"/>
    <x v="0"/>
    <x v="1"/>
    <n v="50"/>
    <x v="2"/>
    <n v="3"/>
    <x v="0"/>
    <n v="2"/>
    <x v="0"/>
    <n v="3"/>
    <x v="2"/>
    <x v="1"/>
    <n v="6796"/>
    <x v="0"/>
    <n v="23452"/>
    <x v="1"/>
    <n v="3"/>
    <x v="3"/>
    <s v="Y"/>
    <x v="0"/>
    <n v="14"/>
    <x v="2"/>
    <n v="3"/>
    <x v="0"/>
    <n v="1"/>
    <x v="0"/>
    <n v="80"/>
    <n v="1"/>
    <n v="18"/>
    <x v="1"/>
    <n v="4"/>
    <x v="1"/>
    <n v="3"/>
    <x v="1"/>
    <n v="4"/>
    <x v="2"/>
    <n v="3"/>
    <x v="0"/>
    <n v="1"/>
    <x v="0"/>
    <n v="3"/>
    <x v="0"/>
  </r>
  <r>
    <n v="724"/>
    <n v="38"/>
    <x v="0"/>
    <x v="1"/>
    <n v="0"/>
    <x v="0"/>
    <n v="827"/>
    <x v="2"/>
    <x v="1"/>
    <n v="1"/>
    <x v="0"/>
    <n v="4"/>
    <x v="2"/>
    <x v="0"/>
    <n v="1"/>
    <n v="2"/>
    <x v="0"/>
    <x v="0"/>
    <n v="33"/>
    <x v="2"/>
    <n v="4"/>
    <x v="2"/>
    <n v="2"/>
    <x v="4"/>
    <n v="4"/>
    <x v="0"/>
    <x v="0"/>
    <n v="7625"/>
    <x v="11"/>
    <n v="19383"/>
    <x v="0"/>
    <n v="0"/>
    <x v="1"/>
    <s v="Y"/>
    <x v="1"/>
    <n v="13"/>
    <x v="2"/>
    <n v="3"/>
    <x v="0"/>
    <n v="3"/>
    <x v="3"/>
    <n v="80"/>
    <n v="0"/>
    <n v="10"/>
    <x v="0"/>
    <n v="4"/>
    <x v="1"/>
    <n v="2"/>
    <x v="2"/>
    <n v="9"/>
    <x v="0"/>
    <n v="7"/>
    <x v="1"/>
    <n v="1"/>
    <x v="0"/>
    <n v="8"/>
    <x v="1"/>
  </r>
  <r>
    <n v="725"/>
    <n v="27"/>
    <x v="2"/>
    <x v="1"/>
    <n v="0"/>
    <x v="0"/>
    <n v="608"/>
    <x v="2"/>
    <x v="1"/>
    <n v="1"/>
    <x v="0"/>
    <n v="2"/>
    <x v="0"/>
    <x v="0"/>
    <n v="1"/>
    <n v="3"/>
    <x v="1"/>
    <x v="0"/>
    <n v="68"/>
    <x v="1"/>
    <n v="3"/>
    <x v="0"/>
    <n v="3"/>
    <x v="3"/>
    <n v="1"/>
    <x v="3"/>
    <x v="1"/>
    <n v="7412"/>
    <x v="11"/>
    <n v="6009"/>
    <x v="2"/>
    <n v="1"/>
    <x v="1"/>
    <s v="Y"/>
    <x v="1"/>
    <n v="11"/>
    <x v="0"/>
    <n v="3"/>
    <x v="0"/>
    <n v="4"/>
    <x v="1"/>
    <n v="80"/>
    <n v="0"/>
    <n v="9"/>
    <x v="0"/>
    <n v="3"/>
    <x v="1"/>
    <n v="3"/>
    <x v="1"/>
    <n v="9"/>
    <x v="0"/>
    <n v="7"/>
    <x v="1"/>
    <n v="0"/>
    <x v="0"/>
    <n v="7"/>
    <x v="1"/>
  </r>
  <r>
    <n v="727"/>
    <n v="32"/>
    <x v="2"/>
    <x v="1"/>
    <n v="0"/>
    <x v="0"/>
    <n v="1018"/>
    <x v="0"/>
    <x v="1"/>
    <n v="3"/>
    <x v="0"/>
    <n v="2"/>
    <x v="0"/>
    <x v="0"/>
    <n v="1"/>
    <n v="3"/>
    <x v="1"/>
    <x v="0"/>
    <n v="39"/>
    <x v="2"/>
    <n v="3"/>
    <x v="0"/>
    <n v="3"/>
    <x v="7"/>
    <n v="4"/>
    <x v="0"/>
    <x v="0"/>
    <n v="11159"/>
    <x v="8"/>
    <n v="19373"/>
    <x v="0"/>
    <n v="3"/>
    <x v="3"/>
    <s v="Y"/>
    <x v="1"/>
    <n v="15"/>
    <x v="2"/>
    <n v="3"/>
    <x v="0"/>
    <n v="4"/>
    <x v="1"/>
    <n v="80"/>
    <n v="0"/>
    <n v="10"/>
    <x v="0"/>
    <n v="6"/>
    <x v="2"/>
    <n v="3"/>
    <x v="1"/>
    <n v="7"/>
    <x v="0"/>
    <n v="7"/>
    <x v="1"/>
    <n v="7"/>
    <x v="2"/>
    <n v="7"/>
    <x v="1"/>
  </r>
  <r>
    <n v="728"/>
    <n v="47"/>
    <x v="1"/>
    <x v="1"/>
    <n v="0"/>
    <x v="0"/>
    <n v="703"/>
    <x v="2"/>
    <x v="0"/>
    <n v="14"/>
    <x v="3"/>
    <n v="4"/>
    <x v="2"/>
    <x v="3"/>
    <n v="1"/>
    <n v="4"/>
    <x v="2"/>
    <x v="1"/>
    <n v="42"/>
    <x v="2"/>
    <n v="3"/>
    <x v="0"/>
    <n v="2"/>
    <x v="0"/>
    <n v="1"/>
    <x v="3"/>
    <x v="0"/>
    <n v="4960"/>
    <x v="1"/>
    <n v="11825"/>
    <x v="3"/>
    <n v="2"/>
    <x v="3"/>
    <s v="Y"/>
    <x v="1"/>
    <n v="12"/>
    <x v="0"/>
    <n v="3"/>
    <x v="0"/>
    <n v="4"/>
    <x v="1"/>
    <n v="80"/>
    <n v="0"/>
    <n v="20"/>
    <x v="1"/>
    <n v="2"/>
    <x v="0"/>
    <n v="3"/>
    <x v="1"/>
    <n v="7"/>
    <x v="0"/>
    <n v="7"/>
    <x v="1"/>
    <n v="1"/>
    <x v="0"/>
    <n v="7"/>
    <x v="1"/>
  </r>
  <r>
    <n v="729"/>
    <n v="40"/>
    <x v="0"/>
    <x v="1"/>
    <n v="0"/>
    <x v="1"/>
    <n v="580"/>
    <x v="2"/>
    <x v="0"/>
    <n v="5"/>
    <x v="0"/>
    <n v="4"/>
    <x v="2"/>
    <x v="0"/>
    <n v="1"/>
    <n v="4"/>
    <x v="2"/>
    <x v="1"/>
    <n v="48"/>
    <x v="2"/>
    <n v="2"/>
    <x v="1"/>
    <n v="3"/>
    <x v="0"/>
    <n v="1"/>
    <x v="3"/>
    <x v="1"/>
    <n v="10475"/>
    <x v="8"/>
    <n v="23772"/>
    <x v="1"/>
    <n v="5"/>
    <x v="2"/>
    <s v="Y"/>
    <x v="0"/>
    <n v="21"/>
    <x v="1"/>
    <n v="4"/>
    <x v="1"/>
    <n v="3"/>
    <x v="3"/>
    <n v="80"/>
    <n v="1"/>
    <n v="20"/>
    <x v="1"/>
    <n v="2"/>
    <x v="0"/>
    <n v="3"/>
    <x v="1"/>
    <n v="18"/>
    <x v="4"/>
    <n v="13"/>
    <x v="3"/>
    <n v="1"/>
    <x v="0"/>
    <n v="12"/>
    <x v="3"/>
  </r>
  <r>
    <n v="730"/>
    <n v="53"/>
    <x v="1"/>
    <x v="1"/>
    <n v="0"/>
    <x v="0"/>
    <n v="970"/>
    <x v="2"/>
    <x v="1"/>
    <n v="7"/>
    <x v="1"/>
    <n v="3"/>
    <x v="3"/>
    <x v="0"/>
    <n v="1"/>
    <n v="3"/>
    <x v="1"/>
    <x v="1"/>
    <n v="59"/>
    <x v="1"/>
    <n v="4"/>
    <x v="2"/>
    <n v="4"/>
    <x v="7"/>
    <n v="3"/>
    <x v="2"/>
    <x v="1"/>
    <n v="14814"/>
    <x v="5"/>
    <n v="13514"/>
    <x v="3"/>
    <n v="3"/>
    <x v="3"/>
    <s v="Y"/>
    <x v="1"/>
    <n v="19"/>
    <x v="1"/>
    <n v="3"/>
    <x v="0"/>
    <n v="3"/>
    <x v="3"/>
    <n v="80"/>
    <n v="0"/>
    <n v="32"/>
    <x v="4"/>
    <n v="3"/>
    <x v="1"/>
    <n v="3"/>
    <x v="1"/>
    <n v="5"/>
    <x v="2"/>
    <n v="1"/>
    <x v="2"/>
    <n v="1"/>
    <x v="0"/>
    <n v="3"/>
    <x v="0"/>
  </r>
  <r>
    <n v="731"/>
    <n v="41"/>
    <x v="0"/>
    <x v="1"/>
    <n v="0"/>
    <x v="0"/>
    <n v="427"/>
    <x v="1"/>
    <x v="2"/>
    <n v="10"/>
    <x v="1"/>
    <n v="4"/>
    <x v="2"/>
    <x v="5"/>
    <n v="1"/>
    <n v="2"/>
    <x v="0"/>
    <x v="1"/>
    <n v="73"/>
    <x v="1"/>
    <n v="2"/>
    <x v="1"/>
    <n v="5"/>
    <x v="5"/>
    <n v="4"/>
    <x v="0"/>
    <x v="2"/>
    <n v="19141"/>
    <x v="7"/>
    <n v="8861"/>
    <x v="3"/>
    <n v="3"/>
    <x v="3"/>
    <s v="Y"/>
    <x v="1"/>
    <n v="15"/>
    <x v="2"/>
    <n v="3"/>
    <x v="0"/>
    <n v="2"/>
    <x v="4"/>
    <n v="80"/>
    <n v="3"/>
    <n v="23"/>
    <x v="4"/>
    <n v="2"/>
    <x v="0"/>
    <n v="2"/>
    <x v="2"/>
    <n v="21"/>
    <x v="3"/>
    <n v="6"/>
    <x v="1"/>
    <n v="12"/>
    <x v="3"/>
    <n v="6"/>
    <x v="1"/>
  </r>
  <r>
    <n v="732"/>
    <n v="60"/>
    <x v="3"/>
    <x v="1"/>
    <n v="0"/>
    <x v="0"/>
    <n v="1179"/>
    <x v="0"/>
    <x v="0"/>
    <n v="16"/>
    <x v="3"/>
    <n v="4"/>
    <x v="2"/>
    <x v="3"/>
    <n v="1"/>
    <n v="1"/>
    <x v="3"/>
    <x v="1"/>
    <n v="84"/>
    <x v="0"/>
    <n v="3"/>
    <x v="0"/>
    <n v="2"/>
    <x v="0"/>
    <n v="1"/>
    <x v="3"/>
    <x v="0"/>
    <n v="5405"/>
    <x v="1"/>
    <n v="11924"/>
    <x v="3"/>
    <n v="8"/>
    <x v="0"/>
    <s v="Y"/>
    <x v="1"/>
    <n v="14"/>
    <x v="2"/>
    <n v="3"/>
    <x v="0"/>
    <n v="4"/>
    <x v="1"/>
    <n v="80"/>
    <n v="0"/>
    <n v="10"/>
    <x v="0"/>
    <n v="1"/>
    <x v="0"/>
    <n v="3"/>
    <x v="1"/>
    <n v="2"/>
    <x v="2"/>
    <n v="2"/>
    <x v="0"/>
    <n v="2"/>
    <x v="1"/>
    <n v="2"/>
    <x v="0"/>
  </r>
  <r>
    <n v="733"/>
    <n v="27"/>
    <x v="2"/>
    <x v="1"/>
    <n v="0"/>
    <x v="1"/>
    <n v="294"/>
    <x v="1"/>
    <x v="1"/>
    <n v="10"/>
    <x v="1"/>
    <n v="2"/>
    <x v="0"/>
    <x v="0"/>
    <n v="1"/>
    <n v="4"/>
    <x v="2"/>
    <x v="1"/>
    <n v="32"/>
    <x v="2"/>
    <n v="3"/>
    <x v="0"/>
    <n v="3"/>
    <x v="3"/>
    <n v="1"/>
    <x v="3"/>
    <x v="2"/>
    <n v="8793"/>
    <x v="4"/>
    <n v="4809"/>
    <x v="2"/>
    <n v="1"/>
    <x v="1"/>
    <s v="Y"/>
    <x v="1"/>
    <n v="21"/>
    <x v="1"/>
    <n v="4"/>
    <x v="1"/>
    <n v="3"/>
    <x v="3"/>
    <n v="80"/>
    <n v="2"/>
    <n v="9"/>
    <x v="0"/>
    <n v="4"/>
    <x v="1"/>
    <n v="2"/>
    <x v="2"/>
    <n v="9"/>
    <x v="0"/>
    <n v="7"/>
    <x v="1"/>
    <n v="1"/>
    <x v="0"/>
    <n v="7"/>
    <x v="1"/>
  </r>
  <r>
    <n v="734"/>
    <n v="41"/>
    <x v="0"/>
    <x v="1"/>
    <n v="0"/>
    <x v="0"/>
    <n v="314"/>
    <x v="1"/>
    <x v="2"/>
    <n v="1"/>
    <x v="0"/>
    <n v="3"/>
    <x v="3"/>
    <x v="5"/>
    <n v="1"/>
    <n v="4"/>
    <x v="2"/>
    <x v="1"/>
    <n v="59"/>
    <x v="1"/>
    <n v="2"/>
    <x v="1"/>
    <n v="5"/>
    <x v="5"/>
    <n v="3"/>
    <x v="2"/>
    <x v="1"/>
    <n v="19189"/>
    <x v="7"/>
    <n v="19562"/>
    <x v="0"/>
    <n v="1"/>
    <x v="1"/>
    <s v="Y"/>
    <x v="1"/>
    <n v="12"/>
    <x v="0"/>
    <n v="3"/>
    <x v="0"/>
    <n v="2"/>
    <x v="4"/>
    <n v="80"/>
    <n v="1"/>
    <n v="22"/>
    <x v="4"/>
    <n v="3"/>
    <x v="1"/>
    <n v="3"/>
    <x v="1"/>
    <n v="22"/>
    <x v="3"/>
    <n v="7"/>
    <x v="1"/>
    <n v="2"/>
    <x v="1"/>
    <n v="10"/>
    <x v="1"/>
  </r>
  <r>
    <n v="738"/>
    <n v="50"/>
    <x v="1"/>
    <x v="1"/>
    <n v="0"/>
    <x v="0"/>
    <n v="316"/>
    <x v="1"/>
    <x v="0"/>
    <n v="8"/>
    <x v="1"/>
    <n v="4"/>
    <x v="2"/>
    <x v="3"/>
    <n v="1"/>
    <n v="4"/>
    <x v="2"/>
    <x v="1"/>
    <n v="54"/>
    <x v="1"/>
    <n v="3"/>
    <x v="0"/>
    <n v="1"/>
    <x v="6"/>
    <n v="2"/>
    <x v="1"/>
    <x v="1"/>
    <n v="3875"/>
    <x v="3"/>
    <n v="9983"/>
    <x v="3"/>
    <n v="7"/>
    <x v="0"/>
    <s v="Y"/>
    <x v="1"/>
    <n v="15"/>
    <x v="2"/>
    <n v="3"/>
    <x v="0"/>
    <n v="4"/>
    <x v="1"/>
    <n v="80"/>
    <n v="1"/>
    <n v="4"/>
    <x v="3"/>
    <n v="2"/>
    <x v="0"/>
    <n v="3"/>
    <x v="1"/>
    <n v="2"/>
    <x v="2"/>
    <n v="2"/>
    <x v="0"/>
    <n v="2"/>
    <x v="1"/>
    <n v="2"/>
    <x v="0"/>
  </r>
  <r>
    <n v="741"/>
    <n v="28"/>
    <x v="2"/>
    <x v="0"/>
    <n v="1"/>
    <x v="0"/>
    <n v="654"/>
    <x v="2"/>
    <x v="1"/>
    <n v="1"/>
    <x v="0"/>
    <n v="2"/>
    <x v="0"/>
    <x v="0"/>
    <n v="1"/>
    <n v="1"/>
    <x v="3"/>
    <x v="0"/>
    <n v="67"/>
    <x v="1"/>
    <n v="1"/>
    <x v="3"/>
    <n v="1"/>
    <x v="1"/>
    <n v="2"/>
    <x v="1"/>
    <x v="0"/>
    <n v="2216"/>
    <x v="2"/>
    <n v="3872"/>
    <x v="2"/>
    <n v="7"/>
    <x v="0"/>
    <s v="Y"/>
    <x v="0"/>
    <n v="13"/>
    <x v="2"/>
    <n v="3"/>
    <x v="0"/>
    <n v="4"/>
    <x v="1"/>
    <n v="80"/>
    <n v="0"/>
    <n v="10"/>
    <x v="0"/>
    <n v="4"/>
    <x v="1"/>
    <n v="3"/>
    <x v="1"/>
    <n v="7"/>
    <x v="0"/>
    <n v="7"/>
    <x v="1"/>
    <n v="3"/>
    <x v="1"/>
    <n v="7"/>
    <x v="1"/>
  </r>
  <r>
    <n v="742"/>
    <n v="36"/>
    <x v="0"/>
    <x v="1"/>
    <n v="0"/>
    <x v="2"/>
    <n v="427"/>
    <x v="1"/>
    <x v="1"/>
    <n v="8"/>
    <x v="1"/>
    <n v="3"/>
    <x v="3"/>
    <x v="0"/>
    <n v="1"/>
    <n v="1"/>
    <x v="3"/>
    <x v="0"/>
    <n v="63"/>
    <x v="1"/>
    <n v="4"/>
    <x v="2"/>
    <n v="3"/>
    <x v="7"/>
    <n v="1"/>
    <x v="3"/>
    <x v="1"/>
    <n v="11713"/>
    <x v="6"/>
    <n v="20335"/>
    <x v="0"/>
    <n v="9"/>
    <x v="0"/>
    <s v="Y"/>
    <x v="1"/>
    <n v="14"/>
    <x v="2"/>
    <n v="3"/>
    <x v="0"/>
    <n v="1"/>
    <x v="0"/>
    <n v="80"/>
    <n v="1"/>
    <n v="10"/>
    <x v="0"/>
    <n v="2"/>
    <x v="0"/>
    <n v="3"/>
    <x v="1"/>
    <n v="8"/>
    <x v="0"/>
    <n v="7"/>
    <x v="1"/>
    <n v="0"/>
    <x v="0"/>
    <n v="5"/>
    <x v="0"/>
  </r>
  <r>
    <n v="743"/>
    <n v="38"/>
    <x v="0"/>
    <x v="1"/>
    <n v="0"/>
    <x v="0"/>
    <n v="168"/>
    <x v="1"/>
    <x v="1"/>
    <n v="1"/>
    <x v="0"/>
    <n v="3"/>
    <x v="3"/>
    <x v="0"/>
    <n v="1"/>
    <n v="3"/>
    <x v="1"/>
    <x v="0"/>
    <n v="81"/>
    <x v="0"/>
    <n v="3"/>
    <x v="0"/>
    <n v="3"/>
    <x v="3"/>
    <n v="3"/>
    <x v="2"/>
    <x v="0"/>
    <n v="7861"/>
    <x v="11"/>
    <n v="15397"/>
    <x v="3"/>
    <n v="4"/>
    <x v="2"/>
    <s v="Y"/>
    <x v="0"/>
    <n v="14"/>
    <x v="2"/>
    <n v="3"/>
    <x v="0"/>
    <n v="4"/>
    <x v="1"/>
    <n v="80"/>
    <n v="0"/>
    <n v="10"/>
    <x v="0"/>
    <n v="4"/>
    <x v="1"/>
    <n v="4"/>
    <x v="3"/>
    <n v="1"/>
    <x v="1"/>
    <n v="0"/>
    <x v="2"/>
    <n v="0"/>
    <x v="0"/>
    <n v="0"/>
    <x v="2"/>
  </r>
  <r>
    <n v="744"/>
    <n v="44"/>
    <x v="0"/>
    <x v="1"/>
    <n v="0"/>
    <x v="2"/>
    <n v="381"/>
    <x v="1"/>
    <x v="1"/>
    <n v="24"/>
    <x v="2"/>
    <n v="3"/>
    <x v="3"/>
    <x v="2"/>
    <n v="1"/>
    <n v="1"/>
    <x v="3"/>
    <x v="1"/>
    <n v="49"/>
    <x v="2"/>
    <n v="1"/>
    <x v="3"/>
    <n v="1"/>
    <x v="2"/>
    <n v="3"/>
    <x v="2"/>
    <x v="0"/>
    <n v="3708"/>
    <x v="3"/>
    <n v="2104"/>
    <x v="2"/>
    <n v="2"/>
    <x v="3"/>
    <s v="Y"/>
    <x v="1"/>
    <n v="14"/>
    <x v="2"/>
    <n v="3"/>
    <x v="0"/>
    <n v="3"/>
    <x v="3"/>
    <n v="80"/>
    <n v="0"/>
    <n v="9"/>
    <x v="0"/>
    <n v="5"/>
    <x v="2"/>
    <n v="3"/>
    <x v="1"/>
    <n v="5"/>
    <x v="2"/>
    <n v="2"/>
    <x v="0"/>
    <n v="1"/>
    <x v="0"/>
    <n v="4"/>
    <x v="0"/>
  </r>
  <r>
    <n v="746"/>
    <n v="47"/>
    <x v="1"/>
    <x v="1"/>
    <n v="0"/>
    <x v="1"/>
    <n v="217"/>
    <x v="1"/>
    <x v="0"/>
    <n v="3"/>
    <x v="0"/>
    <n v="3"/>
    <x v="3"/>
    <x v="2"/>
    <n v="1"/>
    <n v="4"/>
    <x v="2"/>
    <x v="0"/>
    <n v="49"/>
    <x v="2"/>
    <n v="3"/>
    <x v="0"/>
    <n v="4"/>
    <x v="0"/>
    <n v="3"/>
    <x v="2"/>
    <x v="2"/>
    <n v="13770"/>
    <x v="10"/>
    <n v="10225"/>
    <x v="3"/>
    <n v="9"/>
    <x v="0"/>
    <s v="Y"/>
    <x v="0"/>
    <n v="12"/>
    <x v="0"/>
    <n v="3"/>
    <x v="0"/>
    <n v="4"/>
    <x v="1"/>
    <n v="80"/>
    <n v="2"/>
    <n v="28"/>
    <x v="4"/>
    <n v="2"/>
    <x v="0"/>
    <n v="2"/>
    <x v="2"/>
    <n v="22"/>
    <x v="3"/>
    <n v="2"/>
    <x v="0"/>
    <n v="11"/>
    <x v="3"/>
    <n v="13"/>
    <x v="3"/>
  </r>
  <r>
    <n v="747"/>
    <n v="30"/>
    <x v="2"/>
    <x v="1"/>
    <n v="0"/>
    <x v="0"/>
    <n v="501"/>
    <x v="2"/>
    <x v="0"/>
    <n v="27"/>
    <x v="2"/>
    <n v="5"/>
    <x v="4"/>
    <x v="3"/>
    <n v="1"/>
    <n v="3"/>
    <x v="1"/>
    <x v="1"/>
    <n v="99"/>
    <x v="0"/>
    <n v="3"/>
    <x v="0"/>
    <n v="2"/>
    <x v="0"/>
    <n v="4"/>
    <x v="0"/>
    <x v="2"/>
    <n v="5304"/>
    <x v="1"/>
    <n v="25275"/>
    <x v="1"/>
    <n v="7"/>
    <x v="0"/>
    <s v="Y"/>
    <x v="1"/>
    <n v="23"/>
    <x v="1"/>
    <n v="4"/>
    <x v="1"/>
    <n v="4"/>
    <x v="1"/>
    <n v="80"/>
    <n v="1"/>
    <n v="10"/>
    <x v="0"/>
    <n v="2"/>
    <x v="0"/>
    <n v="2"/>
    <x v="2"/>
    <n v="8"/>
    <x v="0"/>
    <n v="7"/>
    <x v="1"/>
    <n v="7"/>
    <x v="2"/>
    <n v="7"/>
    <x v="1"/>
  </r>
  <r>
    <n v="749"/>
    <n v="29"/>
    <x v="2"/>
    <x v="1"/>
    <n v="0"/>
    <x v="0"/>
    <n v="1396"/>
    <x v="0"/>
    <x v="0"/>
    <n v="10"/>
    <x v="1"/>
    <n v="3"/>
    <x v="3"/>
    <x v="0"/>
    <n v="1"/>
    <n v="3"/>
    <x v="1"/>
    <x v="1"/>
    <n v="99"/>
    <x v="0"/>
    <n v="3"/>
    <x v="0"/>
    <n v="1"/>
    <x v="6"/>
    <n v="3"/>
    <x v="2"/>
    <x v="0"/>
    <n v="2642"/>
    <x v="3"/>
    <n v="2755"/>
    <x v="2"/>
    <n v="1"/>
    <x v="1"/>
    <s v="Y"/>
    <x v="1"/>
    <n v="11"/>
    <x v="0"/>
    <n v="3"/>
    <x v="0"/>
    <n v="3"/>
    <x v="3"/>
    <n v="80"/>
    <n v="0"/>
    <n v="1"/>
    <x v="2"/>
    <n v="6"/>
    <x v="2"/>
    <n v="3"/>
    <x v="1"/>
    <n v="1"/>
    <x v="1"/>
    <n v="0"/>
    <x v="2"/>
    <n v="0"/>
    <x v="0"/>
    <n v="0"/>
    <x v="2"/>
  </r>
  <r>
    <n v="752"/>
    <n v="42"/>
    <x v="0"/>
    <x v="0"/>
    <n v="1"/>
    <x v="1"/>
    <n v="933"/>
    <x v="2"/>
    <x v="1"/>
    <n v="19"/>
    <x v="3"/>
    <n v="3"/>
    <x v="3"/>
    <x v="2"/>
    <n v="1"/>
    <n v="3"/>
    <x v="1"/>
    <x v="1"/>
    <n v="57"/>
    <x v="1"/>
    <n v="4"/>
    <x v="2"/>
    <n v="1"/>
    <x v="1"/>
    <n v="3"/>
    <x v="2"/>
    <x v="2"/>
    <n v="2759"/>
    <x v="3"/>
    <n v="20366"/>
    <x v="0"/>
    <n v="6"/>
    <x v="2"/>
    <s v="Y"/>
    <x v="0"/>
    <n v="12"/>
    <x v="0"/>
    <n v="3"/>
    <x v="0"/>
    <n v="4"/>
    <x v="1"/>
    <n v="80"/>
    <n v="0"/>
    <n v="7"/>
    <x v="0"/>
    <n v="2"/>
    <x v="0"/>
    <n v="3"/>
    <x v="1"/>
    <n v="2"/>
    <x v="2"/>
    <n v="2"/>
    <x v="0"/>
    <n v="2"/>
    <x v="1"/>
    <n v="2"/>
    <x v="0"/>
  </r>
  <r>
    <n v="754"/>
    <n v="43"/>
    <x v="0"/>
    <x v="1"/>
    <n v="0"/>
    <x v="1"/>
    <n v="775"/>
    <x v="2"/>
    <x v="0"/>
    <n v="15"/>
    <x v="3"/>
    <n v="3"/>
    <x v="3"/>
    <x v="0"/>
    <n v="1"/>
    <n v="4"/>
    <x v="2"/>
    <x v="1"/>
    <n v="47"/>
    <x v="2"/>
    <n v="2"/>
    <x v="1"/>
    <n v="2"/>
    <x v="0"/>
    <n v="4"/>
    <x v="0"/>
    <x v="1"/>
    <n v="6804"/>
    <x v="0"/>
    <n v="23683"/>
    <x v="1"/>
    <n v="3"/>
    <x v="3"/>
    <s v="Y"/>
    <x v="1"/>
    <n v="18"/>
    <x v="1"/>
    <n v="3"/>
    <x v="0"/>
    <n v="3"/>
    <x v="3"/>
    <n v="80"/>
    <n v="1"/>
    <n v="7"/>
    <x v="0"/>
    <n v="5"/>
    <x v="2"/>
    <n v="3"/>
    <x v="1"/>
    <n v="2"/>
    <x v="2"/>
    <n v="2"/>
    <x v="0"/>
    <n v="2"/>
    <x v="1"/>
    <n v="2"/>
    <x v="0"/>
  </r>
  <r>
    <n v="757"/>
    <n v="34"/>
    <x v="2"/>
    <x v="1"/>
    <n v="0"/>
    <x v="0"/>
    <n v="970"/>
    <x v="2"/>
    <x v="1"/>
    <n v="8"/>
    <x v="1"/>
    <n v="2"/>
    <x v="0"/>
    <x v="2"/>
    <n v="1"/>
    <n v="2"/>
    <x v="0"/>
    <x v="0"/>
    <n v="96"/>
    <x v="0"/>
    <n v="3"/>
    <x v="0"/>
    <n v="2"/>
    <x v="4"/>
    <n v="3"/>
    <x v="2"/>
    <x v="0"/>
    <n v="6142"/>
    <x v="0"/>
    <n v="7360"/>
    <x v="2"/>
    <n v="3"/>
    <x v="3"/>
    <s v="Y"/>
    <x v="1"/>
    <n v="11"/>
    <x v="0"/>
    <n v="3"/>
    <x v="0"/>
    <n v="4"/>
    <x v="1"/>
    <n v="80"/>
    <n v="0"/>
    <n v="10"/>
    <x v="0"/>
    <n v="2"/>
    <x v="0"/>
    <n v="3"/>
    <x v="1"/>
    <n v="5"/>
    <x v="2"/>
    <n v="1"/>
    <x v="2"/>
    <n v="4"/>
    <x v="1"/>
    <n v="3"/>
    <x v="0"/>
  </r>
  <r>
    <n v="758"/>
    <n v="23"/>
    <x v="4"/>
    <x v="1"/>
    <n v="0"/>
    <x v="0"/>
    <n v="650"/>
    <x v="2"/>
    <x v="1"/>
    <n v="9"/>
    <x v="1"/>
    <n v="1"/>
    <x v="1"/>
    <x v="2"/>
    <n v="1"/>
    <n v="2"/>
    <x v="0"/>
    <x v="1"/>
    <n v="37"/>
    <x v="2"/>
    <n v="3"/>
    <x v="0"/>
    <n v="1"/>
    <x v="2"/>
    <n v="1"/>
    <x v="3"/>
    <x v="1"/>
    <n v="2500"/>
    <x v="3"/>
    <n v="4344"/>
    <x v="2"/>
    <n v="1"/>
    <x v="1"/>
    <s v="Y"/>
    <x v="1"/>
    <n v="14"/>
    <x v="2"/>
    <n v="3"/>
    <x v="0"/>
    <n v="4"/>
    <x v="1"/>
    <n v="80"/>
    <n v="1"/>
    <n v="5"/>
    <x v="3"/>
    <n v="2"/>
    <x v="0"/>
    <n v="4"/>
    <x v="3"/>
    <n v="4"/>
    <x v="2"/>
    <n v="3"/>
    <x v="0"/>
    <n v="0"/>
    <x v="0"/>
    <n v="2"/>
    <x v="0"/>
  </r>
  <r>
    <n v="760"/>
    <n v="39"/>
    <x v="0"/>
    <x v="1"/>
    <n v="0"/>
    <x v="0"/>
    <n v="141"/>
    <x v="1"/>
    <x v="2"/>
    <n v="3"/>
    <x v="0"/>
    <n v="3"/>
    <x v="3"/>
    <x v="5"/>
    <n v="1"/>
    <n v="3"/>
    <x v="1"/>
    <x v="0"/>
    <n v="44"/>
    <x v="2"/>
    <n v="4"/>
    <x v="2"/>
    <n v="2"/>
    <x v="8"/>
    <n v="2"/>
    <x v="1"/>
    <x v="1"/>
    <n v="6389"/>
    <x v="0"/>
    <n v="18767"/>
    <x v="0"/>
    <n v="9"/>
    <x v="0"/>
    <s v="Y"/>
    <x v="1"/>
    <n v="15"/>
    <x v="2"/>
    <n v="3"/>
    <x v="0"/>
    <n v="3"/>
    <x v="3"/>
    <n v="80"/>
    <n v="1"/>
    <n v="12"/>
    <x v="1"/>
    <n v="3"/>
    <x v="1"/>
    <n v="1"/>
    <x v="0"/>
    <n v="8"/>
    <x v="0"/>
    <n v="3"/>
    <x v="0"/>
    <n v="3"/>
    <x v="1"/>
    <n v="6"/>
    <x v="1"/>
  </r>
  <r>
    <n v="762"/>
    <n v="56"/>
    <x v="3"/>
    <x v="1"/>
    <n v="0"/>
    <x v="0"/>
    <n v="832"/>
    <x v="2"/>
    <x v="1"/>
    <n v="9"/>
    <x v="1"/>
    <n v="3"/>
    <x v="3"/>
    <x v="2"/>
    <n v="1"/>
    <n v="3"/>
    <x v="1"/>
    <x v="1"/>
    <n v="81"/>
    <x v="0"/>
    <n v="3"/>
    <x v="0"/>
    <n v="4"/>
    <x v="4"/>
    <n v="4"/>
    <x v="0"/>
    <x v="1"/>
    <n v="11103"/>
    <x v="8"/>
    <n v="20420"/>
    <x v="0"/>
    <n v="7"/>
    <x v="0"/>
    <s v="Y"/>
    <x v="1"/>
    <n v="11"/>
    <x v="0"/>
    <n v="3"/>
    <x v="0"/>
    <n v="3"/>
    <x v="3"/>
    <n v="80"/>
    <n v="0"/>
    <n v="30"/>
    <x v="4"/>
    <n v="1"/>
    <x v="0"/>
    <n v="2"/>
    <x v="2"/>
    <n v="10"/>
    <x v="0"/>
    <n v="7"/>
    <x v="1"/>
    <n v="1"/>
    <x v="0"/>
    <n v="1"/>
    <x v="2"/>
  </r>
  <r>
    <n v="763"/>
    <n v="40"/>
    <x v="0"/>
    <x v="1"/>
    <n v="0"/>
    <x v="0"/>
    <n v="804"/>
    <x v="2"/>
    <x v="1"/>
    <n v="2"/>
    <x v="0"/>
    <n v="1"/>
    <x v="1"/>
    <x v="2"/>
    <n v="1"/>
    <n v="4"/>
    <x v="2"/>
    <x v="0"/>
    <n v="86"/>
    <x v="0"/>
    <n v="2"/>
    <x v="1"/>
    <n v="1"/>
    <x v="1"/>
    <n v="4"/>
    <x v="0"/>
    <x v="0"/>
    <n v="2342"/>
    <x v="2"/>
    <n v="22929"/>
    <x v="1"/>
    <n v="0"/>
    <x v="1"/>
    <s v="Y"/>
    <x v="0"/>
    <n v="20"/>
    <x v="1"/>
    <n v="4"/>
    <x v="1"/>
    <n v="4"/>
    <x v="1"/>
    <n v="80"/>
    <n v="0"/>
    <n v="5"/>
    <x v="3"/>
    <n v="2"/>
    <x v="0"/>
    <n v="2"/>
    <x v="2"/>
    <n v="4"/>
    <x v="2"/>
    <n v="2"/>
    <x v="0"/>
    <n v="2"/>
    <x v="1"/>
    <n v="3"/>
    <x v="0"/>
  </r>
  <r>
    <n v="764"/>
    <n v="27"/>
    <x v="2"/>
    <x v="1"/>
    <n v="0"/>
    <x v="0"/>
    <n v="975"/>
    <x v="2"/>
    <x v="1"/>
    <n v="7"/>
    <x v="1"/>
    <n v="3"/>
    <x v="3"/>
    <x v="2"/>
    <n v="1"/>
    <n v="4"/>
    <x v="2"/>
    <x v="0"/>
    <n v="55"/>
    <x v="1"/>
    <n v="2"/>
    <x v="1"/>
    <n v="2"/>
    <x v="4"/>
    <n v="1"/>
    <x v="3"/>
    <x v="0"/>
    <n v="6811"/>
    <x v="0"/>
    <n v="23398"/>
    <x v="1"/>
    <n v="8"/>
    <x v="0"/>
    <s v="Y"/>
    <x v="1"/>
    <n v="19"/>
    <x v="1"/>
    <n v="3"/>
    <x v="0"/>
    <n v="1"/>
    <x v="0"/>
    <n v="80"/>
    <n v="0"/>
    <n v="9"/>
    <x v="0"/>
    <n v="2"/>
    <x v="0"/>
    <n v="1"/>
    <x v="0"/>
    <n v="7"/>
    <x v="0"/>
    <n v="6"/>
    <x v="1"/>
    <n v="0"/>
    <x v="0"/>
    <n v="7"/>
    <x v="1"/>
  </r>
  <r>
    <n v="766"/>
    <n v="29"/>
    <x v="2"/>
    <x v="1"/>
    <n v="0"/>
    <x v="0"/>
    <n v="1090"/>
    <x v="0"/>
    <x v="0"/>
    <n v="10"/>
    <x v="1"/>
    <n v="3"/>
    <x v="3"/>
    <x v="3"/>
    <n v="1"/>
    <n v="4"/>
    <x v="2"/>
    <x v="1"/>
    <n v="83"/>
    <x v="0"/>
    <n v="3"/>
    <x v="0"/>
    <n v="1"/>
    <x v="6"/>
    <n v="2"/>
    <x v="1"/>
    <x v="2"/>
    <n v="2297"/>
    <x v="2"/>
    <n v="17967"/>
    <x v="0"/>
    <n v="1"/>
    <x v="1"/>
    <s v="Y"/>
    <x v="1"/>
    <n v="14"/>
    <x v="2"/>
    <n v="3"/>
    <x v="0"/>
    <n v="4"/>
    <x v="1"/>
    <n v="80"/>
    <n v="2"/>
    <n v="2"/>
    <x v="2"/>
    <n v="2"/>
    <x v="0"/>
    <n v="3"/>
    <x v="1"/>
    <n v="2"/>
    <x v="2"/>
    <n v="2"/>
    <x v="0"/>
    <n v="2"/>
    <x v="1"/>
    <n v="2"/>
    <x v="0"/>
  </r>
  <r>
    <n v="769"/>
    <n v="53"/>
    <x v="1"/>
    <x v="1"/>
    <n v="0"/>
    <x v="0"/>
    <n v="346"/>
    <x v="1"/>
    <x v="1"/>
    <n v="6"/>
    <x v="1"/>
    <n v="3"/>
    <x v="3"/>
    <x v="0"/>
    <n v="1"/>
    <n v="4"/>
    <x v="2"/>
    <x v="1"/>
    <n v="86"/>
    <x v="0"/>
    <n v="3"/>
    <x v="0"/>
    <n v="2"/>
    <x v="2"/>
    <n v="4"/>
    <x v="0"/>
    <x v="0"/>
    <n v="2450"/>
    <x v="2"/>
    <n v="10919"/>
    <x v="3"/>
    <n v="2"/>
    <x v="3"/>
    <s v="Y"/>
    <x v="1"/>
    <n v="17"/>
    <x v="3"/>
    <n v="3"/>
    <x v="0"/>
    <n v="4"/>
    <x v="1"/>
    <n v="80"/>
    <n v="0"/>
    <n v="19"/>
    <x v="1"/>
    <n v="4"/>
    <x v="1"/>
    <n v="3"/>
    <x v="1"/>
    <n v="2"/>
    <x v="2"/>
    <n v="2"/>
    <x v="0"/>
    <n v="2"/>
    <x v="1"/>
    <n v="2"/>
    <x v="0"/>
  </r>
  <r>
    <n v="771"/>
    <n v="35"/>
    <x v="2"/>
    <x v="1"/>
    <n v="0"/>
    <x v="2"/>
    <n v="1225"/>
    <x v="0"/>
    <x v="1"/>
    <n v="2"/>
    <x v="0"/>
    <n v="4"/>
    <x v="2"/>
    <x v="0"/>
    <n v="1"/>
    <n v="4"/>
    <x v="2"/>
    <x v="0"/>
    <n v="61"/>
    <x v="1"/>
    <n v="3"/>
    <x v="0"/>
    <n v="2"/>
    <x v="4"/>
    <n v="1"/>
    <x v="3"/>
    <x v="2"/>
    <n v="5093"/>
    <x v="1"/>
    <n v="4761"/>
    <x v="2"/>
    <n v="2"/>
    <x v="3"/>
    <s v="Y"/>
    <x v="1"/>
    <n v="11"/>
    <x v="0"/>
    <n v="3"/>
    <x v="0"/>
    <n v="1"/>
    <x v="0"/>
    <n v="80"/>
    <n v="1"/>
    <n v="16"/>
    <x v="1"/>
    <n v="2"/>
    <x v="0"/>
    <n v="4"/>
    <x v="3"/>
    <n v="1"/>
    <x v="1"/>
    <n v="0"/>
    <x v="2"/>
    <n v="0"/>
    <x v="0"/>
    <n v="0"/>
    <x v="2"/>
  </r>
  <r>
    <n v="772"/>
    <n v="32"/>
    <x v="2"/>
    <x v="1"/>
    <n v="0"/>
    <x v="1"/>
    <n v="430"/>
    <x v="1"/>
    <x v="1"/>
    <n v="24"/>
    <x v="2"/>
    <n v="4"/>
    <x v="2"/>
    <x v="0"/>
    <n v="1"/>
    <n v="1"/>
    <x v="3"/>
    <x v="1"/>
    <n v="80"/>
    <x v="0"/>
    <n v="3"/>
    <x v="0"/>
    <n v="2"/>
    <x v="2"/>
    <n v="4"/>
    <x v="0"/>
    <x v="1"/>
    <n v="5309"/>
    <x v="1"/>
    <n v="21146"/>
    <x v="0"/>
    <n v="1"/>
    <x v="1"/>
    <s v="Y"/>
    <x v="1"/>
    <n v="15"/>
    <x v="2"/>
    <n v="3"/>
    <x v="0"/>
    <n v="4"/>
    <x v="1"/>
    <n v="80"/>
    <n v="2"/>
    <n v="10"/>
    <x v="0"/>
    <n v="2"/>
    <x v="0"/>
    <n v="3"/>
    <x v="1"/>
    <n v="10"/>
    <x v="0"/>
    <n v="8"/>
    <x v="1"/>
    <n v="4"/>
    <x v="1"/>
    <n v="7"/>
    <x v="1"/>
  </r>
  <r>
    <n v="773"/>
    <n v="38"/>
    <x v="0"/>
    <x v="1"/>
    <n v="0"/>
    <x v="0"/>
    <n v="268"/>
    <x v="1"/>
    <x v="1"/>
    <n v="2"/>
    <x v="0"/>
    <n v="5"/>
    <x v="4"/>
    <x v="2"/>
    <n v="1"/>
    <n v="4"/>
    <x v="2"/>
    <x v="1"/>
    <n v="92"/>
    <x v="0"/>
    <n v="3"/>
    <x v="0"/>
    <n v="1"/>
    <x v="1"/>
    <n v="3"/>
    <x v="2"/>
    <x v="1"/>
    <n v="3057"/>
    <x v="3"/>
    <n v="20471"/>
    <x v="0"/>
    <n v="6"/>
    <x v="2"/>
    <s v="Y"/>
    <x v="0"/>
    <n v="13"/>
    <x v="2"/>
    <n v="3"/>
    <x v="0"/>
    <n v="2"/>
    <x v="4"/>
    <n v="80"/>
    <n v="1"/>
    <n v="6"/>
    <x v="0"/>
    <n v="0"/>
    <x v="0"/>
    <n v="1"/>
    <x v="0"/>
    <n v="1"/>
    <x v="1"/>
    <n v="0"/>
    <x v="2"/>
    <n v="0"/>
    <x v="0"/>
    <n v="1"/>
    <x v="2"/>
  </r>
  <r>
    <n v="775"/>
    <n v="34"/>
    <x v="2"/>
    <x v="1"/>
    <n v="0"/>
    <x v="0"/>
    <n v="167"/>
    <x v="1"/>
    <x v="1"/>
    <n v="8"/>
    <x v="1"/>
    <n v="5"/>
    <x v="4"/>
    <x v="0"/>
    <n v="1"/>
    <n v="2"/>
    <x v="0"/>
    <x v="0"/>
    <n v="32"/>
    <x v="2"/>
    <n v="3"/>
    <x v="0"/>
    <n v="2"/>
    <x v="3"/>
    <n v="1"/>
    <x v="3"/>
    <x v="2"/>
    <n v="5121"/>
    <x v="1"/>
    <n v="4187"/>
    <x v="2"/>
    <n v="3"/>
    <x v="3"/>
    <s v="Y"/>
    <x v="1"/>
    <n v="14"/>
    <x v="2"/>
    <n v="3"/>
    <x v="0"/>
    <n v="3"/>
    <x v="3"/>
    <n v="80"/>
    <n v="1"/>
    <n v="7"/>
    <x v="0"/>
    <n v="3"/>
    <x v="1"/>
    <n v="3"/>
    <x v="1"/>
    <n v="0"/>
    <x v="1"/>
    <n v="0"/>
    <x v="2"/>
    <n v="0"/>
    <x v="0"/>
    <n v="0"/>
    <x v="2"/>
  </r>
  <r>
    <n v="776"/>
    <n v="52"/>
    <x v="1"/>
    <x v="1"/>
    <n v="0"/>
    <x v="0"/>
    <n v="621"/>
    <x v="2"/>
    <x v="0"/>
    <n v="3"/>
    <x v="0"/>
    <n v="4"/>
    <x v="2"/>
    <x v="3"/>
    <n v="1"/>
    <n v="3"/>
    <x v="1"/>
    <x v="1"/>
    <n v="31"/>
    <x v="2"/>
    <n v="2"/>
    <x v="1"/>
    <n v="4"/>
    <x v="5"/>
    <n v="1"/>
    <x v="3"/>
    <x v="1"/>
    <n v="16856"/>
    <x v="12"/>
    <n v="10084"/>
    <x v="3"/>
    <n v="1"/>
    <x v="1"/>
    <s v="Y"/>
    <x v="1"/>
    <n v="11"/>
    <x v="0"/>
    <n v="3"/>
    <x v="0"/>
    <n v="1"/>
    <x v="0"/>
    <n v="80"/>
    <n v="0"/>
    <n v="34"/>
    <x v="4"/>
    <n v="3"/>
    <x v="1"/>
    <n v="4"/>
    <x v="3"/>
    <n v="34"/>
    <x v="3"/>
    <n v="6"/>
    <x v="1"/>
    <n v="1"/>
    <x v="0"/>
    <n v="16"/>
    <x v="3"/>
  </r>
  <r>
    <n v="780"/>
    <n v="33"/>
    <x v="2"/>
    <x v="0"/>
    <n v="1"/>
    <x v="0"/>
    <n v="527"/>
    <x v="2"/>
    <x v="1"/>
    <n v="1"/>
    <x v="0"/>
    <n v="4"/>
    <x v="2"/>
    <x v="1"/>
    <n v="1"/>
    <n v="4"/>
    <x v="2"/>
    <x v="1"/>
    <n v="63"/>
    <x v="1"/>
    <n v="3"/>
    <x v="0"/>
    <n v="1"/>
    <x v="1"/>
    <n v="4"/>
    <x v="0"/>
    <x v="0"/>
    <n v="2686"/>
    <x v="3"/>
    <n v="5207"/>
    <x v="2"/>
    <n v="1"/>
    <x v="1"/>
    <s v="Y"/>
    <x v="0"/>
    <n v="13"/>
    <x v="2"/>
    <n v="3"/>
    <x v="0"/>
    <n v="3"/>
    <x v="3"/>
    <n v="80"/>
    <n v="0"/>
    <n v="10"/>
    <x v="0"/>
    <n v="2"/>
    <x v="0"/>
    <n v="2"/>
    <x v="2"/>
    <n v="10"/>
    <x v="0"/>
    <n v="9"/>
    <x v="1"/>
    <n v="7"/>
    <x v="2"/>
    <n v="8"/>
    <x v="1"/>
  </r>
  <r>
    <n v="781"/>
    <n v="25"/>
    <x v="4"/>
    <x v="1"/>
    <n v="0"/>
    <x v="0"/>
    <n v="883"/>
    <x v="2"/>
    <x v="0"/>
    <n v="26"/>
    <x v="2"/>
    <n v="1"/>
    <x v="1"/>
    <x v="2"/>
    <n v="1"/>
    <n v="3"/>
    <x v="1"/>
    <x v="0"/>
    <n v="32"/>
    <x v="2"/>
    <n v="3"/>
    <x v="0"/>
    <n v="2"/>
    <x v="0"/>
    <n v="4"/>
    <x v="0"/>
    <x v="0"/>
    <n v="6180"/>
    <x v="0"/>
    <n v="22807"/>
    <x v="1"/>
    <n v="1"/>
    <x v="1"/>
    <s v="Y"/>
    <x v="1"/>
    <n v="23"/>
    <x v="1"/>
    <n v="4"/>
    <x v="1"/>
    <n v="2"/>
    <x v="4"/>
    <n v="80"/>
    <n v="0"/>
    <n v="6"/>
    <x v="0"/>
    <n v="5"/>
    <x v="2"/>
    <n v="2"/>
    <x v="2"/>
    <n v="6"/>
    <x v="0"/>
    <n v="5"/>
    <x v="0"/>
    <n v="1"/>
    <x v="0"/>
    <n v="4"/>
    <x v="0"/>
  </r>
  <r>
    <n v="783"/>
    <n v="45"/>
    <x v="0"/>
    <x v="1"/>
    <n v="0"/>
    <x v="0"/>
    <n v="954"/>
    <x v="2"/>
    <x v="0"/>
    <n v="2"/>
    <x v="0"/>
    <n v="2"/>
    <x v="0"/>
    <x v="4"/>
    <n v="1"/>
    <n v="2"/>
    <x v="0"/>
    <x v="1"/>
    <n v="46"/>
    <x v="2"/>
    <n v="1"/>
    <x v="3"/>
    <n v="2"/>
    <x v="6"/>
    <n v="3"/>
    <x v="2"/>
    <x v="0"/>
    <n v="6632"/>
    <x v="0"/>
    <n v="12388"/>
    <x v="3"/>
    <n v="0"/>
    <x v="1"/>
    <s v="Y"/>
    <x v="1"/>
    <n v="13"/>
    <x v="2"/>
    <n v="3"/>
    <x v="0"/>
    <n v="1"/>
    <x v="0"/>
    <n v="80"/>
    <n v="0"/>
    <n v="9"/>
    <x v="0"/>
    <n v="3"/>
    <x v="1"/>
    <n v="3"/>
    <x v="1"/>
    <n v="8"/>
    <x v="0"/>
    <n v="7"/>
    <x v="1"/>
    <n v="3"/>
    <x v="1"/>
    <n v="1"/>
    <x v="2"/>
  </r>
  <r>
    <n v="784"/>
    <n v="23"/>
    <x v="4"/>
    <x v="1"/>
    <n v="0"/>
    <x v="0"/>
    <n v="310"/>
    <x v="1"/>
    <x v="1"/>
    <n v="10"/>
    <x v="1"/>
    <n v="1"/>
    <x v="1"/>
    <x v="2"/>
    <n v="1"/>
    <n v="1"/>
    <x v="3"/>
    <x v="1"/>
    <n v="79"/>
    <x v="0"/>
    <n v="4"/>
    <x v="2"/>
    <n v="1"/>
    <x v="1"/>
    <n v="3"/>
    <x v="2"/>
    <x v="0"/>
    <n v="3505"/>
    <x v="3"/>
    <n v="19630"/>
    <x v="0"/>
    <n v="1"/>
    <x v="1"/>
    <s v="Y"/>
    <x v="1"/>
    <n v="18"/>
    <x v="1"/>
    <n v="3"/>
    <x v="0"/>
    <n v="4"/>
    <x v="1"/>
    <n v="80"/>
    <n v="0"/>
    <n v="2"/>
    <x v="2"/>
    <n v="3"/>
    <x v="1"/>
    <n v="3"/>
    <x v="1"/>
    <n v="2"/>
    <x v="2"/>
    <n v="2"/>
    <x v="0"/>
    <n v="0"/>
    <x v="0"/>
    <n v="2"/>
    <x v="0"/>
  </r>
  <r>
    <n v="785"/>
    <n v="47"/>
    <x v="1"/>
    <x v="0"/>
    <n v="1"/>
    <x v="1"/>
    <n v="719"/>
    <x v="2"/>
    <x v="0"/>
    <n v="27"/>
    <x v="2"/>
    <n v="2"/>
    <x v="0"/>
    <x v="0"/>
    <n v="1"/>
    <n v="2"/>
    <x v="0"/>
    <x v="0"/>
    <n v="77"/>
    <x v="0"/>
    <n v="4"/>
    <x v="2"/>
    <n v="2"/>
    <x v="0"/>
    <n v="3"/>
    <x v="2"/>
    <x v="0"/>
    <n v="6397"/>
    <x v="0"/>
    <n v="10339"/>
    <x v="3"/>
    <n v="4"/>
    <x v="2"/>
    <s v="Y"/>
    <x v="0"/>
    <n v="12"/>
    <x v="0"/>
    <n v="3"/>
    <x v="0"/>
    <n v="4"/>
    <x v="1"/>
    <n v="80"/>
    <n v="0"/>
    <n v="8"/>
    <x v="0"/>
    <n v="2"/>
    <x v="0"/>
    <n v="3"/>
    <x v="1"/>
    <n v="5"/>
    <x v="2"/>
    <n v="4"/>
    <x v="0"/>
    <n v="1"/>
    <x v="0"/>
    <n v="3"/>
    <x v="0"/>
  </r>
  <r>
    <n v="786"/>
    <n v="34"/>
    <x v="2"/>
    <x v="1"/>
    <n v="0"/>
    <x v="0"/>
    <n v="304"/>
    <x v="1"/>
    <x v="0"/>
    <n v="2"/>
    <x v="0"/>
    <n v="3"/>
    <x v="3"/>
    <x v="1"/>
    <n v="1"/>
    <n v="4"/>
    <x v="2"/>
    <x v="1"/>
    <n v="60"/>
    <x v="1"/>
    <n v="3"/>
    <x v="0"/>
    <n v="2"/>
    <x v="0"/>
    <n v="4"/>
    <x v="0"/>
    <x v="0"/>
    <n v="6274"/>
    <x v="0"/>
    <n v="18686"/>
    <x v="0"/>
    <n v="1"/>
    <x v="1"/>
    <s v="Y"/>
    <x v="1"/>
    <n v="22"/>
    <x v="1"/>
    <n v="4"/>
    <x v="1"/>
    <n v="3"/>
    <x v="3"/>
    <n v="80"/>
    <n v="0"/>
    <n v="6"/>
    <x v="0"/>
    <n v="5"/>
    <x v="2"/>
    <n v="3"/>
    <x v="1"/>
    <n v="6"/>
    <x v="0"/>
    <n v="5"/>
    <x v="0"/>
    <n v="1"/>
    <x v="0"/>
    <n v="4"/>
    <x v="0"/>
  </r>
  <r>
    <n v="787"/>
    <n v="55"/>
    <x v="1"/>
    <x v="0"/>
    <n v="1"/>
    <x v="0"/>
    <n v="725"/>
    <x v="2"/>
    <x v="1"/>
    <n v="2"/>
    <x v="0"/>
    <n v="3"/>
    <x v="3"/>
    <x v="2"/>
    <n v="1"/>
    <n v="4"/>
    <x v="2"/>
    <x v="1"/>
    <n v="78"/>
    <x v="0"/>
    <n v="3"/>
    <x v="0"/>
    <n v="5"/>
    <x v="5"/>
    <n v="1"/>
    <x v="3"/>
    <x v="1"/>
    <n v="19859"/>
    <x v="7"/>
    <n v="21199"/>
    <x v="0"/>
    <n v="5"/>
    <x v="2"/>
    <s v="Y"/>
    <x v="0"/>
    <n v="13"/>
    <x v="2"/>
    <n v="3"/>
    <x v="0"/>
    <n v="4"/>
    <x v="1"/>
    <n v="80"/>
    <n v="1"/>
    <n v="24"/>
    <x v="4"/>
    <n v="2"/>
    <x v="0"/>
    <n v="3"/>
    <x v="1"/>
    <n v="5"/>
    <x v="2"/>
    <n v="2"/>
    <x v="0"/>
    <n v="1"/>
    <x v="0"/>
    <n v="4"/>
    <x v="0"/>
  </r>
  <r>
    <n v="789"/>
    <n v="36"/>
    <x v="0"/>
    <x v="1"/>
    <n v="0"/>
    <x v="2"/>
    <n v="1434"/>
    <x v="0"/>
    <x v="0"/>
    <n v="8"/>
    <x v="1"/>
    <n v="4"/>
    <x v="2"/>
    <x v="0"/>
    <n v="1"/>
    <n v="1"/>
    <x v="3"/>
    <x v="1"/>
    <n v="76"/>
    <x v="0"/>
    <n v="2"/>
    <x v="1"/>
    <n v="3"/>
    <x v="0"/>
    <n v="1"/>
    <x v="3"/>
    <x v="0"/>
    <n v="7587"/>
    <x v="11"/>
    <n v="14229"/>
    <x v="3"/>
    <n v="1"/>
    <x v="1"/>
    <s v="Y"/>
    <x v="1"/>
    <n v="15"/>
    <x v="2"/>
    <n v="3"/>
    <x v="0"/>
    <n v="2"/>
    <x v="4"/>
    <n v="80"/>
    <n v="0"/>
    <n v="10"/>
    <x v="0"/>
    <n v="1"/>
    <x v="0"/>
    <n v="3"/>
    <x v="1"/>
    <n v="10"/>
    <x v="0"/>
    <n v="7"/>
    <x v="1"/>
    <n v="0"/>
    <x v="0"/>
    <n v="9"/>
    <x v="1"/>
  </r>
  <r>
    <n v="791"/>
    <n v="52"/>
    <x v="1"/>
    <x v="1"/>
    <n v="0"/>
    <x v="2"/>
    <n v="715"/>
    <x v="2"/>
    <x v="1"/>
    <n v="19"/>
    <x v="3"/>
    <n v="4"/>
    <x v="2"/>
    <x v="2"/>
    <n v="1"/>
    <n v="4"/>
    <x v="2"/>
    <x v="1"/>
    <n v="41"/>
    <x v="2"/>
    <n v="3"/>
    <x v="0"/>
    <n v="1"/>
    <x v="1"/>
    <n v="4"/>
    <x v="0"/>
    <x v="1"/>
    <n v="4258"/>
    <x v="1"/>
    <n v="26589"/>
    <x v="1"/>
    <n v="0"/>
    <x v="1"/>
    <s v="Y"/>
    <x v="1"/>
    <n v="18"/>
    <x v="1"/>
    <n v="3"/>
    <x v="0"/>
    <n v="1"/>
    <x v="0"/>
    <n v="80"/>
    <n v="1"/>
    <n v="5"/>
    <x v="3"/>
    <n v="3"/>
    <x v="1"/>
    <n v="3"/>
    <x v="1"/>
    <n v="4"/>
    <x v="2"/>
    <n v="3"/>
    <x v="0"/>
    <n v="1"/>
    <x v="0"/>
    <n v="2"/>
    <x v="0"/>
  </r>
  <r>
    <n v="792"/>
    <n v="26"/>
    <x v="2"/>
    <x v="1"/>
    <n v="0"/>
    <x v="1"/>
    <n v="575"/>
    <x v="2"/>
    <x v="1"/>
    <n v="1"/>
    <x v="0"/>
    <n v="2"/>
    <x v="0"/>
    <x v="0"/>
    <n v="1"/>
    <n v="1"/>
    <x v="3"/>
    <x v="0"/>
    <n v="71"/>
    <x v="1"/>
    <n v="1"/>
    <x v="3"/>
    <n v="1"/>
    <x v="2"/>
    <n v="4"/>
    <x v="0"/>
    <x v="2"/>
    <n v="4364"/>
    <x v="1"/>
    <n v="5288"/>
    <x v="2"/>
    <n v="3"/>
    <x v="3"/>
    <s v="Y"/>
    <x v="1"/>
    <n v="14"/>
    <x v="2"/>
    <n v="3"/>
    <x v="0"/>
    <n v="1"/>
    <x v="0"/>
    <n v="80"/>
    <n v="1"/>
    <n v="5"/>
    <x v="3"/>
    <n v="2"/>
    <x v="0"/>
    <n v="3"/>
    <x v="1"/>
    <n v="2"/>
    <x v="2"/>
    <n v="2"/>
    <x v="0"/>
    <n v="2"/>
    <x v="1"/>
    <n v="0"/>
    <x v="2"/>
  </r>
  <r>
    <n v="793"/>
    <n v="29"/>
    <x v="2"/>
    <x v="1"/>
    <n v="0"/>
    <x v="0"/>
    <n v="657"/>
    <x v="2"/>
    <x v="1"/>
    <n v="27"/>
    <x v="2"/>
    <n v="3"/>
    <x v="3"/>
    <x v="2"/>
    <n v="1"/>
    <n v="2"/>
    <x v="0"/>
    <x v="0"/>
    <n v="66"/>
    <x v="1"/>
    <n v="3"/>
    <x v="0"/>
    <n v="2"/>
    <x v="4"/>
    <n v="3"/>
    <x v="2"/>
    <x v="1"/>
    <n v="4335"/>
    <x v="1"/>
    <n v="25549"/>
    <x v="1"/>
    <n v="4"/>
    <x v="2"/>
    <s v="Y"/>
    <x v="1"/>
    <n v="12"/>
    <x v="0"/>
    <n v="3"/>
    <x v="0"/>
    <n v="1"/>
    <x v="0"/>
    <n v="80"/>
    <n v="1"/>
    <n v="11"/>
    <x v="1"/>
    <n v="3"/>
    <x v="1"/>
    <n v="2"/>
    <x v="2"/>
    <n v="8"/>
    <x v="0"/>
    <n v="7"/>
    <x v="1"/>
    <n v="1"/>
    <x v="0"/>
    <n v="1"/>
    <x v="2"/>
  </r>
  <r>
    <n v="796"/>
    <n v="26"/>
    <x v="2"/>
    <x v="0"/>
    <n v="1"/>
    <x v="0"/>
    <n v="1146"/>
    <x v="0"/>
    <x v="0"/>
    <n v="8"/>
    <x v="1"/>
    <n v="3"/>
    <x v="3"/>
    <x v="4"/>
    <n v="1"/>
    <n v="4"/>
    <x v="2"/>
    <x v="1"/>
    <n v="38"/>
    <x v="2"/>
    <n v="2"/>
    <x v="1"/>
    <n v="2"/>
    <x v="0"/>
    <n v="1"/>
    <x v="3"/>
    <x v="0"/>
    <n v="5326"/>
    <x v="1"/>
    <n v="3064"/>
    <x v="2"/>
    <n v="6"/>
    <x v="2"/>
    <s v="Y"/>
    <x v="1"/>
    <n v="17"/>
    <x v="3"/>
    <n v="3"/>
    <x v="0"/>
    <n v="3"/>
    <x v="3"/>
    <n v="80"/>
    <n v="0"/>
    <n v="6"/>
    <x v="0"/>
    <n v="2"/>
    <x v="0"/>
    <n v="2"/>
    <x v="2"/>
    <n v="4"/>
    <x v="2"/>
    <n v="3"/>
    <x v="0"/>
    <n v="1"/>
    <x v="0"/>
    <n v="2"/>
    <x v="0"/>
  </r>
  <r>
    <n v="797"/>
    <n v="34"/>
    <x v="2"/>
    <x v="1"/>
    <n v="0"/>
    <x v="0"/>
    <n v="182"/>
    <x v="1"/>
    <x v="1"/>
    <n v="1"/>
    <x v="0"/>
    <n v="4"/>
    <x v="2"/>
    <x v="0"/>
    <n v="1"/>
    <n v="2"/>
    <x v="0"/>
    <x v="0"/>
    <n v="72"/>
    <x v="1"/>
    <n v="4"/>
    <x v="2"/>
    <n v="1"/>
    <x v="1"/>
    <n v="4"/>
    <x v="0"/>
    <x v="0"/>
    <n v="3280"/>
    <x v="3"/>
    <n v="13551"/>
    <x v="3"/>
    <n v="2"/>
    <x v="3"/>
    <s v="Y"/>
    <x v="1"/>
    <n v="16"/>
    <x v="3"/>
    <n v="3"/>
    <x v="0"/>
    <n v="3"/>
    <x v="3"/>
    <n v="80"/>
    <n v="0"/>
    <n v="10"/>
    <x v="0"/>
    <n v="2"/>
    <x v="0"/>
    <n v="3"/>
    <x v="1"/>
    <n v="4"/>
    <x v="2"/>
    <n v="2"/>
    <x v="0"/>
    <n v="1"/>
    <x v="0"/>
    <n v="3"/>
    <x v="0"/>
  </r>
  <r>
    <n v="799"/>
    <n v="54"/>
    <x v="1"/>
    <x v="1"/>
    <n v="0"/>
    <x v="0"/>
    <n v="376"/>
    <x v="1"/>
    <x v="1"/>
    <n v="19"/>
    <x v="3"/>
    <n v="4"/>
    <x v="2"/>
    <x v="2"/>
    <n v="1"/>
    <n v="4"/>
    <x v="2"/>
    <x v="0"/>
    <n v="95"/>
    <x v="0"/>
    <n v="3"/>
    <x v="0"/>
    <n v="2"/>
    <x v="3"/>
    <n v="1"/>
    <x v="3"/>
    <x v="2"/>
    <n v="5485"/>
    <x v="1"/>
    <n v="22670"/>
    <x v="1"/>
    <n v="9"/>
    <x v="0"/>
    <s v="Y"/>
    <x v="0"/>
    <n v="11"/>
    <x v="0"/>
    <n v="3"/>
    <x v="0"/>
    <n v="2"/>
    <x v="4"/>
    <n v="80"/>
    <n v="2"/>
    <n v="9"/>
    <x v="0"/>
    <n v="4"/>
    <x v="1"/>
    <n v="3"/>
    <x v="1"/>
    <n v="5"/>
    <x v="2"/>
    <n v="3"/>
    <x v="0"/>
    <n v="1"/>
    <x v="0"/>
    <n v="4"/>
    <x v="0"/>
  </r>
  <r>
    <n v="800"/>
    <n v="27"/>
    <x v="2"/>
    <x v="1"/>
    <n v="0"/>
    <x v="1"/>
    <n v="829"/>
    <x v="2"/>
    <x v="0"/>
    <n v="8"/>
    <x v="1"/>
    <n v="1"/>
    <x v="1"/>
    <x v="3"/>
    <n v="1"/>
    <n v="3"/>
    <x v="1"/>
    <x v="1"/>
    <n v="84"/>
    <x v="0"/>
    <n v="3"/>
    <x v="0"/>
    <n v="2"/>
    <x v="0"/>
    <n v="4"/>
    <x v="0"/>
    <x v="1"/>
    <n v="4342"/>
    <x v="1"/>
    <n v="24008"/>
    <x v="1"/>
    <n v="0"/>
    <x v="1"/>
    <s v="Y"/>
    <x v="1"/>
    <n v="19"/>
    <x v="1"/>
    <n v="3"/>
    <x v="0"/>
    <n v="2"/>
    <x v="4"/>
    <n v="80"/>
    <n v="1"/>
    <n v="5"/>
    <x v="3"/>
    <n v="3"/>
    <x v="1"/>
    <n v="3"/>
    <x v="1"/>
    <n v="4"/>
    <x v="2"/>
    <n v="2"/>
    <x v="0"/>
    <n v="1"/>
    <x v="0"/>
    <n v="1"/>
    <x v="2"/>
  </r>
  <r>
    <n v="802"/>
    <n v="37"/>
    <x v="0"/>
    <x v="1"/>
    <n v="0"/>
    <x v="0"/>
    <n v="571"/>
    <x v="2"/>
    <x v="1"/>
    <n v="10"/>
    <x v="1"/>
    <n v="1"/>
    <x v="1"/>
    <x v="0"/>
    <n v="1"/>
    <n v="4"/>
    <x v="2"/>
    <x v="0"/>
    <n v="82"/>
    <x v="0"/>
    <n v="3"/>
    <x v="0"/>
    <n v="1"/>
    <x v="1"/>
    <n v="1"/>
    <x v="3"/>
    <x v="2"/>
    <n v="2782"/>
    <x v="3"/>
    <n v="19905"/>
    <x v="0"/>
    <n v="0"/>
    <x v="1"/>
    <s v="Y"/>
    <x v="0"/>
    <n v="13"/>
    <x v="2"/>
    <n v="3"/>
    <x v="0"/>
    <n v="2"/>
    <x v="4"/>
    <n v="80"/>
    <n v="2"/>
    <n v="6"/>
    <x v="0"/>
    <n v="3"/>
    <x v="1"/>
    <n v="2"/>
    <x v="2"/>
    <n v="5"/>
    <x v="2"/>
    <n v="3"/>
    <x v="0"/>
    <n v="4"/>
    <x v="1"/>
    <n v="3"/>
    <x v="0"/>
  </r>
  <r>
    <n v="803"/>
    <n v="38"/>
    <x v="0"/>
    <x v="1"/>
    <n v="0"/>
    <x v="1"/>
    <n v="240"/>
    <x v="1"/>
    <x v="1"/>
    <n v="2"/>
    <x v="0"/>
    <n v="4"/>
    <x v="2"/>
    <x v="0"/>
    <n v="1"/>
    <n v="1"/>
    <x v="3"/>
    <x v="0"/>
    <n v="75"/>
    <x v="1"/>
    <n v="4"/>
    <x v="2"/>
    <n v="2"/>
    <x v="3"/>
    <n v="1"/>
    <x v="3"/>
    <x v="0"/>
    <n v="5980"/>
    <x v="0"/>
    <n v="26085"/>
    <x v="1"/>
    <n v="6"/>
    <x v="2"/>
    <s v="Y"/>
    <x v="0"/>
    <n v="12"/>
    <x v="0"/>
    <n v="3"/>
    <x v="0"/>
    <n v="4"/>
    <x v="1"/>
    <n v="80"/>
    <n v="0"/>
    <n v="17"/>
    <x v="1"/>
    <n v="2"/>
    <x v="0"/>
    <n v="3"/>
    <x v="1"/>
    <n v="15"/>
    <x v="4"/>
    <n v="7"/>
    <x v="1"/>
    <n v="4"/>
    <x v="1"/>
    <n v="12"/>
    <x v="3"/>
  </r>
  <r>
    <n v="804"/>
    <n v="34"/>
    <x v="2"/>
    <x v="1"/>
    <n v="0"/>
    <x v="0"/>
    <n v="121"/>
    <x v="1"/>
    <x v="1"/>
    <n v="2"/>
    <x v="0"/>
    <n v="4"/>
    <x v="2"/>
    <x v="2"/>
    <n v="1"/>
    <n v="3"/>
    <x v="1"/>
    <x v="0"/>
    <n v="86"/>
    <x v="0"/>
    <n v="2"/>
    <x v="1"/>
    <n v="1"/>
    <x v="1"/>
    <n v="1"/>
    <x v="3"/>
    <x v="0"/>
    <n v="4381"/>
    <x v="1"/>
    <n v="7530"/>
    <x v="2"/>
    <n v="1"/>
    <x v="1"/>
    <s v="Y"/>
    <x v="1"/>
    <n v="11"/>
    <x v="0"/>
    <n v="3"/>
    <x v="0"/>
    <n v="3"/>
    <x v="3"/>
    <n v="80"/>
    <n v="0"/>
    <n v="6"/>
    <x v="0"/>
    <n v="3"/>
    <x v="1"/>
    <n v="3"/>
    <x v="1"/>
    <n v="6"/>
    <x v="0"/>
    <n v="5"/>
    <x v="0"/>
    <n v="1"/>
    <x v="0"/>
    <n v="3"/>
    <x v="0"/>
  </r>
  <r>
    <n v="805"/>
    <n v="35"/>
    <x v="2"/>
    <x v="1"/>
    <n v="0"/>
    <x v="0"/>
    <n v="384"/>
    <x v="1"/>
    <x v="0"/>
    <n v="8"/>
    <x v="1"/>
    <n v="4"/>
    <x v="2"/>
    <x v="0"/>
    <n v="1"/>
    <n v="1"/>
    <x v="3"/>
    <x v="0"/>
    <n v="72"/>
    <x v="1"/>
    <n v="3"/>
    <x v="0"/>
    <n v="1"/>
    <x v="6"/>
    <n v="4"/>
    <x v="0"/>
    <x v="1"/>
    <n v="2572"/>
    <x v="3"/>
    <n v="20317"/>
    <x v="0"/>
    <n v="1"/>
    <x v="1"/>
    <s v="Y"/>
    <x v="1"/>
    <n v="16"/>
    <x v="3"/>
    <n v="3"/>
    <x v="0"/>
    <n v="2"/>
    <x v="4"/>
    <n v="80"/>
    <n v="1"/>
    <n v="3"/>
    <x v="3"/>
    <n v="1"/>
    <x v="0"/>
    <n v="2"/>
    <x v="2"/>
    <n v="3"/>
    <x v="2"/>
    <n v="2"/>
    <x v="0"/>
    <n v="0"/>
    <x v="0"/>
    <n v="2"/>
    <x v="0"/>
  </r>
  <r>
    <n v="806"/>
    <n v="30"/>
    <x v="2"/>
    <x v="1"/>
    <n v="0"/>
    <x v="0"/>
    <n v="921"/>
    <x v="2"/>
    <x v="1"/>
    <n v="1"/>
    <x v="0"/>
    <n v="3"/>
    <x v="3"/>
    <x v="0"/>
    <n v="1"/>
    <n v="4"/>
    <x v="2"/>
    <x v="1"/>
    <n v="38"/>
    <x v="2"/>
    <n v="1"/>
    <x v="3"/>
    <n v="1"/>
    <x v="2"/>
    <n v="3"/>
    <x v="2"/>
    <x v="1"/>
    <n v="3833"/>
    <x v="3"/>
    <n v="24375"/>
    <x v="1"/>
    <n v="3"/>
    <x v="3"/>
    <s v="Y"/>
    <x v="1"/>
    <n v="21"/>
    <x v="1"/>
    <n v="4"/>
    <x v="1"/>
    <n v="3"/>
    <x v="3"/>
    <n v="80"/>
    <n v="2"/>
    <n v="7"/>
    <x v="0"/>
    <n v="2"/>
    <x v="0"/>
    <n v="3"/>
    <x v="1"/>
    <n v="2"/>
    <x v="2"/>
    <n v="2"/>
    <x v="0"/>
    <n v="0"/>
    <x v="0"/>
    <n v="2"/>
    <x v="0"/>
  </r>
  <r>
    <n v="807"/>
    <n v="40"/>
    <x v="0"/>
    <x v="1"/>
    <n v="0"/>
    <x v="1"/>
    <n v="791"/>
    <x v="2"/>
    <x v="1"/>
    <n v="2"/>
    <x v="0"/>
    <n v="2"/>
    <x v="0"/>
    <x v="2"/>
    <n v="1"/>
    <n v="3"/>
    <x v="1"/>
    <x v="0"/>
    <n v="38"/>
    <x v="2"/>
    <n v="4"/>
    <x v="2"/>
    <n v="2"/>
    <x v="4"/>
    <n v="2"/>
    <x v="1"/>
    <x v="1"/>
    <n v="4244"/>
    <x v="1"/>
    <n v="9931"/>
    <x v="3"/>
    <n v="1"/>
    <x v="1"/>
    <s v="Y"/>
    <x v="1"/>
    <n v="24"/>
    <x v="1"/>
    <n v="4"/>
    <x v="1"/>
    <n v="4"/>
    <x v="1"/>
    <n v="80"/>
    <n v="1"/>
    <n v="8"/>
    <x v="0"/>
    <n v="2"/>
    <x v="0"/>
    <n v="3"/>
    <x v="1"/>
    <n v="8"/>
    <x v="0"/>
    <n v="7"/>
    <x v="1"/>
    <n v="3"/>
    <x v="1"/>
    <n v="7"/>
    <x v="1"/>
  </r>
  <r>
    <n v="808"/>
    <n v="34"/>
    <x v="2"/>
    <x v="1"/>
    <n v="0"/>
    <x v="0"/>
    <n v="1111"/>
    <x v="0"/>
    <x v="0"/>
    <n v="8"/>
    <x v="1"/>
    <n v="2"/>
    <x v="0"/>
    <x v="0"/>
    <n v="1"/>
    <n v="3"/>
    <x v="1"/>
    <x v="0"/>
    <n v="93"/>
    <x v="0"/>
    <n v="3"/>
    <x v="0"/>
    <n v="2"/>
    <x v="0"/>
    <n v="1"/>
    <x v="3"/>
    <x v="1"/>
    <n v="6500"/>
    <x v="0"/>
    <n v="13305"/>
    <x v="3"/>
    <n v="5"/>
    <x v="2"/>
    <s v="Y"/>
    <x v="1"/>
    <n v="17"/>
    <x v="3"/>
    <n v="3"/>
    <x v="0"/>
    <n v="2"/>
    <x v="4"/>
    <n v="80"/>
    <n v="1"/>
    <n v="6"/>
    <x v="0"/>
    <n v="1"/>
    <x v="0"/>
    <n v="3"/>
    <x v="1"/>
    <n v="3"/>
    <x v="2"/>
    <n v="2"/>
    <x v="0"/>
    <n v="1"/>
    <x v="0"/>
    <n v="2"/>
    <x v="0"/>
  </r>
  <r>
    <n v="809"/>
    <n v="42"/>
    <x v="0"/>
    <x v="1"/>
    <n v="0"/>
    <x v="1"/>
    <n v="570"/>
    <x v="2"/>
    <x v="1"/>
    <n v="8"/>
    <x v="1"/>
    <n v="3"/>
    <x v="3"/>
    <x v="0"/>
    <n v="1"/>
    <n v="2"/>
    <x v="0"/>
    <x v="1"/>
    <n v="66"/>
    <x v="1"/>
    <n v="3"/>
    <x v="0"/>
    <n v="5"/>
    <x v="5"/>
    <n v="4"/>
    <x v="0"/>
    <x v="2"/>
    <n v="18430"/>
    <x v="9"/>
    <n v="16225"/>
    <x v="0"/>
    <n v="1"/>
    <x v="1"/>
    <s v="Y"/>
    <x v="1"/>
    <n v="13"/>
    <x v="2"/>
    <n v="3"/>
    <x v="0"/>
    <n v="2"/>
    <x v="4"/>
    <n v="80"/>
    <n v="1"/>
    <n v="24"/>
    <x v="4"/>
    <n v="4"/>
    <x v="1"/>
    <n v="2"/>
    <x v="2"/>
    <n v="24"/>
    <x v="3"/>
    <n v="7"/>
    <x v="1"/>
    <n v="14"/>
    <x v="3"/>
    <n v="9"/>
    <x v="1"/>
  </r>
  <r>
    <n v="811"/>
    <n v="23"/>
    <x v="4"/>
    <x v="0"/>
    <n v="1"/>
    <x v="0"/>
    <n v="1243"/>
    <x v="0"/>
    <x v="1"/>
    <n v="6"/>
    <x v="1"/>
    <n v="3"/>
    <x v="3"/>
    <x v="0"/>
    <n v="1"/>
    <n v="3"/>
    <x v="1"/>
    <x v="1"/>
    <n v="63"/>
    <x v="1"/>
    <n v="4"/>
    <x v="2"/>
    <n v="1"/>
    <x v="2"/>
    <n v="1"/>
    <x v="3"/>
    <x v="1"/>
    <n v="1601"/>
    <x v="2"/>
    <n v="3445"/>
    <x v="2"/>
    <n v="1"/>
    <x v="1"/>
    <s v="Y"/>
    <x v="0"/>
    <n v="21"/>
    <x v="1"/>
    <n v="4"/>
    <x v="1"/>
    <n v="3"/>
    <x v="3"/>
    <n v="80"/>
    <n v="2"/>
    <n v="1"/>
    <x v="2"/>
    <n v="2"/>
    <x v="0"/>
    <n v="3"/>
    <x v="1"/>
    <n v="0"/>
    <x v="1"/>
    <n v="0"/>
    <x v="2"/>
    <n v="0"/>
    <x v="0"/>
    <n v="0"/>
    <x v="2"/>
  </r>
  <r>
    <n v="812"/>
    <n v="24"/>
    <x v="4"/>
    <x v="1"/>
    <n v="0"/>
    <x v="2"/>
    <n v="1092"/>
    <x v="0"/>
    <x v="1"/>
    <n v="9"/>
    <x v="1"/>
    <n v="3"/>
    <x v="3"/>
    <x v="0"/>
    <n v="1"/>
    <n v="3"/>
    <x v="1"/>
    <x v="1"/>
    <n v="60"/>
    <x v="1"/>
    <n v="2"/>
    <x v="1"/>
    <n v="1"/>
    <x v="2"/>
    <n v="2"/>
    <x v="1"/>
    <x v="2"/>
    <n v="2694"/>
    <x v="3"/>
    <n v="26551"/>
    <x v="1"/>
    <n v="1"/>
    <x v="1"/>
    <s v="Y"/>
    <x v="1"/>
    <n v="11"/>
    <x v="0"/>
    <n v="3"/>
    <x v="0"/>
    <n v="3"/>
    <x v="3"/>
    <n v="80"/>
    <n v="3"/>
    <n v="1"/>
    <x v="2"/>
    <n v="4"/>
    <x v="1"/>
    <n v="3"/>
    <x v="1"/>
    <n v="1"/>
    <x v="1"/>
    <n v="0"/>
    <x v="2"/>
    <n v="0"/>
    <x v="0"/>
    <n v="0"/>
    <x v="2"/>
  </r>
  <r>
    <n v="813"/>
    <n v="52"/>
    <x v="1"/>
    <x v="1"/>
    <n v="0"/>
    <x v="0"/>
    <n v="1325"/>
    <x v="0"/>
    <x v="1"/>
    <n v="11"/>
    <x v="3"/>
    <n v="4"/>
    <x v="2"/>
    <x v="0"/>
    <n v="1"/>
    <n v="4"/>
    <x v="2"/>
    <x v="0"/>
    <n v="82"/>
    <x v="0"/>
    <n v="3"/>
    <x v="0"/>
    <n v="2"/>
    <x v="2"/>
    <n v="3"/>
    <x v="2"/>
    <x v="1"/>
    <n v="3149"/>
    <x v="3"/>
    <n v="21821"/>
    <x v="0"/>
    <n v="8"/>
    <x v="0"/>
    <s v="Y"/>
    <x v="1"/>
    <n v="20"/>
    <x v="1"/>
    <n v="4"/>
    <x v="1"/>
    <n v="2"/>
    <x v="4"/>
    <n v="80"/>
    <n v="1"/>
    <n v="9"/>
    <x v="0"/>
    <n v="3"/>
    <x v="1"/>
    <n v="3"/>
    <x v="1"/>
    <n v="5"/>
    <x v="2"/>
    <n v="2"/>
    <x v="0"/>
    <n v="1"/>
    <x v="0"/>
    <n v="4"/>
    <x v="0"/>
  </r>
  <r>
    <n v="815"/>
    <n v="50"/>
    <x v="1"/>
    <x v="1"/>
    <n v="0"/>
    <x v="0"/>
    <n v="691"/>
    <x v="2"/>
    <x v="1"/>
    <n v="2"/>
    <x v="0"/>
    <n v="3"/>
    <x v="3"/>
    <x v="2"/>
    <n v="1"/>
    <n v="3"/>
    <x v="1"/>
    <x v="1"/>
    <n v="64"/>
    <x v="1"/>
    <n v="3"/>
    <x v="0"/>
    <n v="4"/>
    <x v="7"/>
    <n v="3"/>
    <x v="2"/>
    <x v="1"/>
    <n v="17639"/>
    <x v="9"/>
    <n v="6881"/>
    <x v="2"/>
    <n v="5"/>
    <x v="2"/>
    <s v="Y"/>
    <x v="1"/>
    <n v="16"/>
    <x v="3"/>
    <n v="3"/>
    <x v="0"/>
    <n v="4"/>
    <x v="1"/>
    <n v="80"/>
    <n v="0"/>
    <n v="30"/>
    <x v="4"/>
    <n v="3"/>
    <x v="1"/>
    <n v="3"/>
    <x v="1"/>
    <n v="4"/>
    <x v="2"/>
    <n v="3"/>
    <x v="0"/>
    <n v="0"/>
    <x v="0"/>
    <n v="3"/>
    <x v="0"/>
  </r>
  <r>
    <n v="816"/>
    <n v="29"/>
    <x v="2"/>
    <x v="0"/>
    <n v="1"/>
    <x v="0"/>
    <n v="805"/>
    <x v="2"/>
    <x v="1"/>
    <n v="1"/>
    <x v="0"/>
    <n v="2"/>
    <x v="0"/>
    <x v="0"/>
    <n v="1"/>
    <n v="2"/>
    <x v="0"/>
    <x v="0"/>
    <n v="36"/>
    <x v="2"/>
    <n v="2"/>
    <x v="1"/>
    <n v="1"/>
    <x v="2"/>
    <n v="1"/>
    <x v="3"/>
    <x v="1"/>
    <n v="2319"/>
    <x v="2"/>
    <n v="6689"/>
    <x v="2"/>
    <n v="1"/>
    <x v="1"/>
    <s v="Y"/>
    <x v="0"/>
    <n v="11"/>
    <x v="0"/>
    <n v="3"/>
    <x v="0"/>
    <n v="4"/>
    <x v="1"/>
    <n v="80"/>
    <n v="1"/>
    <n v="1"/>
    <x v="2"/>
    <n v="1"/>
    <x v="0"/>
    <n v="3"/>
    <x v="1"/>
    <n v="1"/>
    <x v="1"/>
    <n v="0"/>
    <x v="2"/>
    <n v="0"/>
    <x v="0"/>
    <n v="0"/>
    <x v="2"/>
  </r>
  <r>
    <n v="817"/>
    <n v="33"/>
    <x v="2"/>
    <x v="1"/>
    <n v="0"/>
    <x v="0"/>
    <n v="213"/>
    <x v="1"/>
    <x v="1"/>
    <n v="7"/>
    <x v="1"/>
    <n v="3"/>
    <x v="3"/>
    <x v="2"/>
    <n v="1"/>
    <n v="3"/>
    <x v="1"/>
    <x v="1"/>
    <n v="49"/>
    <x v="2"/>
    <n v="3"/>
    <x v="0"/>
    <n v="3"/>
    <x v="7"/>
    <n v="3"/>
    <x v="2"/>
    <x v="1"/>
    <n v="11691"/>
    <x v="6"/>
    <n v="25995"/>
    <x v="1"/>
    <n v="0"/>
    <x v="1"/>
    <s v="Y"/>
    <x v="1"/>
    <n v="11"/>
    <x v="0"/>
    <n v="3"/>
    <x v="0"/>
    <n v="4"/>
    <x v="1"/>
    <n v="80"/>
    <n v="0"/>
    <n v="14"/>
    <x v="1"/>
    <n v="3"/>
    <x v="1"/>
    <n v="4"/>
    <x v="3"/>
    <n v="13"/>
    <x v="4"/>
    <n v="9"/>
    <x v="1"/>
    <n v="3"/>
    <x v="1"/>
    <n v="7"/>
    <x v="1"/>
  </r>
  <r>
    <n v="819"/>
    <n v="33"/>
    <x v="2"/>
    <x v="0"/>
    <n v="1"/>
    <x v="0"/>
    <n v="118"/>
    <x v="1"/>
    <x v="0"/>
    <n v="16"/>
    <x v="3"/>
    <n v="3"/>
    <x v="3"/>
    <x v="3"/>
    <n v="1"/>
    <n v="1"/>
    <x v="3"/>
    <x v="0"/>
    <n v="69"/>
    <x v="1"/>
    <n v="3"/>
    <x v="0"/>
    <n v="2"/>
    <x v="0"/>
    <n v="1"/>
    <x v="3"/>
    <x v="0"/>
    <n v="5324"/>
    <x v="1"/>
    <n v="26507"/>
    <x v="1"/>
    <n v="5"/>
    <x v="2"/>
    <s v="Y"/>
    <x v="1"/>
    <n v="15"/>
    <x v="2"/>
    <n v="3"/>
    <x v="0"/>
    <n v="3"/>
    <x v="3"/>
    <n v="80"/>
    <n v="0"/>
    <n v="6"/>
    <x v="0"/>
    <n v="3"/>
    <x v="1"/>
    <n v="3"/>
    <x v="1"/>
    <n v="3"/>
    <x v="2"/>
    <n v="2"/>
    <x v="0"/>
    <n v="0"/>
    <x v="0"/>
    <n v="2"/>
    <x v="0"/>
  </r>
  <r>
    <n v="820"/>
    <n v="47"/>
    <x v="1"/>
    <x v="1"/>
    <n v="0"/>
    <x v="0"/>
    <n v="202"/>
    <x v="1"/>
    <x v="1"/>
    <n v="2"/>
    <x v="0"/>
    <n v="2"/>
    <x v="0"/>
    <x v="1"/>
    <n v="1"/>
    <n v="3"/>
    <x v="1"/>
    <x v="0"/>
    <n v="33"/>
    <x v="2"/>
    <n v="3"/>
    <x v="0"/>
    <n v="4"/>
    <x v="5"/>
    <n v="4"/>
    <x v="0"/>
    <x v="1"/>
    <n v="16752"/>
    <x v="12"/>
    <n v="12982"/>
    <x v="3"/>
    <n v="1"/>
    <x v="1"/>
    <s v="Y"/>
    <x v="0"/>
    <n v="11"/>
    <x v="0"/>
    <n v="3"/>
    <x v="0"/>
    <n v="3"/>
    <x v="3"/>
    <n v="80"/>
    <n v="1"/>
    <n v="26"/>
    <x v="4"/>
    <n v="3"/>
    <x v="1"/>
    <n v="2"/>
    <x v="2"/>
    <n v="26"/>
    <x v="3"/>
    <n v="14"/>
    <x v="3"/>
    <n v="3"/>
    <x v="1"/>
    <n v="0"/>
    <x v="2"/>
  </r>
  <r>
    <n v="823"/>
    <n v="36"/>
    <x v="0"/>
    <x v="1"/>
    <n v="0"/>
    <x v="0"/>
    <n v="676"/>
    <x v="2"/>
    <x v="1"/>
    <n v="1"/>
    <x v="0"/>
    <n v="3"/>
    <x v="3"/>
    <x v="1"/>
    <n v="1"/>
    <n v="3"/>
    <x v="1"/>
    <x v="0"/>
    <n v="35"/>
    <x v="2"/>
    <n v="3"/>
    <x v="0"/>
    <n v="2"/>
    <x v="3"/>
    <n v="2"/>
    <x v="1"/>
    <x v="1"/>
    <n v="5228"/>
    <x v="1"/>
    <n v="23361"/>
    <x v="1"/>
    <n v="0"/>
    <x v="1"/>
    <s v="Y"/>
    <x v="1"/>
    <n v="15"/>
    <x v="2"/>
    <n v="3"/>
    <x v="0"/>
    <n v="1"/>
    <x v="0"/>
    <n v="80"/>
    <n v="1"/>
    <n v="10"/>
    <x v="0"/>
    <n v="2"/>
    <x v="0"/>
    <n v="3"/>
    <x v="1"/>
    <n v="9"/>
    <x v="0"/>
    <n v="7"/>
    <x v="1"/>
    <n v="0"/>
    <x v="0"/>
    <n v="5"/>
    <x v="0"/>
  </r>
  <r>
    <n v="824"/>
    <n v="29"/>
    <x v="2"/>
    <x v="1"/>
    <n v="0"/>
    <x v="0"/>
    <n v="1252"/>
    <x v="0"/>
    <x v="1"/>
    <n v="23"/>
    <x v="2"/>
    <n v="2"/>
    <x v="0"/>
    <x v="0"/>
    <n v="1"/>
    <n v="3"/>
    <x v="1"/>
    <x v="1"/>
    <n v="81"/>
    <x v="0"/>
    <n v="4"/>
    <x v="2"/>
    <n v="1"/>
    <x v="1"/>
    <n v="3"/>
    <x v="2"/>
    <x v="1"/>
    <n v="2700"/>
    <x v="3"/>
    <n v="23779"/>
    <x v="1"/>
    <n v="1"/>
    <x v="1"/>
    <s v="Y"/>
    <x v="1"/>
    <n v="24"/>
    <x v="1"/>
    <n v="4"/>
    <x v="1"/>
    <n v="3"/>
    <x v="3"/>
    <n v="80"/>
    <n v="1"/>
    <n v="10"/>
    <x v="0"/>
    <n v="3"/>
    <x v="1"/>
    <n v="3"/>
    <x v="1"/>
    <n v="10"/>
    <x v="0"/>
    <n v="7"/>
    <x v="1"/>
    <n v="0"/>
    <x v="0"/>
    <n v="7"/>
    <x v="1"/>
  </r>
  <r>
    <n v="825"/>
    <n v="58"/>
    <x v="3"/>
    <x v="0"/>
    <n v="1"/>
    <x v="0"/>
    <n v="286"/>
    <x v="1"/>
    <x v="1"/>
    <n v="2"/>
    <x v="0"/>
    <n v="4"/>
    <x v="2"/>
    <x v="0"/>
    <n v="1"/>
    <n v="4"/>
    <x v="2"/>
    <x v="1"/>
    <n v="31"/>
    <x v="2"/>
    <n v="3"/>
    <x v="0"/>
    <n v="5"/>
    <x v="7"/>
    <n v="2"/>
    <x v="1"/>
    <x v="0"/>
    <n v="19246"/>
    <x v="7"/>
    <n v="25761"/>
    <x v="1"/>
    <n v="7"/>
    <x v="0"/>
    <s v="Y"/>
    <x v="0"/>
    <n v="12"/>
    <x v="0"/>
    <n v="3"/>
    <x v="0"/>
    <n v="4"/>
    <x v="1"/>
    <n v="80"/>
    <n v="0"/>
    <n v="40"/>
    <x v="4"/>
    <n v="2"/>
    <x v="0"/>
    <n v="3"/>
    <x v="1"/>
    <n v="31"/>
    <x v="3"/>
    <n v="15"/>
    <x v="3"/>
    <n v="13"/>
    <x v="3"/>
    <n v="8"/>
    <x v="1"/>
  </r>
  <r>
    <n v="826"/>
    <n v="35"/>
    <x v="2"/>
    <x v="1"/>
    <n v="0"/>
    <x v="0"/>
    <n v="1258"/>
    <x v="0"/>
    <x v="1"/>
    <n v="1"/>
    <x v="0"/>
    <n v="4"/>
    <x v="2"/>
    <x v="0"/>
    <n v="1"/>
    <n v="4"/>
    <x v="2"/>
    <x v="0"/>
    <n v="40"/>
    <x v="2"/>
    <n v="4"/>
    <x v="2"/>
    <n v="1"/>
    <x v="1"/>
    <n v="3"/>
    <x v="2"/>
    <x v="0"/>
    <n v="2506"/>
    <x v="3"/>
    <n v="13301"/>
    <x v="3"/>
    <n v="3"/>
    <x v="3"/>
    <s v="Y"/>
    <x v="1"/>
    <n v="13"/>
    <x v="2"/>
    <n v="3"/>
    <x v="0"/>
    <n v="3"/>
    <x v="3"/>
    <n v="80"/>
    <n v="0"/>
    <n v="7"/>
    <x v="0"/>
    <n v="0"/>
    <x v="0"/>
    <n v="3"/>
    <x v="1"/>
    <n v="2"/>
    <x v="2"/>
    <n v="2"/>
    <x v="0"/>
    <n v="2"/>
    <x v="1"/>
    <n v="2"/>
    <x v="0"/>
  </r>
  <r>
    <n v="827"/>
    <n v="42"/>
    <x v="0"/>
    <x v="1"/>
    <n v="0"/>
    <x v="0"/>
    <n v="932"/>
    <x v="2"/>
    <x v="1"/>
    <n v="1"/>
    <x v="0"/>
    <n v="2"/>
    <x v="0"/>
    <x v="0"/>
    <n v="1"/>
    <n v="4"/>
    <x v="2"/>
    <x v="0"/>
    <n v="43"/>
    <x v="2"/>
    <n v="2"/>
    <x v="1"/>
    <n v="2"/>
    <x v="3"/>
    <n v="4"/>
    <x v="0"/>
    <x v="1"/>
    <n v="6062"/>
    <x v="0"/>
    <n v="4051"/>
    <x v="2"/>
    <n v="9"/>
    <x v="0"/>
    <s v="Y"/>
    <x v="0"/>
    <n v="13"/>
    <x v="2"/>
    <n v="3"/>
    <x v="0"/>
    <n v="4"/>
    <x v="1"/>
    <n v="80"/>
    <n v="1"/>
    <n v="8"/>
    <x v="0"/>
    <n v="4"/>
    <x v="1"/>
    <n v="3"/>
    <x v="1"/>
    <n v="4"/>
    <x v="2"/>
    <n v="3"/>
    <x v="0"/>
    <n v="0"/>
    <x v="0"/>
    <n v="2"/>
    <x v="0"/>
  </r>
  <r>
    <n v="828"/>
    <n v="28"/>
    <x v="2"/>
    <x v="0"/>
    <n v="1"/>
    <x v="0"/>
    <n v="890"/>
    <x v="2"/>
    <x v="1"/>
    <n v="2"/>
    <x v="0"/>
    <n v="4"/>
    <x v="2"/>
    <x v="2"/>
    <n v="1"/>
    <n v="3"/>
    <x v="1"/>
    <x v="1"/>
    <n v="46"/>
    <x v="2"/>
    <n v="3"/>
    <x v="0"/>
    <n v="1"/>
    <x v="1"/>
    <n v="3"/>
    <x v="2"/>
    <x v="0"/>
    <n v="4382"/>
    <x v="1"/>
    <n v="16374"/>
    <x v="0"/>
    <n v="6"/>
    <x v="2"/>
    <s v="Y"/>
    <x v="1"/>
    <n v="17"/>
    <x v="3"/>
    <n v="3"/>
    <x v="0"/>
    <n v="4"/>
    <x v="1"/>
    <n v="80"/>
    <n v="0"/>
    <n v="5"/>
    <x v="3"/>
    <n v="3"/>
    <x v="1"/>
    <n v="2"/>
    <x v="2"/>
    <n v="2"/>
    <x v="2"/>
    <n v="2"/>
    <x v="0"/>
    <n v="2"/>
    <x v="1"/>
    <n v="1"/>
    <x v="2"/>
  </r>
  <r>
    <n v="829"/>
    <n v="36"/>
    <x v="0"/>
    <x v="1"/>
    <n v="0"/>
    <x v="0"/>
    <n v="1041"/>
    <x v="0"/>
    <x v="2"/>
    <n v="13"/>
    <x v="3"/>
    <n v="3"/>
    <x v="3"/>
    <x v="5"/>
    <n v="1"/>
    <n v="3"/>
    <x v="1"/>
    <x v="1"/>
    <n v="36"/>
    <x v="2"/>
    <n v="3"/>
    <x v="0"/>
    <n v="1"/>
    <x v="8"/>
    <n v="2"/>
    <x v="1"/>
    <x v="1"/>
    <n v="2143"/>
    <x v="2"/>
    <n v="25527"/>
    <x v="1"/>
    <n v="4"/>
    <x v="2"/>
    <s v="Y"/>
    <x v="1"/>
    <n v="13"/>
    <x v="2"/>
    <n v="3"/>
    <x v="0"/>
    <n v="2"/>
    <x v="4"/>
    <n v="80"/>
    <n v="1"/>
    <n v="8"/>
    <x v="0"/>
    <n v="2"/>
    <x v="0"/>
    <n v="3"/>
    <x v="1"/>
    <n v="5"/>
    <x v="2"/>
    <n v="2"/>
    <x v="0"/>
    <n v="0"/>
    <x v="0"/>
    <n v="4"/>
    <x v="0"/>
  </r>
  <r>
    <n v="830"/>
    <n v="32"/>
    <x v="2"/>
    <x v="1"/>
    <n v="0"/>
    <x v="0"/>
    <n v="859"/>
    <x v="2"/>
    <x v="1"/>
    <n v="4"/>
    <x v="0"/>
    <n v="3"/>
    <x v="3"/>
    <x v="0"/>
    <n v="1"/>
    <n v="3"/>
    <x v="1"/>
    <x v="0"/>
    <n v="98"/>
    <x v="0"/>
    <n v="2"/>
    <x v="1"/>
    <n v="2"/>
    <x v="3"/>
    <n v="3"/>
    <x v="2"/>
    <x v="1"/>
    <n v="6162"/>
    <x v="0"/>
    <n v="19124"/>
    <x v="0"/>
    <n v="1"/>
    <x v="1"/>
    <s v="Y"/>
    <x v="1"/>
    <n v="12"/>
    <x v="0"/>
    <n v="3"/>
    <x v="0"/>
    <n v="3"/>
    <x v="3"/>
    <n v="80"/>
    <n v="1"/>
    <n v="14"/>
    <x v="1"/>
    <n v="3"/>
    <x v="1"/>
    <n v="3"/>
    <x v="1"/>
    <n v="14"/>
    <x v="4"/>
    <n v="13"/>
    <x v="3"/>
    <n v="6"/>
    <x v="2"/>
    <n v="8"/>
    <x v="1"/>
  </r>
  <r>
    <n v="832"/>
    <n v="40"/>
    <x v="0"/>
    <x v="1"/>
    <n v="0"/>
    <x v="1"/>
    <n v="720"/>
    <x v="2"/>
    <x v="1"/>
    <n v="16"/>
    <x v="3"/>
    <n v="4"/>
    <x v="2"/>
    <x v="2"/>
    <n v="1"/>
    <n v="1"/>
    <x v="3"/>
    <x v="1"/>
    <n v="51"/>
    <x v="1"/>
    <n v="2"/>
    <x v="1"/>
    <n v="2"/>
    <x v="2"/>
    <n v="3"/>
    <x v="2"/>
    <x v="0"/>
    <n v="5094"/>
    <x v="1"/>
    <n v="11983"/>
    <x v="3"/>
    <n v="6"/>
    <x v="2"/>
    <s v="Y"/>
    <x v="1"/>
    <n v="14"/>
    <x v="2"/>
    <n v="3"/>
    <x v="0"/>
    <n v="4"/>
    <x v="1"/>
    <n v="80"/>
    <n v="0"/>
    <n v="10"/>
    <x v="0"/>
    <n v="6"/>
    <x v="2"/>
    <n v="3"/>
    <x v="1"/>
    <n v="1"/>
    <x v="1"/>
    <n v="0"/>
    <x v="2"/>
    <n v="0"/>
    <x v="0"/>
    <n v="0"/>
    <x v="2"/>
  </r>
  <r>
    <n v="833"/>
    <n v="30"/>
    <x v="2"/>
    <x v="1"/>
    <n v="0"/>
    <x v="0"/>
    <n v="946"/>
    <x v="2"/>
    <x v="1"/>
    <n v="2"/>
    <x v="0"/>
    <n v="3"/>
    <x v="3"/>
    <x v="2"/>
    <n v="1"/>
    <n v="3"/>
    <x v="1"/>
    <x v="0"/>
    <n v="52"/>
    <x v="1"/>
    <n v="2"/>
    <x v="1"/>
    <n v="2"/>
    <x v="3"/>
    <n v="4"/>
    <x v="0"/>
    <x v="0"/>
    <n v="6877"/>
    <x v="0"/>
    <n v="20234"/>
    <x v="0"/>
    <n v="5"/>
    <x v="2"/>
    <s v="Y"/>
    <x v="0"/>
    <n v="24"/>
    <x v="1"/>
    <n v="4"/>
    <x v="1"/>
    <n v="2"/>
    <x v="4"/>
    <n v="80"/>
    <n v="0"/>
    <n v="12"/>
    <x v="1"/>
    <n v="4"/>
    <x v="1"/>
    <n v="2"/>
    <x v="2"/>
    <n v="0"/>
    <x v="1"/>
    <n v="0"/>
    <x v="2"/>
    <n v="0"/>
    <x v="0"/>
    <n v="0"/>
    <x v="2"/>
  </r>
  <r>
    <n v="834"/>
    <n v="45"/>
    <x v="0"/>
    <x v="1"/>
    <n v="0"/>
    <x v="0"/>
    <n v="252"/>
    <x v="1"/>
    <x v="1"/>
    <n v="2"/>
    <x v="0"/>
    <n v="3"/>
    <x v="3"/>
    <x v="0"/>
    <n v="1"/>
    <n v="2"/>
    <x v="0"/>
    <x v="0"/>
    <n v="95"/>
    <x v="0"/>
    <n v="2"/>
    <x v="1"/>
    <n v="1"/>
    <x v="1"/>
    <n v="3"/>
    <x v="2"/>
    <x v="0"/>
    <n v="2274"/>
    <x v="2"/>
    <n v="6153"/>
    <x v="2"/>
    <n v="1"/>
    <x v="1"/>
    <s v="Y"/>
    <x v="1"/>
    <n v="14"/>
    <x v="2"/>
    <n v="3"/>
    <x v="0"/>
    <n v="4"/>
    <x v="1"/>
    <n v="80"/>
    <n v="0"/>
    <n v="1"/>
    <x v="2"/>
    <n v="3"/>
    <x v="1"/>
    <n v="3"/>
    <x v="1"/>
    <n v="1"/>
    <x v="1"/>
    <n v="0"/>
    <x v="2"/>
    <n v="0"/>
    <x v="0"/>
    <n v="0"/>
    <x v="2"/>
  </r>
  <r>
    <n v="836"/>
    <n v="42"/>
    <x v="0"/>
    <x v="1"/>
    <n v="0"/>
    <x v="0"/>
    <n v="933"/>
    <x v="2"/>
    <x v="1"/>
    <n v="29"/>
    <x v="2"/>
    <n v="3"/>
    <x v="3"/>
    <x v="0"/>
    <n v="1"/>
    <n v="2"/>
    <x v="0"/>
    <x v="1"/>
    <n v="98"/>
    <x v="0"/>
    <n v="3"/>
    <x v="0"/>
    <n v="2"/>
    <x v="3"/>
    <n v="2"/>
    <x v="1"/>
    <x v="1"/>
    <n v="4434"/>
    <x v="1"/>
    <n v="11806"/>
    <x v="3"/>
    <n v="1"/>
    <x v="1"/>
    <s v="Y"/>
    <x v="1"/>
    <n v="13"/>
    <x v="2"/>
    <n v="3"/>
    <x v="0"/>
    <n v="4"/>
    <x v="1"/>
    <n v="80"/>
    <n v="1"/>
    <n v="10"/>
    <x v="0"/>
    <n v="3"/>
    <x v="1"/>
    <n v="2"/>
    <x v="2"/>
    <n v="9"/>
    <x v="0"/>
    <n v="8"/>
    <x v="1"/>
    <n v="7"/>
    <x v="2"/>
    <n v="8"/>
    <x v="1"/>
  </r>
  <r>
    <n v="837"/>
    <n v="38"/>
    <x v="0"/>
    <x v="1"/>
    <n v="0"/>
    <x v="1"/>
    <n v="471"/>
    <x v="1"/>
    <x v="1"/>
    <n v="12"/>
    <x v="3"/>
    <n v="3"/>
    <x v="3"/>
    <x v="0"/>
    <n v="1"/>
    <n v="1"/>
    <x v="3"/>
    <x v="1"/>
    <n v="45"/>
    <x v="2"/>
    <n v="2"/>
    <x v="1"/>
    <n v="2"/>
    <x v="4"/>
    <n v="1"/>
    <x v="3"/>
    <x v="2"/>
    <n v="6288"/>
    <x v="0"/>
    <n v="4284"/>
    <x v="2"/>
    <n v="2"/>
    <x v="3"/>
    <s v="Y"/>
    <x v="1"/>
    <n v="15"/>
    <x v="2"/>
    <n v="3"/>
    <x v="0"/>
    <n v="3"/>
    <x v="3"/>
    <n v="80"/>
    <n v="1"/>
    <n v="13"/>
    <x v="1"/>
    <n v="3"/>
    <x v="1"/>
    <n v="2"/>
    <x v="2"/>
    <n v="4"/>
    <x v="2"/>
    <n v="3"/>
    <x v="0"/>
    <n v="1"/>
    <x v="0"/>
    <n v="2"/>
    <x v="0"/>
  </r>
  <r>
    <n v="838"/>
    <n v="34"/>
    <x v="2"/>
    <x v="1"/>
    <n v="0"/>
    <x v="1"/>
    <n v="702"/>
    <x v="2"/>
    <x v="1"/>
    <n v="16"/>
    <x v="3"/>
    <n v="4"/>
    <x v="2"/>
    <x v="0"/>
    <n v="1"/>
    <n v="3"/>
    <x v="1"/>
    <x v="0"/>
    <n v="100"/>
    <x v="0"/>
    <n v="2"/>
    <x v="1"/>
    <n v="1"/>
    <x v="1"/>
    <n v="4"/>
    <x v="0"/>
    <x v="0"/>
    <n v="2553"/>
    <x v="3"/>
    <n v="8306"/>
    <x v="3"/>
    <n v="1"/>
    <x v="1"/>
    <s v="Y"/>
    <x v="1"/>
    <n v="16"/>
    <x v="3"/>
    <n v="3"/>
    <x v="0"/>
    <n v="3"/>
    <x v="3"/>
    <n v="80"/>
    <n v="0"/>
    <n v="6"/>
    <x v="0"/>
    <n v="3"/>
    <x v="1"/>
    <n v="3"/>
    <x v="1"/>
    <n v="5"/>
    <x v="2"/>
    <n v="2"/>
    <x v="0"/>
    <n v="1"/>
    <x v="0"/>
    <n v="3"/>
    <x v="0"/>
  </r>
  <r>
    <n v="840"/>
    <n v="49"/>
    <x v="1"/>
    <x v="0"/>
    <n v="1"/>
    <x v="0"/>
    <n v="1184"/>
    <x v="0"/>
    <x v="0"/>
    <n v="11"/>
    <x v="3"/>
    <n v="3"/>
    <x v="3"/>
    <x v="3"/>
    <n v="1"/>
    <n v="3"/>
    <x v="1"/>
    <x v="0"/>
    <n v="43"/>
    <x v="2"/>
    <n v="3"/>
    <x v="0"/>
    <n v="3"/>
    <x v="0"/>
    <n v="4"/>
    <x v="0"/>
    <x v="1"/>
    <n v="7654"/>
    <x v="11"/>
    <n v="5860"/>
    <x v="2"/>
    <n v="1"/>
    <x v="1"/>
    <s v="Y"/>
    <x v="1"/>
    <n v="18"/>
    <x v="1"/>
    <n v="3"/>
    <x v="0"/>
    <n v="1"/>
    <x v="0"/>
    <n v="80"/>
    <n v="2"/>
    <n v="9"/>
    <x v="0"/>
    <n v="3"/>
    <x v="1"/>
    <n v="4"/>
    <x v="3"/>
    <n v="9"/>
    <x v="0"/>
    <n v="8"/>
    <x v="1"/>
    <n v="7"/>
    <x v="2"/>
    <n v="7"/>
    <x v="1"/>
  </r>
  <r>
    <n v="842"/>
    <n v="55"/>
    <x v="1"/>
    <x v="0"/>
    <n v="1"/>
    <x v="0"/>
    <n v="436"/>
    <x v="1"/>
    <x v="0"/>
    <n v="2"/>
    <x v="0"/>
    <n v="1"/>
    <x v="1"/>
    <x v="2"/>
    <n v="1"/>
    <n v="3"/>
    <x v="1"/>
    <x v="1"/>
    <n v="37"/>
    <x v="2"/>
    <n v="3"/>
    <x v="0"/>
    <n v="2"/>
    <x v="0"/>
    <n v="4"/>
    <x v="0"/>
    <x v="0"/>
    <n v="5160"/>
    <x v="1"/>
    <n v="21519"/>
    <x v="0"/>
    <n v="4"/>
    <x v="2"/>
    <s v="Y"/>
    <x v="1"/>
    <n v="16"/>
    <x v="3"/>
    <n v="3"/>
    <x v="0"/>
    <n v="3"/>
    <x v="3"/>
    <n v="80"/>
    <n v="0"/>
    <n v="12"/>
    <x v="1"/>
    <n v="3"/>
    <x v="1"/>
    <n v="2"/>
    <x v="2"/>
    <n v="9"/>
    <x v="0"/>
    <n v="7"/>
    <x v="1"/>
    <n v="7"/>
    <x v="2"/>
    <n v="3"/>
    <x v="0"/>
  </r>
  <r>
    <n v="843"/>
    <n v="43"/>
    <x v="0"/>
    <x v="1"/>
    <n v="0"/>
    <x v="0"/>
    <n v="589"/>
    <x v="2"/>
    <x v="1"/>
    <n v="14"/>
    <x v="3"/>
    <n v="2"/>
    <x v="0"/>
    <x v="0"/>
    <n v="1"/>
    <n v="2"/>
    <x v="0"/>
    <x v="1"/>
    <n v="94"/>
    <x v="0"/>
    <n v="3"/>
    <x v="0"/>
    <n v="4"/>
    <x v="7"/>
    <n v="1"/>
    <x v="3"/>
    <x v="1"/>
    <n v="17159"/>
    <x v="12"/>
    <n v="5200"/>
    <x v="2"/>
    <n v="6"/>
    <x v="2"/>
    <s v="Y"/>
    <x v="1"/>
    <n v="24"/>
    <x v="1"/>
    <n v="4"/>
    <x v="1"/>
    <n v="3"/>
    <x v="3"/>
    <n v="80"/>
    <n v="1"/>
    <n v="22"/>
    <x v="4"/>
    <n v="3"/>
    <x v="1"/>
    <n v="3"/>
    <x v="1"/>
    <n v="4"/>
    <x v="2"/>
    <n v="1"/>
    <x v="2"/>
    <n v="1"/>
    <x v="0"/>
    <n v="0"/>
    <x v="2"/>
  </r>
  <r>
    <n v="844"/>
    <n v="27"/>
    <x v="2"/>
    <x v="1"/>
    <n v="0"/>
    <x v="0"/>
    <n v="269"/>
    <x v="1"/>
    <x v="1"/>
    <n v="5"/>
    <x v="0"/>
    <n v="1"/>
    <x v="1"/>
    <x v="4"/>
    <n v="1"/>
    <n v="3"/>
    <x v="1"/>
    <x v="1"/>
    <n v="42"/>
    <x v="2"/>
    <n v="2"/>
    <x v="1"/>
    <n v="3"/>
    <x v="7"/>
    <n v="4"/>
    <x v="0"/>
    <x v="2"/>
    <n v="12808"/>
    <x v="6"/>
    <n v="8842"/>
    <x v="3"/>
    <n v="1"/>
    <x v="1"/>
    <s v="Y"/>
    <x v="0"/>
    <n v="16"/>
    <x v="3"/>
    <n v="3"/>
    <x v="0"/>
    <n v="2"/>
    <x v="4"/>
    <n v="80"/>
    <n v="1"/>
    <n v="9"/>
    <x v="0"/>
    <n v="3"/>
    <x v="1"/>
    <n v="3"/>
    <x v="1"/>
    <n v="9"/>
    <x v="0"/>
    <n v="8"/>
    <x v="1"/>
    <n v="0"/>
    <x v="0"/>
    <n v="8"/>
    <x v="1"/>
  </r>
  <r>
    <n v="845"/>
    <n v="35"/>
    <x v="2"/>
    <x v="1"/>
    <n v="0"/>
    <x v="0"/>
    <n v="950"/>
    <x v="2"/>
    <x v="1"/>
    <n v="7"/>
    <x v="1"/>
    <n v="3"/>
    <x v="3"/>
    <x v="1"/>
    <n v="1"/>
    <n v="3"/>
    <x v="1"/>
    <x v="1"/>
    <n v="59"/>
    <x v="1"/>
    <n v="3"/>
    <x v="0"/>
    <n v="3"/>
    <x v="3"/>
    <n v="3"/>
    <x v="2"/>
    <x v="0"/>
    <n v="10221"/>
    <x v="8"/>
    <n v="18869"/>
    <x v="0"/>
    <n v="3"/>
    <x v="3"/>
    <s v="Y"/>
    <x v="1"/>
    <n v="21"/>
    <x v="1"/>
    <n v="4"/>
    <x v="1"/>
    <n v="2"/>
    <x v="4"/>
    <n v="80"/>
    <n v="0"/>
    <n v="17"/>
    <x v="1"/>
    <n v="3"/>
    <x v="1"/>
    <n v="4"/>
    <x v="3"/>
    <n v="8"/>
    <x v="0"/>
    <n v="5"/>
    <x v="0"/>
    <n v="1"/>
    <x v="0"/>
    <n v="6"/>
    <x v="1"/>
  </r>
  <r>
    <n v="846"/>
    <n v="28"/>
    <x v="2"/>
    <x v="1"/>
    <n v="0"/>
    <x v="0"/>
    <n v="760"/>
    <x v="2"/>
    <x v="0"/>
    <n v="2"/>
    <x v="0"/>
    <n v="4"/>
    <x v="2"/>
    <x v="3"/>
    <n v="1"/>
    <n v="2"/>
    <x v="0"/>
    <x v="0"/>
    <n v="81"/>
    <x v="0"/>
    <n v="3"/>
    <x v="0"/>
    <n v="2"/>
    <x v="0"/>
    <n v="2"/>
    <x v="1"/>
    <x v="1"/>
    <n v="4779"/>
    <x v="1"/>
    <n v="3698"/>
    <x v="2"/>
    <n v="1"/>
    <x v="1"/>
    <s v="Y"/>
    <x v="0"/>
    <n v="20"/>
    <x v="1"/>
    <n v="4"/>
    <x v="1"/>
    <n v="1"/>
    <x v="0"/>
    <n v="80"/>
    <n v="0"/>
    <n v="8"/>
    <x v="0"/>
    <n v="2"/>
    <x v="0"/>
    <n v="3"/>
    <x v="1"/>
    <n v="8"/>
    <x v="0"/>
    <n v="7"/>
    <x v="1"/>
    <n v="7"/>
    <x v="2"/>
    <n v="5"/>
    <x v="0"/>
  </r>
  <r>
    <n v="847"/>
    <n v="34"/>
    <x v="2"/>
    <x v="1"/>
    <n v="0"/>
    <x v="0"/>
    <n v="829"/>
    <x v="2"/>
    <x v="2"/>
    <n v="3"/>
    <x v="0"/>
    <n v="2"/>
    <x v="0"/>
    <x v="5"/>
    <n v="1"/>
    <n v="3"/>
    <x v="1"/>
    <x v="1"/>
    <n v="88"/>
    <x v="0"/>
    <n v="3"/>
    <x v="0"/>
    <n v="1"/>
    <x v="8"/>
    <n v="4"/>
    <x v="0"/>
    <x v="1"/>
    <n v="3737"/>
    <x v="3"/>
    <n v="2243"/>
    <x v="2"/>
    <n v="0"/>
    <x v="1"/>
    <s v="Y"/>
    <x v="1"/>
    <n v="19"/>
    <x v="1"/>
    <n v="3"/>
    <x v="0"/>
    <n v="3"/>
    <x v="3"/>
    <n v="80"/>
    <n v="1"/>
    <n v="4"/>
    <x v="3"/>
    <n v="1"/>
    <x v="0"/>
    <n v="1"/>
    <x v="0"/>
    <n v="3"/>
    <x v="2"/>
    <n v="2"/>
    <x v="0"/>
    <n v="0"/>
    <x v="0"/>
    <n v="2"/>
    <x v="0"/>
  </r>
  <r>
    <n v="848"/>
    <n v="26"/>
    <x v="2"/>
    <x v="0"/>
    <n v="1"/>
    <x v="1"/>
    <n v="887"/>
    <x v="2"/>
    <x v="1"/>
    <n v="5"/>
    <x v="0"/>
    <n v="2"/>
    <x v="0"/>
    <x v="2"/>
    <n v="1"/>
    <n v="3"/>
    <x v="1"/>
    <x v="0"/>
    <n v="88"/>
    <x v="0"/>
    <n v="2"/>
    <x v="1"/>
    <n v="1"/>
    <x v="1"/>
    <n v="3"/>
    <x v="2"/>
    <x v="1"/>
    <n v="2366"/>
    <x v="2"/>
    <n v="20898"/>
    <x v="0"/>
    <n v="1"/>
    <x v="1"/>
    <s v="Y"/>
    <x v="0"/>
    <n v="14"/>
    <x v="2"/>
    <n v="3"/>
    <x v="0"/>
    <n v="1"/>
    <x v="0"/>
    <n v="80"/>
    <n v="1"/>
    <n v="8"/>
    <x v="0"/>
    <n v="2"/>
    <x v="0"/>
    <n v="3"/>
    <x v="1"/>
    <n v="8"/>
    <x v="0"/>
    <n v="7"/>
    <x v="1"/>
    <n v="1"/>
    <x v="0"/>
    <n v="7"/>
    <x v="1"/>
  </r>
  <r>
    <n v="850"/>
    <n v="27"/>
    <x v="2"/>
    <x v="1"/>
    <n v="0"/>
    <x v="2"/>
    <n v="443"/>
    <x v="1"/>
    <x v="1"/>
    <n v="3"/>
    <x v="0"/>
    <n v="3"/>
    <x v="3"/>
    <x v="2"/>
    <n v="1"/>
    <n v="4"/>
    <x v="2"/>
    <x v="1"/>
    <n v="50"/>
    <x v="2"/>
    <n v="3"/>
    <x v="0"/>
    <n v="1"/>
    <x v="1"/>
    <n v="4"/>
    <x v="0"/>
    <x v="1"/>
    <n v="1706"/>
    <x v="2"/>
    <n v="16571"/>
    <x v="0"/>
    <n v="1"/>
    <x v="1"/>
    <s v="Y"/>
    <x v="1"/>
    <n v="11"/>
    <x v="0"/>
    <n v="3"/>
    <x v="0"/>
    <n v="3"/>
    <x v="3"/>
    <n v="80"/>
    <n v="3"/>
    <n v="0"/>
    <x v="2"/>
    <n v="6"/>
    <x v="2"/>
    <n v="2"/>
    <x v="2"/>
    <n v="0"/>
    <x v="1"/>
    <n v="0"/>
    <x v="2"/>
    <n v="0"/>
    <x v="0"/>
    <n v="0"/>
    <x v="2"/>
  </r>
  <r>
    <n v="851"/>
    <n v="51"/>
    <x v="1"/>
    <x v="1"/>
    <n v="0"/>
    <x v="0"/>
    <n v="1318"/>
    <x v="0"/>
    <x v="0"/>
    <n v="26"/>
    <x v="2"/>
    <n v="4"/>
    <x v="2"/>
    <x v="3"/>
    <n v="1"/>
    <n v="1"/>
    <x v="3"/>
    <x v="0"/>
    <n v="66"/>
    <x v="1"/>
    <n v="3"/>
    <x v="0"/>
    <n v="4"/>
    <x v="5"/>
    <n v="3"/>
    <x v="2"/>
    <x v="1"/>
    <n v="16307"/>
    <x v="12"/>
    <n v="5594"/>
    <x v="2"/>
    <n v="2"/>
    <x v="3"/>
    <s v="Y"/>
    <x v="1"/>
    <n v="14"/>
    <x v="2"/>
    <n v="3"/>
    <x v="0"/>
    <n v="3"/>
    <x v="3"/>
    <n v="80"/>
    <n v="1"/>
    <n v="29"/>
    <x v="4"/>
    <n v="2"/>
    <x v="0"/>
    <n v="2"/>
    <x v="2"/>
    <n v="20"/>
    <x v="4"/>
    <n v="6"/>
    <x v="1"/>
    <n v="4"/>
    <x v="1"/>
    <n v="17"/>
    <x v="3"/>
  </r>
  <r>
    <n v="852"/>
    <n v="44"/>
    <x v="0"/>
    <x v="1"/>
    <n v="0"/>
    <x v="0"/>
    <n v="625"/>
    <x v="2"/>
    <x v="1"/>
    <n v="4"/>
    <x v="0"/>
    <n v="3"/>
    <x v="3"/>
    <x v="2"/>
    <n v="1"/>
    <n v="4"/>
    <x v="2"/>
    <x v="1"/>
    <n v="50"/>
    <x v="2"/>
    <n v="3"/>
    <x v="0"/>
    <n v="2"/>
    <x v="4"/>
    <n v="2"/>
    <x v="1"/>
    <x v="0"/>
    <n v="5933"/>
    <x v="0"/>
    <n v="5197"/>
    <x v="2"/>
    <n v="9"/>
    <x v="0"/>
    <s v="Y"/>
    <x v="1"/>
    <n v="12"/>
    <x v="0"/>
    <n v="3"/>
    <x v="0"/>
    <n v="4"/>
    <x v="1"/>
    <n v="80"/>
    <n v="0"/>
    <n v="10"/>
    <x v="0"/>
    <n v="2"/>
    <x v="0"/>
    <n v="2"/>
    <x v="2"/>
    <n v="5"/>
    <x v="2"/>
    <n v="2"/>
    <x v="0"/>
    <n v="2"/>
    <x v="1"/>
    <n v="3"/>
    <x v="0"/>
  </r>
  <r>
    <n v="854"/>
    <n v="25"/>
    <x v="4"/>
    <x v="1"/>
    <n v="0"/>
    <x v="0"/>
    <n v="180"/>
    <x v="1"/>
    <x v="1"/>
    <n v="2"/>
    <x v="0"/>
    <n v="1"/>
    <x v="1"/>
    <x v="2"/>
    <n v="1"/>
    <n v="1"/>
    <x v="3"/>
    <x v="1"/>
    <n v="65"/>
    <x v="1"/>
    <n v="4"/>
    <x v="2"/>
    <n v="1"/>
    <x v="1"/>
    <n v="1"/>
    <x v="3"/>
    <x v="0"/>
    <n v="3424"/>
    <x v="3"/>
    <n v="21632"/>
    <x v="0"/>
    <n v="7"/>
    <x v="0"/>
    <s v="Y"/>
    <x v="1"/>
    <n v="13"/>
    <x v="2"/>
    <n v="3"/>
    <x v="0"/>
    <n v="3"/>
    <x v="3"/>
    <n v="80"/>
    <n v="0"/>
    <n v="6"/>
    <x v="0"/>
    <n v="3"/>
    <x v="1"/>
    <n v="2"/>
    <x v="2"/>
    <n v="4"/>
    <x v="2"/>
    <n v="3"/>
    <x v="0"/>
    <n v="0"/>
    <x v="0"/>
    <n v="1"/>
    <x v="2"/>
  </r>
  <r>
    <n v="855"/>
    <n v="33"/>
    <x v="2"/>
    <x v="1"/>
    <n v="0"/>
    <x v="0"/>
    <n v="586"/>
    <x v="2"/>
    <x v="0"/>
    <n v="1"/>
    <x v="0"/>
    <n v="3"/>
    <x v="3"/>
    <x v="2"/>
    <n v="1"/>
    <n v="1"/>
    <x v="3"/>
    <x v="1"/>
    <n v="48"/>
    <x v="2"/>
    <n v="4"/>
    <x v="2"/>
    <n v="2"/>
    <x v="0"/>
    <n v="1"/>
    <x v="3"/>
    <x v="2"/>
    <n v="4037"/>
    <x v="1"/>
    <n v="21816"/>
    <x v="0"/>
    <n v="1"/>
    <x v="1"/>
    <s v="Y"/>
    <x v="1"/>
    <n v="22"/>
    <x v="1"/>
    <n v="4"/>
    <x v="1"/>
    <n v="1"/>
    <x v="0"/>
    <n v="80"/>
    <n v="1"/>
    <n v="9"/>
    <x v="0"/>
    <n v="5"/>
    <x v="2"/>
    <n v="3"/>
    <x v="1"/>
    <n v="9"/>
    <x v="0"/>
    <n v="8"/>
    <x v="1"/>
    <n v="0"/>
    <x v="0"/>
    <n v="8"/>
    <x v="1"/>
  </r>
  <r>
    <n v="856"/>
    <n v="35"/>
    <x v="2"/>
    <x v="1"/>
    <n v="0"/>
    <x v="0"/>
    <n v="1343"/>
    <x v="0"/>
    <x v="1"/>
    <n v="27"/>
    <x v="2"/>
    <n v="1"/>
    <x v="1"/>
    <x v="2"/>
    <n v="1"/>
    <n v="3"/>
    <x v="1"/>
    <x v="0"/>
    <n v="53"/>
    <x v="1"/>
    <n v="2"/>
    <x v="1"/>
    <n v="1"/>
    <x v="1"/>
    <n v="1"/>
    <x v="3"/>
    <x v="0"/>
    <n v="2559"/>
    <x v="3"/>
    <n v="17852"/>
    <x v="0"/>
    <n v="1"/>
    <x v="1"/>
    <s v="Y"/>
    <x v="1"/>
    <n v="11"/>
    <x v="0"/>
    <n v="3"/>
    <x v="0"/>
    <n v="4"/>
    <x v="1"/>
    <n v="80"/>
    <n v="0"/>
    <n v="6"/>
    <x v="0"/>
    <n v="3"/>
    <x v="1"/>
    <n v="2"/>
    <x v="2"/>
    <n v="6"/>
    <x v="0"/>
    <n v="5"/>
    <x v="0"/>
    <n v="1"/>
    <x v="0"/>
    <n v="1"/>
    <x v="2"/>
  </r>
  <r>
    <n v="857"/>
    <n v="36"/>
    <x v="0"/>
    <x v="1"/>
    <n v="0"/>
    <x v="0"/>
    <n v="928"/>
    <x v="2"/>
    <x v="0"/>
    <n v="1"/>
    <x v="0"/>
    <n v="2"/>
    <x v="0"/>
    <x v="0"/>
    <n v="1"/>
    <n v="2"/>
    <x v="0"/>
    <x v="1"/>
    <n v="56"/>
    <x v="1"/>
    <n v="3"/>
    <x v="0"/>
    <n v="2"/>
    <x v="0"/>
    <n v="4"/>
    <x v="0"/>
    <x v="1"/>
    <n v="6201"/>
    <x v="0"/>
    <n v="2823"/>
    <x v="2"/>
    <n v="1"/>
    <x v="1"/>
    <s v="Y"/>
    <x v="0"/>
    <n v="14"/>
    <x v="2"/>
    <n v="3"/>
    <x v="0"/>
    <n v="4"/>
    <x v="1"/>
    <n v="80"/>
    <n v="1"/>
    <n v="18"/>
    <x v="1"/>
    <n v="1"/>
    <x v="0"/>
    <n v="2"/>
    <x v="2"/>
    <n v="18"/>
    <x v="4"/>
    <n v="14"/>
    <x v="3"/>
    <n v="4"/>
    <x v="1"/>
    <n v="11"/>
    <x v="3"/>
  </r>
  <r>
    <n v="859"/>
    <n v="32"/>
    <x v="2"/>
    <x v="1"/>
    <n v="0"/>
    <x v="0"/>
    <n v="117"/>
    <x v="1"/>
    <x v="0"/>
    <n v="13"/>
    <x v="3"/>
    <n v="4"/>
    <x v="2"/>
    <x v="0"/>
    <n v="1"/>
    <n v="2"/>
    <x v="0"/>
    <x v="1"/>
    <n v="73"/>
    <x v="1"/>
    <n v="3"/>
    <x v="0"/>
    <n v="2"/>
    <x v="0"/>
    <n v="4"/>
    <x v="0"/>
    <x v="2"/>
    <n v="4403"/>
    <x v="1"/>
    <n v="9250"/>
    <x v="3"/>
    <n v="2"/>
    <x v="3"/>
    <s v="Y"/>
    <x v="1"/>
    <n v="11"/>
    <x v="0"/>
    <n v="3"/>
    <x v="0"/>
    <n v="3"/>
    <x v="3"/>
    <n v="80"/>
    <n v="1"/>
    <n v="8"/>
    <x v="0"/>
    <n v="3"/>
    <x v="1"/>
    <n v="2"/>
    <x v="2"/>
    <n v="5"/>
    <x v="2"/>
    <n v="2"/>
    <x v="0"/>
    <n v="0"/>
    <x v="0"/>
    <n v="3"/>
    <x v="0"/>
  </r>
  <r>
    <n v="861"/>
    <n v="30"/>
    <x v="2"/>
    <x v="1"/>
    <n v="0"/>
    <x v="1"/>
    <n v="1012"/>
    <x v="0"/>
    <x v="1"/>
    <n v="5"/>
    <x v="0"/>
    <n v="4"/>
    <x v="2"/>
    <x v="0"/>
    <n v="1"/>
    <n v="2"/>
    <x v="0"/>
    <x v="1"/>
    <n v="75"/>
    <x v="1"/>
    <n v="2"/>
    <x v="1"/>
    <n v="1"/>
    <x v="1"/>
    <n v="4"/>
    <x v="0"/>
    <x v="2"/>
    <n v="3761"/>
    <x v="3"/>
    <n v="2373"/>
    <x v="2"/>
    <n v="9"/>
    <x v="0"/>
    <s v="Y"/>
    <x v="1"/>
    <n v="12"/>
    <x v="0"/>
    <n v="3"/>
    <x v="0"/>
    <n v="2"/>
    <x v="4"/>
    <n v="80"/>
    <n v="1"/>
    <n v="10"/>
    <x v="0"/>
    <n v="3"/>
    <x v="1"/>
    <n v="2"/>
    <x v="2"/>
    <n v="5"/>
    <x v="2"/>
    <n v="4"/>
    <x v="0"/>
    <n v="0"/>
    <x v="0"/>
    <n v="3"/>
    <x v="0"/>
  </r>
  <r>
    <n v="862"/>
    <n v="53"/>
    <x v="1"/>
    <x v="1"/>
    <n v="0"/>
    <x v="0"/>
    <n v="661"/>
    <x v="2"/>
    <x v="0"/>
    <n v="7"/>
    <x v="1"/>
    <n v="2"/>
    <x v="0"/>
    <x v="3"/>
    <n v="1"/>
    <n v="1"/>
    <x v="3"/>
    <x v="0"/>
    <n v="78"/>
    <x v="0"/>
    <n v="2"/>
    <x v="1"/>
    <n v="3"/>
    <x v="0"/>
    <n v="4"/>
    <x v="0"/>
    <x v="1"/>
    <n v="10934"/>
    <x v="8"/>
    <n v="20715"/>
    <x v="0"/>
    <n v="7"/>
    <x v="0"/>
    <s v="Y"/>
    <x v="0"/>
    <n v="18"/>
    <x v="1"/>
    <n v="3"/>
    <x v="0"/>
    <n v="4"/>
    <x v="1"/>
    <n v="80"/>
    <n v="1"/>
    <n v="35"/>
    <x v="4"/>
    <n v="3"/>
    <x v="1"/>
    <n v="3"/>
    <x v="1"/>
    <n v="5"/>
    <x v="2"/>
    <n v="2"/>
    <x v="0"/>
    <n v="0"/>
    <x v="0"/>
    <n v="4"/>
    <x v="0"/>
  </r>
  <r>
    <n v="864"/>
    <n v="45"/>
    <x v="0"/>
    <x v="1"/>
    <n v="0"/>
    <x v="0"/>
    <n v="930"/>
    <x v="2"/>
    <x v="0"/>
    <n v="9"/>
    <x v="1"/>
    <n v="3"/>
    <x v="3"/>
    <x v="3"/>
    <n v="1"/>
    <n v="4"/>
    <x v="2"/>
    <x v="1"/>
    <n v="74"/>
    <x v="1"/>
    <n v="3"/>
    <x v="0"/>
    <n v="3"/>
    <x v="0"/>
    <n v="1"/>
    <x v="3"/>
    <x v="2"/>
    <n v="10761"/>
    <x v="8"/>
    <n v="19239"/>
    <x v="0"/>
    <n v="4"/>
    <x v="2"/>
    <s v="Y"/>
    <x v="0"/>
    <n v="12"/>
    <x v="0"/>
    <n v="3"/>
    <x v="0"/>
    <n v="3"/>
    <x v="3"/>
    <n v="80"/>
    <n v="1"/>
    <n v="18"/>
    <x v="1"/>
    <n v="2"/>
    <x v="0"/>
    <n v="3"/>
    <x v="1"/>
    <n v="5"/>
    <x v="2"/>
    <n v="4"/>
    <x v="0"/>
    <n v="0"/>
    <x v="0"/>
    <n v="2"/>
    <x v="0"/>
  </r>
  <r>
    <n v="865"/>
    <n v="32"/>
    <x v="2"/>
    <x v="1"/>
    <n v="0"/>
    <x v="0"/>
    <n v="638"/>
    <x v="2"/>
    <x v="1"/>
    <n v="8"/>
    <x v="1"/>
    <n v="2"/>
    <x v="0"/>
    <x v="2"/>
    <n v="1"/>
    <n v="3"/>
    <x v="1"/>
    <x v="0"/>
    <n v="91"/>
    <x v="0"/>
    <n v="4"/>
    <x v="2"/>
    <n v="2"/>
    <x v="1"/>
    <n v="3"/>
    <x v="2"/>
    <x v="1"/>
    <n v="5175"/>
    <x v="1"/>
    <n v="22162"/>
    <x v="1"/>
    <n v="5"/>
    <x v="2"/>
    <s v="Y"/>
    <x v="1"/>
    <n v="12"/>
    <x v="0"/>
    <n v="3"/>
    <x v="0"/>
    <n v="3"/>
    <x v="3"/>
    <n v="80"/>
    <n v="1"/>
    <n v="9"/>
    <x v="0"/>
    <n v="3"/>
    <x v="1"/>
    <n v="2"/>
    <x v="2"/>
    <n v="5"/>
    <x v="2"/>
    <n v="3"/>
    <x v="0"/>
    <n v="1"/>
    <x v="0"/>
    <n v="3"/>
    <x v="0"/>
  </r>
  <r>
    <n v="867"/>
    <n v="52"/>
    <x v="1"/>
    <x v="1"/>
    <n v="0"/>
    <x v="1"/>
    <n v="890"/>
    <x v="2"/>
    <x v="1"/>
    <n v="25"/>
    <x v="2"/>
    <n v="4"/>
    <x v="2"/>
    <x v="2"/>
    <n v="1"/>
    <n v="3"/>
    <x v="1"/>
    <x v="0"/>
    <n v="81"/>
    <x v="0"/>
    <n v="2"/>
    <x v="1"/>
    <n v="4"/>
    <x v="3"/>
    <n v="4"/>
    <x v="0"/>
    <x v="1"/>
    <n v="13826"/>
    <x v="10"/>
    <n v="19028"/>
    <x v="0"/>
    <n v="3"/>
    <x v="3"/>
    <s v="Y"/>
    <x v="1"/>
    <n v="22"/>
    <x v="1"/>
    <n v="4"/>
    <x v="1"/>
    <n v="3"/>
    <x v="3"/>
    <n v="80"/>
    <n v="0"/>
    <n v="31"/>
    <x v="4"/>
    <n v="3"/>
    <x v="1"/>
    <n v="3"/>
    <x v="1"/>
    <n v="9"/>
    <x v="0"/>
    <n v="8"/>
    <x v="1"/>
    <n v="0"/>
    <x v="0"/>
    <n v="0"/>
    <x v="2"/>
  </r>
  <r>
    <n v="868"/>
    <n v="37"/>
    <x v="0"/>
    <x v="1"/>
    <n v="0"/>
    <x v="0"/>
    <n v="342"/>
    <x v="1"/>
    <x v="0"/>
    <n v="16"/>
    <x v="3"/>
    <n v="4"/>
    <x v="2"/>
    <x v="3"/>
    <n v="1"/>
    <n v="4"/>
    <x v="2"/>
    <x v="1"/>
    <n v="66"/>
    <x v="1"/>
    <n v="2"/>
    <x v="1"/>
    <n v="2"/>
    <x v="0"/>
    <n v="3"/>
    <x v="2"/>
    <x v="2"/>
    <n v="6334"/>
    <x v="0"/>
    <n v="24558"/>
    <x v="1"/>
    <n v="4"/>
    <x v="2"/>
    <s v="Y"/>
    <x v="1"/>
    <n v="19"/>
    <x v="1"/>
    <n v="3"/>
    <x v="0"/>
    <n v="4"/>
    <x v="1"/>
    <n v="80"/>
    <n v="2"/>
    <n v="9"/>
    <x v="0"/>
    <n v="2"/>
    <x v="0"/>
    <n v="3"/>
    <x v="1"/>
    <n v="1"/>
    <x v="1"/>
    <n v="0"/>
    <x v="2"/>
    <n v="0"/>
    <x v="0"/>
    <n v="0"/>
    <x v="2"/>
  </r>
  <r>
    <n v="869"/>
    <n v="28"/>
    <x v="2"/>
    <x v="1"/>
    <n v="0"/>
    <x v="0"/>
    <n v="1169"/>
    <x v="0"/>
    <x v="2"/>
    <n v="8"/>
    <x v="1"/>
    <n v="2"/>
    <x v="0"/>
    <x v="2"/>
    <n v="1"/>
    <n v="2"/>
    <x v="0"/>
    <x v="1"/>
    <n v="63"/>
    <x v="1"/>
    <n v="2"/>
    <x v="1"/>
    <n v="1"/>
    <x v="8"/>
    <n v="4"/>
    <x v="0"/>
    <x v="2"/>
    <n v="4936"/>
    <x v="1"/>
    <n v="23965"/>
    <x v="1"/>
    <n v="1"/>
    <x v="1"/>
    <s v="Y"/>
    <x v="1"/>
    <n v="13"/>
    <x v="2"/>
    <n v="3"/>
    <x v="0"/>
    <n v="4"/>
    <x v="1"/>
    <n v="80"/>
    <n v="1"/>
    <n v="6"/>
    <x v="0"/>
    <n v="6"/>
    <x v="2"/>
    <n v="3"/>
    <x v="1"/>
    <n v="5"/>
    <x v="2"/>
    <n v="1"/>
    <x v="2"/>
    <n v="0"/>
    <x v="0"/>
    <n v="4"/>
    <x v="0"/>
  </r>
  <r>
    <n v="872"/>
    <n v="22"/>
    <x v="4"/>
    <x v="1"/>
    <n v="0"/>
    <x v="0"/>
    <n v="1230"/>
    <x v="0"/>
    <x v="1"/>
    <n v="1"/>
    <x v="0"/>
    <n v="2"/>
    <x v="0"/>
    <x v="0"/>
    <n v="1"/>
    <n v="4"/>
    <x v="2"/>
    <x v="1"/>
    <n v="33"/>
    <x v="2"/>
    <n v="2"/>
    <x v="1"/>
    <n v="2"/>
    <x v="3"/>
    <n v="4"/>
    <x v="0"/>
    <x v="1"/>
    <n v="4775"/>
    <x v="1"/>
    <n v="19146"/>
    <x v="0"/>
    <n v="6"/>
    <x v="2"/>
    <s v="Y"/>
    <x v="1"/>
    <n v="22"/>
    <x v="1"/>
    <n v="4"/>
    <x v="1"/>
    <n v="1"/>
    <x v="0"/>
    <n v="80"/>
    <n v="2"/>
    <n v="4"/>
    <x v="3"/>
    <n v="2"/>
    <x v="0"/>
    <n v="1"/>
    <x v="0"/>
    <n v="2"/>
    <x v="2"/>
    <n v="2"/>
    <x v="0"/>
    <n v="2"/>
    <x v="1"/>
    <n v="2"/>
    <x v="0"/>
  </r>
  <r>
    <n v="874"/>
    <n v="44"/>
    <x v="0"/>
    <x v="1"/>
    <n v="0"/>
    <x v="0"/>
    <n v="986"/>
    <x v="2"/>
    <x v="1"/>
    <n v="8"/>
    <x v="1"/>
    <n v="4"/>
    <x v="2"/>
    <x v="0"/>
    <n v="1"/>
    <n v="1"/>
    <x v="3"/>
    <x v="1"/>
    <n v="62"/>
    <x v="1"/>
    <n v="4"/>
    <x v="2"/>
    <n v="1"/>
    <x v="2"/>
    <n v="4"/>
    <x v="0"/>
    <x v="1"/>
    <n v="2818"/>
    <x v="3"/>
    <n v="5044"/>
    <x v="2"/>
    <n v="2"/>
    <x v="3"/>
    <s v="Y"/>
    <x v="0"/>
    <n v="24"/>
    <x v="1"/>
    <n v="4"/>
    <x v="1"/>
    <n v="3"/>
    <x v="3"/>
    <n v="80"/>
    <n v="1"/>
    <n v="10"/>
    <x v="0"/>
    <n v="2"/>
    <x v="0"/>
    <n v="2"/>
    <x v="2"/>
    <n v="3"/>
    <x v="2"/>
    <n v="2"/>
    <x v="0"/>
    <n v="0"/>
    <x v="0"/>
    <n v="2"/>
    <x v="0"/>
  </r>
  <r>
    <n v="875"/>
    <n v="42"/>
    <x v="0"/>
    <x v="1"/>
    <n v="0"/>
    <x v="1"/>
    <n v="1271"/>
    <x v="0"/>
    <x v="1"/>
    <n v="2"/>
    <x v="0"/>
    <n v="1"/>
    <x v="1"/>
    <x v="2"/>
    <n v="1"/>
    <n v="2"/>
    <x v="0"/>
    <x v="1"/>
    <n v="35"/>
    <x v="2"/>
    <n v="3"/>
    <x v="0"/>
    <n v="1"/>
    <x v="1"/>
    <n v="4"/>
    <x v="0"/>
    <x v="0"/>
    <n v="2515"/>
    <x v="3"/>
    <n v="9068"/>
    <x v="3"/>
    <n v="5"/>
    <x v="2"/>
    <s v="Y"/>
    <x v="0"/>
    <n v="14"/>
    <x v="2"/>
    <n v="3"/>
    <x v="0"/>
    <n v="4"/>
    <x v="1"/>
    <n v="80"/>
    <n v="0"/>
    <n v="8"/>
    <x v="0"/>
    <n v="2"/>
    <x v="0"/>
    <n v="3"/>
    <x v="1"/>
    <n v="2"/>
    <x v="2"/>
    <n v="1"/>
    <x v="2"/>
    <n v="2"/>
    <x v="1"/>
    <n v="2"/>
    <x v="0"/>
  </r>
  <r>
    <n v="878"/>
    <n v="36"/>
    <x v="0"/>
    <x v="1"/>
    <n v="0"/>
    <x v="0"/>
    <n v="1278"/>
    <x v="0"/>
    <x v="2"/>
    <n v="8"/>
    <x v="1"/>
    <n v="3"/>
    <x v="3"/>
    <x v="0"/>
    <n v="1"/>
    <n v="1"/>
    <x v="3"/>
    <x v="1"/>
    <n v="77"/>
    <x v="0"/>
    <n v="2"/>
    <x v="1"/>
    <n v="1"/>
    <x v="8"/>
    <n v="1"/>
    <x v="3"/>
    <x v="1"/>
    <n v="2342"/>
    <x v="2"/>
    <n v="8635"/>
    <x v="3"/>
    <n v="0"/>
    <x v="1"/>
    <s v="Y"/>
    <x v="1"/>
    <n v="21"/>
    <x v="1"/>
    <n v="4"/>
    <x v="1"/>
    <n v="3"/>
    <x v="3"/>
    <n v="80"/>
    <n v="0"/>
    <n v="6"/>
    <x v="0"/>
    <n v="3"/>
    <x v="1"/>
    <n v="3"/>
    <x v="1"/>
    <n v="5"/>
    <x v="2"/>
    <n v="4"/>
    <x v="0"/>
    <n v="0"/>
    <x v="0"/>
    <n v="3"/>
    <x v="0"/>
  </r>
  <r>
    <n v="879"/>
    <n v="25"/>
    <x v="4"/>
    <x v="1"/>
    <n v="0"/>
    <x v="0"/>
    <n v="141"/>
    <x v="1"/>
    <x v="0"/>
    <n v="3"/>
    <x v="0"/>
    <n v="1"/>
    <x v="1"/>
    <x v="1"/>
    <n v="1"/>
    <n v="3"/>
    <x v="1"/>
    <x v="1"/>
    <n v="98"/>
    <x v="0"/>
    <n v="3"/>
    <x v="0"/>
    <n v="2"/>
    <x v="0"/>
    <n v="1"/>
    <x v="3"/>
    <x v="1"/>
    <n v="4194"/>
    <x v="1"/>
    <n v="14363"/>
    <x v="3"/>
    <n v="1"/>
    <x v="1"/>
    <s v="Y"/>
    <x v="0"/>
    <n v="18"/>
    <x v="1"/>
    <n v="3"/>
    <x v="0"/>
    <n v="4"/>
    <x v="1"/>
    <n v="80"/>
    <n v="0"/>
    <n v="5"/>
    <x v="3"/>
    <n v="3"/>
    <x v="1"/>
    <n v="3"/>
    <x v="1"/>
    <n v="5"/>
    <x v="2"/>
    <n v="3"/>
    <x v="0"/>
    <n v="0"/>
    <x v="0"/>
    <n v="3"/>
    <x v="0"/>
  </r>
  <r>
    <n v="880"/>
    <n v="35"/>
    <x v="2"/>
    <x v="1"/>
    <n v="0"/>
    <x v="0"/>
    <n v="607"/>
    <x v="2"/>
    <x v="1"/>
    <n v="9"/>
    <x v="1"/>
    <n v="3"/>
    <x v="3"/>
    <x v="0"/>
    <n v="1"/>
    <n v="4"/>
    <x v="2"/>
    <x v="0"/>
    <n v="66"/>
    <x v="1"/>
    <n v="2"/>
    <x v="1"/>
    <n v="3"/>
    <x v="3"/>
    <n v="3"/>
    <x v="2"/>
    <x v="1"/>
    <n v="10685"/>
    <x v="8"/>
    <n v="23457"/>
    <x v="1"/>
    <n v="1"/>
    <x v="1"/>
    <s v="Y"/>
    <x v="0"/>
    <n v="20"/>
    <x v="1"/>
    <n v="4"/>
    <x v="1"/>
    <n v="2"/>
    <x v="4"/>
    <n v="80"/>
    <n v="1"/>
    <n v="17"/>
    <x v="1"/>
    <n v="2"/>
    <x v="0"/>
    <n v="3"/>
    <x v="1"/>
    <n v="17"/>
    <x v="4"/>
    <n v="14"/>
    <x v="3"/>
    <n v="5"/>
    <x v="1"/>
    <n v="15"/>
    <x v="3"/>
  </r>
  <r>
    <n v="881"/>
    <n v="35"/>
    <x v="2"/>
    <x v="0"/>
    <n v="1"/>
    <x v="1"/>
    <n v="130"/>
    <x v="1"/>
    <x v="1"/>
    <n v="25"/>
    <x v="2"/>
    <n v="4"/>
    <x v="2"/>
    <x v="0"/>
    <n v="1"/>
    <n v="4"/>
    <x v="2"/>
    <x v="0"/>
    <n v="96"/>
    <x v="0"/>
    <n v="3"/>
    <x v="0"/>
    <n v="1"/>
    <x v="1"/>
    <n v="2"/>
    <x v="1"/>
    <x v="2"/>
    <n v="2022"/>
    <x v="2"/>
    <n v="16612"/>
    <x v="0"/>
    <n v="1"/>
    <x v="1"/>
    <s v="Y"/>
    <x v="0"/>
    <n v="19"/>
    <x v="1"/>
    <n v="3"/>
    <x v="0"/>
    <n v="1"/>
    <x v="0"/>
    <n v="80"/>
    <n v="1"/>
    <n v="10"/>
    <x v="0"/>
    <n v="3"/>
    <x v="1"/>
    <n v="2"/>
    <x v="2"/>
    <n v="10"/>
    <x v="0"/>
    <n v="2"/>
    <x v="0"/>
    <n v="7"/>
    <x v="2"/>
    <n v="8"/>
    <x v="1"/>
  </r>
  <r>
    <n v="882"/>
    <n v="32"/>
    <x v="2"/>
    <x v="1"/>
    <n v="0"/>
    <x v="2"/>
    <n v="300"/>
    <x v="1"/>
    <x v="1"/>
    <n v="1"/>
    <x v="0"/>
    <n v="3"/>
    <x v="3"/>
    <x v="0"/>
    <n v="1"/>
    <n v="4"/>
    <x v="2"/>
    <x v="1"/>
    <n v="61"/>
    <x v="1"/>
    <n v="3"/>
    <x v="0"/>
    <n v="1"/>
    <x v="2"/>
    <n v="4"/>
    <x v="0"/>
    <x v="2"/>
    <n v="2314"/>
    <x v="2"/>
    <n v="9148"/>
    <x v="3"/>
    <n v="0"/>
    <x v="1"/>
    <s v="Y"/>
    <x v="1"/>
    <n v="12"/>
    <x v="0"/>
    <n v="3"/>
    <x v="0"/>
    <n v="2"/>
    <x v="4"/>
    <n v="80"/>
    <n v="1"/>
    <n v="4"/>
    <x v="3"/>
    <n v="2"/>
    <x v="0"/>
    <n v="3"/>
    <x v="1"/>
    <n v="3"/>
    <x v="2"/>
    <n v="0"/>
    <x v="2"/>
    <n v="0"/>
    <x v="0"/>
    <n v="2"/>
    <x v="0"/>
  </r>
  <r>
    <n v="885"/>
    <n v="25"/>
    <x v="4"/>
    <x v="1"/>
    <n v="0"/>
    <x v="0"/>
    <n v="583"/>
    <x v="2"/>
    <x v="0"/>
    <n v="4"/>
    <x v="0"/>
    <n v="1"/>
    <x v="1"/>
    <x v="3"/>
    <n v="1"/>
    <n v="3"/>
    <x v="1"/>
    <x v="1"/>
    <n v="87"/>
    <x v="0"/>
    <n v="2"/>
    <x v="1"/>
    <n v="2"/>
    <x v="0"/>
    <n v="1"/>
    <x v="3"/>
    <x v="1"/>
    <n v="4256"/>
    <x v="1"/>
    <n v="18154"/>
    <x v="0"/>
    <n v="1"/>
    <x v="1"/>
    <s v="Y"/>
    <x v="1"/>
    <n v="12"/>
    <x v="0"/>
    <n v="3"/>
    <x v="0"/>
    <n v="1"/>
    <x v="0"/>
    <n v="80"/>
    <n v="0"/>
    <n v="5"/>
    <x v="3"/>
    <n v="1"/>
    <x v="0"/>
    <n v="4"/>
    <x v="3"/>
    <n v="5"/>
    <x v="2"/>
    <n v="2"/>
    <x v="0"/>
    <n v="0"/>
    <x v="0"/>
    <n v="3"/>
    <x v="0"/>
  </r>
  <r>
    <n v="887"/>
    <n v="49"/>
    <x v="1"/>
    <x v="1"/>
    <n v="0"/>
    <x v="0"/>
    <n v="1418"/>
    <x v="0"/>
    <x v="1"/>
    <n v="1"/>
    <x v="0"/>
    <n v="3"/>
    <x v="3"/>
    <x v="4"/>
    <n v="1"/>
    <n v="3"/>
    <x v="1"/>
    <x v="0"/>
    <n v="36"/>
    <x v="2"/>
    <n v="3"/>
    <x v="0"/>
    <n v="1"/>
    <x v="1"/>
    <n v="1"/>
    <x v="3"/>
    <x v="1"/>
    <n v="3580"/>
    <x v="3"/>
    <n v="10554"/>
    <x v="3"/>
    <n v="2"/>
    <x v="3"/>
    <s v="Y"/>
    <x v="1"/>
    <n v="16"/>
    <x v="3"/>
    <n v="3"/>
    <x v="0"/>
    <n v="2"/>
    <x v="4"/>
    <n v="80"/>
    <n v="1"/>
    <n v="7"/>
    <x v="0"/>
    <n v="2"/>
    <x v="0"/>
    <n v="3"/>
    <x v="1"/>
    <n v="4"/>
    <x v="2"/>
    <n v="2"/>
    <x v="0"/>
    <n v="0"/>
    <x v="0"/>
    <n v="2"/>
    <x v="0"/>
  </r>
  <r>
    <n v="888"/>
    <n v="24"/>
    <x v="4"/>
    <x v="1"/>
    <n v="0"/>
    <x v="2"/>
    <n v="1269"/>
    <x v="0"/>
    <x v="1"/>
    <n v="4"/>
    <x v="0"/>
    <n v="1"/>
    <x v="1"/>
    <x v="0"/>
    <n v="1"/>
    <n v="1"/>
    <x v="3"/>
    <x v="1"/>
    <n v="46"/>
    <x v="2"/>
    <n v="2"/>
    <x v="1"/>
    <n v="1"/>
    <x v="2"/>
    <n v="4"/>
    <x v="0"/>
    <x v="1"/>
    <n v="3162"/>
    <x v="3"/>
    <n v="10778"/>
    <x v="3"/>
    <n v="0"/>
    <x v="1"/>
    <s v="Y"/>
    <x v="1"/>
    <n v="17"/>
    <x v="3"/>
    <n v="3"/>
    <x v="0"/>
    <n v="4"/>
    <x v="1"/>
    <n v="80"/>
    <n v="0"/>
    <n v="6"/>
    <x v="0"/>
    <n v="2"/>
    <x v="0"/>
    <n v="2"/>
    <x v="2"/>
    <n v="5"/>
    <x v="2"/>
    <n v="2"/>
    <x v="0"/>
    <n v="3"/>
    <x v="1"/>
    <n v="4"/>
    <x v="0"/>
  </r>
  <r>
    <n v="889"/>
    <n v="32"/>
    <x v="2"/>
    <x v="1"/>
    <n v="0"/>
    <x v="1"/>
    <n v="379"/>
    <x v="1"/>
    <x v="0"/>
    <n v="5"/>
    <x v="0"/>
    <n v="2"/>
    <x v="0"/>
    <x v="0"/>
    <n v="1"/>
    <n v="2"/>
    <x v="0"/>
    <x v="1"/>
    <n v="48"/>
    <x v="2"/>
    <n v="3"/>
    <x v="0"/>
    <n v="2"/>
    <x v="0"/>
    <n v="2"/>
    <x v="1"/>
    <x v="1"/>
    <n v="6524"/>
    <x v="0"/>
    <n v="8891"/>
    <x v="3"/>
    <n v="1"/>
    <x v="1"/>
    <s v="Y"/>
    <x v="1"/>
    <n v="14"/>
    <x v="2"/>
    <n v="3"/>
    <x v="0"/>
    <n v="4"/>
    <x v="1"/>
    <n v="80"/>
    <n v="1"/>
    <n v="10"/>
    <x v="0"/>
    <n v="3"/>
    <x v="1"/>
    <n v="3"/>
    <x v="1"/>
    <n v="10"/>
    <x v="0"/>
    <n v="8"/>
    <x v="1"/>
    <n v="5"/>
    <x v="1"/>
    <n v="3"/>
    <x v="0"/>
  </r>
  <r>
    <n v="893"/>
    <n v="38"/>
    <x v="0"/>
    <x v="1"/>
    <n v="0"/>
    <x v="0"/>
    <n v="395"/>
    <x v="1"/>
    <x v="0"/>
    <n v="9"/>
    <x v="1"/>
    <n v="3"/>
    <x v="3"/>
    <x v="3"/>
    <n v="1"/>
    <n v="2"/>
    <x v="0"/>
    <x v="1"/>
    <n v="98"/>
    <x v="0"/>
    <n v="2"/>
    <x v="1"/>
    <n v="1"/>
    <x v="6"/>
    <n v="2"/>
    <x v="1"/>
    <x v="1"/>
    <n v="2899"/>
    <x v="3"/>
    <n v="12102"/>
    <x v="3"/>
    <n v="0"/>
    <x v="1"/>
    <s v="Y"/>
    <x v="1"/>
    <n v="19"/>
    <x v="1"/>
    <n v="3"/>
    <x v="0"/>
    <n v="4"/>
    <x v="1"/>
    <n v="80"/>
    <n v="1"/>
    <n v="3"/>
    <x v="3"/>
    <n v="3"/>
    <x v="1"/>
    <n v="3"/>
    <x v="1"/>
    <n v="2"/>
    <x v="2"/>
    <n v="2"/>
    <x v="0"/>
    <n v="1"/>
    <x v="0"/>
    <n v="2"/>
    <x v="0"/>
  </r>
  <r>
    <n v="894"/>
    <n v="42"/>
    <x v="0"/>
    <x v="1"/>
    <n v="0"/>
    <x v="0"/>
    <n v="1265"/>
    <x v="0"/>
    <x v="1"/>
    <n v="3"/>
    <x v="0"/>
    <n v="3"/>
    <x v="3"/>
    <x v="0"/>
    <n v="1"/>
    <n v="3"/>
    <x v="1"/>
    <x v="0"/>
    <n v="95"/>
    <x v="0"/>
    <n v="4"/>
    <x v="2"/>
    <n v="2"/>
    <x v="2"/>
    <n v="4"/>
    <x v="0"/>
    <x v="1"/>
    <n v="5231"/>
    <x v="1"/>
    <n v="23726"/>
    <x v="1"/>
    <n v="2"/>
    <x v="3"/>
    <s v="Y"/>
    <x v="0"/>
    <n v="13"/>
    <x v="2"/>
    <n v="3"/>
    <x v="0"/>
    <n v="2"/>
    <x v="4"/>
    <n v="80"/>
    <n v="1"/>
    <n v="17"/>
    <x v="1"/>
    <n v="1"/>
    <x v="0"/>
    <n v="2"/>
    <x v="2"/>
    <n v="5"/>
    <x v="2"/>
    <n v="3"/>
    <x v="0"/>
    <n v="1"/>
    <x v="0"/>
    <n v="3"/>
    <x v="0"/>
  </r>
  <r>
    <n v="895"/>
    <n v="31"/>
    <x v="2"/>
    <x v="1"/>
    <n v="0"/>
    <x v="0"/>
    <n v="1222"/>
    <x v="0"/>
    <x v="1"/>
    <n v="11"/>
    <x v="3"/>
    <n v="4"/>
    <x v="2"/>
    <x v="0"/>
    <n v="1"/>
    <n v="4"/>
    <x v="2"/>
    <x v="1"/>
    <n v="48"/>
    <x v="2"/>
    <n v="3"/>
    <x v="0"/>
    <n v="1"/>
    <x v="1"/>
    <n v="4"/>
    <x v="0"/>
    <x v="1"/>
    <n v="2356"/>
    <x v="2"/>
    <n v="14871"/>
    <x v="3"/>
    <n v="3"/>
    <x v="3"/>
    <s v="Y"/>
    <x v="0"/>
    <n v="19"/>
    <x v="1"/>
    <n v="3"/>
    <x v="0"/>
    <n v="2"/>
    <x v="4"/>
    <n v="80"/>
    <n v="1"/>
    <n v="8"/>
    <x v="0"/>
    <n v="2"/>
    <x v="0"/>
    <n v="3"/>
    <x v="1"/>
    <n v="6"/>
    <x v="0"/>
    <n v="4"/>
    <x v="0"/>
    <n v="0"/>
    <x v="0"/>
    <n v="2"/>
    <x v="0"/>
  </r>
  <r>
    <n v="896"/>
    <n v="29"/>
    <x v="2"/>
    <x v="0"/>
    <n v="1"/>
    <x v="0"/>
    <n v="341"/>
    <x v="1"/>
    <x v="0"/>
    <n v="1"/>
    <x v="0"/>
    <n v="3"/>
    <x v="3"/>
    <x v="2"/>
    <n v="1"/>
    <n v="2"/>
    <x v="0"/>
    <x v="0"/>
    <n v="48"/>
    <x v="2"/>
    <n v="2"/>
    <x v="1"/>
    <n v="1"/>
    <x v="6"/>
    <n v="3"/>
    <x v="2"/>
    <x v="2"/>
    <n v="2800"/>
    <x v="3"/>
    <n v="23522"/>
    <x v="1"/>
    <n v="6"/>
    <x v="2"/>
    <s v="Y"/>
    <x v="0"/>
    <n v="19"/>
    <x v="1"/>
    <n v="3"/>
    <x v="0"/>
    <n v="3"/>
    <x v="3"/>
    <n v="80"/>
    <n v="3"/>
    <n v="5"/>
    <x v="3"/>
    <n v="3"/>
    <x v="1"/>
    <n v="3"/>
    <x v="1"/>
    <n v="3"/>
    <x v="2"/>
    <n v="2"/>
    <x v="0"/>
    <n v="0"/>
    <x v="0"/>
    <n v="2"/>
    <x v="0"/>
  </r>
  <r>
    <n v="897"/>
    <n v="53"/>
    <x v="1"/>
    <x v="1"/>
    <n v="0"/>
    <x v="0"/>
    <n v="868"/>
    <x v="2"/>
    <x v="0"/>
    <n v="8"/>
    <x v="1"/>
    <n v="3"/>
    <x v="3"/>
    <x v="3"/>
    <n v="1"/>
    <n v="1"/>
    <x v="3"/>
    <x v="1"/>
    <n v="73"/>
    <x v="1"/>
    <n v="3"/>
    <x v="0"/>
    <n v="4"/>
    <x v="0"/>
    <n v="4"/>
    <x v="0"/>
    <x v="1"/>
    <n v="11836"/>
    <x v="6"/>
    <n v="22789"/>
    <x v="1"/>
    <n v="5"/>
    <x v="2"/>
    <s v="Y"/>
    <x v="1"/>
    <n v="14"/>
    <x v="2"/>
    <n v="3"/>
    <x v="0"/>
    <n v="3"/>
    <x v="3"/>
    <n v="80"/>
    <n v="1"/>
    <n v="28"/>
    <x v="4"/>
    <n v="3"/>
    <x v="1"/>
    <n v="3"/>
    <x v="1"/>
    <n v="2"/>
    <x v="2"/>
    <n v="0"/>
    <x v="2"/>
    <n v="2"/>
    <x v="1"/>
    <n v="2"/>
    <x v="0"/>
  </r>
  <r>
    <n v="899"/>
    <n v="35"/>
    <x v="2"/>
    <x v="1"/>
    <n v="0"/>
    <x v="0"/>
    <n v="672"/>
    <x v="2"/>
    <x v="1"/>
    <n v="25"/>
    <x v="2"/>
    <n v="3"/>
    <x v="3"/>
    <x v="4"/>
    <n v="1"/>
    <n v="4"/>
    <x v="2"/>
    <x v="1"/>
    <n v="78"/>
    <x v="0"/>
    <n v="2"/>
    <x v="1"/>
    <n v="3"/>
    <x v="3"/>
    <n v="2"/>
    <x v="1"/>
    <x v="1"/>
    <n v="10903"/>
    <x v="8"/>
    <n v="9129"/>
    <x v="3"/>
    <n v="3"/>
    <x v="3"/>
    <s v="Y"/>
    <x v="1"/>
    <n v="16"/>
    <x v="3"/>
    <n v="3"/>
    <x v="0"/>
    <n v="1"/>
    <x v="0"/>
    <n v="80"/>
    <n v="0"/>
    <n v="16"/>
    <x v="1"/>
    <n v="2"/>
    <x v="0"/>
    <n v="3"/>
    <x v="1"/>
    <n v="13"/>
    <x v="4"/>
    <n v="10"/>
    <x v="1"/>
    <n v="4"/>
    <x v="1"/>
    <n v="8"/>
    <x v="1"/>
  </r>
  <r>
    <n v="900"/>
    <n v="37"/>
    <x v="0"/>
    <x v="1"/>
    <n v="0"/>
    <x v="1"/>
    <n v="1231"/>
    <x v="0"/>
    <x v="0"/>
    <n v="21"/>
    <x v="2"/>
    <n v="2"/>
    <x v="0"/>
    <x v="2"/>
    <n v="1"/>
    <n v="3"/>
    <x v="1"/>
    <x v="0"/>
    <n v="54"/>
    <x v="1"/>
    <n v="3"/>
    <x v="0"/>
    <n v="1"/>
    <x v="6"/>
    <n v="4"/>
    <x v="0"/>
    <x v="1"/>
    <n v="2973"/>
    <x v="3"/>
    <n v="21222"/>
    <x v="0"/>
    <n v="5"/>
    <x v="2"/>
    <s v="Y"/>
    <x v="1"/>
    <n v="15"/>
    <x v="2"/>
    <n v="3"/>
    <x v="0"/>
    <n v="2"/>
    <x v="4"/>
    <n v="80"/>
    <n v="1"/>
    <n v="10"/>
    <x v="0"/>
    <n v="3"/>
    <x v="1"/>
    <n v="3"/>
    <x v="1"/>
    <n v="5"/>
    <x v="2"/>
    <n v="4"/>
    <x v="0"/>
    <n v="0"/>
    <x v="0"/>
    <n v="0"/>
    <x v="2"/>
  </r>
  <r>
    <n v="901"/>
    <n v="53"/>
    <x v="1"/>
    <x v="1"/>
    <n v="0"/>
    <x v="0"/>
    <n v="102"/>
    <x v="1"/>
    <x v="1"/>
    <n v="23"/>
    <x v="2"/>
    <n v="4"/>
    <x v="2"/>
    <x v="0"/>
    <n v="1"/>
    <n v="4"/>
    <x v="2"/>
    <x v="0"/>
    <n v="72"/>
    <x v="1"/>
    <n v="3"/>
    <x v="0"/>
    <n v="4"/>
    <x v="7"/>
    <n v="4"/>
    <x v="0"/>
    <x v="0"/>
    <n v="14275"/>
    <x v="10"/>
    <n v="20206"/>
    <x v="0"/>
    <n v="6"/>
    <x v="2"/>
    <s v="Y"/>
    <x v="1"/>
    <n v="18"/>
    <x v="1"/>
    <n v="3"/>
    <x v="0"/>
    <n v="3"/>
    <x v="3"/>
    <n v="80"/>
    <n v="0"/>
    <n v="33"/>
    <x v="4"/>
    <n v="0"/>
    <x v="0"/>
    <n v="3"/>
    <x v="1"/>
    <n v="12"/>
    <x v="4"/>
    <n v="9"/>
    <x v="1"/>
    <n v="3"/>
    <x v="1"/>
    <n v="8"/>
    <x v="1"/>
  </r>
  <r>
    <n v="902"/>
    <n v="43"/>
    <x v="0"/>
    <x v="1"/>
    <n v="0"/>
    <x v="1"/>
    <n v="422"/>
    <x v="1"/>
    <x v="1"/>
    <n v="1"/>
    <x v="0"/>
    <n v="3"/>
    <x v="3"/>
    <x v="0"/>
    <n v="1"/>
    <n v="4"/>
    <x v="2"/>
    <x v="0"/>
    <n v="33"/>
    <x v="2"/>
    <n v="3"/>
    <x v="0"/>
    <n v="2"/>
    <x v="4"/>
    <n v="4"/>
    <x v="0"/>
    <x v="1"/>
    <n v="5562"/>
    <x v="0"/>
    <n v="21782"/>
    <x v="0"/>
    <n v="4"/>
    <x v="2"/>
    <s v="Y"/>
    <x v="1"/>
    <n v="13"/>
    <x v="2"/>
    <n v="3"/>
    <x v="0"/>
    <n v="2"/>
    <x v="4"/>
    <n v="80"/>
    <n v="1"/>
    <n v="12"/>
    <x v="1"/>
    <n v="2"/>
    <x v="0"/>
    <n v="2"/>
    <x v="2"/>
    <n v="5"/>
    <x v="2"/>
    <n v="2"/>
    <x v="0"/>
    <n v="2"/>
    <x v="1"/>
    <n v="2"/>
    <x v="0"/>
  </r>
  <r>
    <n v="903"/>
    <n v="47"/>
    <x v="1"/>
    <x v="1"/>
    <n v="0"/>
    <x v="0"/>
    <n v="249"/>
    <x v="1"/>
    <x v="0"/>
    <n v="2"/>
    <x v="0"/>
    <n v="2"/>
    <x v="0"/>
    <x v="3"/>
    <n v="1"/>
    <n v="3"/>
    <x v="1"/>
    <x v="0"/>
    <n v="35"/>
    <x v="2"/>
    <n v="3"/>
    <x v="0"/>
    <n v="2"/>
    <x v="0"/>
    <n v="4"/>
    <x v="0"/>
    <x v="1"/>
    <n v="4537"/>
    <x v="1"/>
    <n v="17783"/>
    <x v="0"/>
    <n v="0"/>
    <x v="1"/>
    <s v="Y"/>
    <x v="0"/>
    <n v="22"/>
    <x v="1"/>
    <n v="4"/>
    <x v="1"/>
    <n v="1"/>
    <x v="0"/>
    <n v="80"/>
    <n v="1"/>
    <n v="8"/>
    <x v="0"/>
    <n v="2"/>
    <x v="0"/>
    <n v="3"/>
    <x v="1"/>
    <n v="7"/>
    <x v="0"/>
    <n v="6"/>
    <x v="1"/>
    <n v="7"/>
    <x v="2"/>
    <n v="7"/>
    <x v="1"/>
  </r>
  <r>
    <n v="904"/>
    <n v="37"/>
    <x v="0"/>
    <x v="1"/>
    <n v="0"/>
    <x v="2"/>
    <n v="1252"/>
    <x v="0"/>
    <x v="0"/>
    <n v="19"/>
    <x v="3"/>
    <n v="2"/>
    <x v="0"/>
    <x v="2"/>
    <n v="1"/>
    <n v="1"/>
    <x v="3"/>
    <x v="1"/>
    <n v="32"/>
    <x v="2"/>
    <n v="3"/>
    <x v="0"/>
    <n v="3"/>
    <x v="0"/>
    <n v="2"/>
    <x v="1"/>
    <x v="0"/>
    <n v="7642"/>
    <x v="11"/>
    <n v="4814"/>
    <x v="2"/>
    <n v="1"/>
    <x v="1"/>
    <s v="Y"/>
    <x v="0"/>
    <n v="13"/>
    <x v="2"/>
    <n v="3"/>
    <x v="0"/>
    <n v="4"/>
    <x v="1"/>
    <n v="80"/>
    <n v="0"/>
    <n v="10"/>
    <x v="0"/>
    <n v="2"/>
    <x v="0"/>
    <n v="3"/>
    <x v="1"/>
    <n v="10"/>
    <x v="0"/>
    <n v="0"/>
    <x v="2"/>
    <n v="0"/>
    <x v="0"/>
    <n v="9"/>
    <x v="1"/>
  </r>
  <r>
    <n v="905"/>
    <n v="50"/>
    <x v="1"/>
    <x v="1"/>
    <n v="0"/>
    <x v="2"/>
    <n v="881"/>
    <x v="2"/>
    <x v="1"/>
    <n v="2"/>
    <x v="0"/>
    <n v="4"/>
    <x v="2"/>
    <x v="0"/>
    <n v="1"/>
    <n v="1"/>
    <x v="3"/>
    <x v="1"/>
    <n v="98"/>
    <x v="0"/>
    <n v="3"/>
    <x v="0"/>
    <n v="4"/>
    <x v="5"/>
    <n v="1"/>
    <x v="3"/>
    <x v="2"/>
    <n v="17924"/>
    <x v="9"/>
    <n v="4544"/>
    <x v="2"/>
    <n v="1"/>
    <x v="1"/>
    <s v="Y"/>
    <x v="1"/>
    <n v="11"/>
    <x v="0"/>
    <n v="3"/>
    <x v="0"/>
    <n v="4"/>
    <x v="1"/>
    <n v="80"/>
    <n v="1"/>
    <n v="31"/>
    <x v="4"/>
    <n v="3"/>
    <x v="1"/>
    <n v="3"/>
    <x v="1"/>
    <n v="31"/>
    <x v="3"/>
    <n v="6"/>
    <x v="1"/>
    <n v="14"/>
    <x v="3"/>
    <n v="7"/>
    <x v="1"/>
  </r>
  <r>
    <n v="909"/>
    <n v="39"/>
    <x v="0"/>
    <x v="1"/>
    <n v="0"/>
    <x v="0"/>
    <n v="1383"/>
    <x v="0"/>
    <x v="2"/>
    <n v="2"/>
    <x v="0"/>
    <n v="3"/>
    <x v="3"/>
    <x v="0"/>
    <n v="1"/>
    <n v="4"/>
    <x v="2"/>
    <x v="0"/>
    <n v="42"/>
    <x v="2"/>
    <n v="2"/>
    <x v="1"/>
    <n v="2"/>
    <x v="8"/>
    <n v="4"/>
    <x v="0"/>
    <x v="1"/>
    <n v="5204"/>
    <x v="1"/>
    <n v="7790"/>
    <x v="2"/>
    <n v="8"/>
    <x v="0"/>
    <s v="Y"/>
    <x v="1"/>
    <n v="11"/>
    <x v="0"/>
    <n v="3"/>
    <x v="0"/>
    <n v="3"/>
    <x v="3"/>
    <n v="80"/>
    <n v="2"/>
    <n v="13"/>
    <x v="1"/>
    <n v="2"/>
    <x v="0"/>
    <n v="3"/>
    <x v="1"/>
    <n v="5"/>
    <x v="2"/>
    <n v="4"/>
    <x v="0"/>
    <n v="0"/>
    <x v="0"/>
    <n v="4"/>
    <x v="0"/>
  </r>
  <r>
    <n v="910"/>
    <n v="33"/>
    <x v="2"/>
    <x v="1"/>
    <n v="0"/>
    <x v="0"/>
    <n v="1075"/>
    <x v="0"/>
    <x v="2"/>
    <n v="3"/>
    <x v="0"/>
    <n v="2"/>
    <x v="0"/>
    <x v="5"/>
    <n v="1"/>
    <n v="4"/>
    <x v="2"/>
    <x v="1"/>
    <n v="57"/>
    <x v="1"/>
    <n v="3"/>
    <x v="0"/>
    <n v="1"/>
    <x v="8"/>
    <n v="2"/>
    <x v="1"/>
    <x v="2"/>
    <n v="2277"/>
    <x v="2"/>
    <n v="22650"/>
    <x v="1"/>
    <n v="3"/>
    <x v="3"/>
    <s v="Y"/>
    <x v="0"/>
    <n v="11"/>
    <x v="0"/>
    <n v="3"/>
    <x v="0"/>
    <n v="3"/>
    <x v="3"/>
    <n v="80"/>
    <n v="1"/>
    <n v="7"/>
    <x v="0"/>
    <n v="4"/>
    <x v="1"/>
    <n v="4"/>
    <x v="3"/>
    <n v="4"/>
    <x v="2"/>
    <n v="3"/>
    <x v="0"/>
    <n v="0"/>
    <x v="0"/>
    <n v="3"/>
    <x v="0"/>
  </r>
  <r>
    <n v="911"/>
    <n v="32"/>
    <x v="2"/>
    <x v="0"/>
    <n v="1"/>
    <x v="0"/>
    <n v="374"/>
    <x v="1"/>
    <x v="1"/>
    <n v="25"/>
    <x v="2"/>
    <n v="4"/>
    <x v="2"/>
    <x v="0"/>
    <n v="1"/>
    <n v="1"/>
    <x v="3"/>
    <x v="1"/>
    <n v="87"/>
    <x v="0"/>
    <n v="3"/>
    <x v="0"/>
    <n v="1"/>
    <x v="2"/>
    <n v="4"/>
    <x v="0"/>
    <x v="0"/>
    <n v="2795"/>
    <x v="3"/>
    <n v="18016"/>
    <x v="0"/>
    <n v="1"/>
    <x v="1"/>
    <s v="Y"/>
    <x v="0"/>
    <n v="24"/>
    <x v="1"/>
    <n v="4"/>
    <x v="1"/>
    <n v="3"/>
    <x v="3"/>
    <n v="80"/>
    <n v="0"/>
    <n v="1"/>
    <x v="2"/>
    <n v="2"/>
    <x v="0"/>
    <n v="1"/>
    <x v="0"/>
    <n v="1"/>
    <x v="1"/>
    <n v="0"/>
    <x v="2"/>
    <n v="0"/>
    <x v="0"/>
    <n v="1"/>
    <x v="2"/>
  </r>
  <r>
    <n v="912"/>
    <n v="29"/>
    <x v="2"/>
    <x v="1"/>
    <n v="0"/>
    <x v="0"/>
    <n v="1086"/>
    <x v="0"/>
    <x v="1"/>
    <n v="7"/>
    <x v="1"/>
    <n v="1"/>
    <x v="1"/>
    <x v="2"/>
    <n v="1"/>
    <n v="1"/>
    <x v="3"/>
    <x v="0"/>
    <n v="62"/>
    <x v="1"/>
    <n v="2"/>
    <x v="1"/>
    <n v="1"/>
    <x v="2"/>
    <n v="4"/>
    <x v="0"/>
    <x v="2"/>
    <n v="2532"/>
    <x v="3"/>
    <n v="6054"/>
    <x v="2"/>
    <n v="6"/>
    <x v="2"/>
    <s v="Y"/>
    <x v="1"/>
    <n v="14"/>
    <x v="2"/>
    <n v="3"/>
    <x v="0"/>
    <n v="3"/>
    <x v="3"/>
    <n v="80"/>
    <n v="3"/>
    <n v="8"/>
    <x v="0"/>
    <n v="5"/>
    <x v="2"/>
    <n v="3"/>
    <x v="1"/>
    <n v="4"/>
    <x v="2"/>
    <n v="3"/>
    <x v="0"/>
    <n v="0"/>
    <x v="0"/>
    <n v="3"/>
    <x v="0"/>
  </r>
  <r>
    <n v="913"/>
    <n v="44"/>
    <x v="0"/>
    <x v="1"/>
    <n v="0"/>
    <x v="0"/>
    <n v="661"/>
    <x v="2"/>
    <x v="1"/>
    <n v="9"/>
    <x v="1"/>
    <n v="2"/>
    <x v="0"/>
    <x v="0"/>
    <n v="1"/>
    <n v="2"/>
    <x v="0"/>
    <x v="1"/>
    <n v="61"/>
    <x v="1"/>
    <n v="3"/>
    <x v="0"/>
    <n v="1"/>
    <x v="1"/>
    <n v="1"/>
    <x v="3"/>
    <x v="1"/>
    <n v="2559"/>
    <x v="3"/>
    <n v="7508"/>
    <x v="2"/>
    <n v="1"/>
    <x v="1"/>
    <s v="Y"/>
    <x v="0"/>
    <n v="13"/>
    <x v="2"/>
    <n v="3"/>
    <x v="0"/>
    <n v="4"/>
    <x v="1"/>
    <n v="80"/>
    <n v="0"/>
    <n v="8"/>
    <x v="0"/>
    <n v="0"/>
    <x v="0"/>
    <n v="3"/>
    <x v="1"/>
    <n v="8"/>
    <x v="0"/>
    <n v="7"/>
    <x v="1"/>
    <n v="7"/>
    <x v="2"/>
    <n v="1"/>
    <x v="2"/>
  </r>
  <r>
    <n v="916"/>
    <n v="28"/>
    <x v="2"/>
    <x v="1"/>
    <n v="0"/>
    <x v="0"/>
    <n v="821"/>
    <x v="2"/>
    <x v="0"/>
    <n v="5"/>
    <x v="0"/>
    <n v="4"/>
    <x v="2"/>
    <x v="2"/>
    <n v="1"/>
    <n v="1"/>
    <x v="3"/>
    <x v="1"/>
    <n v="98"/>
    <x v="0"/>
    <n v="3"/>
    <x v="0"/>
    <n v="2"/>
    <x v="0"/>
    <n v="4"/>
    <x v="0"/>
    <x v="0"/>
    <n v="4908"/>
    <x v="1"/>
    <n v="24252"/>
    <x v="1"/>
    <n v="1"/>
    <x v="1"/>
    <s v="Y"/>
    <x v="1"/>
    <n v="14"/>
    <x v="2"/>
    <n v="3"/>
    <x v="0"/>
    <n v="2"/>
    <x v="4"/>
    <n v="80"/>
    <n v="0"/>
    <n v="4"/>
    <x v="3"/>
    <n v="3"/>
    <x v="1"/>
    <n v="3"/>
    <x v="1"/>
    <n v="4"/>
    <x v="2"/>
    <n v="2"/>
    <x v="0"/>
    <n v="0"/>
    <x v="0"/>
    <n v="2"/>
    <x v="0"/>
  </r>
  <r>
    <n v="918"/>
    <n v="58"/>
    <x v="3"/>
    <x v="0"/>
    <n v="1"/>
    <x v="1"/>
    <n v="781"/>
    <x v="2"/>
    <x v="1"/>
    <n v="2"/>
    <x v="0"/>
    <n v="1"/>
    <x v="1"/>
    <x v="0"/>
    <n v="1"/>
    <n v="4"/>
    <x v="2"/>
    <x v="1"/>
    <n v="57"/>
    <x v="1"/>
    <n v="2"/>
    <x v="1"/>
    <n v="1"/>
    <x v="2"/>
    <n v="4"/>
    <x v="0"/>
    <x v="2"/>
    <n v="2380"/>
    <x v="2"/>
    <n v="13384"/>
    <x v="3"/>
    <n v="9"/>
    <x v="0"/>
    <s v="Y"/>
    <x v="0"/>
    <n v="14"/>
    <x v="2"/>
    <n v="3"/>
    <x v="0"/>
    <n v="4"/>
    <x v="1"/>
    <n v="80"/>
    <n v="1"/>
    <n v="3"/>
    <x v="3"/>
    <n v="3"/>
    <x v="1"/>
    <n v="2"/>
    <x v="2"/>
    <n v="1"/>
    <x v="1"/>
    <n v="0"/>
    <x v="2"/>
    <n v="0"/>
    <x v="0"/>
    <n v="0"/>
    <x v="2"/>
  </r>
  <r>
    <n v="920"/>
    <n v="43"/>
    <x v="0"/>
    <x v="1"/>
    <n v="0"/>
    <x v="0"/>
    <n v="177"/>
    <x v="1"/>
    <x v="1"/>
    <n v="8"/>
    <x v="1"/>
    <n v="3"/>
    <x v="3"/>
    <x v="0"/>
    <n v="1"/>
    <n v="1"/>
    <x v="3"/>
    <x v="0"/>
    <n v="55"/>
    <x v="1"/>
    <n v="3"/>
    <x v="0"/>
    <n v="2"/>
    <x v="3"/>
    <n v="2"/>
    <x v="1"/>
    <x v="2"/>
    <n v="4765"/>
    <x v="1"/>
    <n v="23814"/>
    <x v="1"/>
    <n v="4"/>
    <x v="2"/>
    <s v="Y"/>
    <x v="1"/>
    <n v="21"/>
    <x v="1"/>
    <n v="4"/>
    <x v="1"/>
    <n v="3"/>
    <x v="3"/>
    <n v="80"/>
    <n v="1"/>
    <n v="4"/>
    <x v="3"/>
    <n v="2"/>
    <x v="0"/>
    <n v="4"/>
    <x v="3"/>
    <n v="1"/>
    <x v="1"/>
    <n v="0"/>
    <x v="2"/>
    <n v="0"/>
    <x v="0"/>
    <n v="0"/>
    <x v="2"/>
  </r>
  <r>
    <n v="922"/>
    <n v="20"/>
    <x v="4"/>
    <x v="0"/>
    <n v="1"/>
    <x v="0"/>
    <n v="500"/>
    <x v="1"/>
    <x v="0"/>
    <n v="2"/>
    <x v="0"/>
    <n v="3"/>
    <x v="3"/>
    <x v="2"/>
    <n v="1"/>
    <n v="3"/>
    <x v="1"/>
    <x v="0"/>
    <n v="49"/>
    <x v="2"/>
    <n v="2"/>
    <x v="1"/>
    <n v="1"/>
    <x v="6"/>
    <n v="3"/>
    <x v="2"/>
    <x v="0"/>
    <n v="2044"/>
    <x v="2"/>
    <n v="22052"/>
    <x v="1"/>
    <n v="1"/>
    <x v="1"/>
    <s v="Y"/>
    <x v="1"/>
    <n v="13"/>
    <x v="2"/>
    <n v="3"/>
    <x v="0"/>
    <n v="4"/>
    <x v="1"/>
    <n v="80"/>
    <n v="0"/>
    <n v="2"/>
    <x v="2"/>
    <n v="3"/>
    <x v="1"/>
    <n v="2"/>
    <x v="2"/>
    <n v="2"/>
    <x v="2"/>
    <n v="2"/>
    <x v="0"/>
    <n v="0"/>
    <x v="0"/>
    <n v="2"/>
    <x v="0"/>
  </r>
  <r>
    <n v="923"/>
    <n v="21"/>
    <x v="4"/>
    <x v="0"/>
    <n v="1"/>
    <x v="0"/>
    <n v="1427"/>
    <x v="0"/>
    <x v="1"/>
    <n v="18"/>
    <x v="3"/>
    <n v="1"/>
    <x v="1"/>
    <x v="1"/>
    <n v="1"/>
    <n v="4"/>
    <x v="2"/>
    <x v="0"/>
    <n v="65"/>
    <x v="1"/>
    <n v="3"/>
    <x v="0"/>
    <n v="1"/>
    <x v="1"/>
    <n v="4"/>
    <x v="0"/>
    <x v="0"/>
    <n v="2693"/>
    <x v="3"/>
    <n v="8870"/>
    <x v="3"/>
    <n v="1"/>
    <x v="1"/>
    <s v="Y"/>
    <x v="1"/>
    <n v="19"/>
    <x v="1"/>
    <n v="3"/>
    <x v="0"/>
    <n v="1"/>
    <x v="0"/>
    <n v="80"/>
    <n v="0"/>
    <n v="1"/>
    <x v="2"/>
    <n v="3"/>
    <x v="1"/>
    <n v="2"/>
    <x v="2"/>
    <n v="1"/>
    <x v="1"/>
    <n v="0"/>
    <x v="2"/>
    <n v="0"/>
    <x v="0"/>
    <n v="0"/>
    <x v="2"/>
  </r>
  <r>
    <n v="924"/>
    <n v="36"/>
    <x v="0"/>
    <x v="1"/>
    <n v="0"/>
    <x v="0"/>
    <n v="1425"/>
    <x v="0"/>
    <x v="1"/>
    <n v="14"/>
    <x v="3"/>
    <n v="1"/>
    <x v="1"/>
    <x v="0"/>
    <n v="1"/>
    <n v="3"/>
    <x v="1"/>
    <x v="1"/>
    <n v="68"/>
    <x v="1"/>
    <n v="3"/>
    <x v="0"/>
    <n v="2"/>
    <x v="4"/>
    <n v="4"/>
    <x v="0"/>
    <x v="1"/>
    <n v="6586"/>
    <x v="0"/>
    <n v="4821"/>
    <x v="2"/>
    <n v="0"/>
    <x v="1"/>
    <s v="Y"/>
    <x v="0"/>
    <n v="17"/>
    <x v="3"/>
    <n v="3"/>
    <x v="0"/>
    <n v="1"/>
    <x v="0"/>
    <n v="80"/>
    <n v="1"/>
    <n v="17"/>
    <x v="1"/>
    <n v="2"/>
    <x v="0"/>
    <n v="2"/>
    <x v="2"/>
    <n v="16"/>
    <x v="4"/>
    <n v="8"/>
    <x v="1"/>
    <n v="4"/>
    <x v="1"/>
    <n v="11"/>
    <x v="3"/>
  </r>
  <r>
    <n v="925"/>
    <n v="47"/>
    <x v="1"/>
    <x v="1"/>
    <n v="0"/>
    <x v="0"/>
    <n v="1454"/>
    <x v="0"/>
    <x v="0"/>
    <n v="2"/>
    <x v="0"/>
    <n v="4"/>
    <x v="2"/>
    <x v="0"/>
    <n v="1"/>
    <n v="4"/>
    <x v="2"/>
    <x v="0"/>
    <n v="65"/>
    <x v="1"/>
    <n v="2"/>
    <x v="1"/>
    <n v="1"/>
    <x v="6"/>
    <n v="4"/>
    <x v="0"/>
    <x v="0"/>
    <n v="3294"/>
    <x v="3"/>
    <n v="13137"/>
    <x v="3"/>
    <n v="1"/>
    <x v="1"/>
    <s v="Y"/>
    <x v="0"/>
    <n v="18"/>
    <x v="1"/>
    <n v="3"/>
    <x v="0"/>
    <n v="1"/>
    <x v="0"/>
    <n v="80"/>
    <n v="0"/>
    <n v="3"/>
    <x v="3"/>
    <n v="3"/>
    <x v="1"/>
    <n v="2"/>
    <x v="2"/>
    <n v="3"/>
    <x v="2"/>
    <n v="2"/>
    <x v="0"/>
    <n v="1"/>
    <x v="0"/>
    <n v="2"/>
    <x v="0"/>
  </r>
  <r>
    <n v="926"/>
    <n v="22"/>
    <x v="4"/>
    <x v="0"/>
    <n v="1"/>
    <x v="0"/>
    <n v="617"/>
    <x v="2"/>
    <x v="1"/>
    <n v="3"/>
    <x v="0"/>
    <n v="1"/>
    <x v="1"/>
    <x v="0"/>
    <n v="1"/>
    <n v="2"/>
    <x v="0"/>
    <x v="0"/>
    <n v="34"/>
    <x v="2"/>
    <n v="3"/>
    <x v="0"/>
    <n v="2"/>
    <x v="3"/>
    <n v="3"/>
    <x v="2"/>
    <x v="1"/>
    <n v="4171"/>
    <x v="1"/>
    <n v="10022"/>
    <x v="3"/>
    <n v="0"/>
    <x v="1"/>
    <s v="Y"/>
    <x v="0"/>
    <n v="19"/>
    <x v="1"/>
    <n v="3"/>
    <x v="0"/>
    <n v="1"/>
    <x v="0"/>
    <n v="80"/>
    <n v="1"/>
    <n v="4"/>
    <x v="3"/>
    <n v="3"/>
    <x v="1"/>
    <n v="4"/>
    <x v="3"/>
    <n v="3"/>
    <x v="2"/>
    <n v="2"/>
    <x v="0"/>
    <n v="0"/>
    <x v="0"/>
    <n v="2"/>
    <x v="0"/>
  </r>
  <r>
    <n v="927"/>
    <n v="41"/>
    <x v="0"/>
    <x v="0"/>
    <n v="1"/>
    <x v="0"/>
    <n v="1085"/>
    <x v="0"/>
    <x v="1"/>
    <n v="2"/>
    <x v="0"/>
    <n v="4"/>
    <x v="2"/>
    <x v="0"/>
    <n v="1"/>
    <n v="2"/>
    <x v="0"/>
    <x v="0"/>
    <n v="57"/>
    <x v="1"/>
    <n v="1"/>
    <x v="3"/>
    <n v="1"/>
    <x v="2"/>
    <n v="4"/>
    <x v="0"/>
    <x v="2"/>
    <n v="2778"/>
    <x v="3"/>
    <n v="17725"/>
    <x v="0"/>
    <n v="4"/>
    <x v="2"/>
    <s v="Y"/>
    <x v="0"/>
    <n v="13"/>
    <x v="2"/>
    <n v="3"/>
    <x v="0"/>
    <n v="3"/>
    <x v="3"/>
    <n v="80"/>
    <n v="1"/>
    <n v="10"/>
    <x v="0"/>
    <n v="1"/>
    <x v="0"/>
    <n v="2"/>
    <x v="2"/>
    <n v="7"/>
    <x v="0"/>
    <n v="7"/>
    <x v="1"/>
    <n v="1"/>
    <x v="0"/>
    <n v="0"/>
    <x v="2"/>
  </r>
  <r>
    <n v="930"/>
    <n v="28"/>
    <x v="2"/>
    <x v="1"/>
    <n v="0"/>
    <x v="0"/>
    <n v="995"/>
    <x v="2"/>
    <x v="1"/>
    <n v="9"/>
    <x v="1"/>
    <n v="3"/>
    <x v="3"/>
    <x v="2"/>
    <n v="1"/>
    <n v="3"/>
    <x v="1"/>
    <x v="0"/>
    <n v="77"/>
    <x v="0"/>
    <n v="3"/>
    <x v="0"/>
    <n v="1"/>
    <x v="1"/>
    <n v="3"/>
    <x v="2"/>
    <x v="2"/>
    <n v="2377"/>
    <x v="2"/>
    <n v="9834"/>
    <x v="3"/>
    <n v="5"/>
    <x v="2"/>
    <s v="Y"/>
    <x v="1"/>
    <n v="18"/>
    <x v="1"/>
    <n v="3"/>
    <x v="0"/>
    <n v="2"/>
    <x v="4"/>
    <n v="80"/>
    <n v="1"/>
    <n v="6"/>
    <x v="0"/>
    <n v="2"/>
    <x v="0"/>
    <n v="3"/>
    <x v="1"/>
    <n v="2"/>
    <x v="2"/>
    <n v="2"/>
    <x v="0"/>
    <n v="2"/>
    <x v="1"/>
    <n v="2"/>
    <x v="0"/>
  </r>
  <r>
    <n v="932"/>
    <n v="39"/>
    <x v="0"/>
    <x v="0"/>
    <n v="1"/>
    <x v="0"/>
    <n v="1122"/>
    <x v="0"/>
    <x v="1"/>
    <n v="6"/>
    <x v="1"/>
    <n v="3"/>
    <x v="3"/>
    <x v="2"/>
    <n v="1"/>
    <n v="4"/>
    <x v="2"/>
    <x v="1"/>
    <n v="70"/>
    <x v="1"/>
    <n v="3"/>
    <x v="0"/>
    <n v="1"/>
    <x v="2"/>
    <n v="1"/>
    <x v="3"/>
    <x v="1"/>
    <n v="2404"/>
    <x v="2"/>
    <n v="4303"/>
    <x v="2"/>
    <n v="7"/>
    <x v="0"/>
    <s v="Y"/>
    <x v="0"/>
    <n v="21"/>
    <x v="1"/>
    <n v="4"/>
    <x v="1"/>
    <n v="4"/>
    <x v="1"/>
    <n v="80"/>
    <n v="0"/>
    <n v="8"/>
    <x v="0"/>
    <n v="2"/>
    <x v="0"/>
    <n v="1"/>
    <x v="0"/>
    <n v="2"/>
    <x v="2"/>
    <n v="2"/>
    <x v="0"/>
    <n v="2"/>
    <x v="1"/>
    <n v="2"/>
    <x v="0"/>
  </r>
  <r>
    <n v="933"/>
    <n v="27"/>
    <x v="2"/>
    <x v="1"/>
    <n v="0"/>
    <x v="0"/>
    <n v="618"/>
    <x v="2"/>
    <x v="1"/>
    <n v="4"/>
    <x v="0"/>
    <n v="3"/>
    <x v="3"/>
    <x v="0"/>
    <n v="1"/>
    <n v="2"/>
    <x v="0"/>
    <x v="0"/>
    <n v="76"/>
    <x v="0"/>
    <n v="3"/>
    <x v="0"/>
    <n v="1"/>
    <x v="1"/>
    <n v="3"/>
    <x v="2"/>
    <x v="0"/>
    <n v="2318"/>
    <x v="2"/>
    <n v="17808"/>
    <x v="0"/>
    <n v="1"/>
    <x v="1"/>
    <s v="Y"/>
    <x v="1"/>
    <n v="19"/>
    <x v="1"/>
    <n v="3"/>
    <x v="0"/>
    <n v="3"/>
    <x v="3"/>
    <n v="80"/>
    <n v="0"/>
    <n v="1"/>
    <x v="2"/>
    <n v="2"/>
    <x v="0"/>
    <n v="3"/>
    <x v="1"/>
    <n v="1"/>
    <x v="1"/>
    <n v="1"/>
    <x v="2"/>
    <n v="0"/>
    <x v="0"/>
    <n v="0"/>
    <x v="2"/>
  </r>
  <r>
    <n v="934"/>
    <n v="34"/>
    <x v="2"/>
    <x v="1"/>
    <n v="0"/>
    <x v="0"/>
    <n v="546"/>
    <x v="2"/>
    <x v="1"/>
    <n v="10"/>
    <x v="1"/>
    <n v="3"/>
    <x v="3"/>
    <x v="0"/>
    <n v="1"/>
    <n v="2"/>
    <x v="0"/>
    <x v="1"/>
    <n v="83"/>
    <x v="0"/>
    <n v="3"/>
    <x v="0"/>
    <n v="1"/>
    <x v="2"/>
    <n v="2"/>
    <x v="1"/>
    <x v="2"/>
    <n v="2008"/>
    <x v="2"/>
    <n v="6896"/>
    <x v="2"/>
    <n v="1"/>
    <x v="1"/>
    <s v="Y"/>
    <x v="1"/>
    <n v="14"/>
    <x v="2"/>
    <n v="3"/>
    <x v="0"/>
    <n v="2"/>
    <x v="4"/>
    <n v="80"/>
    <n v="2"/>
    <n v="1"/>
    <x v="2"/>
    <n v="3"/>
    <x v="1"/>
    <n v="3"/>
    <x v="1"/>
    <n v="1"/>
    <x v="1"/>
    <n v="0"/>
    <x v="2"/>
    <n v="1"/>
    <x v="0"/>
    <n v="0"/>
    <x v="2"/>
  </r>
  <r>
    <n v="936"/>
    <n v="42"/>
    <x v="0"/>
    <x v="1"/>
    <n v="0"/>
    <x v="0"/>
    <n v="462"/>
    <x v="1"/>
    <x v="0"/>
    <n v="14"/>
    <x v="3"/>
    <n v="2"/>
    <x v="0"/>
    <x v="2"/>
    <n v="1"/>
    <n v="3"/>
    <x v="1"/>
    <x v="0"/>
    <n v="68"/>
    <x v="1"/>
    <n v="2"/>
    <x v="1"/>
    <n v="2"/>
    <x v="0"/>
    <n v="3"/>
    <x v="2"/>
    <x v="0"/>
    <n v="6244"/>
    <x v="0"/>
    <n v="7824"/>
    <x v="2"/>
    <n v="7"/>
    <x v="0"/>
    <s v="Y"/>
    <x v="1"/>
    <n v="17"/>
    <x v="3"/>
    <n v="3"/>
    <x v="0"/>
    <n v="1"/>
    <x v="0"/>
    <n v="80"/>
    <n v="0"/>
    <n v="10"/>
    <x v="0"/>
    <n v="6"/>
    <x v="2"/>
    <n v="3"/>
    <x v="1"/>
    <n v="5"/>
    <x v="2"/>
    <n v="4"/>
    <x v="0"/>
    <n v="0"/>
    <x v="0"/>
    <n v="3"/>
    <x v="0"/>
  </r>
  <r>
    <n v="939"/>
    <n v="33"/>
    <x v="2"/>
    <x v="1"/>
    <n v="0"/>
    <x v="0"/>
    <n v="1198"/>
    <x v="0"/>
    <x v="1"/>
    <n v="1"/>
    <x v="0"/>
    <n v="4"/>
    <x v="2"/>
    <x v="1"/>
    <n v="1"/>
    <n v="3"/>
    <x v="1"/>
    <x v="1"/>
    <n v="100"/>
    <x v="0"/>
    <n v="2"/>
    <x v="1"/>
    <n v="1"/>
    <x v="1"/>
    <n v="1"/>
    <x v="3"/>
    <x v="0"/>
    <n v="2799"/>
    <x v="3"/>
    <n v="3339"/>
    <x v="2"/>
    <n v="3"/>
    <x v="3"/>
    <s v="Y"/>
    <x v="0"/>
    <n v="11"/>
    <x v="0"/>
    <n v="3"/>
    <x v="0"/>
    <n v="2"/>
    <x v="4"/>
    <n v="80"/>
    <n v="0"/>
    <n v="6"/>
    <x v="0"/>
    <n v="1"/>
    <x v="0"/>
    <n v="3"/>
    <x v="1"/>
    <n v="3"/>
    <x v="2"/>
    <n v="2"/>
    <x v="0"/>
    <n v="0"/>
    <x v="0"/>
    <n v="2"/>
    <x v="0"/>
  </r>
  <r>
    <n v="940"/>
    <n v="58"/>
    <x v="3"/>
    <x v="1"/>
    <n v="0"/>
    <x v="0"/>
    <n v="1272"/>
    <x v="0"/>
    <x v="1"/>
    <n v="5"/>
    <x v="0"/>
    <n v="3"/>
    <x v="3"/>
    <x v="4"/>
    <n v="1"/>
    <n v="3"/>
    <x v="1"/>
    <x v="0"/>
    <n v="37"/>
    <x v="2"/>
    <n v="2"/>
    <x v="1"/>
    <n v="3"/>
    <x v="4"/>
    <n v="2"/>
    <x v="1"/>
    <x v="2"/>
    <n v="10552"/>
    <x v="8"/>
    <n v="9255"/>
    <x v="3"/>
    <n v="2"/>
    <x v="3"/>
    <s v="Y"/>
    <x v="0"/>
    <n v="13"/>
    <x v="2"/>
    <n v="3"/>
    <x v="0"/>
    <n v="4"/>
    <x v="1"/>
    <n v="80"/>
    <n v="1"/>
    <n v="24"/>
    <x v="4"/>
    <n v="3"/>
    <x v="1"/>
    <n v="3"/>
    <x v="1"/>
    <n v="6"/>
    <x v="0"/>
    <n v="0"/>
    <x v="2"/>
    <n v="0"/>
    <x v="0"/>
    <n v="4"/>
    <x v="0"/>
  </r>
  <r>
    <n v="941"/>
    <n v="31"/>
    <x v="2"/>
    <x v="1"/>
    <n v="0"/>
    <x v="0"/>
    <n v="154"/>
    <x v="1"/>
    <x v="0"/>
    <n v="7"/>
    <x v="1"/>
    <n v="4"/>
    <x v="2"/>
    <x v="0"/>
    <n v="1"/>
    <n v="2"/>
    <x v="0"/>
    <x v="1"/>
    <n v="41"/>
    <x v="2"/>
    <n v="2"/>
    <x v="1"/>
    <n v="1"/>
    <x v="6"/>
    <n v="3"/>
    <x v="2"/>
    <x v="1"/>
    <n v="2329"/>
    <x v="2"/>
    <n v="11737"/>
    <x v="3"/>
    <n v="3"/>
    <x v="3"/>
    <s v="Y"/>
    <x v="1"/>
    <n v="15"/>
    <x v="2"/>
    <n v="3"/>
    <x v="0"/>
    <n v="2"/>
    <x v="4"/>
    <n v="80"/>
    <n v="0"/>
    <n v="13"/>
    <x v="1"/>
    <n v="2"/>
    <x v="0"/>
    <n v="4"/>
    <x v="3"/>
    <n v="7"/>
    <x v="0"/>
    <n v="7"/>
    <x v="1"/>
    <n v="5"/>
    <x v="1"/>
    <n v="2"/>
    <x v="0"/>
  </r>
  <r>
    <n v="942"/>
    <n v="35"/>
    <x v="2"/>
    <x v="1"/>
    <n v="0"/>
    <x v="0"/>
    <n v="1137"/>
    <x v="0"/>
    <x v="1"/>
    <n v="21"/>
    <x v="2"/>
    <n v="1"/>
    <x v="1"/>
    <x v="0"/>
    <n v="1"/>
    <n v="4"/>
    <x v="2"/>
    <x v="0"/>
    <n v="51"/>
    <x v="1"/>
    <n v="3"/>
    <x v="0"/>
    <n v="2"/>
    <x v="4"/>
    <n v="4"/>
    <x v="0"/>
    <x v="1"/>
    <n v="4014"/>
    <x v="1"/>
    <n v="19170"/>
    <x v="0"/>
    <n v="1"/>
    <x v="1"/>
    <s v="Y"/>
    <x v="0"/>
    <n v="25"/>
    <x v="1"/>
    <n v="4"/>
    <x v="1"/>
    <n v="4"/>
    <x v="1"/>
    <n v="80"/>
    <n v="1"/>
    <n v="10"/>
    <x v="0"/>
    <n v="2"/>
    <x v="0"/>
    <n v="1"/>
    <x v="0"/>
    <n v="10"/>
    <x v="0"/>
    <n v="6"/>
    <x v="1"/>
    <n v="0"/>
    <x v="0"/>
    <n v="7"/>
    <x v="1"/>
  </r>
  <r>
    <n v="944"/>
    <n v="49"/>
    <x v="1"/>
    <x v="1"/>
    <n v="0"/>
    <x v="0"/>
    <n v="527"/>
    <x v="2"/>
    <x v="1"/>
    <n v="8"/>
    <x v="1"/>
    <n v="2"/>
    <x v="0"/>
    <x v="1"/>
    <n v="1"/>
    <n v="1"/>
    <x v="3"/>
    <x v="0"/>
    <n v="51"/>
    <x v="1"/>
    <n v="3"/>
    <x v="0"/>
    <n v="3"/>
    <x v="2"/>
    <n v="2"/>
    <x v="1"/>
    <x v="1"/>
    <n v="7403"/>
    <x v="11"/>
    <n v="22477"/>
    <x v="1"/>
    <n v="4"/>
    <x v="2"/>
    <s v="Y"/>
    <x v="1"/>
    <n v="11"/>
    <x v="0"/>
    <n v="3"/>
    <x v="0"/>
    <n v="3"/>
    <x v="3"/>
    <n v="80"/>
    <n v="1"/>
    <n v="29"/>
    <x v="4"/>
    <n v="3"/>
    <x v="1"/>
    <n v="2"/>
    <x v="2"/>
    <n v="26"/>
    <x v="3"/>
    <n v="9"/>
    <x v="1"/>
    <n v="1"/>
    <x v="0"/>
    <n v="7"/>
    <x v="1"/>
  </r>
  <r>
    <n v="945"/>
    <n v="48"/>
    <x v="1"/>
    <x v="1"/>
    <n v="0"/>
    <x v="0"/>
    <n v="1469"/>
    <x v="0"/>
    <x v="1"/>
    <n v="20"/>
    <x v="3"/>
    <n v="4"/>
    <x v="2"/>
    <x v="2"/>
    <n v="1"/>
    <n v="4"/>
    <x v="2"/>
    <x v="1"/>
    <n v="51"/>
    <x v="1"/>
    <n v="3"/>
    <x v="0"/>
    <n v="1"/>
    <x v="1"/>
    <n v="3"/>
    <x v="2"/>
    <x v="1"/>
    <n v="2259"/>
    <x v="2"/>
    <n v="5543"/>
    <x v="2"/>
    <n v="4"/>
    <x v="2"/>
    <s v="Y"/>
    <x v="1"/>
    <n v="17"/>
    <x v="3"/>
    <n v="3"/>
    <x v="0"/>
    <n v="1"/>
    <x v="0"/>
    <n v="80"/>
    <n v="2"/>
    <n v="13"/>
    <x v="1"/>
    <n v="2"/>
    <x v="0"/>
    <n v="2"/>
    <x v="2"/>
    <n v="0"/>
    <x v="1"/>
    <n v="0"/>
    <x v="2"/>
    <n v="0"/>
    <x v="0"/>
    <n v="0"/>
    <x v="2"/>
  </r>
  <r>
    <n v="947"/>
    <n v="31"/>
    <x v="2"/>
    <x v="1"/>
    <n v="0"/>
    <x v="2"/>
    <n v="1188"/>
    <x v="0"/>
    <x v="0"/>
    <n v="20"/>
    <x v="3"/>
    <n v="2"/>
    <x v="0"/>
    <x v="3"/>
    <n v="1"/>
    <n v="4"/>
    <x v="2"/>
    <x v="0"/>
    <n v="45"/>
    <x v="2"/>
    <n v="3"/>
    <x v="0"/>
    <n v="2"/>
    <x v="0"/>
    <n v="3"/>
    <x v="2"/>
    <x v="1"/>
    <n v="6932"/>
    <x v="0"/>
    <n v="24406"/>
    <x v="1"/>
    <n v="1"/>
    <x v="1"/>
    <s v="Y"/>
    <x v="1"/>
    <n v="13"/>
    <x v="2"/>
    <n v="3"/>
    <x v="0"/>
    <n v="4"/>
    <x v="1"/>
    <n v="80"/>
    <n v="1"/>
    <n v="9"/>
    <x v="0"/>
    <n v="2"/>
    <x v="0"/>
    <n v="2"/>
    <x v="2"/>
    <n v="9"/>
    <x v="0"/>
    <n v="8"/>
    <x v="1"/>
    <n v="0"/>
    <x v="0"/>
    <n v="0"/>
    <x v="2"/>
  </r>
  <r>
    <n v="949"/>
    <n v="36"/>
    <x v="0"/>
    <x v="1"/>
    <n v="0"/>
    <x v="0"/>
    <n v="188"/>
    <x v="1"/>
    <x v="1"/>
    <n v="7"/>
    <x v="1"/>
    <n v="4"/>
    <x v="2"/>
    <x v="1"/>
    <n v="1"/>
    <n v="2"/>
    <x v="0"/>
    <x v="1"/>
    <n v="65"/>
    <x v="1"/>
    <n v="3"/>
    <x v="0"/>
    <n v="1"/>
    <x v="1"/>
    <n v="4"/>
    <x v="0"/>
    <x v="0"/>
    <n v="4678"/>
    <x v="1"/>
    <n v="23293"/>
    <x v="1"/>
    <n v="2"/>
    <x v="3"/>
    <s v="Y"/>
    <x v="1"/>
    <n v="18"/>
    <x v="1"/>
    <n v="3"/>
    <x v="0"/>
    <n v="3"/>
    <x v="3"/>
    <n v="80"/>
    <n v="0"/>
    <n v="8"/>
    <x v="0"/>
    <n v="6"/>
    <x v="2"/>
    <n v="3"/>
    <x v="1"/>
    <n v="6"/>
    <x v="0"/>
    <n v="2"/>
    <x v="0"/>
    <n v="0"/>
    <x v="0"/>
    <n v="1"/>
    <x v="2"/>
  </r>
  <r>
    <n v="950"/>
    <n v="38"/>
    <x v="0"/>
    <x v="1"/>
    <n v="0"/>
    <x v="0"/>
    <n v="1333"/>
    <x v="0"/>
    <x v="1"/>
    <n v="1"/>
    <x v="0"/>
    <n v="3"/>
    <x v="3"/>
    <x v="4"/>
    <n v="1"/>
    <n v="4"/>
    <x v="2"/>
    <x v="0"/>
    <n v="80"/>
    <x v="0"/>
    <n v="3"/>
    <x v="0"/>
    <n v="3"/>
    <x v="7"/>
    <n v="1"/>
    <x v="3"/>
    <x v="1"/>
    <n v="13582"/>
    <x v="10"/>
    <n v="16292"/>
    <x v="0"/>
    <n v="1"/>
    <x v="1"/>
    <s v="Y"/>
    <x v="1"/>
    <n v="13"/>
    <x v="2"/>
    <n v="3"/>
    <x v="0"/>
    <n v="2"/>
    <x v="4"/>
    <n v="80"/>
    <n v="1"/>
    <n v="15"/>
    <x v="1"/>
    <n v="3"/>
    <x v="1"/>
    <n v="3"/>
    <x v="1"/>
    <n v="15"/>
    <x v="4"/>
    <n v="12"/>
    <x v="3"/>
    <n v="5"/>
    <x v="1"/>
    <n v="11"/>
    <x v="3"/>
  </r>
  <r>
    <n v="951"/>
    <n v="32"/>
    <x v="2"/>
    <x v="1"/>
    <n v="0"/>
    <x v="2"/>
    <n v="1184"/>
    <x v="0"/>
    <x v="1"/>
    <n v="1"/>
    <x v="0"/>
    <n v="3"/>
    <x v="3"/>
    <x v="0"/>
    <n v="1"/>
    <n v="3"/>
    <x v="1"/>
    <x v="0"/>
    <n v="70"/>
    <x v="1"/>
    <n v="2"/>
    <x v="1"/>
    <n v="1"/>
    <x v="2"/>
    <n v="2"/>
    <x v="1"/>
    <x v="1"/>
    <n v="2332"/>
    <x v="2"/>
    <n v="3974"/>
    <x v="2"/>
    <n v="6"/>
    <x v="2"/>
    <s v="Y"/>
    <x v="1"/>
    <n v="20"/>
    <x v="1"/>
    <n v="4"/>
    <x v="1"/>
    <n v="3"/>
    <x v="3"/>
    <n v="80"/>
    <n v="0"/>
    <n v="5"/>
    <x v="3"/>
    <n v="3"/>
    <x v="1"/>
    <n v="3"/>
    <x v="1"/>
    <n v="3"/>
    <x v="2"/>
    <n v="0"/>
    <x v="2"/>
    <n v="0"/>
    <x v="0"/>
    <n v="2"/>
    <x v="0"/>
  </r>
  <r>
    <n v="952"/>
    <n v="25"/>
    <x v="4"/>
    <x v="0"/>
    <n v="1"/>
    <x v="0"/>
    <n v="867"/>
    <x v="2"/>
    <x v="0"/>
    <n v="19"/>
    <x v="3"/>
    <n v="2"/>
    <x v="0"/>
    <x v="3"/>
    <n v="1"/>
    <n v="3"/>
    <x v="1"/>
    <x v="1"/>
    <n v="36"/>
    <x v="2"/>
    <n v="2"/>
    <x v="1"/>
    <n v="1"/>
    <x v="6"/>
    <n v="2"/>
    <x v="1"/>
    <x v="1"/>
    <n v="2413"/>
    <x v="2"/>
    <n v="18798"/>
    <x v="0"/>
    <n v="1"/>
    <x v="1"/>
    <s v="Y"/>
    <x v="0"/>
    <n v="18"/>
    <x v="1"/>
    <n v="3"/>
    <x v="0"/>
    <n v="3"/>
    <x v="3"/>
    <n v="80"/>
    <n v="3"/>
    <n v="1"/>
    <x v="2"/>
    <n v="2"/>
    <x v="0"/>
    <n v="3"/>
    <x v="1"/>
    <n v="1"/>
    <x v="1"/>
    <n v="0"/>
    <x v="2"/>
    <n v="0"/>
    <x v="0"/>
    <n v="0"/>
    <x v="2"/>
  </r>
  <r>
    <n v="954"/>
    <n v="40"/>
    <x v="0"/>
    <x v="1"/>
    <n v="0"/>
    <x v="0"/>
    <n v="658"/>
    <x v="2"/>
    <x v="0"/>
    <n v="10"/>
    <x v="1"/>
    <n v="4"/>
    <x v="2"/>
    <x v="3"/>
    <n v="1"/>
    <n v="1"/>
    <x v="3"/>
    <x v="1"/>
    <n v="67"/>
    <x v="1"/>
    <n v="2"/>
    <x v="1"/>
    <n v="3"/>
    <x v="0"/>
    <n v="2"/>
    <x v="1"/>
    <x v="2"/>
    <n v="9705"/>
    <x v="4"/>
    <n v="20652"/>
    <x v="0"/>
    <n v="2"/>
    <x v="3"/>
    <s v="Y"/>
    <x v="1"/>
    <n v="12"/>
    <x v="0"/>
    <n v="3"/>
    <x v="0"/>
    <n v="2"/>
    <x v="4"/>
    <n v="80"/>
    <n v="1"/>
    <n v="11"/>
    <x v="1"/>
    <n v="2"/>
    <x v="0"/>
    <n v="2"/>
    <x v="2"/>
    <n v="1"/>
    <x v="1"/>
    <n v="0"/>
    <x v="2"/>
    <n v="0"/>
    <x v="0"/>
    <n v="0"/>
    <x v="2"/>
  </r>
  <r>
    <n v="956"/>
    <n v="26"/>
    <x v="2"/>
    <x v="1"/>
    <n v="0"/>
    <x v="1"/>
    <n v="1283"/>
    <x v="0"/>
    <x v="0"/>
    <n v="1"/>
    <x v="0"/>
    <n v="3"/>
    <x v="3"/>
    <x v="2"/>
    <n v="1"/>
    <n v="3"/>
    <x v="1"/>
    <x v="1"/>
    <n v="52"/>
    <x v="1"/>
    <n v="2"/>
    <x v="1"/>
    <n v="2"/>
    <x v="0"/>
    <n v="1"/>
    <x v="3"/>
    <x v="0"/>
    <n v="4294"/>
    <x v="1"/>
    <n v="11148"/>
    <x v="3"/>
    <n v="1"/>
    <x v="1"/>
    <s v="Y"/>
    <x v="1"/>
    <n v="12"/>
    <x v="0"/>
    <n v="3"/>
    <x v="0"/>
    <n v="2"/>
    <x v="4"/>
    <n v="80"/>
    <n v="0"/>
    <n v="7"/>
    <x v="0"/>
    <n v="2"/>
    <x v="0"/>
    <n v="3"/>
    <x v="1"/>
    <n v="7"/>
    <x v="0"/>
    <n v="7"/>
    <x v="1"/>
    <n v="0"/>
    <x v="0"/>
    <n v="7"/>
    <x v="1"/>
  </r>
  <r>
    <n v="957"/>
    <n v="41"/>
    <x v="0"/>
    <x v="1"/>
    <n v="0"/>
    <x v="0"/>
    <n v="263"/>
    <x v="1"/>
    <x v="1"/>
    <n v="6"/>
    <x v="1"/>
    <n v="3"/>
    <x v="3"/>
    <x v="2"/>
    <n v="1"/>
    <n v="4"/>
    <x v="2"/>
    <x v="1"/>
    <n v="59"/>
    <x v="1"/>
    <n v="3"/>
    <x v="0"/>
    <n v="1"/>
    <x v="2"/>
    <n v="1"/>
    <x v="3"/>
    <x v="0"/>
    <n v="4721"/>
    <x v="1"/>
    <n v="3119"/>
    <x v="2"/>
    <n v="2"/>
    <x v="3"/>
    <s v="Y"/>
    <x v="0"/>
    <n v="13"/>
    <x v="2"/>
    <n v="3"/>
    <x v="0"/>
    <n v="3"/>
    <x v="3"/>
    <n v="80"/>
    <n v="0"/>
    <n v="20"/>
    <x v="1"/>
    <n v="3"/>
    <x v="1"/>
    <n v="3"/>
    <x v="1"/>
    <n v="18"/>
    <x v="4"/>
    <n v="13"/>
    <x v="3"/>
    <n v="2"/>
    <x v="1"/>
    <n v="17"/>
    <x v="3"/>
  </r>
  <r>
    <n v="958"/>
    <n v="36"/>
    <x v="0"/>
    <x v="1"/>
    <n v="0"/>
    <x v="0"/>
    <n v="938"/>
    <x v="2"/>
    <x v="1"/>
    <n v="2"/>
    <x v="0"/>
    <n v="4"/>
    <x v="2"/>
    <x v="2"/>
    <n v="1"/>
    <n v="3"/>
    <x v="1"/>
    <x v="1"/>
    <n v="79"/>
    <x v="0"/>
    <n v="3"/>
    <x v="0"/>
    <n v="1"/>
    <x v="2"/>
    <n v="3"/>
    <x v="2"/>
    <x v="0"/>
    <n v="2519"/>
    <x v="3"/>
    <n v="12287"/>
    <x v="3"/>
    <n v="4"/>
    <x v="2"/>
    <s v="Y"/>
    <x v="1"/>
    <n v="21"/>
    <x v="1"/>
    <n v="4"/>
    <x v="1"/>
    <n v="3"/>
    <x v="3"/>
    <n v="80"/>
    <n v="0"/>
    <n v="16"/>
    <x v="1"/>
    <n v="6"/>
    <x v="2"/>
    <n v="3"/>
    <x v="1"/>
    <n v="11"/>
    <x v="4"/>
    <n v="8"/>
    <x v="1"/>
    <n v="3"/>
    <x v="1"/>
    <n v="9"/>
    <x v="1"/>
  </r>
  <r>
    <n v="959"/>
    <n v="19"/>
    <x v="4"/>
    <x v="0"/>
    <n v="1"/>
    <x v="0"/>
    <n v="419"/>
    <x v="1"/>
    <x v="0"/>
    <n v="21"/>
    <x v="2"/>
    <n v="3"/>
    <x v="3"/>
    <x v="1"/>
    <n v="1"/>
    <n v="4"/>
    <x v="2"/>
    <x v="1"/>
    <n v="37"/>
    <x v="2"/>
    <n v="2"/>
    <x v="1"/>
    <n v="1"/>
    <x v="6"/>
    <n v="2"/>
    <x v="1"/>
    <x v="0"/>
    <n v="2121"/>
    <x v="2"/>
    <n v="9947"/>
    <x v="3"/>
    <n v="1"/>
    <x v="1"/>
    <s v="Y"/>
    <x v="0"/>
    <n v="13"/>
    <x v="2"/>
    <n v="3"/>
    <x v="0"/>
    <n v="2"/>
    <x v="4"/>
    <n v="80"/>
    <n v="0"/>
    <n v="1"/>
    <x v="2"/>
    <n v="3"/>
    <x v="1"/>
    <n v="4"/>
    <x v="3"/>
    <n v="1"/>
    <x v="1"/>
    <n v="0"/>
    <x v="2"/>
    <n v="0"/>
    <x v="0"/>
    <n v="0"/>
    <x v="2"/>
  </r>
  <r>
    <n v="960"/>
    <n v="20"/>
    <x v="4"/>
    <x v="0"/>
    <n v="1"/>
    <x v="0"/>
    <n v="129"/>
    <x v="1"/>
    <x v="1"/>
    <n v="4"/>
    <x v="0"/>
    <n v="3"/>
    <x v="3"/>
    <x v="4"/>
    <n v="1"/>
    <n v="1"/>
    <x v="3"/>
    <x v="1"/>
    <n v="84"/>
    <x v="0"/>
    <n v="3"/>
    <x v="0"/>
    <n v="1"/>
    <x v="2"/>
    <n v="1"/>
    <x v="3"/>
    <x v="0"/>
    <n v="2973"/>
    <x v="3"/>
    <n v="13008"/>
    <x v="3"/>
    <n v="1"/>
    <x v="1"/>
    <s v="Y"/>
    <x v="1"/>
    <n v="19"/>
    <x v="1"/>
    <n v="3"/>
    <x v="0"/>
    <n v="2"/>
    <x v="4"/>
    <n v="80"/>
    <n v="0"/>
    <n v="1"/>
    <x v="2"/>
    <n v="2"/>
    <x v="0"/>
    <n v="3"/>
    <x v="1"/>
    <n v="1"/>
    <x v="1"/>
    <n v="0"/>
    <x v="2"/>
    <n v="0"/>
    <x v="0"/>
    <n v="0"/>
    <x v="2"/>
  </r>
  <r>
    <n v="961"/>
    <n v="31"/>
    <x v="2"/>
    <x v="1"/>
    <n v="0"/>
    <x v="0"/>
    <n v="616"/>
    <x v="2"/>
    <x v="1"/>
    <n v="12"/>
    <x v="3"/>
    <n v="3"/>
    <x v="3"/>
    <x v="2"/>
    <n v="1"/>
    <n v="4"/>
    <x v="2"/>
    <x v="0"/>
    <n v="41"/>
    <x v="2"/>
    <n v="3"/>
    <x v="0"/>
    <n v="2"/>
    <x v="4"/>
    <n v="4"/>
    <x v="0"/>
    <x v="1"/>
    <n v="5855"/>
    <x v="0"/>
    <n v="17369"/>
    <x v="0"/>
    <n v="0"/>
    <x v="1"/>
    <s v="Y"/>
    <x v="0"/>
    <n v="11"/>
    <x v="0"/>
    <n v="3"/>
    <x v="0"/>
    <n v="3"/>
    <x v="3"/>
    <n v="80"/>
    <n v="2"/>
    <n v="10"/>
    <x v="0"/>
    <n v="2"/>
    <x v="0"/>
    <n v="1"/>
    <x v="0"/>
    <n v="9"/>
    <x v="0"/>
    <n v="7"/>
    <x v="1"/>
    <n v="8"/>
    <x v="2"/>
    <n v="5"/>
    <x v="0"/>
  </r>
  <r>
    <n v="964"/>
    <n v="40"/>
    <x v="0"/>
    <x v="1"/>
    <n v="0"/>
    <x v="1"/>
    <n v="1469"/>
    <x v="0"/>
    <x v="1"/>
    <n v="9"/>
    <x v="1"/>
    <n v="4"/>
    <x v="2"/>
    <x v="2"/>
    <n v="1"/>
    <n v="4"/>
    <x v="2"/>
    <x v="1"/>
    <n v="35"/>
    <x v="2"/>
    <n v="3"/>
    <x v="0"/>
    <n v="1"/>
    <x v="1"/>
    <n v="2"/>
    <x v="1"/>
    <x v="2"/>
    <n v="3617"/>
    <x v="3"/>
    <n v="25063"/>
    <x v="1"/>
    <n v="8"/>
    <x v="0"/>
    <s v="Y"/>
    <x v="0"/>
    <n v="14"/>
    <x v="2"/>
    <n v="3"/>
    <x v="0"/>
    <n v="4"/>
    <x v="1"/>
    <n v="80"/>
    <n v="1"/>
    <n v="3"/>
    <x v="3"/>
    <n v="2"/>
    <x v="0"/>
    <n v="3"/>
    <x v="1"/>
    <n v="1"/>
    <x v="1"/>
    <n v="1"/>
    <x v="2"/>
    <n v="0"/>
    <x v="0"/>
    <n v="0"/>
    <x v="2"/>
  </r>
  <r>
    <n v="966"/>
    <n v="32"/>
    <x v="2"/>
    <x v="1"/>
    <n v="0"/>
    <x v="0"/>
    <n v="498"/>
    <x v="1"/>
    <x v="1"/>
    <n v="3"/>
    <x v="0"/>
    <n v="4"/>
    <x v="2"/>
    <x v="2"/>
    <n v="1"/>
    <n v="3"/>
    <x v="1"/>
    <x v="0"/>
    <n v="93"/>
    <x v="0"/>
    <n v="3"/>
    <x v="0"/>
    <n v="2"/>
    <x v="3"/>
    <n v="1"/>
    <x v="3"/>
    <x v="1"/>
    <n v="6725"/>
    <x v="0"/>
    <n v="13554"/>
    <x v="3"/>
    <n v="1"/>
    <x v="1"/>
    <s v="Y"/>
    <x v="1"/>
    <n v="12"/>
    <x v="0"/>
    <n v="3"/>
    <x v="0"/>
    <n v="3"/>
    <x v="3"/>
    <n v="80"/>
    <n v="1"/>
    <n v="8"/>
    <x v="0"/>
    <n v="2"/>
    <x v="0"/>
    <n v="4"/>
    <x v="3"/>
    <n v="8"/>
    <x v="0"/>
    <n v="7"/>
    <x v="1"/>
    <n v="6"/>
    <x v="2"/>
    <n v="3"/>
    <x v="0"/>
  </r>
  <r>
    <n v="967"/>
    <n v="36"/>
    <x v="0"/>
    <x v="0"/>
    <n v="1"/>
    <x v="0"/>
    <n v="530"/>
    <x v="2"/>
    <x v="0"/>
    <n v="3"/>
    <x v="0"/>
    <n v="1"/>
    <x v="1"/>
    <x v="0"/>
    <n v="1"/>
    <n v="3"/>
    <x v="1"/>
    <x v="1"/>
    <n v="51"/>
    <x v="1"/>
    <n v="2"/>
    <x v="1"/>
    <n v="3"/>
    <x v="0"/>
    <n v="4"/>
    <x v="0"/>
    <x v="1"/>
    <n v="10325"/>
    <x v="8"/>
    <n v="5518"/>
    <x v="2"/>
    <n v="1"/>
    <x v="1"/>
    <s v="Y"/>
    <x v="0"/>
    <n v="11"/>
    <x v="0"/>
    <n v="3"/>
    <x v="0"/>
    <n v="1"/>
    <x v="0"/>
    <n v="80"/>
    <n v="1"/>
    <n v="16"/>
    <x v="1"/>
    <n v="6"/>
    <x v="2"/>
    <n v="3"/>
    <x v="1"/>
    <n v="16"/>
    <x v="4"/>
    <n v="7"/>
    <x v="1"/>
    <n v="3"/>
    <x v="1"/>
    <n v="7"/>
    <x v="1"/>
  </r>
  <r>
    <n v="969"/>
    <n v="33"/>
    <x v="2"/>
    <x v="1"/>
    <n v="0"/>
    <x v="0"/>
    <n v="1069"/>
    <x v="0"/>
    <x v="1"/>
    <n v="1"/>
    <x v="0"/>
    <n v="3"/>
    <x v="3"/>
    <x v="0"/>
    <n v="1"/>
    <n v="2"/>
    <x v="0"/>
    <x v="0"/>
    <n v="42"/>
    <x v="2"/>
    <n v="2"/>
    <x v="1"/>
    <n v="2"/>
    <x v="4"/>
    <n v="4"/>
    <x v="0"/>
    <x v="0"/>
    <n v="6949"/>
    <x v="0"/>
    <n v="12291"/>
    <x v="3"/>
    <n v="0"/>
    <x v="1"/>
    <s v="Y"/>
    <x v="1"/>
    <n v="14"/>
    <x v="2"/>
    <n v="3"/>
    <x v="0"/>
    <n v="1"/>
    <x v="0"/>
    <n v="80"/>
    <n v="0"/>
    <n v="6"/>
    <x v="0"/>
    <n v="3"/>
    <x v="1"/>
    <n v="3"/>
    <x v="1"/>
    <n v="5"/>
    <x v="2"/>
    <n v="0"/>
    <x v="2"/>
    <n v="1"/>
    <x v="0"/>
    <n v="4"/>
    <x v="0"/>
  </r>
  <r>
    <n v="970"/>
    <n v="37"/>
    <x v="0"/>
    <x v="0"/>
    <n v="1"/>
    <x v="0"/>
    <n v="625"/>
    <x v="2"/>
    <x v="0"/>
    <n v="1"/>
    <x v="0"/>
    <n v="4"/>
    <x v="2"/>
    <x v="0"/>
    <n v="1"/>
    <n v="1"/>
    <x v="3"/>
    <x v="1"/>
    <n v="46"/>
    <x v="2"/>
    <n v="2"/>
    <x v="1"/>
    <n v="3"/>
    <x v="0"/>
    <n v="3"/>
    <x v="2"/>
    <x v="1"/>
    <n v="10609"/>
    <x v="8"/>
    <n v="14922"/>
    <x v="3"/>
    <n v="5"/>
    <x v="2"/>
    <s v="Y"/>
    <x v="1"/>
    <n v="11"/>
    <x v="0"/>
    <n v="3"/>
    <x v="0"/>
    <n v="3"/>
    <x v="3"/>
    <n v="80"/>
    <n v="0"/>
    <n v="17"/>
    <x v="1"/>
    <n v="2"/>
    <x v="0"/>
    <n v="1"/>
    <x v="0"/>
    <n v="14"/>
    <x v="4"/>
    <n v="1"/>
    <x v="2"/>
    <n v="11"/>
    <x v="3"/>
    <n v="7"/>
    <x v="1"/>
  </r>
  <r>
    <n v="972"/>
    <n v="45"/>
    <x v="0"/>
    <x v="1"/>
    <n v="0"/>
    <x v="2"/>
    <n v="805"/>
    <x v="2"/>
    <x v="1"/>
    <n v="4"/>
    <x v="0"/>
    <n v="2"/>
    <x v="0"/>
    <x v="0"/>
    <n v="1"/>
    <n v="3"/>
    <x v="1"/>
    <x v="1"/>
    <n v="57"/>
    <x v="1"/>
    <n v="3"/>
    <x v="0"/>
    <n v="2"/>
    <x v="2"/>
    <n v="2"/>
    <x v="1"/>
    <x v="1"/>
    <n v="4447"/>
    <x v="1"/>
    <n v="23163"/>
    <x v="1"/>
    <n v="1"/>
    <x v="1"/>
    <s v="Y"/>
    <x v="1"/>
    <n v="12"/>
    <x v="0"/>
    <n v="3"/>
    <x v="0"/>
    <n v="2"/>
    <x v="4"/>
    <n v="80"/>
    <n v="0"/>
    <n v="9"/>
    <x v="0"/>
    <n v="5"/>
    <x v="2"/>
    <n v="2"/>
    <x v="2"/>
    <n v="9"/>
    <x v="0"/>
    <n v="7"/>
    <x v="1"/>
    <n v="0"/>
    <x v="0"/>
    <n v="8"/>
    <x v="1"/>
  </r>
  <r>
    <n v="974"/>
    <n v="29"/>
    <x v="2"/>
    <x v="1"/>
    <n v="0"/>
    <x v="1"/>
    <n v="1404"/>
    <x v="0"/>
    <x v="0"/>
    <n v="20"/>
    <x v="3"/>
    <n v="3"/>
    <x v="3"/>
    <x v="4"/>
    <n v="1"/>
    <n v="3"/>
    <x v="1"/>
    <x v="0"/>
    <n v="84"/>
    <x v="0"/>
    <n v="3"/>
    <x v="0"/>
    <n v="1"/>
    <x v="6"/>
    <n v="4"/>
    <x v="0"/>
    <x v="1"/>
    <n v="2157"/>
    <x v="2"/>
    <n v="18203"/>
    <x v="0"/>
    <n v="1"/>
    <x v="1"/>
    <s v="Y"/>
    <x v="1"/>
    <n v="15"/>
    <x v="2"/>
    <n v="3"/>
    <x v="0"/>
    <n v="2"/>
    <x v="4"/>
    <n v="80"/>
    <n v="1"/>
    <n v="3"/>
    <x v="3"/>
    <n v="5"/>
    <x v="2"/>
    <n v="3"/>
    <x v="1"/>
    <n v="3"/>
    <x v="2"/>
    <n v="1"/>
    <x v="2"/>
    <n v="0"/>
    <x v="0"/>
    <n v="2"/>
    <x v="0"/>
  </r>
  <r>
    <n v="975"/>
    <n v="35"/>
    <x v="2"/>
    <x v="1"/>
    <n v="0"/>
    <x v="0"/>
    <n v="1219"/>
    <x v="0"/>
    <x v="0"/>
    <n v="18"/>
    <x v="3"/>
    <n v="3"/>
    <x v="3"/>
    <x v="2"/>
    <n v="1"/>
    <n v="3"/>
    <x v="1"/>
    <x v="0"/>
    <n v="86"/>
    <x v="0"/>
    <n v="3"/>
    <x v="0"/>
    <n v="2"/>
    <x v="0"/>
    <n v="3"/>
    <x v="2"/>
    <x v="1"/>
    <n v="4601"/>
    <x v="1"/>
    <n v="6179"/>
    <x v="2"/>
    <n v="1"/>
    <x v="1"/>
    <s v="Y"/>
    <x v="1"/>
    <n v="16"/>
    <x v="3"/>
    <n v="3"/>
    <x v="0"/>
    <n v="2"/>
    <x v="4"/>
    <n v="80"/>
    <n v="0"/>
    <n v="5"/>
    <x v="3"/>
    <n v="3"/>
    <x v="1"/>
    <n v="3"/>
    <x v="1"/>
    <n v="5"/>
    <x v="2"/>
    <n v="2"/>
    <x v="0"/>
    <n v="1"/>
    <x v="0"/>
    <n v="0"/>
    <x v="2"/>
  </r>
  <r>
    <n v="976"/>
    <n v="52"/>
    <x v="1"/>
    <x v="1"/>
    <n v="0"/>
    <x v="0"/>
    <n v="1053"/>
    <x v="0"/>
    <x v="1"/>
    <n v="1"/>
    <x v="0"/>
    <n v="2"/>
    <x v="0"/>
    <x v="0"/>
    <n v="1"/>
    <n v="4"/>
    <x v="2"/>
    <x v="1"/>
    <n v="70"/>
    <x v="1"/>
    <n v="3"/>
    <x v="0"/>
    <n v="4"/>
    <x v="5"/>
    <n v="4"/>
    <x v="0"/>
    <x v="1"/>
    <n v="17099"/>
    <x v="12"/>
    <n v="13829"/>
    <x v="3"/>
    <n v="2"/>
    <x v="3"/>
    <s v="Y"/>
    <x v="1"/>
    <n v="15"/>
    <x v="2"/>
    <n v="3"/>
    <x v="0"/>
    <n v="2"/>
    <x v="4"/>
    <n v="80"/>
    <n v="1"/>
    <n v="26"/>
    <x v="4"/>
    <n v="2"/>
    <x v="0"/>
    <n v="2"/>
    <x v="2"/>
    <n v="9"/>
    <x v="0"/>
    <n v="8"/>
    <x v="1"/>
    <n v="7"/>
    <x v="2"/>
    <n v="8"/>
    <x v="1"/>
  </r>
  <r>
    <n v="977"/>
    <n v="58"/>
    <x v="3"/>
    <x v="0"/>
    <n v="1"/>
    <x v="0"/>
    <n v="289"/>
    <x v="1"/>
    <x v="1"/>
    <n v="2"/>
    <x v="0"/>
    <n v="3"/>
    <x v="3"/>
    <x v="4"/>
    <n v="1"/>
    <n v="4"/>
    <x v="2"/>
    <x v="1"/>
    <n v="51"/>
    <x v="1"/>
    <n v="3"/>
    <x v="0"/>
    <n v="1"/>
    <x v="1"/>
    <n v="3"/>
    <x v="2"/>
    <x v="0"/>
    <n v="2479"/>
    <x v="2"/>
    <n v="26227"/>
    <x v="1"/>
    <n v="4"/>
    <x v="2"/>
    <s v="Y"/>
    <x v="1"/>
    <n v="24"/>
    <x v="1"/>
    <n v="4"/>
    <x v="1"/>
    <n v="1"/>
    <x v="0"/>
    <n v="80"/>
    <n v="0"/>
    <n v="7"/>
    <x v="0"/>
    <n v="4"/>
    <x v="1"/>
    <n v="3"/>
    <x v="1"/>
    <n v="1"/>
    <x v="1"/>
    <n v="0"/>
    <x v="2"/>
    <n v="0"/>
    <x v="0"/>
    <n v="0"/>
    <x v="2"/>
  </r>
  <r>
    <n v="981"/>
    <n v="53"/>
    <x v="1"/>
    <x v="1"/>
    <n v="0"/>
    <x v="0"/>
    <n v="1376"/>
    <x v="0"/>
    <x v="0"/>
    <n v="2"/>
    <x v="0"/>
    <n v="2"/>
    <x v="0"/>
    <x v="2"/>
    <n v="1"/>
    <n v="3"/>
    <x v="1"/>
    <x v="1"/>
    <n v="45"/>
    <x v="2"/>
    <n v="3"/>
    <x v="0"/>
    <n v="4"/>
    <x v="5"/>
    <n v="3"/>
    <x v="2"/>
    <x v="2"/>
    <n v="14852"/>
    <x v="5"/>
    <n v="13938"/>
    <x v="3"/>
    <n v="6"/>
    <x v="2"/>
    <s v="Y"/>
    <x v="1"/>
    <n v="13"/>
    <x v="2"/>
    <n v="3"/>
    <x v="0"/>
    <n v="3"/>
    <x v="3"/>
    <n v="80"/>
    <n v="1"/>
    <n v="22"/>
    <x v="4"/>
    <n v="3"/>
    <x v="1"/>
    <n v="4"/>
    <x v="3"/>
    <n v="17"/>
    <x v="4"/>
    <n v="13"/>
    <x v="3"/>
    <n v="15"/>
    <x v="3"/>
    <n v="2"/>
    <x v="0"/>
  </r>
  <r>
    <n v="982"/>
    <n v="30"/>
    <x v="2"/>
    <x v="1"/>
    <n v="0"/>
    <x v="0"/>
    <n v="231"/>
    <x v="1"/>
    <x v="0"/>
    <n v="8"/>
    <x v="1"/>
    <n v="2"/>
    <x v="0"/>
    <x v="1"/>
    <n v="1"/>
    <n v="3"/>
    <x v="1"/>
    <x v="1"/>
    <n v="62"/>
    <x v="1"/>
    <n v="3"/>
    <x v="0"/>
    <n v="3"/>
    <x v="0"/>
    <n v="3"/>
    <x v="2"/>
    <x v="2"/>
    <n v="7264"/>
    <x v="11"/>
    <n v="9977"/>
    <x v="3"/>
    <n v="5"/>
    <x v="2"/>
    <s v="Y"/>
    <x v="1"/>
    <n v="11"/>
    <x v="0"/>
    <n v="3"/>
    <x v="0"/>
    <n v="1"/>
    <x v="0"/>
    <n v="80"/>
    <n v="1"/>
    <n v="10"/>
    <x v="0"/>
    <n v="2"/>
    <x v="0"/>
    <n v="4"/>
    <x v="3"/>
    <n v="8"/>
    <x v="0"/>
    <n v="4"/>
    <x v="0"/>
    <n v="7"/>
    <x v="2"/>
    <n v="7"/>
    <x v="1"/>
  </r>
  <r>
    <n v="983"/>
    <n v="38"/>
    <x v="0"/>
    <x v="1"/>
    <n v="0"/>
    <x v="2"/>
    <n v="152"/>
    <x v="1"/>
    <x v="0"/>
    <n v="10"/>
    <x v="1"/>
    <n v="3"/>
    <x v="3"/>
    <x v="4"/>
    <n v="1"/>
    <n v="3"/>
    <x v="1"/>
    <x v="0"/>
    <n v="85"/>
    <x v="0"/>
    <n v="3"/>
    <x v="0"/>
    <n v="2"/>
    <x v="0"/>
    <n v="4"/>
    <x v="0"/>
    <x v="0"/>
    <n v="5666"/>
    <x v="0"/>
    <n v="19899"/>
    <x v="0"/>
    <n v="1"/>
    <x v="1"/>
    <s v="Y"/>
    <x v="0"/>
    <n v="13"/>
    <x v="2"/>
    <n v="3"/>
    <x v="0"/>
    <n v="2"/>
    <x v="4"/>
    <n v="80"/>
    <n v="0"/>
    <n v="6"/>
    <x v="0"/>
    <n v="1"/>
    <x v="0"/>
    <n v="3"/>
    <x v="1"/>
    <n v="5"/>
    <x v="2"/>
    <n v="3"/>
    <x v="0"/>
    <n v="1"/>
    <x v="0"/>
    <n v="3"/>
    <x v="0"/>
  </r>
  <r>
    <n v="984"/>
    <n v="35"/>
    <x v="2"/>
    <x v="1"/>
    <n v="0"/>
    <x v="0"/>
    <n v="882"/>
    <x v="2"/>
    <x v="0"/>
    <n v="3"/>
    <x v="0"/>
    <n v="4"/>
    <x v="2"/>
    <x v="0"/>
    <n v="1"/>
    <n v="4"/>
    <x v="2"/>
    <x v="1"/>
    <n v="92"/>
    <x v="0"/>
    <n v="3"/>
    <x v="0"/>
    <n v="3"/>
    <x v="0"/>
    <n v="4"/>
    <x v="0"/>
    <x v="2"/>
    <n v="7823"/>
    <x v="11"/>
    <n v="6812"/>
    <x v="2"/>
    <n v="6"/>
    <x v="2"/>
    <s v="Y"/>
    <x v="1"/>
    <n v="13"/>
    <x v="2"/>
    <n v="3"/>
    <x v="0"/>
    <n v="2"/>
    <x v="4"/>
    <n v="80"/>
    <n v="1"/>
    <n v="12"/>
    <x v="1"/>
    <n v="2"/>
    <x v="0"/>
    <n v="3"/>
    <x v="1"/>
    <n v="10"/>
    <x v="0"/>
    <n v="9"/>
    <x v="1"/>
    <n v="0"/>
    <x v="0"/>
    <n v="8"/>
    <x v="1"/>
  </r>
  <r>
    <n v="985"/>
    <n v="39"/>
    <x v="0"/>
    <x v="1"/>
    <n v="0"/>
    <x v="0"/>
    <n v="903"/>
    <x v="2"/>
    <x v="0"/>
    <n v="2"/>
    <x v="0"/>
    <n v="5"/>
    <x v="4"/>
    <x v="0"/>
    <n v="1"/>
    <n v="1"/>
    <x v="3"/>
    <x v="1"/>
    <n v="41"/>
    <x v="2"/>
    <n v="4"/>
    <x v="2"/>
    <n v="3"/>
    <x v="0"/>
    <n v="3"/>
    <x v="2"/>
    <x v="0"/>
    <n v="7880"/>
    <x v="11"/>
    <n v="2560"/>
    <x v="2"/>
    <n v="0"/>
    <x v="1"/>
    <s v="Y"/>
    <x v="1"/>
    <n v="18"/>
    <x v="1"/>
    <n v="3"/>
    <x v="0"/>
    <n v="4"/>
    <x v="1"/>
    <n v="80"/>
    <n v="0"/>
    <n v="9"/>
    <x v="0"/>
    <n v="3"/>
    <x v="1"/>
    <n v="3"/>
    <x v="1"/>
    <n v="8"/>
    <x v="0"/>
    <n v="7"/>
    <x v="1"/>
    <n v="0"/>
    <x v="0"/>
    <n v="7"/>
    <x v="1"/>
  </r>
  <r>
    <n v="986"/>
    <n v="40"/>
    <x v="0"/>
    <x v="0"/>
    <n v="1"/>
    <x v="2"/>
    <n v="1479"/>
    <x v="0"/>
    <x v="0"/>
    <n v="24"/>
    <x v="2"/>
    <n v="3"/>
    <x v="3"/>
    <x v="0"/>
    <n v="1"/>
    <n v="2"/>
    <x v="0"/>
    <x v="0"/>
    <n v="100"/>
    <x v="0"/>
    <n v="4"/>
    <x v="2"/>
    <n v="4"/>
    <x v="0"/>
    <n v="2"/>
    <x v="1"/>
    <x v="0"/>
    <n v="13194"/>
    <x v="10"/>
    <n v="17071"/>
    <x v="0"/>
    <n v="4"/>
    <x v="2"/>
    <s v="Y"/>
    <x v="0"/>
    <n v="16"/>
    <x v="3"/>
    <n v="3"/>
    <x v="0"/>
    <n v="4"/>
    <x v="1"/>
    <n v="80"/>
    <n v="0"/>
    <n v="22"/>
    <x v="4"/>
    <n v="2"/>
    <x v="0"/>
    <n v="2"/>
    <x v="2"/>
    <n v="1"/>
    <x v="1"/>
    <n v="0"/>
    <x v="2"/>
    <n v="0"/>
    <x v="0"/>
    <n v="0"/>
    <x v="2"/>
  </r>
  <r>
    <n v="987"/>
    <n v="47"/>
    <x v="1"/>
    <x v="1"/>
    <n v="0"/>
    <x v="1"/>
    <n v="1379"/>
    <x v="0"/>
    <x v="1"/>
    <n v="16"/>
    <x v="3"/>
    <n v="4"/>
    <x v="2"/>
    <x v="2"/>
    <n v="1"/>
    <n v="3"/>
    <x v="1"/>
    <x v="1"/>
    <n v="64"/>
    <x v="1"/>
    <n v="4"/>
    <x v="2"/>
    <n v="2"/>
    <x v="3"/>
    <n v="3"/>
    <x v="2"/>
    <x v="2"/>
    <n v="5067"/>
    <x v="1"/>
    <n v="6759"/>
    <x v="2"/>
    <n v="1"/>
    <x v="1"/>
    <s v="Y"/>
    <x v="0"/>
    <n v="19"/>
    <x v="1"/>
    <n v="3"/>
    <x v="0"/>
    <n v="3"/>
    <x v="3"/>
    <n v="80"/>
    <n v="0"/>
    <n v="20"/>
    <x v="1"/>
    <n v="3"/>
    <x v="1"/>
    <n v="4"/>
    <x v="3"/>
    <n v="19"/>
    <x v="4"/>
    <n v="10"/>
    <x v="1"/>
    <n v="2"/>
    <x v="1"/>
    <n v="7"/>
    <x v="1"/>
  </r>
  <r>
    <n v="990"/>
    <n v="36"/>
    <x v="0"/>
    <x v="1"/>
    <n v="0"/>
    <x v="2"/>
    <n v="1229"/>
    <x v="0"/>
    <x v="0"/>
    <n v="8"/>
    <x v="1"/>
    <n v="4"/>
    <x v="2"/>
    <x v="4"/>
    <n v="1"/>
    <n v="1"/>
    <x v="3"/>
    <x v="1"/>
    <n v="84"/>
    <x v="0"/>
    <n v="3"/>
    <x v="0"/>
    <n v="2"/>
    <x v="0"/>
    <n v="4"/>
    <x v="0"/>
    <x v="2"/>
    <n v="5079"/>
    <x v="1"/>
    <n v="25952"/>
    <x v="1"/>
    <n v="4"/>
    <x v="2"/>
    <s v="Y"/>
    <x v="1"/>
    <n v="13"/>
    <x v="2"/>
    <n v="3"/>
    <x v="0"/>
    <n v="4"/>
    <x v="1"/>
    <n v="80"/>
    <n v="2"/>
    <n v="12"/>
    <x v="1"/>
    <n v="3"/>
    <x v="1"/>
    <n v="3"/>
    <x v="1"/>
    <n v="7"/>
    <x v="0"/>
    <n v="7"/>
    <x v="1"/>
    <n v="0"/>
    <x v="0"/>
    <n v="7"/>
    <x v="1"/>
  </r>
  <r>
    <n v="991"/>
    <n v="31"/>
    <x v="2"/>
    <x v="0"/>
    <n v="1"/>
    <x v="2"/>
    <n v="335"/>
    <x v="1"/>
    <x v="1"/>
    <n v="9"/>
    <x v="1"/>
    <n v="2"/>
    <x v="0"/>
    <x v="2"/>
    <n v="1"/>
    <n v="3"/>
    <x v="1"/>
    <x v="1"/>
    <n v="46"/>
    <x v="2"/>
    <n v="2"/>
    <x v="1"/>
    <n v="1"/>
    <x v="1"/>
    <n v="1"/>
    <x v="3"/>
    <x v="0"/>
    <n v="2321"/>
    <x v="2"/>
    <n v="10322"/>
    <x v="3"/>
    <n v="0"/>
    <x v="1"/>
    <s v="Y"/>
    <x v="0"/>
    <n v="22"/>
    <x v="1"/>
    <n v="4"/>
    <x v="1"/>
    <n v="1"/>
    <x v="0"/>
    <n v="80"/>
    <n v="0"/>
    <n v="4"/>
    <x v="3"/>
    <n v="0"/>
    <x v="0"/>
    <n v="3"/>
    <x v="1"/>
    <n v="3"/>
    <x v="2"/>
    <n v="2"/>
    <x v="0"/>
    <n v="1"/>
    <x v="0"/>
    <n v="2"/>
    <x v="0"/>
  </r>
  <r>
    <n v="992"/>
    <n v="33"/>
    <x v="2"/>
    <x v="1"/>
    <n v="0"/>
    <x v="2"/>
    <n v="722"/>
    <x v="2"/>
    <x v="0"/>
    <n v="17"/>
    <x v="3"/>
    <n v="3"/>
    <x v="3"/>
    <x v="0"/>
    <n v="1"/>
    <n v="4"/>
    <x v="2"/>
    <x v="1"/>
    <n v="38"/>
    <x v="2"/>
    <n v="3"/>
    <x v="0"/>
    <n v="4"/>
    <x v="5"/>
    <n v="3"/>
    <x v="2"/>
    <x v="0"/>
    <n v="17444"/>
    <x v="12"/>
    <n v="20489"/>
    <x v="0"/>
    <n v="1"/>
    <x v="1"/>
    <s v="Y"/>
    <x v="1"/>
    <n v="11"/>
    <x v="0"/>
    <n v="3"/>
    <x v="0"/>
    <n v="4"/>
    <x v="1"/>
    <n v="80"/>
    <n v="0"/>
    <n v="10"/>
    <x v="0"/>
    <n v="2"/>
    <x v="0"/>
    <n v="3"/>
    <x v="1"/>
    <n v="10"/>
    <x v="0"/>
    <n v="8"/>
    <x v="1"/>
    <n v="6"/>
    <x v="2"/>
    <n v="0"/>
    <x v="2"/>
  </r>
  <r>
    <n v="994"/>
    <n v="29"/>
    <x v="2"/>
    <x v="0"/>
    <n v="1"/>
    <x v="0"/>
    <n v="906"/>
    <x v="2"/>
    <x v="1"/>
    <n v="10"/>
    <x v="1"/>
    <n v="3"/>
    <x v="3"/>
    <x v="0"/>
    <n v="1"/>
    <n v="4"/>
    <x v="2"/>
    <x v="0"/>
    <n v="92"/>
    <x v="0"/>
    <n v="2"/>
    <x v="1"/>
    <n v="1"/>
    <x v="1"/>
    <n v="1"/>
    <x v="3"/>
    <x v="0"/>
    <n v="2404"/>
    <x v="2"/>
    <n v="11479"/>
    <x v="3"/>
    <n v="6"/>
    <x v="2"/>
    <s v="Y"/>
    <x v="0"/>
    <n v="20"/>
    <x v="1"/>
    <n v="4"/>
    <x v="1"/>
    <n v="3"/>
    <x v="3"/>
    <n v="80"/>
    <n v="0"/>
    <n v="3"/>
    <x v="3"/>
    <n v="5"/>
    <x v="2"/>
    <n v="3"/>
    <x v="1"/>
    <n v="0"/>
    <x v="1"/>
    <n v="0"/>
    <x v="2"/>
    <n v="0"/>
    <x v="0"/>
    <n v="0"/>
    <x v="2"/>
  </r>
  <r>
    <n v="995"/>
    <n v="33"/>
    <x v="2"/>
    <x v="1"/>
    <n v="0"/>
    <x v="0"/>
    <n v="461"/>
    <x v="1"/>
    <x v="1"/>
    <n v="13"/>
    <x v="3"/>
    <n v="1"/>
    <x v="1"/>
    <x v="0"/>
    <n v="1"/>
    <n v="2"/>
    <x v="0"/>
    <x v="0"/>
    <n v="53"/>
    <x v="1"/>
    <n v="3"/>
    <x v="0"/>
    <n v="1"/>
    <x v="1"/>
    <n v="4"/>
    <x v="0"/>
    <x v="0"/>
    <n v="3452"/>
    <x v="3"/>
    <n v="17241"/>
    <x v="0"/>
    <n v="3"/>
    <x v="3"/>
    <s v="Y"/>
    <x v="1"/>
    <n v="18"/>
    <x v="1"/>
    <n v="3"/>
    <x v="0"/>
    <n v="1"/>
    <x v="0"/>
    <n v="80"/>
    <n v="0"/>
    <n v="5"/>
    <x v="3"/>
    <n v="4"/>
    <x v="1"/>
    <n v="3"/>
    <x v="1"/>
    <n v="3"/>
    <x v="2"/>
    <n v="2"/>
    <x v="0"/>
    <n v="0"/>
    <x v="0"/>
    <n v="2"/>
    <x v="0"/>
  </r>
  <r>
    <n v="996"/>
    <n v="45"/>
    <x v="0"/>
    <x v="1"/>
    <n v="0"/>
    <x v="0"/>
    <n v="974"/>
    <x v="2"/>
    <x v="1"/>
    <n v="1"/>
    <x v="0"/>
    <n v="4"/>
    <x v="2"/>
    <x v="2"/>
    <n v="1"/>
    <n v="4"/>
    <x v="2"/>
    <x v="0"/>
    <n v="91"/>
    <x v="0"/>
    <n v="3"/>
    <x v="0"/>
    <n v="1"/>
    <x v="2"/>
    <n v="4"/>
    <x v="0"/>
    <x v="2"/>
    <n v="2270"/>
    <x v="2"/>
    <n v="11005"/>
    <x v="3"/>
    <n v="3"/>
    <x v="3"/>
    <s v="Y"/>
    <x v="1"/>
    <n v="14"/>
    <x v="2"/>
    <n v="3"/>
    <x v="0"/>
    <n v="4"/>
    <x v="1"/>
    <n v="80"/>
    <n v="2"/>
    <n v="8"/>
    <x v="0"/>
    <n v="2"/>
    <x v="0"/>
    <n v="3"/>
    <x v="1"/>
    <n v="5"/>
    <x v="2"/>
    <n v="3"/>
    <x v="0"/>
    <n v="0"/>
    <x v="0"/>
    <n v="2"/>
    <x v="0"/>
  </r>
  <r>
    <n v="997"/>
    <n v="50"/>
    <x v="1"/>
    <x v="1"/>
    <n v="0"/>
    <x v="0"/>
    <n v="1126"/>
    <x v="0"/>
    <x v="1"/>
    <n v="1"/>
    <x v="0"/>
    <n v="2"/>
    <x v="0"/>
    <x v="2"/>
    <n v="1"/>
    <n v="4"/>
    <x v="2"/>
    <x v="1"/>
    <n v="66"/>
    <x v="1"/>
    <n v="3"/>
    <x v="0"/>
    <n v="4"/>
    <x v="7"/>
    <n v="4"/>
    <x v="0"/>
    <x v="2"/>
    <n v="17399"/>
    <x v="12"/>
    <n v="6615"/>
    <x v="2"/>
    <n v="9"/>
    <x v="0"/>
    <s v="Y"/>
    <x v="1"/>
    <n v="22"/>
    <x v="1"/>
    <n v="4"/>
    <x v="1"/>
    <n v="3"/>
    <x v="3"/>
    <n v="80"/>
    <n v="1"/>
    <n v="32"/>
    <x v="4"/>
    <n v="1"/>
    <x v="0"/>
    <n v="2"/>
    <x v="2"/>
    <n v="5"/>
    <x v="2"/>
    <n v="4"/>
    <x v="0"/>
    <n v="1"/>
    <x v="0"/>
    <n v="3"/>
    <x v="0"/>
  </r>
  <r>
    <n v="998"/>
    <n v="33"/>
    <x v="2"/>
    <x v="1"/>
    <n v="0"/>
    <x v="1"/>
    <n v="827"/>
    <x v="2"/>
    <x v="1"/>
    <n v="1"/>
    <x v="0"/>
    <n v="4"/>
    <x v="2"/>
    <x v="1"/>
    <n v="1"/>
    <n v="3"/>
    <x v="1"/>
    <x v="0"/>
    <n v="84"/>
    <x v="0"/>
    <n v="4"/>
    <x v="2"/>
    <n v="2"/>
    <x v="4"/>
    <n v="2"/>
    <x v="1"/>
    <x v="1"/>
    <n v="5488"/>
    <x v="1"/>
    <n v="20161"/>
    <x v="0"/>
    <n v="1"/>
    <x v="1"/>
    <s v="Y"/>
    <x v="0"/>
    <n v="13"/>
    <x v="2"/>
    <n v="3"/>
    <x v="0"/>
    <n v="1"/>
    <x v="0"/>
    <n v="80"/>
    <n v="1"/>
    <n v="6"/>
    <x v="0"/>
    <n v="2"/>
    <x v="0"/>
    <n v="3"/>
    <x v="1"/>
    <n v="6"/>
    <x v="0"/>
    <n v="5"/>
    <x v="0"/>
    <n v="1"/>
    <x v="0"/>
    <n v="2"/>
    <x v="0"/>
  </r>
  <r>
    <n v="999"/>
    <n v="41"/>
    <x v="0"/>
    <x v="1"/>
    <n v="0"/>
    <x v="1"/>
    <n v="840"/>
    <x v="2"/>
    <x v="1"/>
    <n v="9"/>
    <x v="1"/>
    <n v="3"/>
    <x v="3"/>
    <x v="2"/>
    <n v="1"/>
    <n v="1"/>
    <x v="3"/>
    <x v="1"/>
    <n v="64"/>
    <x v="1"/>
    <n v="3"/>
    <x v="0"/>
    <n v="5"/>
    <x v="7"/>
    <n v="3"/>
    <x v="2"/>
    <x v="2"/>
    <n v="19419"/>
    <x v="7"/>
    <n v="3735"/>
    <x v="2"/>
    <n v="2"/>
    <x v="3"/>
    <s v="Y"/>
    <x v="1"/>
    <n v="17"/>
    <x v="3"/>
    <n v="3"/>
    <x v="0"/>
    <n v="2"/>
    <x v="4"/>
    <n v="80"/>
    <n v="1"/>
    <n v="21"/>
    <x v="4"/>
    <n v="2"/>
    <x v="0"/>
    <n v="4"/>
    <x v="3"/>
    <n v="18"/>
    <x v="4"/>
    <n v="16"/>
    <x v="3"/>
    <n v="0"/>
    <x v="0"/>
    <n v="11"/>
    <x v="3"/>
  </r>
  <r>
    <n v="1001"/>
    <n v="27"/>
    <x v="2"/>
    <x v="1"/>
    <n v="0"/>
    <x v="0"/>
    <n v="1134"/>
    <x v="0"/>
    <x v="1"/>
    <n v="16"/>
    <x v="3"/>
    <n v="4"/>
    <x v="2"/>
    <x v="4"/>
    <n v="1"/>
    <n v="3"/>
    <x v="1"/>
    <x v="0"/>
    <n v="37"/>
    <x v="2"/>
    <n v="3"/>
    <x v="0"/>
    <n v="1"/>
    <x v="2"/>
    <n v="2"/>
    <x v="1"/>
    <x v="1"/>
    <n v="2811"/>
    <x v="3"/>
    <n v="12086"/>
    <x v="3"/>
    <n v="9"/>
    <x v="0"/>
    <s v="Y"/>
    <x v="1"/>
    <n v="14"/>
    <x v="2"/>
    <n v="3"/>
    <x v="0"/>
    <n v="2"/>
    <x v="4"/>
    <n v="80"/>
    <n v="1"/>
    <n v="4"/>
    <x v="3"/>
    <n v="2"/>
    <x v="0"/>
    <n v="3"/>
    <x v="1"/>
    <n v="2"/>
    <x v="2"/>
    <n v="2"/>
    <x v="0"/>
    <n v="2"/>
    <x v="1"/>
    <n v="2"/>
    <x v="0"/>
  </r>
  <r>
    <n v="1002"/>
    <n v="45"/>
    <x v="0"/>
    <x v="1"/>
    <n v="0"/>
    <x v="2"/>
    <n v="248"/>
    <x v="1"/>
    <x v="1"/>
    <n v="23"/>
    <x v="2"/>
    <n v="2"/>
    <x v="0"/>
    <x v="0"/>
    <n v="1"/>
    <n v="4"/>
    <x v="2"/>
    <x v="1"/>
    <n v="42"/>
    <x v="2"/>
    <n v="3"/>
    <x v="0"/>
    <n v="2"/>
    <x v="2"/>
    <n v="1"/>
    <x v="3"/>
    <x v="1"/>
    <n v="3633"/>
    <x v="3"/>
    <n v="14039"/>
    <x v="3"/>
    <n v="1"/>
    <x v="1"/>
    <s v="Y"/>
    <x v="0"/>
    <n v="15"/>
    <x v="2"/>
    <n v="3"/>
    <x v="0"/>
    <n v="3"/>
    <x v="3"/>
    <n v="80"/>
    <n v="1"/>
    <n v="9"/>
    <x v="0"/>
    <n v="2"/>
    <x v="0"/>
    <n v="3"/>
    <x v="1"/>
    <n v="9"/>
    <x v="0"/>
    <n v="8"/>
    <x v="1"/>
    <n v="0"/>
    <x v="0"/>
    <n v="8"/>
    <x v="1"/>
  </r>
  <r>
    <n v="1003"/>
    <n v="47"/>
    <x v="1"/>
    <x v="1"/>
    <n v="0"/>
    <x v="0"/>
    <n v="955"/>
    <x v="2"/>
    <x v="0"/>
    <n v="4"/>
    <x v="0"/>
    <n v="2"/>
    <x v="0"/>
    <x v="0"/>
    <n v="1"/>
    <n v="4"/>
    <x v="2"/>
    <x v="0"/>
    <n v="83"/>
    <x v="0"/>
    <n v="3"/>
    <x v="0"/>
    <n v="2"/>
    <x v="0"/>
    <n v="4"/>
    <x v="0"/>
    <x v="0"/>
    <n v="4163"/>
    <x v="1"/>
    <n v="8571"/>
    <x v="3"/>
    <n v="1"/>
    <x v="1"/>
    <s v="Y"/>
    <x v="0"/>
    <n v="17"/>
    <x v="3"/>
    <n v="3"/>
    <x v="0"/>
    <n v="3"/>
    <x v="3"/>
    <n v="80"/>
    <n v="0"/>
    <n v="9"/>
    <x v="0"/>
    <n v="0"/>
    <x v="0"/>
    <n v="3"/>
    <x v="1"/>
    <n v="9"/>
    <x v="0"/>
    <n v="0"/>
    <x v="2"/>
    <n v="0"/>
    <x v="0"/>
    <n v="7"/>
    <x v="1"/>
  </r>
  <r>
    <n v="1004"/>
    <n v="30"/>
    <x v="2"/>
    <x v="0"/>
    <n v="1"/>
    <x v="0"/>
    <n v="138"/>
    <x v="1"/>
    <x v="1"/>
    <n v="22"/>
    <x v="2"/>
    <n v="3"/>
    <x v="3"/>
    <x v="0"/>
    <n v="1"/>
    <n v="1"/>
    <x v="3"/>
    <x v="0"/>
    <n v="48"/>
    <x v="2"/>
    <n v="3"/>
    <x v="0"/>
    <n v="1"/>
    <x v="1"/>
    <n v="3"/>
    <x v="2"/>
    <x v="1"/>
    <n v="2132"/>
    <x v="2"/>
    <n v="11539"/>
    <x v="3"/>
    <n v="4"/>
    <x v="2"/>
    <s v="Y"/>
    <x v="0"/>
    <n v="11"/>
    <x v="0"/>
    <n v="3"/>
    <x v="0"/>
    <n v="2"/>
    <x v="4"/>
    <n v="80"/>
    <n v="0"/>
    <n v="7"/>
    <x v="0"/>
    <n v="2"/>
    <x v="0"/>
    <n v="3"/>
    <x v="1"/>
    <n v="5"/>
    <x v="2"/>
    <n v="2"/>
    <x v="0"/>
    <n v="0"/>
    <x v="0"/>
    <n v="1"/>
    <x v="2"/>
  </r>
  <r>
    <n v="1005"/>
    <n v="50"/>
    <x v="1"/>
    <x v="1"/>
    <n v="0"/>
    <x v="0"/>
    <n v="939"/>
    <x v="2"/>
    <x v="1"/>
    <n v="24"/>
    <x v="2"/>
    <n v="3"/>
    <x v="3"/>
    <x v="0"/>
    <n v="1"/>
    <n v="4"/>
    <x v="2"/>
    <x v="1"/>
    <n v="95"/>
    <x v="0"/>
    <n v="3"/>
    <x v="0"/>
    <n v="4"/>
    <x v="3"/>
    <n v="3"/>
    <x v="2"/>
    <x v="1"/>
    <n v="13973"/>
    <x v="10"/>
    <n v="4161"/>
    <x v="2"/>
    <n v="3"/>
    <x v="3"/>
    <s v="Y"/>
    <x v="0"/>
    <n v="18"/>
    <x v="1"/>
    <n v="3"/>
    <x v="0"/>
    <n v="4"/>
    <x v="1"/>
    <n v="80"/>
    <n v="1"/>
    <n v="22"/>
    <x v="4"/>
    <n v="2"/>
    <x v="0"/>
    <n v="3"/>
    <x v="1"/>
    <n v="12"/>
    <x v="4"/>
    <n v="11"/>
    <x v="3"/>
    <n v="1"/>
    <x v="0"/>
    <n v="5"/>
    <x v="0"/>
  </r>
  <r>
    <n v="1006"/>
    <n v="38"/>
    <x v="0"/>
    <x v="1"/>
    <n v="0"/>
    <x v="1"/>
    <n v="1391"/>
    <x v="0"/>
    <x v="1"/>
    <n v="10"/>
    <x v="1"/>
    <n v="1"/>
    <x v="1"/>
    <x v="2"/>
    <n v="1"/>
    <n v="3"/>
    <x v="1"/>
    <x v="1"/>
    <n v="66"/>
    <x v="1"/>
    <n v="3"/>
    <x v="0"/>
    <n v="1"/>
    <x v="1"/>
    <n v="3"/>
    <x v="2"/>
    <x v="1"/>
    <n v="2684"/>
    <x v="3"/>
    <n v="12127"/>
    <x v="3"/>
    <n v="0"/>
    <x v="1"/>
    <s v="Y"/>
    <x v="1"/>
    <n v="17"/>
    <x v="3"/>
    <n v="3"/>
    <x v="0"/>
    <n v="2"/>
    <x v="4"/>
    <n v="80"/>
    <n v="1"/>
    <n v="3"/>
    <x v="3"/>
    <n v="0"/>
    <x v="0"/>
    <n v="2"/>
    <x v="2"/>
    <n v="2"/>
    <x v="2"/>
    <n v="1"/>
    <x v="2"/>
    <n v="0"/>
    <x v="0"/>
    <n v="2"/>
    <x v="0"/>
  </r>
  <r>
    <n v="1007"/>
    <n v="46"/>
    <x v="1"/>
    <x v="1"/>
    <n v="0"/>
    <x v="0"/>
    <n v="566"/>
    <x v="2"/>
    <x v="1"/>
    <n v="7"/>
    <x v="1"/>
    <n v="2"/>
    <x v="0"/>
    <x v="2"/>
    <n v="1"/>
    <n v="4"/>
    <x v="2"/>
    <x v="1"/>
    <n v="75"/>
    <x v="1"/>
    <n v="3"/>
    <x v="0"/>
    <n v="3"/>
    <x v="3"/>
    <n v="3"/>
    <x v="2"/>
    <x v="2"/>
    <n v="10845"/>
    <x v="8"/>
    <n v="24208"/>
    <x v="1"/>
    <n v="6"/>
    <x v="2"/>
    <s v="Y"/>
    <x v="1"/>
    <n v="13"/>
    <x v="2"/>
    <n v="3"/>
    <x v="0"/>
    <n v="2"/>
    <x v="4"/>
    <n v="80"/>
    <n v="1"/>
    <n v="13"/>
    <x v="1"/>
    <n v="3"/>
    <x v="1"/>
    <n v="3"/>
    <x v="1"/>
    <n v="8"/>
    <x v="0"/>
    <n v="7"/>
    <x v="1"/>
    <n v="0"/>
    <x v="0"/>
    <n v="7"/>
    <x v="1"/>
  </r>
  <r>
    <n v="1009"/>
    <n v="24"/>
    <x v="4"/>
    <x v="1"/>
    <n v="0"/>
    <x v="0"/>
    <n v="1206"/>
    <x v="0"/>
    <x v="1"/>
    <n v="17"/>
    <x v="3"/>
    <n v="1"/>
    <x v="1"/>
    <x v="2"/>
    <n v="1"/>
    <n v="4"/>
    <x v="2"/>
    <x v="0"/>
    <n v="41"/>
    <x v="2"/>
    <n v="2"/>
    <x v="1"/>
    <n v="2"/>
    <x v="3"/>
    <n v="3"/>
    <x v="2"/>
    <x v="2"/>
    <n v="4377"/>
    <x v="1"/>
    <n v="24117"/>
    <x v="1"/>
    <n v="1"/>
    <x v="1"/>
    <s v="Y"/>
    <x v="1"/>
    <n v="15"/>
    <x v="2"/>
    <n v="3"/>
    <x v="0"/>
    <n v="2"/>
    <x v="4"/>
    <n v="80"/>
    <n v="2"/>
    <n v="5"/>
    <x v="3"/>
    <n v="6"/>
    <x v="2"/>
    <n v="3"/>
    <x v="1"/>
    <n v="4"/>
    <x v="2"/>
    <n v="2"/>
    <x v="0"/>
    <n v="3"/>
    <x v="1"/>
    <n v="2"/>
    <x v="0"/>
  </r>
  <r>
    <n v="1010"/>
    <n v="35"/>
    <x v="2"/>
    <x v="0"/>
    <n v="1"/>
    <x v="0"/>
    <n v="622"/>
    <x v="2"/>
    <x v="1"/>
    <n v="14"/>
    <x v="3"/>
    <n v="4"/>
    <x v="2"/>
    <x v="1"/>
    <n v="1"/>
    <n v="3"/>
    <x v="1"/>
    <x v="1"/>
    <n v="39"/>
    <x v="2"/>
    <n v="2"/>
    <x v="1"/>
    <n v="1"/>
    <x v="2"/>
    <n v="2"/>
    <x v="1"/>
    <x v="2"/>
    <n v="3743"/>
    <x v="3"/>
    <n v="10074"/>
    <x v="3"/>
    <n v="1"/>
    <x v="1"/>
    <s v="Y"/>
    <x v="0"/>
    <n v="24"/>
    <x v="1"/>
    <n v="4"/>
    <x v="1"/>
    <n v="4"/>
    <x v="1"/>
    <n v="80"/>
    <n v="1"/>
    <n v="5"/>
    <x v="3"/>
    <n v="2"/>
    <x v="0"/>
    <n v="1"/>
    <x v="0"/>
    <n v="4"/>
    <x v="2"/>
    <n v="2"/>
    <x v="0"/>
    <n v="0"/>
    <x v="0"/>
    <n v="2"/>
    <x v="0"/>
  </r>
  <r>
    <n v="1011"/>
    <n v="31"/>
    <x v="2"/>
    <x v="1"/>
    <n v="0"/>
    <x v="1"/>
    <n v="853"/>
    <x v="2"/>
    <x v="1"/>
    <n v="1"/>
    <x v="0"/>
    <n v="1"/>
    <x v="1"/>
    <x v="0"/>
    <n v="1"/>
    <n v="3"/>
    <x v="1"/>
    <x v="0"/>
    <n v="96"/>
    <x v="0"/>
    <n v="3"/>
    <x v="0"/>
    <n v="2"/>
    <x v="3"/>
    <n v="1"/>
    <x v="3"/>
    <x v="1"/>
    <n v="4148"/>
    <x v="1"/>
    <n v="11275"/>
    <x v="3"/>
    <n v="1"/>
    <x v="1"/>
    <s v="Y"/>
    <x v="1"/>
    <n v="12"/>
    <x v="0"/>
    <n v="3"/>
    <x v="0"/>
    <n v="3"/>
    <x v="3"/>
    <n v="80"/>
    <n v="1"/>
    <n v="4"/>
    <x v="3"/>
    <n v="1"/>
    <x v="0"/>
    <n v="3"/>
    <x v="1"/>
    <n v="4"/>
    <x v="2"/>
    <n v="3"/>
    <x v="0"/>
    <n v="0"/>
    <x v="0"/>
    <n v="3"/>
    <x v="0"/>
  </r>
  <r>
    <n v="1012"/>
    <n v="18"/>
    <x v="4"/>
    <x v="1"/>
    <n v="0"/>
    <x v="2"/>
    <n v="287"/>
    <x v="1"/>
    <x v="1"/>
    <n v="5"/>
    <x v="0"/>
    <n v="2"/>
    <x v="0"/>
    <x v="0"/>
    <n v="1"/>
    <n v="2"/>
    <x v="0"/>
    <x v="1"/>
    <n v="73"/>
    <x v="1"/>
    <n v="3"/>
    <x v="0"/>
    <n v="1"/>
    <x v="1"/>
    <n v="4"/>
    <x v="0"/>
    <x v="0"/>
    <n v="1051"/>
    <x v="2"/>
    <n v="13493"/>
    <x v="3"/>
    <n v="1"/>
    <x v="1"/>
    <s v="Y"/>
    <x v="1"/>
    <n v="15"/>
    <x v="2"/>
    <n v="3"/>
    <x v="0"/>
    <n v="4"/>
    <x v="1"/>
    <n v="80"/>
    <n v="0"/>
    <n v="0"/>
    <x v="2"/>
    <n v="2"/>
    <x v="0"/>
    <n v="3"/>
    <x v="1"/>
    <n v="0"/>
    <x v="1"/>
    <n v="0"/>
    <x v="2"/>
    <n v="0"/>
    <x v="0"/>
    <n v="0"/>
    <x v="2"/>
  </r>
  <r>
    <n v="1013"/>
    <n v="54"/>
    <x v="1"/>
    <x v="1"/>
    <n v="0"/>
    <x v="0"/>
    <n v="1441"/>
    <x v="0"/>
    <x v="1"/>
    <n v="17"/>
    <x v="3"/>
    <n v="3"/>
    <x v="3"/>
    <x v="4"/>
    <n v="1"/>
    <n v="3"/>
    <x v="1"/>
    <x v="0"/>
    <n v="56"/>
    <x v="1"/>
    <n v="3"/>
    <x v="0"/>
    <n v="3"/>
    <x v="3"/>
    <n v="3"/>
    <x v="2"/>
    <x v="1"/>
    <n v="10739"/>
    <x v="8"/>
    <n v="13943"/>
    <x v="3"/>
    <n v="8"/>
    <x v="0"/>
    <s v="Y"/>
    <x v="1"/>
    <n v="11"/>
    <x v="0"/>
    <n v="3"/>
    <x v="0"/>
    <n v="3"/>
    <x v="3"/>
    <n v="80"/>
    <n v="1"/>
    <n v="22"/>
    <x v="4"/>
    <n v="2"/>
    <x v="0"/>
    <n v="3"/>
    <x v="1"/>
    <n v="10"/>
    <x v="0"/>
    <n v="7"/>
    <x v="1"/>
    <n v="0"/>
    <x v="0"/>
    <n v="8"/>
    <x v="1"/>
  </r>
  <r>
    <n v="1014"/>
    <n v="35"/>
    <x v="2"/>
    <x v="1"/>
    <n v="0"/>
    <x v="0"/>
    <n v="583"/>
    <x v="2"/>
    <x v="1"/>
    <n v="25"/>
    <x v="2"/>
    <n v="4"/>
    <x v="2"/>
    <x v="2"/>
    <n v="1"/>
    <n v="3"/>
    <x v="1"/>
    <x v="0"/>
    <n v="57"/>
    <x v="1"/>
    <n v="3"/>
    <x v="0"/>
    <n v="3"/>
    <x v="4"/>
    <n v="3"/>
    <x v="2"/>
    <x v="2"/>
    <n v="10388"/>
    <x v="8"/>
    <n v="6975"/>
    <x v="2"/>
    <n v="1"/>
    <x v="1"/>
    <s v="Y"/>
    <x v="0"/>
    <n v="11"/>
    <x v="0"/>
    <n v="3"/>
    <x v="0"/>
    <n v="3"/>
    <x v="3"/>
    <n v="80"/>
    <n v="1"/>
    <n v="16"/>
    <x v="1"/>
    <n v="3"/>
    <x v="1"/>
    <n v="2"/>
    <x v="2"/>
    <n v="16"/>
    <x v="4"/>
    <n v="10"/>
    <x v="1"/>
    <n v="10"/>
    <x v="2"/>
    <n v="1"/>
    <x v="2"/>
  </r>
  <r>
    <n v="1015"/>
    <n v="30"/>
    <x v="2"/>
    <x v="1"/>
    <n v="0"/>
    <x v="0"/>
    <n v="153"/>
    <x v="1"/>
    <x v="1"/>
    <n v="8"/>
    <x v="1"/>
    <n v="2"/>
    <x v="0"/>
    <x v="0"/>
    <n v="1"/>
    <n v="2"/>
    <x v="0"/>
    <x v="0"/>
    <n v="73"/>
    <x v="1"/>
    <n v="4"/>
    <x v="2"/>
    <n v="3"/>
    <x v="7"/>
    <n v="1"/>
    <x v="3"/>
    <x v="1"/>
    <n v="11416"/>
    <x v="8"/>
    <n v="17802"/>
    <x v="0"/>
    <n v="0"/>
    <x v="1"/>
    <s v="Y"/>
    <x v="0"/>
    <n v="12"/>
    <x v="0"/>
    <n v="3"/>
    <x v="0"/>
    <n v="3"/>
    <x v="3"/>
    <n v="80"/>
    <n v="3"/>
    <n v="9"/>
    <x v="0"/>
    <n v="4"/>
    <x v="1"/>
    <n v="2"/>
    <x v="2"/>
    <n v="8"/>
    <x v="0"/>
    <n v="7"/>
    <x v="1"/>
    <n v="1"/>
    <x v="0"/>
    <n v="7"/>
    <x v="1"/>
  </r>
  <r>
    <n v="1016"/>
    <n v="20"/>
    <x v="4"/>
    <x v="0"/>
    <n v="1"/>
    <x v="0"/>
    <n v="1097"/>
    <x v="0"/>
    <x v="1"/>
    <n v="11"/>
    <x v="3"/>
    <n v="3"/>
    <x v="3"/>
    <x v="2"/>
    <n v="1"/>
    <n v="4"/>
    <x v="2"/>
    <x v="0"/>
    <n v="98"/>
    <x v="0"/>
    <n v="2"/>
    <x v="1"/>
    <n v="1"/>
    <x v="1"/>
    <n v="1"/>
    <x v="3"/>
    <x v="0"/>
    <n v="2600"/>
    <x v="3"/>
    <n v="18275"/>
    <x v="0"/>
    <n v="1"/>
    <x v="1"/>
    <s v="Y"/>
    <x v="0"/>
    <n v="15"/>
    <x v="2"/>
    <n v="3"/>
    <x v="0"/>
    <n v="1"/>
    <x v="0"/>
    <n v="80"/>
    <n v="0"/>
    <n v="1"/>
    <x v="2"/>
    <n v="2"/>
    <x v="0"/>
    <n v="3"/>
    <x v="1"/>
    <n v="1"/>
    <x v="1"/>
    <n v="0"/>
    <x v="2"/>
    <n v="0"/>
    <x v="0"/>
    <n v="0"/>
    <x v="2"/>
  </r>
  <r>
    <n v="1017"/>
    <n v="30"/>
    <x v="2"/>
    <x v="0"/>
    <n v="1"/>
    <x v="1"/>
    <n v="109"/>
    <x v="1"/>
    <x v="1"/>
    <n v="5"/>
    <x v="0"/>
    <n v="3"/>
    <x v="3"/>
    <x v="2"/>
    <n v="1"/>
    <n v="2"/>
    <x v="0"/>
    <x v="0"/>
    <n v="60"/>
    <x v="1"/>
    <n v="3"/>
    <x v="0"/>
    <n v="1"/>
    <x v="2"/>
    <n v="2"/>
    <x v="1"/>
    <x v="0"/>
    <n v="2422"/>
    <x v="2"/>
    <n v="25725"/>
    <x v="1"/>
    <n v="0"/>
    <x v="1"/>
    <s v="Y"/>
    <x v="1"/>
    <n v="17"/>
    <x v="3"/>
    <n v="3"/>
    <x v="0"/>
    <n v="1"/>
    <x v="0"/>
    <n v="80"/>
    <n v="0"/>
    <n v="4"/>
    <x v="3"/>
    <n v="3"/>
    <x v="1"/>
    <n v="3"/>
    <x v="1"/>
    <n v="3"/>
    <x v="2"/>
    <n v="2"/>
    <x v="0"/>
    <n v="1"/>
    <x v="0"/>
    <n v="2"/>
    <x v="0"/>
  </r>
  <r>
    <n v="1018"/>
    <n v="26"/>
    <x v="2"/>
    <x v="1"/>
    <n v="0"/>
    <x v="0"/>
    <n v="1066"/>
    <x v="0"/>
    <x v="1"/>
    <n v="2"/>
    <x v="0"/>
    <n v="2"/>
    <x v="0"/>
    <x v="2"/>
    <n v="1"/>
    <n v="4"/>
    <x v="2"/>
    <x v="1"/>
    <n v="32"/>
    <x v="2"/>
    <n v="4"/>
    <x v="2"/>
    <n v="2"/>
    <x v="3"/>
    <n v="4"/>
    <x v="0"/>
    <x v="1"/>
    <n v="5472"/>
    <x v="1"/>
    <n v="3334"/>
    <x v="2"/>
    <n v="1"/>
    <x v="1"/>
    <s v="Y"/>
    <x v="1"/>
    <n v="12"/>
    <x v="0"/>
    <n v="3"/>
    <x v="0"/>
    <n v="2"/>
    <x v="4"/>
    <n v="80"/>
    <n v="0"/>
    <n v="8"/>
    <x v="0"/>
    <n v="2"/>
    <x v="0"/>
    <n v="3"/>
    <x v="1"/>
    <n v="8"/>
    <x v="0"/>
    <n v="7"/>
    <x v="1"/>
    <n v="1"/>
    <x v="0"/>
    <n v="3"/>
    <x v="0"/>
  </r>
  <r>
    <n v="1019"/>
    <n v="22"/>
    <x v="4"/>
    <x v="1"/>
    <n v="0"/>
    <x v="0"/>
    <n v="217"/>
    <x v="1"/>
    <x v="1"/>
    <n v="8"/>
    <x v="1"/>
    <n v="1"/>
    <x v="1"/>
    <x v="0"/>
    <n v="1"/>
    <n v="2"/>
    <x v="0"/>
    <x v="1"/>
    <n v="94"/>
    <x v="0"/>
    <n v="1"/>
    <x v="3"/>
    <n v="1"/>
    <x v="2"/>
    <n v="1"/>
    <x v="3"/>
    <x v="1"/>
    <n v="2451"/>
    <x v="2"/>
    <n v="6881"/>
    <x v="2"/>
    <n v="1"/>
    <x v="1"/>
    <s v="Y"/>
    <x v="1"/>
    <n v="15"/>
    <x v="2"/>
    <n v="3"/>
    <x v="0"/>
    <n v="1"/>
    <x v="0"/>
    <n v="80"/>
    <n v="1"/>
    <n v="4"/>
    <x v="3"/>
    <n v="3"/>
    <x v="1"/>
    <n v="2"/>
    <x v="2"/>
    <n v="4"/>
    <x v="2"/>
    <n v="3"/>
    <x v="0"/>
    <n v="1"/>
    <x v="0"/>
    <n v="1"/>
    <x v="2"/>
  </r>
  <r>
    <n v="1022"/>
    <n v="48"/>
    <x v="1"/>
    <x v="1"/>
    <n v="0"/>
    <x v="0"/>
    <n v="277"/>
    <x v="1"/>
    <x v="1"/>
    <n v="6"/>
    <x v="1"/>
    <n v="3"/>
    <x v="3"/>
    <x v="0"/>
    <n v="1"/>
    <n v="1"/>
    <x v="3"/>
    <x v="1"/>
    <n v="97"/>
    <x v="0"/>
    <n v="2"/>
    <x v="1"/>
    <n v="2"/>
    <x v="4"/>
    <n v="3"/>
    <x v="2"/>
    <x v="0"/>
    <n v="4240"/>
    <x v="1"/>
    <n v="13119"/>
    <x v="3"/>
    <n v="2"/>
    <x v="3"/>
    <s v="Y"/>
    <x v="1"/>
    <n v="13"/>
    <x v="2"/>
    <n v="3"/>
    <x v="0"/>
    <n v="4"/>
    <x v="1"/>
    <n v="80"/>
    <n v="0"/>
    <n v="19"/>
    <x v="1"/>
    <n v="0"/>
    <x v="0"/>
    <n v="3"/>
    <x v="1"/>
    <n v="2"/>
    <x v="2"/>
    <n v="2"/>
    <x v="0"/>
    <n v="2"/>
    <x v="1"/>
    <n v="2"/>
    <x v="0"/>
  </r>
  <r>
    <n v="1024"/>
    <n v="48"/>
    <x v="1"/>
    <x v="1"/>
    <n v="0"/>
    <x v="0"/>
    <n v="1355"/>
    <x v="0"/>
    <x v="1"/>
    <n v="4"/>
    <x v="0"/>
    <n v="4"/>
    <x v="2"/>
    <x v="0"/>
    <n v="1"/>
    <n v="3"/>
    <x v="1"/>
    <x v="1"/>
    <n v="78"/>
    <x v="0"/>
    <n v="2"/>
    <x v="1"/>
    <n v="3"/>
    <x v="4"/>
    <n v="3"/>
    <x v="2"/>
    <x v="0"/>
    <n v="10999"/>
    <x v="8"/>
    <n v="22245"/>
    <x v="1"/>
    <n v="7"/>
    <x v="0"/>
    <s v="Y"/>
    <x v="1"/>
    <n v="14"/>
    <x v="2"/>
    <n v="3"/>
    <x v="0"/>
    <n v="2"/>
    <x v="4"/>
    <n v="80"/>
    <n v="0"/>
    <n v="27"/>
    <x v="4"/>
    <n v="3"/>
    <x v="1"/>
    <n v="3"/>
    <x v="1"/>
    <n v="15"/>
    <x v="4"/>
    <n v="11"/>
    <x v="3"/>
    <n v="4"/>
    <x v="1"/>
    <n v="8"/>
    <x v="1"/>
  </r>
  <r>
    <n v="1025"/>
    <n v="41"/>
    <x v="0"/>
    <x v="1"/>
    <n v="0"/>
    <x v="0"/>
    <n v="549"/>
    <x v="2"/>
    <x v="1"/>
    <n v="7"/>
    <x v="1"/>
    <n v="2"/>
    <x v="0"/>
    <x v="2"/>
    <n v="1"/>
    <n v="4"/>
    <x v="2"/>
    <x v="0"/>
    <n v="42"/>
    <x v="2"/>
    <n v="3"/>
    <x v="0"/>
    <n v="2"/>
    <x v="3"/>
    <n v="3"/>
    <x v="2"/>
    <x v="0"/>
    <n v="5003"/>
    <x v="1"/>
    <n v="23371"/>
    <x v="1"/>
    <n v="6"/>
    <x v="2"/>
    <s v="Y"/>
    <x v="1"/>
    <n v="14"/>
    <x v="2"/>
    <n v="3"/>
    <x v="0"/>
    <n v="2"/>
    <x v="4"/>
    <n v="80"/>
    <n v="0"/>
    <n v="8"/>
    <x v="0"/>
    <n v="6"/>
    <x v="2"/>
    <n v="3"/>
    <x v="1"/>
    <n v="2"/>
    <x v="2"/>
    <n v="2"/>
    <x v="0"/>
    <n v="2"/>
    <x v="1"/>
    <n v="1"/>
    <x v="2"/>
  </r>
  <r>
    <n v="1026"/>
    <n v="39"/>
    <x v="0"/>
    <x v="1"/>
    <n v="0"/>
    <x v="0"/>
    <n v="466"/>
    <x v="1"/>
    <x v="1"/>
    <n v="1"/>
    <x v="0"/>
    <n v="1"/>
    <x v="1"/>
    <x v="0"/>
    <n v="1"/>
    <n v="4"/>
    <x v="2"/>
    <x v="0"/>
    <n v="65"/>
    <x v="1"/>
    <n v="2"/>
    <x v="1"/>
    <n v="4"/>
    <x v="3"/>
    <n v="4"/>
    <x v="0"/>
    <x v="1"/>
    <n v="12742"/>
    <x v="6"/>
    <n v="7060"/>
    <x v="2"/>
    <n v="1"/>
    <x v="1"/>
    <s v="Y"/>
    <x v="1"/>
    <n v="16"/>
    <x v="3"/>
    <n v="3"/>
    <x v="0"/>
    <n v="3"/>
    <x v="3"/>
    <n v="80"/>
    <n v="1"/>
    <n v="21"/>
    <x v="4"/>
    <n v="3"/>
    <x v="1"/>
    <n v="3"/>
    <x v="1"/>
    <n v="21"/>
    <x v="3"/>
    <n v="6"/>
    <x v="1"/>
    <n v="11"/>
    <x v="3"/>
    <n v="8"/>
    <x v="1"/>
  </r>
  <r>
    <n v="1027"/>
    <n v="27"/>
    <x v="2"/>
    <x v="1"/>
    <n v="0"/>
    <x v="0"/>
    <n v="1055"/>
    <x v="0"/>
    <x v="1"/>
    <n v="2"/>
    <x v="0"/>
    <n v="4"/>
    <x v="2"/>
    <x v="0"/>
    <n v="1"/>
    <n v="1"/>
    <x v="3"/>
    <x v="0"/>
    <n v="47"/>
    <x v="2"/>
    <n v="3"/>
    <x v="0"/>
    <n v="2"/>
    <x v="3"/>
    <n v="4"/>
    <x v="0"/>
    <x v="1"/>
    <n v="4227"/>
    <x v="1"/>
    <n v="4658"/>
    <x v="2"/>
    <n v="0"/>
    <x v="1"/>
    <s v="Y"/>
    <x v="1"/>
    <n v="18"/>
    <x v="1"/>
    <n v="3"/>
    <x v="0"/>
    <n v="2"/>
    <x v="4"/>
    <n v="80"/>
    <n v="1"/>
    <n v="4"/>
    <x v="3"/>
    <n v="2"/>
    <x v="0"/>
    <n v="3"/>
    <x v="1"/>
    <n v="3"/>
    <x v="2"/>
    <n v="2"/>
    <x v="0"/>
    <n v="2"/>
    <x v="1"/>
    <n v="2"/>
    <x v="0"/>
  </r>
  <r>
    <n v="1028"/>
    <n v="35"/>
    <x v="2"/>
    <x v="1"/>
    <n v="0"/>
    <x v="0"/>
    <n v="802"/>
    <x v="2"/>
    <x v="1"/>
    <n v="10"/>
    <x v="1"/>
    <n v="3"/>
    <x v="3"/>
    <x v="1"/>
    <n v="1"/>
    <n v="2"/>
    <x v="0"/>
    <x v="1"/>
    <n v="45"/>
    <x v="2"/>
    <n v="3"/>
    <x v="0"/>
    <n v="1"/>
    <x v="2"/>
    <n v="4"/>
    <x v="0"/>
    <x v="2"/>
    <n v="3917"/>
    <x v="3"/>
    <n v="9541"/>
    <x v="3"/>
    <n v="1"/>
    <x v="1"/>
    <s v="Y"/>
    <x v="1"/>
    <n v="20"/>
    <x v="1"/>
    <n v="4"/>
    <x v="1"/>
    <n v="1"/>
    <x v="0"/>
    <n v="80"/>
    <n v="1"/>
    <n v="3"/>
    <x v="3"/>
    <n v="4"/>
    <x v="1"/>
    <n v="2"/>
    <x v="2"/>
    <n v="3"/>
    <x v="2"/>
    <n v="2"/>
    <x v="0"/>
    <n v="1"/>
    <x v="0"/>
    <n v="2"/>
    <x v="0"/>
  </r>
  <r>
    <n v="1029"/>
    <n v="42"/>
    <x v="0"/>
    <x v="1"/>
    <n v="0"/>
    <x v="0"/>
    <n v="265"/>
    <x v="1"/>
    <x v="0"/>
    <n v="5"/>
    <x v="0"/>
    <n v="2"/>
    <x v="0"/>
    <x v="3"/>
    <n v="1"/>
    <n v="4"/>
    <x v="2"/>
    <x v="1"/>
    <n v="90"/>
    <x v="0"/>
    <n v="3"/>
    <x v="0"/>
    <n v="5"/>
    <x v="5"/>
    <n v="3"/>
    <x v="2"/>
    <x v="1"/>
    <n v="18303"/>
    <x v="9"/>
    <n v="7770"/>
    <x v="2"/>
    <n v="6"/>
    <x v="2"/>
    <s v="Y"/>
    <x v="1"/>
    <n v="13"/>
    <x v="2"/>
    <n v="3"/>
    <x v="0"/>
    <n v="2"/>
    <x v="4"/>
    <n v="80"/>
    <n v="0"/>
    <n v="21"/>
    <x v="4"/>
    <n v="3"/>
    <x v="1"/>
    <n v="4"/>
    <x v="3"/>
    <n v="1"/>
    <x v="1"/>
    <n v="0"/>
    <x v="2"/>
    <n v="0"/>
    <x v="0"/>
    <n v="0"/>
    <x v="2"/>
  </r>
  <r>
    <n v="1030"/>
    <n v="50"/>
    <x v="1"/>
    <x v="1"/>
    <n v="0"/>
    <x v="0"/>
    <n v="804"/>
    <x v="2"/>
    <x v="1"/>
    <n v="9"/>
    <x v="1"/>
    <n v="3"/>
    <x v="3"/>
    <x v="0"/>
    <n v="1"/>
    <n v="1"/>
    <x v="3"/>
    <x v="1"/>
    <n v="64"/>
    <x v="1"/>
    <n v="3"/>
    <x v="0"/>
    <n v="1"/>
    <x v="2"/>
    <n v="4"/>
    <x v="0"/>
    <x v="1"/>
    <n v="2380"/>
    <x v="2"/>
    <n v="20165"/>
    <x v="0"/>
    <n v="4"/>
    <x v="2"/>
    <s v="Y"/>
    <x v="1"/>
    <n v="18"/>
    <x v="1"/>
    <n v="3"/>
    <x v="0"/>
    <n v="2"/>
    <x v="4"/>
    <n v="80"/>
    <n v="0"/>
    <n v="8"/>
    <x v="0"/>
    <n v="5"/>
    <x v="2"/>
    <n v="3"/>
    <x v="1"/>
    <n v="1"/>
    <x v="1"/>
    <n v="0"/>
    <x v="2"/>
    <n v="0"/>
    <x v="0"/>
    <n v="0"/>
    <x v="2"/>
  </r>
  <r>
    <n v="1032"/>
    <n v="59"/>
    <x v="3"/>
    <x v="1"/>
    <n v="0"/>
    <x v="0"/>
    <n v="715"/>
    <x v="2"/>
    <x v="1"/>
    <n v="2"/>
    <x v="0"/>
    <n v="3"/>
    <x v="3"/>
    <x v="0"/>
    <n v="1"/>
    <n v="3"/>
    <x v="1"/>
    <x v="0"/>
    <n v="69"/>
    <x v="1"/>
    <n v="2"/>
    <x v="1"/>
    <n v="4"/>
    <x v="3"/>
    <n v="4"/>
    <x v="0"/>
    <x v="0"/>
    <n v="13726"/>
    <x v="10"/>
    <n v="21829"/>
    <x v="0"/>
    <n v="3"/>
    <x v="3"/>
    <s v="Y"/>
    <x v="0"/>
    <n v="13"/>
    <x v="2"/>
    <n v="3"/>
    <x v="0"/>
    <n v="1"/>
    <x v="0"/>
    <n v="80"/>
    <n v="0"/>
    <n v="30"/>
    <x v="4"/>
    <n v="4"/>
    <x v="1"/>
    <n v="3"/>
    <x v="1"/>
    <n v="5"/>
    <x v="2"/>
    <n v="3"/>
    <x v="0"/>
    <n v="4"/>
    <x v="1"/>
    <n v="3"/>
    <x v="0"/>
  </r>
  <r>
    <n v="1033"/>
    <n v="37"/>
    <x v="0"/>
    <x v="0"/>
    <n v="1"/>
    <x v="0"/>
    <n v="1141"/>
    <x v="0"/>
    <x v="1"/>
    <n v="11"/>
    <x v="3"/>
    <n v="2"/>
    <x v="0"/>
    <x v="2"/>
    <n v="1"/>
    <n v="1"/>
    <x v="3"/>
    <x v="0"/>
    <n v="61"/>
    <x v="1"/>
    <n v="1"/>
    <x v="3"/>
    <n v="2"/>
    <x v="4"/>
    <n v="2"/>
    <x v="1"/>
    <x v="1"/>
    <n v="4777"/>
    <x v="1"/>
    <n v="14382"/>
    <x v="3"/>
    <n v="5"/>
    <x v="2"/>
    <s v="Y"/>
    <x v="1"/>
    <n v="15"/>
    <x v="2"/>
    <n v="3"/>
    <x v="0"/>
    <n v="1"/>
    <x v="0"/>
    <n v="80"/>
    <n v="0"/>
    <n v="15"/>
    <x v="1"/>
    <n v="2"/>
    <x v="0"/>
    <n v="1"/>
    <x v="0"/>
    <n v="1"/>
    <x v="1"/>
    <n v="0"/>
    <x v="2"/>
    <n v="0"/>
    <x v="0"/>
    <n v="0"/>
    <x v="2"/>
  </r>
  <r>
    <n v="1034"/>
    <n v="55"/>
    <x v="1"/>
    <x v="1"/>
    <n v="0"/>
    <x v="1"/>
    <n v="135"/>
    <x v="1"/>
    <x v="1"/>
    <n v="18"/>
    <x v="3"/>
    <n v="4"/>
    <x v="2"/>
    <x v="2"/>
    <n v="1"/>
    <n v="3"/>
    <x v="1"/>
    <x v="1"/>
    <n v="62"/>
    <x v="1"/>
    <n v="3"/>
    <x v="0"/>
    <n v="2"/>
    <x v="4"/>
    <n v="2"/>
    <x v="1"/>
    <x v="1"/>
    <n v="6385"/>
    <x v="0"/>
    <n v="12992"/>
    <x v="3"/>
    <n v="3"/>
    <x v="3"/>
    <s v="Y"/>
    <x v="0"/>
    <n v="14"/>
    <x v="2"/>
    <n v="3"/>
    <x v="0"/>
    <n v="4"/>
    <x v="1"/>
    <n v="80"/>
    <n v="2"/>
    <n v="17"/>
    <x v="1"/>
    <n v="3"/>
    <x v="1"/>
    <n v="3"/>
    <x v="1"/>
    <n v="8"/>
    <x v="0"/>
    <n v="7"/>
    <x v="1"/>
    <n v="6"/>
    <x v="2"/>
    <n v="7"/>
    <x v="1"/>
  </r>
  <r>
    <n v="1035"/>
    <n v="41"/>
    <x v="0"/>
    <x v="1"/>
    <n v="0"/>
    <x v="2"/>
    <n v="247"/>
    <x v="1"/>
    <x v="1"/>
    <n v="7"/>
    <x v="1"/>
    <n v="1"/>
    <x v="1"/>
    <x v="0"/>
    <n v="1"/>
    <n v="2"/>
    <x v="0"/>
    <x v="0"/>
    <n v="55"/>
    <x v="1"/>
    <n v="1"/>
    <x v="3"/>
    <n v="5"/>
    <x v="7"/>
    <n v="3"/>
    <x v="2"/>
    <x v="2"/>
    <n v="19973"/>
    <x v="7"/>
    <n v="20284"/>
    <x v="0"/>
    <n v="1"/>
    <x v="1"/>
    <s v="Y"/>
    <x v="1"/>
    <n v="22"/>
    <x v="1"/>
    <n v="4"/>
    <x v="1"/>
    <n v="2"/>
    <x v="4"/>
    <n v="80"/>
    <n v="2"/>
    <n v="21"/>
    <x v="4"/>
    <n v="3"/>
    <x v="1"/>
    <n v="3"/>
    <x v="1"/>
    <n v="21"/>
    <x v="3"/>
    <n v="16"/>
    <x v="3"/>
    <n v="5"/>
    <x v="1"/>
    <n v="10"/>
    <x v="1"/>
  </r>
  <r>
    <n v="1036"/>
    <n v="38"/>
    <x v="0"/>
    <x v="1"/>
    <n v="0"/>
    <x v="0"/>
    <n v="1035"/>
    <x v="0"/>
    <x v="0"/>
    <n v="3"/>
    <x v="0"/>
    <n v="4"/>
    <x v="2"/>
    <x v="0"/>
    <n v="1"/>
    <n v="2"/>
    <x v="0"/>
    <x v="1"/>
    <n v="42"/>
    <x v="2"/>
    <n v="3"/>
    <x v="0"/>
    <n v="2"/>
    <x v="0"/>
    <n v="4"/>
    <x v="0"/>
    <x v="0"/>
    <n v="6861"/>
    <x v="0"/>
    <n v="4981"/>
    <x v="2"/>
    <n v="8"/>
    <x v="0"/>
    <s v="Y"/>
    <x v="0"/>
    <n v="12"/>
    <x v="0"/>
    <n v="3"/>
    <x v="0"/>
    <n v="3"/>
    <x v="3"/>
    <n v="80"/>
    <n v="0"/>
    <n v="19"/>
    <x v="1"/>
    <n v="1"/>
    <x v="0"/>
    <n v="3"/>
    <x v="1"/>
    <n v="1"/>
    <x v="1"/>
    <n v="0"/>
    <x v="2"/>
    <n v="0"/>
    <x v="0"/>
    <n v="0"/>
    <x v="2"/>
  </r>
  <r>
    <n v="1037"/>
    <n v="26"/>
    <x v="2"/>
    <x v="0"/>
    <n v="1"/>
    <x v="2"/>
    <n v="265"/>
    <x v="1"/>
    <x v="0"/>
    <n v="29"/>
    <x v="2"/>
    <n v="2"/>
    <x v="0"/>
    <x v="2"/>
    <n v="1"/>
    <n v="2"/>
    <x v="0"/>
    <x v="1"/>
    <n v="79"/>
    <x v="0"/>
    <n v="1"/>
    <x v="3"/>
    <n v="2"/>
    <x v="0"/>
    <n v="1"/>
    <x v="3"/>
    <x v="0"/>
    <n v="4969"/>
    <x v="1"/>
    <n v="21813"/>
    <x v="0"/>
    <n v="8"/>
    <x v="0"/>
    <s v="Y"/>
    <x v="1"/>
    <n v="18"/>
    <x v="1"/>
    <n v="3"/>
    <x v="0"/>
    <n v="4"/>
    <x v="1"/>
    <n v="80"/>
    <n v="0"/>
    <n v="7"/>
    <x v="0"/>
    <n v="6"/>
    <x v="2"/>
    <n v="3"/>
    <x v="1"/>
    <n v="2"/>
    <x v="2"/>
    <n v="2"/>
    <x v="0"/>
    <n v="2"/>
    <x v="1"/>
    <n v="2"/>
    <x v="0"/>
  </r>
  <r>
    <n v="1038"/>
    <n v="52"/>
    <x v="1"/>
    <x v="0"/>
    <n v="1"/>
    <x v="0"/>
    <n v="266"/>
    <x v="1"/>
    <x v="0"/>
    <n v="2"/>
    <x v="0"/>
    <n v="1"/>
    <x v="1"/>
    <x v="3"/>
    <n v="1"/>
    <n v="1"/>
    <x v="3"/>
    <x v="0"/>
    <n v="57"/>
    <x v="1"/>
    <n v="1"/>
    <x v="3"/>
    <n v="5"/>
    <x v="5"/>
    <n v="4"/>
    <x v="0"/>
    <x v="1"/>
    <n v="19845"/>
    <x v="7"/>
    <n v="25846"/>
    <x v="1"/>
    <n v="1"/>
    <x v="1"/>
    <s v="Y"/>
    <x v="1"/>
    <n v="15"/>
    <x v="2"/>
    <n v="3"/>
    <x v="0"/>
    <n v="4"/>
    <x v="1"/>
    <n v="80"/>
    <n v="1"/>
    <n v="33"/>
    <x v="4"/>
    <n v="3"/>
    <x v="1"/>
    <n v="3"/>
    <x v="1"/>
    <n v="32"/>
    <x v="3"/>
    <n v="14"/>
    <x v="3"/>
    <n v="6"/>
    <x v="2"/>
    <n v="9"/>
    <x v="1"/>
  </r>
  <r>
    <n v="1039"/>
    <n v="44"/>
    <x v="0"/>
    <x v="1"/>
    <n v="0"/>
    <x v="0"/>
    <n v="1448"/>
    <x v="0"/>
    <x v="0"/>
    <n v="28"/>
    <x v="2"/>
    <n v="3"/>
    <x v="3"/>
    <x v="2"/>
    <n v="1"/>
    <n v="4"/>
    <x v="2"/>
    <x v="0"/>
    <n v="53"/>
    <x v="1"/>
    <n v="4"/>
    <x v="2"/>
    <n v="4"/>
    <x v="0"/>
    <n v="4"/>
    <x v="0"/>
    <x v="1"/>
    <n v="13320"/>
    <x v="10"/>
    <n v="11737"/>
    <x v="3"/>
    <n v="3"/>
    <x v="3"/>
    <s v="Y"/>
    <x v="0"/>
    <n v="18"/>
    <x v="1"/>
    <n v="3"/>
    <x v="0"/>
    <n v="3"/>
    <x v="3"/>
    <n v="80"/>
    <n v="1"/>
    <n v="23"/>
    <x v="4"/>
    <n v="2"/>
    <x v="0"/>
    <n v="3"/>
    <x v="1"/>
    <n v="12"/>
    <x v="4"/>
    <n v="11"/>
    <x v="3"/>
    <n v="11"/>
    <x v="3"/>
    <n v="11"/>
    <x v="3"/>
  </r>
  <r>
    <n v="1040"/>
    <n v="50"/>
    <x v="1"/>
    <x v="1"/>
    <n v="0"/>
    <x v="2"/>
    <n v="145"/>
    <x v="1"/>
    <x v="0"/>
    <n v="1"/>
    <x v="0"/>
    <n v="3"/>
    <x v="3"/>
    <x v="0"/>
    <n v="1"/>
    <n v="4"/>
    <x v="2"/>
    <x v="0"/>
    <n v="95"/>
    <x v="0"/>
    <n v="3"/>
    <x v="0"/>
    <n v="2"/>
    <x v="0"/>
    <n v="3"/>
    <x v="2"/>
    <x v="1"/>
    <n v="6347"/>
    <x v="0"/>
    <n v="24920"/>
    <x v="1"/>
    <n v="0"/>
    <x v="1"/>
    <s v="Y"/>
    <x v="1"/>
    <n v="12"/>
    <x v="0"/>
    <n v="3"/>
    <x v="0"/>
    <n v="1"/>
    <x v="0"/>
    <n v="80"/>
    <n v="1"/>
    <n v="19"/>
    <x v="1"/>
    <n v="3"/>
    <x v="1"/>
    <n v="3"/>
    <x v="1"/>
    <n v="18"/>
    <x v="4"/>
    <n v="7"/>
    <x v="1"/>
    <n v="0"/>
    <x v="0"/>
    <n v="13"/>
    <x v="3"/>
  </r>
  <r>
    <n v="1042"/>
    <n v="36"/>
    <x v="0"/>
    <x v="0"/>
    <n v="1"/>
    <x v="0"/>
    <n v="885"/>
    <x v="2"/>
    <x v="1"/>
    <n v="16"/>
    <x v="3"/>
    <n v="4"/>
    <x v="2"/>
    <x v="0"/>
    <n v="1"/>
    <n v="3"/>
    <x v="1"/>
    <x v="0"/>
    <n v="43"/>
    <x v="2"/>
    <n v="4"/>
    <x v="2"/>
    <n v="1"/>
    <x v="2"/>
    <n v="1"/>
    <x v="3"/>
    <x v="0"/>
    <n v="2743"/>
    <x v="3"/>
    <n v="8269"/>
    <x v="3"/>
    <n v="1"/>
    <x v="1"/>
    <s v="Y"/>
    <x v="1"/>
    <n v="16"/>
    <x v="3"/>
    <n v="3"/>
    <x v="0"/>
    <n v="3"/>
    <x v="3"/>
    <n v="80"/>
    <n v="0"/>
    <n v="18"/>
    <x v="1"/>
    <n v="1"/>
    <x v="0"/>
    <n v="3"/>
    <x v="1"/>
    <n v="17"/>
    <x v="4"/>
    <n v="13"/>
    <x v="3"/>
    <n v="15"/>
    <x v="3"/>
    <n v="14"/>
    <x v="3"/>
  </r>
  <r>
    <n v="1043"/>
    <n v="39"/>
    <x v="0"/>
    <x v="1"/>
    <n v="0"/>
    <x v="1"/>
    <n v="945"/>
    <x v="2"/>
    <x v="1"/>
    <n v="22"/>
    <x v="2"/>
    <n v="3"/>
    <x v="3"/>
    <x v="2"/>
    <n v="1"/>
    <n v="4"/>
    <x v="2"/>
    <x v="0"/>
    <n v="82"/>
    <x v="0"/>
    <n v="3"/>
    <x v="0"/>
    <n v="3"/>
    <x v="3"/>
    <n v="1"/>
    <x v="3"/>
    <x v="0"/>
    <n v="10880"/>
    <x v="8"/>
    <n v="5083"/>
    <x v="2"/>
    <n v="1"/>
    <x v="1"/>
    <s v="Y"/>
    <x v="0"/>
    <n v="13"/>
    <x v="2"/>
    <n v="3"/>
    <x v="0"/>
    <n v="3"/>
    <x v="3"/>
    <n v="80"/>
    <n v="0"/>
    <n v="21"/>
    <x v="4"/>
    <n v="2"/>
    <x v="0"/>
    <n v="3"/>
    <x v="1"/>
    <n v="21"/>
    <x v="3"/>
    <n v="6"/>
    <x v="1"/>
    <n v="2"/>
    <x v="1"/>
    <n v="8"/>
    <x v="1"/>
  </r>
  <r>
    <n v="1044"/>
    <n v="33"/>
    <x v="2"/>
    <x v="1"/>
    <n v="0"/>
    <x v="2"/>
    <n v="1038"/>
    <x v="0"/>
    <x v="0"/>
    <n v="8"/>
    <x v="1"/>
    <n v="1"/>
    <x v="1"/>
    <x v="0"/>
    <n v="1"/>
    <n v="2"/>
    <x v="0"/>
    <x v="0"/>
    <n v="88"/>
    <x v="0"/>
    <n v="2"/>
    <x v="1"/>
    <n v="1"/>
    <x v="6"/>
    <n v="4"/>
    <x v="0"/>
    <x v="0"/>
    <n v="2342"/>
    <x v="2"/>
    <n v="21437"/>
    <x v="0"/>
    <n v="0"/>
    <x v="1"/>
    <s v="Y"/>
    <x v="1"/>
    <n v="19"/>
    <x v="1"/>
    <n v="3"/>
    <x v="0"/>
    <n v="4"/>
    <x v="1"/>
    <n v="80"/>
    <n v="0"/>
    <n v="3"/>
    <x v="3"/>
    <n v="2"/>
    <x v="0"/>
    <n v="2"/>
    <x v="2"/>
    <n v="2"/>
    <x v="2"/>
    <n v="2"/>
    <x v="0"/>
    <n v="2"/>
    <x v="1"/>
    <n v="2"/>
    <x v="0"/>
  </r>
  <r>
    <n v="1045"/>
    <n v="45"/>
    <x v="0"/>
    <x v="1"/>
    <n v="0"/>
    <x v="0"/>
    <n v="1234"/>
    <x v="0"/>
    <x v="0"/>
    <n v="11"/>
    <x v="3"/>
    <n v="2"/>
    <x v="0"/>
    <x v="0"/>
    <n v="1"/>
    <n v="4"/>
    <x v="2"/>
    <x v="0"/>
    <n v="90"/>
    <x v="0"/>
    <n v="3"/>
    <x v="0"/>
    <n v="4"/>
    <x v="5"/>
    <n v="4"/>
    <x v="0"/>
    <x v="1"/>
    <n v="17650"/>
    <x v="9"/>
    <n v="5404"/>
    <x v="2"/>
    <n v="3"/>
    <x v="3"/>
    <s v="Y"/>
    <x v="1"/>
    <n v="13"/>
    <x v="2"/>
    <n v="3"/>
    <x v="0"/>
    <n v="2"/>
    <x v="4"/>
    <n v="80"/>
    <n v="1"/>
    <n v="26"/>
    <x v="4"/>
    <n v="4"/>
    <x v="1"/>
    <n v="4"/>
    <x v="3"/>
    <n v="9"/>
    <x v="0"/>
    <n v="3"/>
    <x v="0"/>
    <n v="1"/>
    <x v="0"/>
    <n v="1"/>
    <x v="2"/>
  </r>
  <r>
    <n v="1046"/>
    <n v="32"/>
    <x v="2"/>
    <x v="1"/>
    <n v="0"/>
    <x v="2"/>
    <n v="1109"/>
    <x v="0"/>
    <x v="1"/>
    <n v="29"/>
    <x v="2"/>
    <n v="4"/>
    <x v="2"/>
    <x v="2"/>
    <n v="1"/>
    <n v="4"/>
    <x v="2"/>
    <x v="0"/>
    <n v="69"/>
    <x v="1"/>
    <n v="3"/>
    <x v="0"/>
    <n v="1"/>
    <x v="2"/>
    <n v="3"/>
    <x v="2"/>
    <x v="0"/>
    <n v="4025"/>
    <x v="1"/>
    <n v="11135"/>
    <x v="3"/>
    <n v="9"/>
    <x v="0"/>
    <s v="Y"/>
    <x v="1"/>
    <n v="12"/>
    <x v="0"/>
    <n v="3"/>
    <x v="0"/>
    <n v="2"/>
    <x v="4"/>
    <n v="80"/>
    <n v="0"/>
    <n v="10"/>
    <x v="0"/>
    <n v="2"/>
    <x v="0"/>
    <n v="3"/>
    <x v="1"/>
    <n v="8"/>
    <x v="0"/>
    <n v="7"/>
    <x v="1"/>
    <n v="7"/>
    <x v="2"/>
    <n v="7"/>
    <x v="1"/>
  </r>
  <r>
    <n v="1047"/>
    <n v="34"/>
    <x v="2"/>
    <x v="1"/>
    <n v="0"/>
    <x v="0"/>
    <n v="216"/>
    <x v="1"/>
    <x v="0"/>
    <n v="1"/>
    <x v="0"/>
    <n v="4"/>
    <x v="2"/>
    <x v="3"/>
    <n v="1"/>
    <n v="2"/>
    <x v="0"/>
    <x v="1"/>
    <n v="75"/>
    <x v="1"/>
    <n v="4"/>
    <x v="2"/>
    <n v="2"/>
    <x v="0"/>
    <n v="4"/>
    <x v="0"/>
    <x v="2"/>
    <n v="9725"/>
    <x v="4"/>
    <n v="12278"/>
    <x v="3"/>
    <n v="0"/>
    <x v="1"/>
    <s v="Y"/>
    <x v="1"/>
    <n v="11"/>
    <x v="0"/>
    <n v="3"/>
    <x v="0"/>
    <n v="4"/>
    <x v="1"/>
    <n v="80"/>
    <n v="1"/>
    <n v="16"/>
    <x v="1"/>
    <n v="2"/>
    <x v="0"/>
    <n v="2"/>
    <x v="2"/>
    <n v="15"/>
    <x v="4"/>
    <n v="1"/>
    <x v="2"/>
    <n v="0"/>
    <x v="0"/>
    <n v="9"/>
    <x v="1"/>
  </r>
  <r>
    <n v="1048"/>
    <n v="59"/>
    <x v="3"/>
    <x v="1"/>
    <n v="0"/>
    <x v="0"/>
    <n v="1089"/>
    <x v="0"/>
    <x v="0"/>
    <n v="1"/>
    <x v="0"/>
    <n v="2"/>
    <x v="0"/>
    <x v="4"/>
    <n v="1"/>
    <n v="2"/>
    <x v="0"/>
    <x v="1"/>
    <n v="66"/>
    <x v="1"/>
    <n v="3"/>
    <x v="0"/>
    <n v="3"/>
    <x v="5"/>
    <n v="4"/>
    <x v="0"/>
    <x v="1"/>
    <n v="11904"/>
    <x v="6"/>
    <n v="11038"/>
    <x v="3"/>
    <n v="3"/>
    <x v="3"/>
    <s v="Y"/>
    <x v="0"/>
    <n v="14"/>
    <x v="2"/>
    <n v="3"/>
    <x v="0"/>
    <n v="3"/>
    <x v="3"/>
    <n v="80"/>
    <n v="1"/>
    <n v="14"/>
    <x v="1"/>
    <n v="1"/>
    <x v="0"/>
    <n v="1"/>
    <x v="0"/>
    <n v="6"/>
    <x v="0"/>
    <n v="4"/>
    <x v="0"/>
    <n v="0"/>
    <x v="0"/>
    <n v="4"/>
    <x v="0"/>
  </r>
  <r>
    <n v="1049"/>
    <n v="45"/>
    <x v="0"/>
    <x v="1"/>
    <n v="0"/>
    <x v="0"/>
    <n v="788"/>
    <x v="2"/>
    <x v="2"/>
    <n v="24"/>
    <x v="2"/>
    <n v="4"/>
    <x v="2"/>
    <x v="2"/>
    <n v="1"/>
    <n v="2"/>
    <x v="0"/>
    <x v="1"/>
    <n v="36"/>
    <x v="2"/>
    <n v="3"/>
    <x v="0"/>
    <n v="1"/>
    <x v="8"/>
    <n v="2"/>
    <x v="1"/>
    <x v="0"/>
    <n v="2177"/>
    <x v="2"/>
    <n v="8318"/>
    <x v="3"/>
    <n v="1"/>
    <x v="1"/>
    <s v="Y"/>
    <x v="1"/>
    <n v="16"/>
    <x v="3"/>
    <n v="3"/>
    <x v="0"/>
    <n v="1"/>
    <x v="0"/>
    <n v="80"/>
    <n v="0"/>
    <n v="6"/>
    <x v="0"/>
    <n v="3"/>
    <x v="1"/>
    <n v="3"/>
    <x v="1"/>
    <n v="6"/>
    <x v="0"/>
    <n v="3"/>
    <x v="0"/>
    <n v="0"/>
    <x v="0"/>
    <n v="4"/>
    <x v="0"/>
  </r>
  <r>
    <n v="1050"/>
    <n v="53"/>
    <x v="1"/>
    <x v="1"/>
    <n v="0"/>
    <x v="1"/>
    <n v="124"/>
    <x v="1"/>
    <x v="0"/>
    <n v="2"/>
    <x v="0"/>
    <n v="3"/>
    <x v="3"/>
    <x v="3"/>
    <n v="1"/>
    <n v="3"/>
    <x v="1"/>
    <x v="0"/>
    <n v="38"/>
    <x v="2"/>
    <n v="2"/>
    <x v="1"/>
    <n v="3"/>
    <x v="0"/>
    <n v="2"/>
    <x v="1"/>
    <x v="1"/>
    <n v="7525"/>
    <x v="11"/>
    <n v="23537"/>
    <x v="1"/>
    <n v="2"/>
    <x v="3"/>
    <s v="Y"/>
    <x v="1"/>
    <n v="12"/>
    <x v="0"/>
    <n v="3"/>
    <x v="0"/>
    <n v="1"/>
    <x v="0"/>
    <n v="80"/>
    <n v="1"/>
    <n v="30"/>
    <x v="4"/>
    <n v="2"/>
    <x v="0"/>
    <n v="3"/>
    <x v="1"/>
    <n v="15"/>
    <x v="4"/>
    <n v="7"/>
    <x v="1"/>
    <n v="6"/>
    <x v="2"/>
    <n v="12"/>
    <x v="3"/>
  </r>
  <r>
    <n v="1052"/>
    <n v="36"/>
    <x v="0"/>
    <x v="0"/>
    <n v="1"/>
    <x v="0"/>
    <n v="660"/>
    <x v="2"/>
    <x v="1"/>
    <n v="15"/>
    <x v="3"/>
    <n v="3"/>
    <x v="3"/>
    <x v="1"/>
    <n v="1"/>
    <n v="1"/>
    <x v="3"/>
    <x v="1"/>
    <n v="81"/>
    <x v="0"/>
    <n v="3"/>
    <x v="0"/>
    <n v="2"/>
    <x v="2"/>
    <n v="3"/>
    <x v="2"/>
    <x v="2"/>
    <n v="4834"/>
    <x v="1"/>
    <n v="7858"/>
    <x v="2"/>
    <n v="7"/>
    <x v="0"/>
    <s v="Y"/>
    <x v="1"/>
    <n v="14"/>
    <x v="2"/>
    <n v="3"/>
    <x v="0"/>
    <n v="2"/>
    <x v="4"/>
    <n v="80"/>
    <n v="1"/>
    <n v="9"/>
    <x v="0"/>
    <n v="3"/>
    <x v="1"/>
    <n v="2"/>
    <x v="2"/>
    <n v="1"/>
    <x v="1"/>
    <n v="0"/>
    <x v="2"/>
    <n v="0"/>
    <x v="0"/>
    <n v="0"/>
    <x v="2"/>
  </r>
  <r>
    <n v="1053"/>
    <n v="26"/>
    <x v="2"/>
    <x v="0"/>
    <n v="1"/>
    <x v="1"/>
    <n v="342"/>
    <x v="1"/>
    <x v="1"/>
    <n v="2"/>
    <x v="0"/>
    <n v="3"/>
    <x v="3"/>
    <x v="0"/>
    <n v="1"/>
    <n v="1"/>
    <x v="3"/>
    <x v="1"/>
    <n v="57"/>
    <x v="1"/>
    <n v="3"/>
    <x v="0"/>
    <n v="1"/>
    <x v="1"/>
    <n v="1"/>
    <x v="3"/>
    <x v="1"/>
    <n v="2042"/>
    <x v="2"/>
    <n v="15346"/>
    <x v="3"/>
    <n v="6"/>
    <x v="2"/>
    <s v="Y"/>
    <x v="0"/>
    <n v="14"/>
    <x v="2"/>
    <n v="3"/>
    <x v="0"/>
    <n v="2"/>
    <x v="4"/>
    <n v="80"/>
    <n v="1"/>
    <n v="6"/>
    <x v="0"/>
    <n v="2"/>
    <x v="0"/>
    <n v="3"/>
    <x v="1"/>
    <n v="3"/>
    <x v="2"/>
    <n v="2"/>
    <x v="0"/>
    <n v="1"/>
    <x v="0"/>
    <n v="2"/>
    <x v="0"/>
  </r>
  <r>
    <n v="1055"/>
    <n v="34"/>
    <x v="2"/>
    <x v="1"/>
    <n v="0"/>
    <x v="0"/>
    <n v="1333"/>
    <x v="0"/>
    <x v="0"/>
    <n v="10"/>
    <x v="1"/>
    <n v="4"/>
    <x v="2"/>
    <x v="0"/>
    <n v="1"/>
    <n v="3"/>
    <x v="1"/>
    <x v="0"/>
    <n v="87"/>
    <x v="0"/>
    <n v="3"/>
    <x v="0"/>
    <n v="1"/>
    <x v="6"/>
    <n v="3"/>
    <x v="2"/>
    <x v="1"/>
    <n v="2220"/>
    <x v="2"/>
    <n v="18410"/>
    <x v="0"/>
    <n v="1"/>
    <x v="1"/>
    <s v="Y"/>
    <x v="0"/>
    <n v="19"/>
    <x v="1"/>
    <n v="3"/>
    <x v="0"/>
    <n v="4"/>
    <x v="1"/>
    <n v="80"/>
    <n v="1"/>
    <n v="1"/>
    <x v="2"/>
    <n v="2"/>
    <x v="0"/>
    <n v="3"/>
    <x v="1"/>
    <n v="1"/>
    <x v="1"/>
    <n v="1"/>
    <x v="2"/>
    <n v="0"/>
    <x v="0"/>
    <n v="0"/>
    <x v="2"/>
  </r>
  <r>
    <n v="1056"/>
    <n v="28"/>
    <x v="2"/>
    <x v="1"/>
    <n v="0"/>
    <x v="0"/>
    <n v="1144"/>
    <x v="0"/>
    <x v="0"/>
    <n v="10"/>
    <x v="1"/>
    <n v="1"/>
    <x v="1"/>
    <x v="2"/>
    <n v="1"/>
    <n v="4"/>
    <x v="2"/>
    <x v="1"/>
    <n v="74"/>
    <x v="1"/>
    <n v="3"/>
    <x v="0"/>
    <n v="1"/>
    <x v="6"/>
    <n v="2"/>
    <x v="1"/>
    <x v="1"/>
    <n v="1052"/>
    <x v="2"/>
    <n v="23384"/>
    <x v="1"/>
    <n v="1"/>
    <x v="1"/>
    <s v="Y"/>
    <x v="1"/>
    <n v="22"/>
    <x v="1"/>
    <n v="4"/>
    <x v="1"/>
    <n v="2"/>
    <x v="4"/>
    <n v="80"/>
    <n v="0"/>
    <n v="1"/>
    <x v="2"/>
    <n v="5"/>
    <x v="2"/>
    <n v="3"/>
    <x v="1"/>
    <n v="1"/>
    <x v="1"/>
    <n v="0"/>
    <x v="2"/>
    <n v="0"/>
    <x v="0"/>
    <n v="0"/>
    <x v="2"/>
  </r>
  <r>
    <n v="1060"/>
    <n v="38"/>
    <x v="0"/>
    <x v="1"/>
    <n v="0"/>
    <x v="1"/>
    <n v="1186"/>
    <x v="0"/>
    <x v="1"/>
    <n v="3"/>
    <x v="0"/>
    <n v="4"/>
    <x v="2"/>
    <x v="1"/>
    <n v="1"/>
    <n v="3"/>
    <x v="1"/>
    <x v="1"/>
    <n v="44"/>
    <x v="2"/>
    <n v="3"/>
    <x v="0"/>
    <n v="1"/>
    <x v="1"/>
    <n v="3"/>
    <x v="2"/>
    <x v="1"/>
    <n v="2821"/>
    <x v="3"/>
    <n v="2997"/>
    <x v="2"/>
    <n v="3"/>
    <x v="3"/>
    <s v="Y"/>
    <x v="1"/>
    <n v="16"/>
    <x v="3"/>
    <n v="3"/>
    <x v="0"/>
    <n v="1"/>
    <x v="0"/>
    <n v="80"/>
    <n v="1"/>
    <n v="8"/>
    <x v="0"/>
    <n v="2"/>
    <x v="0"/>
    <n v="3"/>
    <x v="1"/>
    <n v="2"/>
    <x v="2"/>
    <n v="2"/>
    <x v="0"/>
    <n v="2"/>
    <x v="1"/>
    <n v="2"/>
    <x v="0"/>
  </r>
  <r>
    <n v="1061"/>
    <n v="50"/>
    <x v="1"/>
    <x v="1"/>
    <n v="0"/>
    <x v="0"/>
    <n v="1464"/>
    <x v="0"/>
    <x v="1"/>
    <n v="2"/>
    <x v="0"/>
    <n v="4"/>
    <x v="2"/>
    <x v="2"/>
    <n v="1"/>
    <n v="2"/>
    <x v="0"/>
    <x v="1"/>
    <n v="62"/>
    <x v="1"/>
    <n v="3"/>
    <x v="0"/>
    <n v="5"/>
    <x v="7"/>
    <n v="3"/>
    <x v="2"/>
    <x v="1"/>
    <n v="19237"/>
    <x v="7"/>
    <n v="12853"/>
    <x v="3"/>
    <n v="2"/>
    <x v="3"/>
    <s v="Y"/>
    <x v="0"/>
    <n v="11"/>
    <x v="0"/>
    <n v="3"/>
    <x v="0"/>
    <n v="4"/>
    <x v="1"/>
    <n v="80"/>
    <n v="1"/>
    <n v="29"/>
    <x v="4"/>
    <n v="2"/>
    <x v="0"/>
    <n v="2"/>
    <x v="2"/>
    <n v="8"/>
    <x v="0"/>
    <n v="1"/>
    <x v="2"/>
    <n v="7"/>
    <x v="2"/>
    <n v="7"/>
    <x v="1"/>
  </r>
  <r>
    <n v="1062"/>
    <n v="37"/>
    <x v="0"/>
    <x v="1"/>
    <n v="0"/>
    <x v="0"/>
    <n v="124"/>
    <x v="1"/>
    <x v="1"/>
    <n v="3"/>
    <x v="0"/>
    <n v="3"/>
    <x v="3"/>
    <x v="1"/>
    <n v="1"/>
    <n v="4"/>
    <x v="2"/>
    <x v="0"/>
    <n v="35"/>
    <x v="2"/>
    <n v="3"/>
    <x v="0"/>
    <n v="2"/>
    <x v="4"/>
    <n v="2"/>
    <x v="1"/>
    <x v="0"/>
    <n v="4107"/>
    <x v="1"/>
    <n v="13848"/>
    <x v="3"/>
    <n v="3"/>
    <x v="3"/>
    <s v="Y"/>
    <x v="1"/>
    <n v="15"/>
    <x v="2"/>
    <n v="3"/>
    <x v="0"/>
    <n v="1"/>
    <x v="0"/>
    <n v="80"/>
    <n v="0"/>
    <n v="8"/>
    <x v="0"/>
    <n v="3"/>
    <x v="1"/>
    <n v="2"/>
    <x v="2"/>
    <n v="4"/>
    <x v="2"/>
    <n v="3"/>
    <x v="0"/>
    <n v="0"/>
    <x v="0"/>
    <n v="1"/>
    <x v="2"/>
  </r>
  <r>
    <n v="1066"/>
    <n v="40"/>
    <x v="0"/>
    <x v="1"/>
    <n v="0"/>
    <x v="0"/>
    <n v="300"/>
    <x v="1"/>
    <x v="0"/>
    <n v="26"/>
    <x v="2"/>
    <n v="3"/>
    <x v="3"/>
    <x v="3"/>
    <n v="1"/>
    <n v="3"/>
    <x v="1"/>
    <x v="1"/>
    <n v="74"/>
    <x v="1"/>
    <n v="3"/>
    <x v="0"/>
    <n v="2"/>
    <x v="0"/>
    <n v="1"/>
    <x v="3"/>
    <x v="1"/>
    <n v="8396"/>
    <x v="11"/>
    <n v="22217"/>
    <x v="1"/>
    <n v="1"/>
    <x v="1"/>
    <s v="Y"/>
    <x v="1"/>
    <n v="14"/>
    <x v="2"/>
    <n v="3"/>
    <x v="0"/>
    <n v="2"/>
    <x v="4"/>
    <n v="80"/>
    <n v="1"/>
    <n v="8"/>
    <x v="0"/>
    <n v="3"/>
    <x v="1"/>
    <n v="2"/>
    <x v="2"/>
    <n v="7"/>
    <x v="0"/>
    <n v="7"/>
    <x v="1"/>
    <n v="7"/>
    <x v="2"/>
    <n v="5"/>
    <x v="0"/>
  </r>
  <r>
    <n v="1068"/>
    <n v="26"/>
    <x v="2"/>
    <x v="1"/>
    <n v="0"/>
    <x v="1"/>
    <n v="921"/>
    <x v="2"/>
    <x v="1"/>
    <n v="1"/>
    <x v="0"/>
    <n v="1"/>
    <x v="1"/>
    <x v="2"/>
    <n v="1"/>
    <n v="1"/>
    <x v="3"/>
    <x v="0"/>
    <n v="66"/>
    <x v="1"/>
    <n v="2"/>
    <x v="1"/>
    <n v="1"/>
    <x v="1"/>
    <n v="3"/>
    <x v="2"/>
    <x v="2"/>
    <n v="2007"/>
    <x v="2"/>
    <n v="25265"/>
    <x v="1"/>
    <n v="1"/>
    <x v="1"/>
    <s v="Y"/>
    <x v="1"/>
    <n v="13"/>
    <x v="2"/>
    <n v="3"/>
    <x v="0"/>
    <n v="3"/>
    <x v="3"/>
    <n v="80"/>
    <n v="2"/>
    <n v="5"/>
    <x v="3"/>
    <n v="5"/>
    <x v="2"/>
    <n v="3"/>
    <x v="1"/>
    <n v="5"/>
    <x v="2"/>
    <n v="3"/>
    <x v="0"/>
    <n v="1"/>
    <x v="0"/>
    <n v="3"/>
    <x v="0"/>
  </r>
  <r>
    <n v="1069"/>
    <n v="46"/>
    <x v="1"/>
    <x v="1"/>
    <n v="0"/>
    <x v="0"/>
    <n v="430"/>
    <x v="1"/>
    <x v="1"/>
    <n v="1"/>
    <x v="0"/>
    <n v="4"/>
    <x v="2"/>
    <x v="2"/>
    <n v="1"/>
    <n v="4"/>
    <x v="2"/>
    <x v="1"/>
    <n v="40"/>
    <x v="2"/>
    <n v="3"/>
    <x v="0"/>
    <n v="5"/>
    <x v="7"/>
    <n v="4"/>
    <x v="0"/>
    <x v="2"/>
    <n v="19627"/>
    <x v="7"/>
    <n v="21445"/>
    <x v="0"/>
    <n v="9"/>
    <x v="0"/>
    <s v="Y"/>
    <x v="1"/>
    <n v="17"/>
    <x v="3"/>
    <n v="3"/>
    <x v="0"/>
    <n v="4"/>
    <x v="1"/>
    <n v="80"/>
    <n v="2"/>
    <n v="23"/>
    <x v="4"/>
    <n v="0"/>
    <x v="0"/>
    <n v="3"/>
    <x v="1"/>
    <n v="2"/>
    <x v="2"/>
    <n v="2"/>
    <x v="0"/>
    <n v="2"/>
    <x v="1"/>
    <n v="2"/>
    <x v="0"/>
  </r>
  <r>
    <n v="1070"/>
    <n v="54"/>
    <x v="1"/>
    <x v="1"/>
    <n v="0"/>
    <x v="0"/>
    <n v="1082"/>
    <x v="0"/>
    <x v="0"/>
    <n v="2"/>
    <x v="0"/>
    <n v="4"/>
    <x v="2"/>
    <x v="0"/>
    <n v="1"/>
    <n v="3"/>
    <x v="1"/>
    <x v="0"/>
    <n v="41"/>
    <x v="2"/>
    <n v="2"/>
    <x v="1"/>
    <n v="3"/>
    <x v="0"/>
    <n v="3"/>
    <x v="2"/>
    <x v="1"/>
    <n v="10686"/>
    <x v="8"/>
    <n v="8392"/>
    <x v="3"/>
    <n v="6"/>
    <x v="2"/>
    <s v="Y"/>
    <x v="1"/>
    <n v="11"/>
    <x v="0"/>
    <n v="3"/>
    <x v="0"/>
    <n v="2"/>
    <x v="4"/>
    <n v="80"/>
    <n v="1"/>
    <n v="13"/>
    <x v="1"/>
    <n v="4"/>
    <x v="1"/>
    <n v="3"/>
    <x v="1"/>
    <n v="9"/>
    <x v="0"/>
    <n v="4"/>
    <x v="0"/>
    <n v="7"/>
    <x v="2"/>
    <n v="0"/>
    <x v="2"/>
  </r>
  <r>
    <n v="1071"/>
    <n v="56"/>
    <x v="3"/>
    <x v="1"/>
    <n v="0"/>
    <x v="1"/>
    <n v="1240"/>
    <x v="0"/>
    <x v="1"/>
    <n v="9"/>
    <x v="1"/>
    <n v="3"/>
    <x v="3"/>
    <x v="2"/>
    <n v="1"/>
    <n v="1"/>
    <x v="3"/>
    <x v="0"/>
    <n v="63"/>
    <x v="1"/>
    <n v="3"/>
    <x v="0"/>
    <n v="1"/>
    <x v="1"/>
    <n v="3"/>
    <x v="2"/>
    <x v="1"/>
    <n v="2942"/>
    <x v="3"/>
    <n v="12154"/>
    <x v="3"/>
    <n v="2"/>
    <x v="3"/>
    <s v="Y"/>
    <x v="1"/>
    <n v="19"/>
    <x v="1"/>
    <n v="3"/>
    <x v="0"/>
    <n v="2"/>
    <x v="4"/>
    <n v="80"/>
    <n v="1"/>
    <n v="18"/>
    <x v="1"/>
    <n v="4"/>
    <x v="1"/>
    <n v="3"/>
    <x v="1"/>
    <n v="5"/>
    <x v="2"/>
    <n v="4"/>
    <x v="0"/>
    <n v="0"/>
    <x v="0"/>
    <n v="3"/>
    <x v="0"/>
  </r>
  <r>
    <n v="1073"/>
    <n v="36"/>
    <x v="0"/>
    <x v="1"/>
    <n v="0"/>
    <x v="0"/>
    <n v="796"/>
    <x v="2"/>
    <x v="1"/>
    <n v="12"/>
    <x v="3"/>
    <n v="5"/>
    <x v="4"/>
    <x v="2"/>
    <n v="1"/>
    <n v="4"/>
    <x v="2"/>
    <x v="0"/>
    <n v="51"/>
    <x v="1"/>
    <n v="2"/>
    <x v="1"/>
    <n v="3"/>
    <x v="3"/>
    <n v="4"/>
    <x v="0"/>
    <x v="0"/>
    <n v="8858"/>
    <x v="4"/>
    <n v="15669"/>
    <x v="3"/>
    <n v="0"/>
    <x v="1"/>
    <s v="Y"/>
    <x v="1"/>
    <n v="11"/>
    <x v="0"/>
    <n v="3"/>
    <x v="0"/>
    <n v="2"/>
    <x v="4"/>
    <n v="80"/>
    <n v="0"/>
    <n v="15"/>
    <x v="1"/>
    <n v="2"/>
    <x v="0"/>
    <n v="2"/>
    <x v="2"/>
    <n v="14"/>
    <x v="4"/>
    <n v="8"/>
    <x v="1"/>
    <n v="7"/>
    <x v="2"/>
    <n v="8"/>
    <x v="1"/>
  </r>
  <r>
    <n v="1074"/>
    <n v="55"/>
    <x v="1"/>
    <x v="1"/>
    <n v="0"/>
    <x v="2"/>
    <n v="444"/>
    <x v="1"/>
    <x v="1"/>
    <n v="2"/>
    <x v="0"/>
    <n v="1"/>
    <x v="1"/>
    <x v="2"/>
    <n v="1"/>
    <n v="3"/>
    <x v="1"/>
    <x v="1"/>
    <n v="40"/>
    <x v="2"/>
    <n v="2"/>
    <x v="1"/>
    <n v="4"/>
    <x v="5"/>
    <n v="1"/>
    <x v="3"/>
    <x v="0"/>
    <n v="16756"/>
    <x v="12"/>
    <n v="17323"/>
    <x v="0"/>
    <n v="7"/>
    <x v="0"/>
    <s v="Y"/>
    <x v="1"/>
    <n v="15"/>
    <x v="2"/>
    <n v="3"/>
    <x v="0"/>
    <n v="2"/>
    <x v="4"/>
    <n v="80"/>
    <n v="0"/>
    <n v="31"/>
    <x v="4"/>
    <n v="3"/>
    <x v="1"/>
    <n v="4"/>
    <x v="3"/>
    <n v="9"/>
    <x v="0"/>
    <n v="7"/>
    <x v="1"/>
    <n v="6"/>
    <x v="2"/>
    <n v="2"/>
    <x v="0"/>
  </r>
  <r>
    <n v="1076"/>
    <n v="43"/>
    <x v="0"/>
    <x v="1"/>
    <n v="0"/>
    <x v="0"/>
    <n v="415"/>
    <x v="1"/>
    <x v="0"/>
    <n v="25"/>
    <x v="2"/>
    <n v="3"/>
    <x v="3"/>
    <x v="2"/>
    <n v="1"/>
    <n v="3"/>
    <x v="1"/>
    <x v="1"/>
    <n v="79"/>
    <x v="0"/>
    <n v="2"/>
    <x v="1"/>
    <n v="3"/>
    <x v="0"/>
    <n v="4"/>
    <x v="0"/>
    <x v="2"/>
    <n v="10798"/>
    <x v="8"/>
    <n v="5268"/>
    <x v="2"/>
    <n v="5"/>
    <x v="2"/>
    <s v="Y"/>
    <x v="1"/>
    <n v="13"/>
    <x v="2"/>
    <n v="3"/>
    <x v="0"/>
    <n v="3"/>
    <x v="3"/>
    <n v="80"/>
    <n v="1"/>
    <n v="18"/>
    <x v="1"/>
    <n v="5"/>
    <x v="2"/>
    <n v="3"/>
    <x v="1"/>
    <n v="1"/>
    <x v="1"/>
    <n v="0"/>
    <x v="2"/>
    <n v="0"/>
    <x v="0"/>
    <n v="0"/>
    <x v="2"/>
  </r>
  <r>
    <n v="1077"/>
    <n v="20"/>
    <x v="4"/>
    <x v="0"/>
    <n v="1"/>
    <x v="1"/>
    <n v="769"/>
    <x v="2"/>
    <x v="0"/>
    <n v="9"/>
    <x v="1"/>
    <n v="3"/>
    <x v="3"/>
    <x v="3"/>
    <n v="1"/>
    <n v="4"/>
    <x v="2"/>
    <x v="0"/>
    <n v="54"/>
    <x v="1"/>
    <n v="3"/>
    <x v="0"/>
    <n v="1"/>
    <x v="6"/>
    <n v="4"/>
    <x v="0"/>
    <x v="0"/>
    <n v="2323"/>
    <x v="2"/>
    <n v="17205"/>
    <x v="0"/>
    <n v="1"/>
    <x v="1"/>
    <s v="Y"/>
    <x v="0"/>
    <n v="14"/>
    <x v="2"/>
    <n v="3"/>
    <x v="0"/>
    <n v="2"/>
    <x v="4"/>
    <n v="80"/>
    <n v="0"/>
    <n v="2"/>
    <x v="2"/>
    <n v="3"/>
    <x v="1"/>
    <n v="3"/>
    <x v="1"/>
    <n v="2"/>
    <x v="2"/>
    <n v="2"/>
    <x v="0"/>
    <n v="0"/>
    <x v="0"/>
    <n v="2"/>
    <x v="0"/>
  </r>
  <r>
    <n v="1079"/>
    <n v="21"/>
    <x v="4"/>
    <x v="0"/>
    <n v="1"/>
    <x v="0"/>
    <n v="1334"/>
    <x v="0"/>
    <x v="1"/>
    <n v="10"/>
    <x v="1"/>
    <n v="3"/>
    <x v="3"/>
    <x v="0"/>
    <n v="1"/>
    <n v="3"/>
    <x v="1"/>
    <x v="0"/>
    <n v="36"/>
    <x v="2"/>
    <n v="2"/>
    <x v="1"/>
    <n v="1"/>
    <x v="2"/>
    <n v="1"/>
    <x v="3"/>
    <x v="0"/>
    <n v="1416"/>
    <x v="2"/>
    <n v="17258"/>
    <x v="0"/>
    <n v="1"/>
    <x v="1"/>
    <s v="Y"/>
    <x v="1"/>
    <n v="13"/>
    <x v="2"/>
    <n v="3"/>
    <x v="0"/>
    <n v="1"/>
    <x v="0"/>
    <n v="80"/>
    <n v="0"/>
    <n v="1"/>
    <x v="2"/>
    <n v="6"/>
    <x v="2"/>
    <n v="2"/>
    <x v="2"/>
    <n v="1"/>
    <x v="1"/>
    <n v="0"/>
    <x v="2"/>
    <n v="1"/>
    <x v="0"/>
    <n v="0"/>
    <x v="2"/>
  </r>
  <r>
    <n v="1080"/>
    <n v="46"/>
    <x v="1"/>
    <x v="1"/>
    <n v="0"/>
    <x v="0"/>
    <n v="1003"/>
    <x v="0"/>
    <x v="1"/>
    <n v="8"/>
    <x v="1"/>
    <n v="4"/>
    <x v="2"/>
    <x v="0"/>
    <n v="1"/>
    <n v="4"/>
    <x v="2"/>
    <x v="0"/>
    <n v="74"/>
    <x v="1"/>
    <n v="2"/>
    <x v="1"/>
    <n v="2"/>
    <x v="1"/>
    <n v="1"/>
    <x v="3"/>
    <x v="2"/>
    <n v="4615"/>
    <x v="1"/>
    <n v="21029"/>
    <x v="0"/>
    <n v="8"/>
    <x v="0"/>
    <s v="Y"/>
    <x v="0"/>
    <n v="23"/>
    <x v="1"/>
    <n v="4"/>
    <x v="1"/>
    <n v="1"/>
    <x v="0"/>
    <n v="80"/>
    <n v="3"/>
    <n v="19"/>
    <x v="1"/>
    <n v="2"/>
    <x v="0"/>
    <n v="3"/>
    <x v="1"/>
    <n v="16"/>
    <x v="4"/>
    <n v="13"/>
    <x v="3"/>
    <n v="1"/>
    <x v="0"/>
    <n v="7"/>
    <x v="1"/>
  </r>
  <r>
    <n v="1081"/>
    <n v="51"/>
    <x v="1"/>
    <x v="0"/>
    <n v="1"/>
    <x v="0"/>
    <n v="1323"/>
    <x v="0"/>
    <x v="1"/>
    <n v="4"/>
    <x v="0"/>
    <n v="4"/>
    <x v="2"/>
    <x v="0"/>
    <n v="1"/>
    <n v="1"/>
    <x v="3"/>
    <x v="1"/>
    <n v="34"/>
    <x v="2"/>
    <n v="3"/>
    <x v="0"/>
    <n v="1"/>
    <x v="1"/>
    <n v="3"/>
    <x v="2"/>
    <x v="1"/>
    <n v="2461"/>
    <x v="2"/>
    <n v="10332"/>
    <x v="3"/>
    <n v="9"/>
    <x v="0"/>
    <s v="Y"/>
    <x v="0"/>
    <n v="12"/>
    <x v="0"/>
    <n v="3"/>
    <x v="0"/>
    <n v="3"/>
    <x v="3"/>
    <n v="80"/>
    <n v="3"/>
    <n v="18"/>
    <x v="1"/>
    <n v="2"/>
    <x v="0"/>
    <n v="4"/>
    <x v="3"/>
    <n v="10"/>
    <x v="0"/>
    <n v="0"/>
    <x v="2"/>
    <n v="2"/>
    <x v="1"/>
    <n v="7"/>
    <x v="1"/>
  </r>
  <r>
    <n v="1082"/>
    <n v="28"/>
    <x v="2"/>
    <x v="0"/>
    <n v="1"/>
    <x v="2"/>
    <n v="1366"/>
    <x v="0"/>
    <x v="1"/>
    <n v="24"/>
    <x v="2"/>
    <n v="2"/>
    <x v="0"/>
    <x v="4"/>
    <n v="1"/>
    <n v="2"/>
    <x v="0"/>
    <x v="1"/>
    <n v="72"/>
    <x v="1"/>
    <n v="2"/>
    <x v="1"/>
    <n v="3"/>
    <x v="4"/>
    <n v="1"/>
    <x v="3"/>
    <x v="0"/>
    <n v="8722"/>
    <x v="4"/>
    <n v="12355"/>
    <x v="3"/>
    <n v="1"/>
    <x v="1"/>
    <s v="Y"/>
    <x v="1"/>
    <n v="12"/>
    <x v="0"/>
    <n v="3"/>
    <x v="0"/>
    <n v="1"/>
    <x v="0"/>
    <n v="80"/>
    <n v="0"/>
    <n v="10"/>
    <x v="0"/>
    <n v="2"/>
    <x v="0"/>
    <n v="2"/>
    <x v="2"/>
    <n v="10"/>
    <x v="0"/>
    <n v="7"/>
    <x v="1"/>
    <n v="1"/>
    <x v="0"/>
    <n v="9"/>
    <x v="1"/>
  </r>
  <r>
    <n v="1083"/>
    <n v="26"/>
    <x v="2"/>
    <x v="1"/>
    <n v="0"/>
    <x v="0"/>
    <n v="192"/>
    <x v="1"/>
    <x v="1"/>
    <n v="1"/>
    <x v="0"/>
    <n v="2"/>
    <x v="0"/>
    <x v="2"/>
    <n v="1"/>
    <n v="1"/>
    <x v="3"/>
    <x v="1"/>
    <n v="59"/>
    <x v="1"/>
    <n v="2"/>
    <x v="1"/>
    <n v="1"/>
    <x v="2"/>
    <n v="1"/>
    <x v="3"/>
    <x v="1"/>
    <n v="3955"/>
    <x v="3"/>
    <n v="11141"/>
    <x v="3"/>
    <n v="1"/>
    <x v="1"/>
    <s v="Y"/>
    <x v="1"/>
    <n v="16"/>
    <x v="3"/>
    <n v="3"/>
    <x v="0"/>
    <n v="1"/>
    <x v="0"/>
    <n v="80"/>
    <n v="2"/>
    <n v="6"/>
    <x v="0"/>
    <n v="2"/>
    <x v="0"/>
    <n v="3"/>
    <x v="1"/>
    <n v="5"/>
    <x v="2"/>
    <n v="3"/>
    <x v="0"/>
    <n v="1"/>
    <x v="0"/>
    <n v="3"/>
    <x v="0"/>
  </r>
  <r>
    <n v="1084"/>
    <n v="30"/>
    <x v="2"/>
    <x v="1"/>
    <n v="0"/>
    <x v="0"/>
    <n v="1176"/>
    <x v="0"/>
    <x v="1"/>
    <n v="20"/>
    <x v="3"/>
    <n v="3"/>
    <x v="3"/>
    <x v="1"/>
    <n v="1"/>
    <n v="3"/>
    <x v="1"/>
    <x v="1"/>
    <n v="85"/>
    <x v="0"/>
    <n v="3"/>
    <x v="0"/>
    <n v="2"/>
    <x v="3"/>
    <n v="1"/>
    <x v="3"/>
    <x v="1"/>
    <n v="9957"/>
    <x v="4"/>
    <n v="9096"/>
    <x v="3"/>
    <n v="0"/>
    <x v="1"/>
    <s v="Y"/>
    <x v="1"/>
    <n v="15"/>
    <x v="2"/>
    <n v="3"/>
    <x v="0"/>
    <n v="3"/>
    <x v="3"/>
    <n v="80"/>
    <n v="1"/>
    <n v="7"/>
    <x v="0"/>
    <n v="1"/>
    <x v="0"/>
    <n v="2"/>
    <x v="2"/>
    <n v="6"/>
    <x v="0"/>
    <n v="2"/>
    <x v="0"/>
    <n v="0"/>
    <x v="0"/>
    <n v="2"/>
    <x v="0"/>
  </r>
  <r>
    <n v="1085"/>
    <n v="41"/>
    <x v="0"/>
    <x v="1"/>
    <n v="0"/>
    <x v="0"/>
    <n v="509"/>
    <x v="2"/>
    <x v="1"/>
    <n v="7"/>
    <x v="1"/>
    <n v="2"/>
    <x v="0"/>
    <x v="4"/>
    <n v="1"/>
    <n v="2"/>
    <x v="0"/>
    <x v="0"/>
    <n v="43"/>
    <x v="2"/>
    <n v="4"/>
    <x v="2"/>
    <n v="1"/>
    <x v="1"/>
    <n v="3"/>
    <x v="2"/>
    <x v="1"/>
    <n v="3376"/>
    <x v="3"/>
    <n v="18863"/>
    <x v="0"/>
    <n v="1"/>
    <x v="1"/>
    <s v="Y"/>
    <x v="1"/>
    <n v="13"/>
    <x v="2"/>
    <n v="3"/>
    <x v="0"/>
    <n v="3"/>
    <x v="3"/>
    <n v="80"/>
    <n v="0"/>
    <n v="10"/>
    <x v="0"/>
    <n v="3"/>
    <x v="1"/>
    <n v="3"/>
    <x v="1"/>
    <n v="10"/>
    <x v="0"/>
    <n v="6"/>
    <x v="1"/>
    <n v="0"/>
    <x v="0"/>
    <n v="8"/>
    <x v="1"/>
  </r>
  <r>
    <n v="1088"/>
    <n v="38"/>
    <x v="0"/>
    <x v="1"/>
    <n v="0"/>
    <x v="0"/>
    <n v="330"/>
    <x v="1"/>
    <x v="1"/>
    <n v="17"/>
    <x v="3"/>
    <n v="1"/>
    <x v="1"/>
    <x v="0"/>
    <n v="1"/>
    <n v="3"/>
    <x v="1"/>
    <x v="0"/>
    <n v="65"/>
    <x v="1"/>
    <n v="2"/>
    <x v="1"/>
    <n v="3"/>
    <x v="4"/>
    <n v="3"/>
    <x v="2"/>
    <x v="1"/>
    <n v="8823"/>
    <x v="4"/>
    <n v="24608"/>
    <x v="1"/>
    <n v="0"/>
    <x v="1"/>
    <s v="Y"/>
    <x v="1"/>
    <n v="18"/>
    <x v="1"/>
    <n v="3"/>
    <x v="0"/>
    <n v="1"/>
    <x v="0"/>
    <n v="80"/>
    <n v="1"/>
    <n v="20"/>
    <x v="1"/>
    <n v="4"/>
    <x v="1"/>
    <n v="2"/>
    <x v="2"/>
    <n v="19"/>
    <x v="4"/>
    <n v="9"/>
    <x v="1"/>
    <n v="1"/>
    <x v="0"/>
    <n v="9"/>
    <x v="1"/>
  </r>
  <r>
    <n v="1092"/>
    <n v="40"/>
    <x v="0"/>
    <x v="1"/>
    <n v="0"/>
    <x v="0"/>
    <n v="1492"/>
    <x v="0"/>
    <x v="1"/>
    <n v="20"/>
    <x v="3"/>
    <n v="4"/>
    <x v="2"/>
    <x v="4"/>
    <n v="1"/>
    <n v="1"/>
    <x v="3"/>
    <x v="1"/>
    <n v="61"/>
    <x v="1"/>
    <n v="3"/>
    <x v="0"/>
    <n v="3"/>
    <x v="4"/>
    <n v="4"/>
    <x v="0"/>
    <x v="1"/>
    <n v="10322"/>
    <x v="8"/>
    <n v="26542"/>
    <x v="1"/>
    <n v="4"/>
    <x v="2"/>
    <s v="Y"/>
    <x v="1"/>
    <n v="20"/>
    <x v="1"/>
    <n v="4"/>
    <x v="1"/>
    <n v="4"/>
    <x v="1"/>
    <n v="80"/>
    <n v="1"/>
    <n v="14"/>
    <x v="1"/>
    <n v="6"/>
    <x v="2"/>
    <n v="3"/>
    <x v="1"/>
    <n v="11"/>
    <x v="4"/>
    <n v="10"/>
    <x v="1"/>
    <n v="11"/>
    <x v="3"/>
    <n v="1"/>
    <x v="2"/>
  </r>
  <r>
    <n v="1094"/>
    <n v="27"/>
    <x v="2"/>
    <x v="1"/>
    <n v="0"/>
    <x v="2"/>
    <n v="1277"/>
    <x v="0"/>
    <x v="1"/>
    <n v="8"/>
    <x v="1"/>
    <n v="5"/>
    <x v="4"/>
    <x v="0"/>
    <n v="1"/>
    <n v="1"/>
    <x v="3"/>
    <x v="1"/>
    <n v="87"/>
    <x v="0"/>
    <n v="1"/>
    <x v="3"/>
    <n v="1"/>
    <x v="2"/>
    <n v="3"/>
    <x v="2"/>
    <x v="1"/>
    <n v="4621"/>
    <x v="1"/>
    <n v="5869"/>
    <x v="2"/>
    <n v="1"/>
    <x v="1"/>
    <s v="Y"/>
    <x v="1"/>
    <n v="19"/>
    <x v="1"/>
    <n v="3"/>
    <x v="0"/>
    <n v="4"/>
    <x v="1"/>
    <n v="80"/>
    <n v="3"/>
    <n v="3"/>
    <x v="3"/>
    <n v="4"/>
    <x v="1"/>
    <n v="3"/>
    <x v="1"/>
    <n v="3"/>
    <x v="2"/>
    <n v="2"/>
    <x v="0"/>
    <n v="1"/>
    <x v="0"/>
    <n v="2"/>
    <x v="0"/>
  </r>
  <r>
    <n v="1096"/>
    <n v="55"/>
    <x v="1"/>
    <x v="1"/>
    <n v="0"/>
    <x v="1"/>
    <n v="1091"/>
    <x v="0"/>
    <x v="1"/>
    <n v="2"/>
    <x v="0"/>
    <n v="1"/>
    <x v="1"/>
    <x v="0"/>
    <n v="1"/>
    <n v="4"/>
    <x v="2"/>
    <x v="1"/>
    <n v="65"/>
    <x v="1"/>
    <n v="3"/>
    <x v="0"/>
    <n v="3"/>
    <x v="3"/>
    <n v="2"/>
    <x v="1"/>
    <x v="1"/>
    <n v="10976"/>
    <x v="8"/>
    <n v="15813"/>
    <x v="3"/>
    <n v="3"/>
    <x v="3"/>
    <s v="Y"/>
    <x v="1"/>
    <n v="18"/>
    <x v="1"/>
    <n v="3"/>
    <x v="0"/>
    <n v="2"/>
    <x v="4"/>
    <n v="80"/>
    <n v="1"/>
    <n v="23"/>
    <x v="4"/>
    <n v="4"/>
    <x v="1"/>
    <n v="3"/>
    <x v="1"/>
    <n v="3"/>
    <x v="2"/>
    <n v="2"/>
    <x v="0"/>
    <n v="1"/>
    <x v="0"/>
    <n v="2"/>
    <x v="0"/>
  </r>
  <r>
    <n v="1097"/>
    <n v="28"/>
    <x v="2"/>
    <x v="1"/>
    <n v="0"/>
    <x v="0"/>
    <n v="857"/>
    <x v="2"/>
    <x v="1"/>
    <n v="10"/>
    <x v="1"/>
    <n v="3"/>
    <x v="3"/>
    <x v="1"/>
    <n v="1"/>
    <n v="3"/>
    <x v="1"/>
    <x v="0"/>
    <n v="59"/>
    <x v="1"/>
    <n v="3"/>
    <x v="0"/>
    <n v="2"/>
    <x v="1"/>
    <n v="3"/>
    <x v="2"/>
    <x v="0"/>
    <n v="3660"/>
    <x v="3"/>
    <n v="7909"/>
    <x v="2"/>
    <n v="3"/>
    <x v="3"/>
    <s v="Y"/>
    <x v="1"/>
    <n v="13"/>
    <x v="2"/>
    <n v="3"/>
    <x v="0"/>
    <n v="4"/>
    <x v="1"/>
    <n v="80"/>
    <n v="0"/>
    <n v="10"/>
    <x v="0"/>
    <n v="4"/>
    <x v="1"/>
    <n v="4"/>
    <x v="3"/>
    <n v="8"/>
    <x v="0"/>
    <n v="7"/>
    <x v="1"/>
    <n v="1"/>
    <x v="0"/>
    <n v="7"/>
    <x v="1"/>
  </r>
  <r>
    <n v="1098"/>
    <n v="44"/>
    <x v="0"/>
    <x v="0"/>
    <n v="1"/>
    <x v="0"/>
    <n v="1376"/>
    <x v="0"/>
    <x v="2"/>
    <n v="1"/>
    <x v="0"/>
    <n v="2"/>
    <x v="0"/>
    <x v="2"/>
    <n v="1"/>
    <n v="2"/>
    <x v="0"/>
    <x v="1"/>
    <n v="91"/>
    <x v="0"/>
    <n v="2"/>
    <x v="1"/>
    <n v="3"/>
    <x v="8"/>
    <n v="1"/>
    <x v="3"/>
    <x v="1"/>
    <n v="10482"/>
    <x v="8"/>
    <n v="2326"/>
    <x v="2"/>
    <n v="9"/>
    <x v="0"/>
    <s v="Y"/>
    <x v="1"/>
    <n v="14"/>
    <x v="2"/>
    <n v="3"/>
    <x v="0"/>
    <n v="4"/>
    <x v="1"/>
    <n v="80"/>
    <n v="1"/>
    <n v="24"/>
    <x v="4"/>
    <n v="1"/>
    <x v="0"/>
    <n v="3"/>
    <x v="1"/>
    <n v="20"/>
    <x v="4"/>
    <n v="6"/>
    <x v="1"/>
    <n v="3"/>
    <x v="1"/>
    <n v="6"/>
    <x v="1"/>
  </r>
  <r>
    <n v="1099"/>
    <n v="33"/>
    <x v="2"/>
    <x v="1"/>
    <n v="0"/>
    <x v="0"/>
    <n v="654"/>
    <x v="2"/>
    <x v="1"/>
    <n v="5"/>
    <x v="0"/>
    <n v="3"/>
    <x v="3"/>
    <x v="0"/>
    <n v="1"/>
    <n v="4"/>
    <x v="2"/>
    <x v="1"/>
    <n v="34"/>
    <x v="2"/>
    <n v="2"/>
    <x v="1"/>
    <n v="3"/>
    <x v="4"/>
    <n v="4"/>
    <x v="0"/>
    <x v="2"/>
    <n v="7119"/>
    <x v="11"/>
    <n v="21214"/>
    <x v="0"/>
    <n v="4"/>
    <x v="2"/>
    <s v="Y"/>
    <x v="1"/>
    <n v="15"/>
    <x v="2"/>
    <n v="3"/>
    <x v="0"/>
    <n v="3"/>
    <x v="3"/>
    <n v="80"/>
    <n v="1"/>
    <n v="9"/>
    <x v="0"/>
    <n v="2"/>
    <x v="0"/>
    <n v="3"/>
    <x v="1"/>
    <n v="3"/>
    <x v="2"/>
    <n v="2"/>
    <x v="0"/>
    <n v="1"/>
    <x v="0"/>
    <n v="2"/>
    <x v="0"/>
  </r>
  <r>
    <n v="1100"/>
    <n v="35"/>
    <x v="2"/>
    <x v="0"/>
    <n v="1"/>
    <x v="0"/>
    <n v="1204"/>
    <x v="0"/>
    <x v="0"/>
    <n v="4"/>
    <x v="0"/>
    <n v="3"/>
    <x v="3"/>
    <x v="4"/>
    <n v="1"/>
    <n v="4"/>
    <x v="2"/>
    <x v="1"/>
    <n v="86"/>
    <x v="0"/>
    <n v="3"/>
    <x v="0"/>
    <n v="3"/>
    <x v="0"/>
    <n v="1"/>
    <x v="3"/>
    <x v="0"/>
    <n v="9582"/>
    <x v="4"/>
    <n v="10333"/>
    <x v="3"/>
    <n v="0"/>
    <x v="1"/>
    <s v="Y"/>
    <x v="0"/>
    <n v="22"/>
    <x v="1"/>
    <n v="4"/>
    <x v="1"/>
    <n v="1"/>
    <x v="0"/>
    <n v="80"/>
    <n v="0"/>
    <n v="9"/>
    <x v="0"/>
    <n v="2"/>
    <x v="0"/>
    <n v="3"/>
    <x v="1"/>
    <n v="8"/>
    <x v="0"/>
    <n v="7"/>
    <x v="1"/>
    <n v="4"/>
    <x v="1"/>
    <n v="7"/>
    <x v="1"/>
  </r>
  <r>
    <n v="1101"/>
    <n v="33"/>
    <x v="2"/>
    <x v="0"/>
    <n v="1"/>
    <x v="1"/>
    <n v="827"/>
    <x v="2"/>
    <x v="1"/>
    <n v="29"/>
    <x v="2"/>
    <n v="4"/>
    <x v="2"/>
    <x v="2"/>
    <n v="1"/>
    <n v="1"/>
    <x v="3"/>
    <x v="0"/>
    <n v="54"/>
    <x v="1"/>
    <n v="2"/>
    <x v="1"/>
    <n v="2"/>
    <x v="1"/>
    <n v="3"/>
    <x v="2"/>
    <x v="0"/>
    <n v="4508"/>
    <x v="1"/>
    <n v="3129"/>
    <x v="2"/>
    <n v="1"/>
    <x v="1"/>
    <s v="Y"/>
    <x v="1"/>
    <n v="22"/>
    <x v="1"/>
    <n v="4"/>
    <x v="1"/>
    <n v="2"/>
    <x v="4"/>
    <n v="80"/>
    <n v="0"/>
    <n v="14"/>
    <x v="1"/>
    <n v="4"/>
    <x v="1"/>
    <n v="3"/>
    <x v="1"/>
    <n v="13"/>
    <x v="4"/>
    <n v="7"/>
    <x v="1"/>
    <n v="3"/>
    <x v="1"/>
    <n v="8"/>
    <x v="1"/>
  </r>
  <r>
    <n v="1102"/>
    <n v="28"/>
    <x v="2"/>
    <x v="1"/>
    <n v="0"/>
    <x v="0"/>
    <n v="895"/>
    <x v="2"/>
    <x v="1"/>
    <n v="15"/>
    <x v="3"/>
    <n v="2"/>
    <x v="0"/>
    <x v="0"/>
    <n v="1"/>
    <n v="1"/>
    <x v="3"/>
    <x v="1"/>
    <n v="50"/>
    <x v="2"/>
    <n v="3"/>
    <x v="0"/>
    <n v="1"/>
    <x v="2"/>
    <n v="3"/>
    <x v="2"/>
    <x v="2"/>
    <n v="2207"/>
    <x v="2"/>
    <n v="22482"/>
    <x v="1"/>
    <n v="1"/>
    <x v="1"/>
    <s v="Y"/>
    <x v="1"/>
    <n v="16"/>
    <x v="3"/>
    <n v="3"/>
    <x v="0"/>
    <n v="4"/>
    <x v="1"/>
    <n v="80"/>
    <n v="1"/>
    <n v="4"/>
    <x v="3"/>
    <n v="5"/>
    <x v="2"/>
    <n v="2"/>
    <x v="2"/>
    <n v="4"/>
    <x v="2"/>
    <n v="2"/>
    <x v="0"/>
    <n v="2"/>
    <x v="1"/>
    <n v="2"/>
    <x v="0"/>
  </r>
  <r>
    <n v="1103"/>
    <n v="34"/>
    <x v="2"/>
    <x v="1"/>
    <n v="0"/>
    <x v="1"/>
    <n v="618"/>
    <x v="2"/>
    <x v="1"/>
    <n v="3"/>
    <x v="0"/>
    <n v="1"/>
    <x v="1"/>
    <x v="0"/>
    <n v="1"/>
    <n v="1"/>
    <x v="3"/>
    <x v="1"/>
    <n v="45"/>
    <x v="2"/>
    <n v="3"/>
    <x v="0"/>
    <n v="2"/>
    <x v="4"/>
    <n v="4"/>
    <x v="0"/>
    <x v="0"/>
    <n v="7756"/>
    <x v="11"/>
    <n v="22266"/>
    <x v="1"/>
    <n v="0"/>
    <x v="1"/>
    <s v="Y"/>
    <x v="1"/>
    <n v="17"/>
    <x v="3"/>
    <n v="3"/>
    <x v="0"/>
    <n v="3"/>
    <x v="3"/>
    <n v="80"/>
    <n v="0"/>
    <n v="7"/>
    <x v="0"/>
    <n v="1"/>
    <x v="0"/>
    <n v="2"/>
    <x v="2"/>
    <n v="6"/>
    <x v="0"/>
    <n v="2"/>
    <x v="0"/>
    <n v="0"/>
    <x v="0"/>
    <n v="4"/>
    <x v="0"/>
  </r>
  <r>
    <n v="1105"/>
    <n v="37"/>
    <x v="0"/>
    <x v="1"/>
    <n v="0"/>
    <x v="0"/>
    <n v="309"/>
    <x v="1"/>
    <x v="0"/>
    <n v="10"/>
    <x v="1"/>
    <n v="4"/>
    <x v="2"/>
    <x v="0"/>
    <n v="1"/>
    <n v="4"/>
    <x v="2"/>
    <x v="0"/>
    <n v="88"/>
    <x v="0"/>
    <n v="2"/>
    <x v="1"/>
    <n v="2"/>
    <x v="0"/>
    <n v="4"/>
    <x v="0"/>
    <x v="2"/>
    <n v="6694"/>
    <x v="0"/>
    <n v="24223"/>
    <x v="1"/>
    <n v="2"/>
    <x v="3"/>
    <s v="Y"/>
    <x v="0"/>
    <n v="14"/>
    <x v="2"/>
    <n v="3"/>
    <x v="0"/>
    <n v="3"/>
    <x v="3"/>
    <n v="80"/>
    <n v="3"/>
    <n v="8"/>
    <x v="0"/>
    <n v="5"/>
    <x v="2"/>
    <n v="3"/>
    <x v="1"/>
    <n v="1"/>
    <x v="1"/>
    <n v="0"/>
    <x v="2"/>
    <n v="0"/>
    <x v="0"/>
    <n v="0"/>
    <x v="2"/>
  </r>
  <r>
    <n v="1106"/>
    <n v="25"/>
    <x v="4"/>
    <x v="0"/>
    <n v="1"/>
    <x v="0"/>
    <n v="1219"/>
    <x v="0"/>
    <x v="1"/>
    <n v="4"/>
    <x v="0"/>
    <n v="1"/>
    <x v="1"/>
    <x v="4"/>
    <n v="1"/>
    <n v="4"/>
    <x v="2"/>
    <x v="1"/>
    <n v="32"/>
    <x v="2"/>
    <n v="3"/>
    <x v="0"/>
    <n v="1"/>
    <x v="2"/>
    <n v="4"/>
    <x v="0"/>
    <x v="1"/>
    <n v="3691"/>
    <x v="3"/>
    <n v="4605"/>
    <x v="2"/>
    <n v="1"/>
    <x v="1"/>
    <s v="Y"/>
    <x v="0"/>
    <n v="15"/>
    <x v="2"/>
    <n v="3"/>
    <x v="0"/>
    <n v="2"/>
    <x v="4"/>
    <n v="80"/>
    <n v="1"/>
    <n v="7"/>
    <x v="0"/>
    <n v="3"/>
    <x v="1"/>
    <n v="4"/>
    <x v="3"/>
    <n v="7"/>
    <x v="0"/>
    <n v="7"/>
    <x v="1"/>
    <n v="5"/>
    <x v="1"/>
    <n v="6"/>
    <x v="1"/>
  </r>
  <r>
    <n v="1107"/>
    <n v="26"/>
    <x v="2"/>
    <x v="0"/>
    <n v="1"/>
    <x v="0"/>
    <n v="1330"/>
    <x v="0"/>
    <x v="1"/>
    <n v="21"/>
    <x v="2"/>
    <n v="3"/>
    <x v="3"/>
    <x v="2"/>
    <n v="1"/>
    <n v="1"/>
    <x v="3"/>
    <x v="1"/>
    <n v="37"/>
    <x v="2"/>
    <n v="3"/>
    <x v="0"/>
    <n v="1"/>
    <x v="2"/>
    <n v="3"/>
    <x v="2"/>
    <x v="2"/>
    <n v="2377"/>
    <x v="2"/>
    <n v="19373"/>
    <x v="0"/>
    <n v="1"/>
    <x v="1"/>
    <s v="Y"/>
    <x v="1"/>
    <n v="20"/>
    <x v="1"/>
    <n v="4"/>
    <x v="1"/>
    <n v="3"/>
    <x v="3"/>
    <n v="80"/>
    <n v="1"/>
    <n v="1"/>
    <x v="2"/>
    <n v="0"/>
    <x v="0"/>
    <n v="2"/>
    <x v="2"/>
    <n v="1"/>
    <x v="1"/>
    <n v="1"/>
    <x v="2"/>
    <n v="0"/>
    <x v="0"/>
    <n v="0"/>
    <x v="2"/>
  </r>
  <r>
    <n v="1108"/>
    <n v="33"/>
    <x v="2"/>
    <x v="0"/>
    <n v="1"/>
    <x v="0"/>
    <n v="1017"/>
    <x v="0"/>
    <x v="1"/>
    <n v="25"/>
    <x v="2"/>
    <n v="3"/>
    <x v="3"/>
    <x v="2"/>
    <n v="1"/>
    <n v="1"/>
    <x v="3"/>
    <x v="1"/>
    <n v="55"/>
    <x v="1"/>
    <n v="2"/>
    <x v="1"/>
    <n v="1"/>
    <x v="1"/>
    <n v="2"/>
    <x v="1"/>
    <x v="0"/>
    <n v="2313"/>
    <x v="2"/>
    <n v="2993"/>
    <x v="2"/>
    <n v="4"/>
    <x v="2"/>
    <s v="Y"/>
    <x v="0"/>
    <n v="20"/>
    <x v="1"/>
    <n v="4"/>
    <x v="1"/>
    <n v="2"/>
    <x v="4"/>
    <n v="80"/>
    <n v="0"/>
    <n v="5"/>
    <x v="3"/>
    <n v="0"/>
    <x v="0"/>
    <n v="3"/>
    <x v="1"/>
    <n v="2"/>
    <x v="2"/>
    <n v="2"/>
    <x v="0"/>
    <n v="2"/>
    <x v="1"/>
    <n v="2"/>
    <x v="0"/>
  </r>
  <r>
    <n v="1109"/>
    <n v="42"/>
    <x v="0"/>
    <x v="1"/>
    <n v="0"/>
    <x v="0"/>
    <n v="469"/>
    <x v="1"/>
    <x v="1"/>
    <n v="2"/>
    <x v="0"/>
    <n v="2"/>
    <x v="0"/>
    <x v="2"/>
    <n v="1"/>
    <n v="4"/>
    <x v="2"/>
    <x v="1"/>
    <n v="35"/>
    <x v="2"/>
    <n v="3"/>
    <x v="0"/>
    <n v="4"/>
    <x v="5"/>
    <n v="1"/>
    <x v="3"/>
    <x v="1"/>
    <n v="17665"/>
    <x v="9"/>
    <n v="14399"/>
    <x v="3"/>
    <n v="0"/>
    <x v="1"/>
    <s v="Y"/>
    <x v="1"/>
    <n v="17"/>
    <x v="3"/>
    <n v="3"/>
    <x v="0"/>
    <n v="4"/>
    <x v="1"/>
    <n v="80"/>
    <n v="1"/>
    <n v="23"/>
    <x v="4"/>
    <n v="3"/>
    <x v="1"/>
    <n v="3"/>
    <x v="1"/>
    <n v="22"/>
    <x v="3"/>
    <n v="6"/>
    <x v="1"/>
    <n v="13"/>
    <x v="3"/>
    <n v="7"/>
    <x v="1"/>
  </r>
  <r>
    <n v="1111"/>
    <n v="28"/>
    <x v="2"/>
    <x v="0"/>
    <n v="1"/>
    <x v="1"/>
    <n v="1009"/>
    <x v="0"/>
    <x v="1"/>
    <n v="1"/>
    <x v="0"/>
    <n v="3"/>
    <x v="3"/>
    <x v="2"/>
    <n v="1"/>
    <n v="1"/>
    <x v="3"/>
    <x v="1"/>
    <n v="45"/>
    <x v="2"/>
    <n v="2"/>
    <x v="1"/>
    <n v="1"/>
    <x v="2"/>
    <n v="2"/>
    <x v="1"/>
    <x v="2"/>
    <n v="2596"/>
    <x v="3"/>
    <n v="7160"/>
    <x v="2"/>
    <n v="1"/>
    <x v="1"/>
    <s v="Y"/>
    <x v="1"/>
    <n v="15"/>
    <x v="2"/>
    <n v="3"/>
    <x v="0"/>
    <n v="1"/>
    <x v="0"/>
    <n v="80"/>
    <n v="2"/>
    <n v="1"/>
    <x v="2"/>
    <n v="2"/>
    <x v="0"/>
    <n v="3"/>
    <x v="1"/>
    <n v="1"/>
    <x v="1"/>
    <n v="0"/>
    <x v="2"/>
    <n v="0"/>
    <x v="0"/>
    <n v="0"/>
    <x v="2"/>
  </r>
  <r>
    <n v="1113"/>
    <n v="50"/>
    <x v="1"/>
    <x v="0"/>
    <n v="1"/>
    <x v="1"/>
    <n v="959"/>
    <x v="2"/>
    <x v="0"/>
    <n v="1"/>
    <x v="0"/>
    <n v="4"/>
    <x v="2"/>
    <x v="1"/>
    <n v="1"/>
    <n v="4"/>
    <x v="2"/>
    <x v="1"/>
    <n v="81"/>
    <x v="0"/>
    <n v="3"/>
    <x v="0"/>
    <n v="2"/>
    <x v="0"/>
    <n v="3"/>
    <x v="2"/>
    <x v="0"/>
    <n v="4728"/>
    <x v="1"/>
    <n v="17251"/>
    <x v="0"/>
    <n v="3"/>
    <x v="3"/>
    <s v="Y"/>
    <x v="0"/>
    <n v="14"/>
    <x v="2"/>
    <n v="3"/>
    <x v="0"/>
    <n v="4"/>
    <x v="1"/>
    <n v="80"/>
    <n v="0"/>
    <n v="5"/>
    <x v="3"/>
    <n v="4"/>
    <x v="1"/>
    <n v="3"/>
    <x v="1"/>
    <n v="0"/>
    <x v="1"/>
    <n v="0"/>
    <x v="2"/>
    <n v="0"/>
    <x v="0"/>
    <n v="0"/>
    <x v="2"/>
  </r>
  <r>
    <n v="1114"/>
    <n v="33"/>
    <x v="2"/>
    <x v="1"/>
    <n v="0"/>
    <x v="1"/>
    <n v="970"/>
    <x v="2"/>
    <x v="0"/>
    <n v="7"/>
    <x v="1"/>
    <n v="3"/>
    <x v="3"/>
    <x v="0"/>
    <n v="1"/>
    <n v="4"/>
    <x v="2"/>
    <x v="0"/>
    <n v="30"/>
    <x v="2"/>
    <n v="3"/>
    <x v="0"/>
    <n v="2"/>
    <x v="0"/>
    <n v="2"/>
    <x v="1"/>
    <x v="1"/>
    <n v="4302"/>
    <x v="1"/>
    <n v="13401"/>
    <x v="3"/>
    <n v="0"/>
    <x v="1"/>
    <s v="Y"/>
    <x v="1"/>
    <n v="17"/>
    <x v="3"/>
    <n v="3"/>
    <x v="0"/>
    <n v="3"/>
    <x v="3"/>
    <n v="80"/>
    <n v="1"/>
    <n v="4"/>
    <x v="3"/>
    <n v="3"/>
    <x v="1"/>
    <n v="3"/>
    <x v="1"/>
    <n v="3"/>
    <x v="2"/>
    <n v="2"/>
    <x v="0"/>
    <n v="0"/>
    <x v="0"/>
    <n v="2"/>
    <x v="0"/>
  </r>
  <r>
    <n v="1115"/>
    <n v="34"/>
    <x v="2"/>
    <x v="1"/>
    <n v="0"/>
    <x v="2"/>
    <n v="697"/>
    <x v="2"/>
    <x v="1"/>
    <n v="3"/>
    <x v="0"/>
    <n v="4"/>
    <x v="2"/>
    <x v="0"/>
    <n v="1"/>
    <n v="3"/>
    <x v="1"/>
    <x v="1"/>
    <n v="40"/>
    <x v="2"/>
    <n v="2"/>
    <x v="1"/>
    <n v="1"/>
    <x v="1"/>
    <n v="4"/>
    <x v="0"/>
    <x v="1"/>
    <n v="2979"/>
    <x v="3"/>
    <n v="22478"/>
    <x v="1"/>
    <n v="3"/>
    <x v="3"/>
    <s v="Y"/>
    <x v="1"/>
    <n v="17"/>
    <x v="3"/>
    <n v="3"/>
    <x v="0"/>
    <n v="4"/>
    <x v="1"/>
    <n v="80"/>
    <n v="3"/>
    <n v="6"/>
    <x v="0"/>
    <n v="2"/>
    <x v="0"/>
    <n v="3"/>
    <x v="1"/>
    <n v="0"/>
    <x v="1"/>
    <n v="0"/>
    <x v="2"/>
    <n v="0"/>
    <x v="0"/>
    <n v="0"/>
    <x v="2"/>
  </r>
  <r>
    <n v="1116"/>
    <n v="48"/>
    <x v="1"/>
    <x v="1"/>
    <n v="0"/>
    <x v="2"/>
    <n v="1262"/>
    <x v="0"/>
    <x v="1"/>
    <n v="1"/>
    <x v="0"/>
    <n v="4"/>
    <x v="2"/>
    <x v="2"/>
    <n v="1"/>
    <n v="1"/>
    <x v="3"/>
    <x v="1"/>
    <n v="35"/>
    <x v="2"/>
    <n v="4"/>
    <x v="2"/>
    <n v="4"/>
    <x v="5"/>
    <n v="4"/>
    <x v="0"/>
    <x v="0"/>
    <n v="16885"/>
    <x v="12"/>
    <n v="16154"/>
    <x v="0"/>
    <n v="2"/>
    <x v="3"/>
    <s v="Y"/>
    <x v="1"/>
    <n v="22"/>
    <x v="1"/>
    <n v="4"/>
    <x v="1"/>
    <n v="3"/>
    <x v="3"/>
    <n v="80"/>
    <n v="0"/>
    <n v="27"/>
    <x v="4"/>
    <n v="3"/>
    <x v="1"/>
    <n v="2"/>
    <x v="2"/>
    <n v="5"/>
    <x v="2"/>
    <n v="4"/>
    <x v="0"/>
    <n v="2"/>
    <x v="1"/>
    <n v="1"/>
    <x v="2"/>
  </r>
  <r>
    <n v="1117"/>
    <n v="45"/>
    <x v="0"/>
    <x v="1"/>
    <n v="0"/>
    <x v="2"/>
    <n v="1050"/>
    <x v="0"/>
    <x v="0"/>
    <n v="9"/>
    <x v="1"/>
    <n v="4"/>
    <x v="2"/>
    <x v="0"/>
    <n v="1"/>
    <n v="2"/>
    <x v="0"/>
    <x v="0"/>
    <n v="65"/>
    <x v="1"/>
    <n v="2"/>
    <x v="1"/>
    <n v="2"/>
    <x v="0"/>
    <n v="3"/>
    <x v="2"/>
    <x v="1"/>
    <n v="5593"/>
    <x v="0"/>
    <n v="17970"/>
    <x v="0"/>
    <n v="1"/>
    <x v="1"/>
    <s v="Y"/>
    <x v="1"/>
    <n v="13"/>
    <x v="2"/>
    <n v="3"/>
    <x v="0"/>
    <n v="4"/>
    <x v="1"/>
    <n v="80"/>
    <n v="1"/>
    <n v="15"/>
    <x v="1"/>
    <n v="2"/>
    <x v="0"/>
    <n v="3"/>
    <x v="1"/>
    <n v="15"/>
    <x v="4"/>
    <n v="10"/>
    <x v="1"/>
    <n v="4"/>
    <x v="1"/>
    <n v="12"/>
    <x v="3"/>
  </r>
  <r>
    <n v="1118"/>
    <n v="52"/>
    <x v="1"/>
    <x v="1"/>
    <n v="0"/>
    <x v="0"/>
    <n v="994"/>
    <x v="2"/>
    <x v="1"/>
    <n v="7"/>
    <x v="1"/>
    <n v="4"/>
    <x v="2"/>
    <x v="0"/>
    <n v="1"/>
    <n v="2"/>
    <x v="0"/>
    <x v="1"/>
    <n v="87"/>
    <x v="0"/>
    <n v="3"/>
    <x v="0"/>
    <n v="3"/>
    <x v="4"/>
    <n v="2"/>
    <x v="1"/>
    <x v="0"/>
    <n v="10445"/>
    <x v="8"/>
    <n v="15322"/>
    <x v="3"/>
    <n v="7"/>
    <x v="0"/>
    <s v="Y"/>
    <x v="1"/>
    <n v="19"/>
    <x v="1"/>
    <n v="3"/>
    <x v="0"/>
    <n v="4"/>
    <x v="1"/>
    <n v="80"/>
    <n v="0"/>
    <n v="18"/>
    <x v="1"/>
    <n v="4"/>
    <x v="1"/>
    <n v="3"/>
    <x v="1"/>
    <n v="8"/>
    <x v="0"/>
    <n v="6"/>
    <x v="1"/>
    <n v="4"/>
    <x v="1"/>
    <n v="0"/>
    <x v="2"/>
  </r>
  <r>
    <n v="1119"/>
    <n v="38"/>
    <x v="0"/>
    <x v="1"/>
    <n v="0"/>
    <x v="0"/>
    <n v="770"/>
    <x v="2"/>
    <x v="0"/>
    <n v="10"/>
    <x v="1"/>
    <n v="4"/>
    <x v="2"/>
    <x v="3"/>
    <n v="1"/>
    <n v="3"/>
    <x v="1"/>
    <x v="1"/>
    <n v="73"/>
    <x v="1"/>
    <n v="2"/>
    <x v="1"/>
    <n v="3"/>
    <x v="0"/>
    <n v="3"/>
    <x v="2"/>
    <x v="2"/>
    <n v="8740"/>
    <x v="4"/>
    <n v="5569"/>
    <x v="2"/>
    <n v="0"/>
    <x v="1"/>
    <s v="Y"/>
    <x v="0"/>
    <n v="14"/>
    <x v="2"/>
    <n v="3"/>
    <x v="0"/>
    <n v="2"/>
    <x v="4"/>
    <n v="80"/>
    <n v="2"/>
    <n v="9"/>
    <x v="0"/>
    <n v="2"/>
    <x v="0"/>
    <n v="3"/>
    <x v="1"/>
    <n v="8"/>
    <x v="0"/>
    <n v="7"/>
    <x v="1"/>
    <n v="2"/>
    <x v="1"/>
    <n v="7"/>
    <x v="1"/>
  </r>
  <r>
    <n v="1120"/>
    <n v="29"/>
    <x v="2"/>
    <x v="1"/>
    <n v="0"/>
    <x v="0"/>
    <n v="1107"/>
    <x v="0"/>
    <x v="1"/>
    <n v="28"/>
    <x v="2"/>
    <n v="4"/>
    <x v="2"/>
    <x v="0"/>
    <n v="1"/>
    <n v="3"/>
    <x v="1"/>
    <x v="0"/>
    <n v="93"/>
    <x v="0"/>
    <n v="3"/>
    <x v="0"/>
    <n v="1"/>
    <x v="1"/>
    <n v="4"/>
    <x v="0"/>
    <x v="2"/>
    <n v="2514"/>
    <x v="3"/>
    <n v="26968"/>
    <x v="1"/>
    <n v="4"/>
    <x v="2"/>
    <s v="Y"/>
    <x v="1"/>
    <n v="22"/>
    <x v="1"/>
    <n v="4"/>
    <x v="1"/>
    <n v="1"/>
    <x v="0"/>
    <n v="80"/>
    <n v="1"/>
    <n v="11"/>
    <x v="1"/>
    <n v="1"/>
    <x v="0"/>
    <n v="3"/>
    <x v="1"/>
    <n v="7"/>
    <x v="0"/>
    <n v="5"/>
    <x v="0"/>
    <n v="1"/>
    <x v="0"/>
    <n v="7"/>
    <x v="1"/>
  </r>
  <r>
    <n v="1121"/>
    <n v="28"/>
    <x v="2"/>
    <x v="1"/>
    <n v="0"/>
    <x v="0"/>
    <n v="950"/>
    <x v="2"/>
    <x v="1"/>
    <n v="3"/>
    <x v="0"/>
    <n v="3"/>
    <x v="3"/>
    <x v="2"/>
    <n v="1"/>
    <n v="4"/>
    <x v="2"/>
    <x v="0"/>
    <n v="93"/>
    <x v="0"/>
    <n v="3"/>
    <x v="0"/>
    <n v="3"/>
    <x v="3"/>
    <n v="2"/>
    <x v="1"/>
    <x v="2"/>
    <n v="7655"/>
    <x v="11"/>
    <n v="8039"/>
    <x v="3"/>
    <n v="0"/>
    <x v="1"/>
    <s v="Y"/>
    <x v="1"/>
    <n v="17"/>
    <x v="3"/>
    <n v="3"/>
    <x v="0"/>
    <n v="2"/>
    <x v="4"/>
    <n v="80"/>
    <n v="3"/>
    <n v="10"/>
    <x v="0"/>
    <n v="3"/>
    <x v="1"/>
    <n v="2"/>
    <x v="2"/>
    <n v="9"/>
    <x v="0"/>
    <n v="7"/>
    <x v="1"/>
    <n v="1"/>
    <x v="0"/>
    <n v="7"/>
    <x v="1"/>
  </r>
  <r>
    <n v="1124"/>
    <n v="46"/>
    <x v="1"/>
    <x v="1"/>
    <n v="0"/>
    <x v="0"/>
    <n v="406"/>
    <x v="1"/>
    <x v="0"/>
    <n v="3"/>
    <x v="0"/>
    <n v="1"/>
    <x v="1"/>
    <x v="3"/>
    <n v="1"/>
    <n v="1"/>
    <x v="3"/>
    <x v="1"/>
    <n v="52"/>
    <x v="1"/>
    <n v="3"/>
    <x v="0"/>
    <n v="4"/>
    <x v="5"/>
    <n v="3"/>
    <x v="2"/>
    <x v="1"/>
    <n v="17465"/>
    <x v="12"/>
    <n v="15596"/>
    <x v="3"/>
    <n v="3"/>
    <x v="3"/>
    <s v="Y"/>
    <x v="1"/>
    <n v="12"/>
    <x v="0"/>
    <n v="3"/>
    <x v="0"/>
    <n v="4"/>
    <x v="1"/>
    <n v="80"/>
    <n v="1"/>
    <n v="23"/>
    <x v="4"/>
    <n v="3"/>
    <x v="1"/>
    <n v="3"/>
    <x v="1"/>
    <n v="12"/>
    <x v="4"/>
    <n v="9"/>
    <x v="1"/>
    <n v="4"/>
    <x v="1"/>
    <n v="9"/>
    <x v="1"/>
  </r>
  <r>
    <n v="1125"/>
    <n v="38"/>
    <x v="0"/>
    <x v="1"/>
    <n v="0"/>
    <x v="0"/>
    <n v="130"/>
    <x v="1"/>
    <x v="0"/>
    <n v="2"/>
    <x v="0"/>
    <n v="2"/>
    <x v="0"/>
    <x v="3"/>
    <n v="1"/>
    <n v="4"/>
    <x v="2"/>
    <x v="1"/>
    <n v="32"/>
    <x v="2"/>
    <n v="3"/>
    <x v="0"/>
    <n v="3"/>
    <x v="0"/>
    <n v="2"/>
    <x v="1"/>
    <x v="0"/>
    <n v="7351"/>
    <x v="11"/>
    <n v="20619"/>
    <x v="0"/>
    <n v="7"/>
    <x v="0"/>
    <s v="Y"/>
    <x v="1"/>
    <n v="16"/>
    <x v="3"/>
    <n v="3"/>
    <x v="0"/>
    <n v="3"/>
    <x v="3"/>
    <n v="80"/>
    <n v="0"/>
    <n v="10"/>
    <x v="0"/>
    <n v="2"/>
    <x v="0"/>
    <n v="3"/>
    <x v="1"/>
    <n v="1"/>
    <x v="1"/>
    <n v="0"/>
    <x v="2"/>
    <n v="0"/>
    <x v="0"/>
    <n v="0"/>
    <x v="2"/>
  </r>
  <r>
    <n v="1126"/>
    <n v="43"/>
    <x v="0"/>
    <x v="1"/>
    <n v="0"/>
    <x v="1"/>
    <n v="1082"/>
    <x v="0"/>
    <x v="1"/>
    <n v="27"/>
    <x v="2"/>
    <n v="3"/>
    <x v="3"/>
    <x v="0"/>
    <n v="1"/>
    <n v="3"/>
    <x v="1"/>
    <x v="0"/>
    <n v="83"/>
    <x v="0"/>
    <n v="3"/>
    <x v="0"/>
    <n v="3"/>
    <x v="3"/>
    <n v="1"/>
    <x v="3"/>
    <x v="1"/>
    <n v="10820"/>
    <x v="8"/>
    <n v="11535"/>
    <x v="3"/>
    <n v="8"/>
    <x v="0"/>
    <s v="Y"/>
    <x v="1"/>
    <n v="11"/>
    <x v="0"/>
    <n v="3"/>
    <x v="0"/>
    <n v="3"/>
    <x v="3"/>
    <n v="80"/>
    <n v="1"/>
    <n v="18"/>
    <x v="1"/>
    <n v="1"/>
    <x v="0"/>
    <n v="3"/>
    <x v="1"/>
    <n v="8"/>
    <x v="0"/>
    <n v="7"/>
    <x v="1"/>
    <n v="0"/>
    <x v="0"/>
    <n v="1"/>
    <x v="2"/>
  </r>
  <r>
    <n v="1127"/>
    <n v="39"/>
    <x v="0"/>
    <x v="0"/>
    <n v="1"/>
    <x v="1"/>
    <n v="203"/>
    <x v="1"/>
    <x v="1"/>
    <n v="2"/>
    <x v="0"/>
    <n v="3"/>
    <x v="3"/>
    <x v="0"/>
    <n v="1"/>
    <n v="1"/>
    <x v="3"/>
    <x v="1"/>
    <n v="84"/>
    <x v="0"/>
    <n v="3"/>
    <x v="0"/>
    <n v="4"/>
    <x v="4"/>
    <n v="4"/>
    <x v="0"/>
    <x v="2"/>
    <n v="12169"/>
    <x v="6"/>
    <n v="13547"/>
    <x v="3"/>
    <n v="7"/>
    <x v="0"/>
    <s v="Y"/>
    <x v="1"/>
    <n v="11"/>
    <x v="0"/>
    <n v="3"/>
    <x v="0"/>
    <n v="4"/>
    <x v="1"/>
    <n v="80"/>
    <n v="3"/>
    <n v="21"/>
    <x v="4"/>
    <n v="4"/>
    <x v="1"/>
    <n v="3"/>
    <x v="1"/>
    <n v="18"/>
    <x v="4"/>
    <n v="7"/>
    <x v="1"/>
    <n v="11"/>
    <x v="3"/>
    <n v="5"/>
    <x v="0"/>
  </r>
  <r>
    <n v="1128"/>
    <n v="40"/>
    <x v="0"/>
    <x v="1"/>
    <n v="0"/>
    <x v="0"/>
    <n v="1308"/>
    <x v="0"/>
    <x v="1"/>
    <n v="14"/>
    <x v="3"/>
    <n v="3"/>
    <x v="3"/>
    <x v="2"/>
    <n v="1"/>
    <n v="3"/>
    <x v="1"/>
    <x v="1"/>
    <n v="44"/>
    <x v="2"/>
    <n v="2"/>
    <x v="1"/>
    <n v="5"/>
    <x v="7"/>
    <n v="3"/>
    <x v="2"/>
    <x v="0"/>
    <n v="19626"/>
    <x v="7"/>
    <n v="17544"/>
    <x v="0"/>
    <n v="1"/>
    <x v="1"/>
    <s v="Y"/>
    <x v="1"/>
    <n v="14"/>
    <x v="2"/>
    <n v="3"/>
    <x v="0"/>
    <n v="1"/>
    <x v="0"/>
    <n v="80"/>
    <n v="0"/>
    <n v="21"/>
    <x v="4"/>
    <n v="2"/>
    <x v="0"/>
    <n v="4"/>
    <x v="3"/>
    <n v="20"/>
    <x v="4"/>
    <n v="7"/>
    <x v="1"/>
    <n v="4"/>
    <x v="1"/>
    <n v="9"/>
    <x v="1"/>
  </r>
  <r>
    <n v="1131"/>
    <n v="21"/>
    <x v="4"/>
    <x v="1"/>
    <n v="0"/>
    <x v="0"/>
    <n v="984"/>
    <x v="2"/>
    <x v="1"/>
    <n v="1"/>
    <x v="0"/>
    <n v="1"/>
    <x v="1"/>
    <x v="4"/>
    <n v="1"/>
    <n v="4"/>
    <x v="2"/>
    <x v="0"/>
    <n v="70"/>
    <x v="1"/>
    <n v="2"/>
    <x v="1"/>
    <n v="1"/>
    <x v="1"/>
    <n v="2"/>
    <x v="1"/>
    <x v="0"/>
    <n v="2070"/>
    <x v="2"/>
    <n v="25326"/>
    <x v="1"/>
    <n v="1"/>
    <x v="1"/>
    <s v="Y"/>
    <x v="0"/>
    <n v="11"/>
    <x v="0"/>
    <n v="3"/>
    <x v="0"/>
    <n v="3"/>
    <x v="3"/>
    <n v="80"/>
    <n v="0"/>
    <n v="2"/>
    <x v="2"/>
    <n v="6"/>
    <x v="2"/>
    <n v="4"/>
    <x v="3"/>
    <n v="2"/>
    <x v="2"/>
    <n v="2"/>
    <x v="0"/>
    <n v="2"/>
    <x v="1"/>
    <n v="2"/>
    <x v="0"/>
  </r>
  <r>
    <n v="1132"/>
    <n v="39"/>
    <x v="0"/>
    <x v="1"/>
    <n v="0"/>
    <x v="2"/>
    <n v="439"/>
    <x v="1"/>
    <x v="1"/>
    <n v="9"/>
    <x v="1"/>
    <n v="3"/>
    <x v="3"/>
    <x v="0"/>
    <n v="1"/>
    <n v="3"/>
    <x v="1"/>
    <x v="1"/>
    <n v="70"/>
    <x v="1"/>
    <n v="3"/>
    <x v="0"/>
    <n v="2"/>
    <x v="2"/>
    <n v="2"/>
    <x v="1"/>
    <x v="0"/>
    <n v="6782"/>
    <x v="0"/>
    <n v="8770"/>
    <x v="3"/>
    <n v="9"/>
    <x v="0"/>
    <s v="Y"/>
    <x v="1"/>
    <n v="15"/>
    <x v="2"/>
    <n v="3"/>
    <x v="0"/>
    <n v="3"/>
    <x v="3"/>
    <n v="80"/>
    <n v="0"/>
    <n v="9"/>
    <x v="0"/>
    <n v="2"/>
    <x v="0"/>
    <n v="2"/>
    <x v="2"/>
    <n v="5"/>
    <x v="2"/>
    <n v="4"/>
    <x v="0"/>
    <n v="0"/>
    <x v="0"/>
    <n v="3"/>
    <x v="0"/>
  </r>
  <r>
    <n v="1133"/>
    <n v="36"/>
    <x v="0"/>
    <x v="1"/>
    <n v="0"/>
    <x v="2"/>
    <n v="217"/>
    <x v="1"/>
    <x v="1"/>
    <n v="18"/>
    <x v="3"/>
    <n v="4"/>
    <x v="2"/>
    <x v="0"/>
    <n v="1"/>
    <n v="1"/>
    <x v="3"/>
    <x v="1"/>
    <n v="78"/>
    <x v="0"/>
    <n v="3"/>
    <x v="0"/>
    <n v="2"/>
    <x v="3"/>
    <n v="4"/>
    <x v="0"/>
    <x v="0"/>
    <n v="7779"/>
    <x v="11"/>
    <n v="23238"/>
    <x v="1"/>
    <n v="2"/>
    <x v="3"/>
    <s v="Y"/>
    <x v="1"/>
    <n v="20"/>
    <x v="1"/>
    <n v="4"/>
    <x v="1"/>
    <n v="1"/>
    <x v="0"/>
    <n v="80"/>
    <n v="0"/>
    <n v="18"/>
    <x v="1"/>
    <n v="0"/>
    <x v="0"/>
    <n v="3"/>
    <x v="1"/>
    <n v="11"/>
    <x v="4"/>
    <n v="9"/>
    <x v="1"/>
    <n v="0"/>
    <x v="0"/>
    <n v="9"/>
    <x v="1"/>
  </r>
  <r>
    <n v="1135"/>
    <n v="31"/>
    <x v="2"/>
    <x v="1"/>
    <n v="0"/>
    <x v="1"/>
    <n v="793"/>
    <x v="2"/>
    <x v="0"/>
    <n v="20"/>
    <x v="3"/>
    <n v="3"/>
    <x v="3"/>
    <x v="0"/>
    <n v="1"/>
    <n v="3"/>
    <x v="1"/>
    <x v="1"/>
    <n v="67"/>
    <x v="1"/>
    <n v="4"/>
    <x v="2"/>
    <n v="1"/>
    <x v="6"/>
    <n v="4"/>
    <x v="0"/>
    <x v="1"/>
    <n v="2791"/>
    <x v="3"/>
    <n v="21981"/>
    <x v="0"/>
    <n v="0"/>
    <x v="1"/>
    <s v="Y"/>
    <x v="1"/>
    <n v="12"/>
    <x v="0"/>
    <n v="3"/>
    <x v="0"/>
    <n v="1"/>
    <x v="0"/>
    <n v="80"/>
    <n v="1"/>
    <n v="3"/>
    <x v="3"/>
    <n v="4"/>
    <x v="1"/>
    <n v="3"/>
    <x v="1"/>
    <n v="2"/>
    <x v="2"/>
    <n v="2"/>
    <x v="0"/>
    <n v="2"/>
    <x v="1"/>
    <n v="2"/>
    <x v="0"/>
  </r>
  <r>
    <n v="1136"/>
    <n v="28"/>
    <x v="2"/>
    <x v="1"/>
    <n v="0"/>
    <x v="0"/>
    <n v="1451"/>
    <x v="0"/>
    <x v="1"/>
    <n v="2"/>
    <x v="0"/>
    <n v="1"/>
    <x v="1"/>
    <x v="0"/>
    <n v="1"/>
    <n v="1"/>
    <x v="3"/>
    <x v="1"/>
    <n v="67"/>
    <x v="1"/>
    <n v="2"/>
    <x v="1"/>
    <n v="1"/>
    <x v="1"/>
    <n v="2"/>
    <x v="1"/>
    <x v="1"/>
    <n v="3201"/>
    <x v="3"/>
    <n v="19911"/>
    <x v="0"/>
    <n v="0"/>
    <x v="1"/>
    <s v="Y"/>
    <x v="1"/>
    <n v="17"/>
    <x v="3"/>
    <n v="3"/>
    <x v="0"/>
    <n v="1"/>
    <x v="0"/>
    <n v="80"/>
    <n v="0"/>
    <n v="6"/>
    <x v="0"/>
    <n v="2"/>
    <x v="0"/>
    <n v="1"/>
    <x v="0"/>
    <n v="5"/>
    <x v="2"/>
    <n v="3"/>
    <x v="0"/>
    <n v="0"/>
    <x v="0"/>
    <n v="4"/>
    <x v="0"/>
  </r>
  <r>
    <n v="1137"/>
    <n v="35"/>
    <x v="2"/>
    <x v="1"/>
    <n v="0"/>
    <x v="1"/>
    <n v="1182"/>
    <x v="0"/>
    <x v="0"/>
    <n v="11"/>
    <x v="3"/>
    <n v="2"/>
    <x v="0"/>
    <x v="3"/>
    <n v="1"/>
    <n v="4"/>
    <x v="2"/>
    <x v="1"/>
    <n v="54"/>
    <x v="1"/>
    <n v="3"/>
    <x v="0"/>
    <n v="2"/>
    <x v="0"/>
    <n v="4"/>
    <x v="0"/>
    <x v="2"/>
    <n v="4968"/>
    <x v="1"/>
    <n v="18500"/>
    <x v="0"/>
    <n v="1"/>
    <x v="1"/>
    <s v="Y"/>
    <x v="1"/>
    <n v="11"/>
    <x v="0"/>
    <n v="3"/>
    <x v="0"/>
    <n v="4"/>
    <x v="1"/>
    <n v="80"/>
    <n v="1"/>
    <n v="5"/>
    <x v="3"/>
    <n v="3"/>
    <x v="1"/>
    <n v="3"/>
    <x v="1"/>
    <n v="5"/>
    <x v="2"/>
    <n v="2"/>
    <x v="0"/>
    <n v="0"/>
    <x v="0"/>
    <n v="2"/>
    <x v="0"/>
  </r>
  <r>
    <n v="1138"/>
    <n v="49"/>
    <x v="1"/>
    <x v="1"/>
    <n v="0"/>
    <x v="0"/>
    <n v="174"/>
    <x v="1"/>
    <x v="0"/>
    <n v="8"/>
    <x v="1"/>
    <n v="4"/>
    <x v="2"/>
    <x v="4"/>
    <n v="1"/>
    <n v="4"/>
    <x v="2"/>
    <x v="1"/>
    <n v="56"/>
    <x v="1"/>
    <n v="2"/>
    <x v="1"/>
    <n v="4"/>
    <x v="0"/>
    <n v="2"/>
    <x v="1"/>
    <x v="1"/>
    <n v="13120"/>
    <x v="10"/>
    <n v="11879"/>
    <x v="3"/>
    <n v="6"/>
    <x v="2"/>
    <s v="Y"/>
    <x v="1"/>
    <n v="17"/>
    <x v="3"/>
    <n v="3"/>
    <x v="0"/>
    <n v="2"/>
    <x v="4"/>
    <n v="80"/>
    <n v="1"/>
    <n v="22"/>
    <x v="4"/>
    <n v="3"/>
    <x v="1"/>
    <n v="3"/>
    <x v="1"/>
    <n v="9"/>
    <x v="0"/>
    <n v="8"/>
    <x v="1"/>
    <n v="2"/>
    <x v="1"/>
    <n v="3"/>
    <x v="0"/>
  </r>
  <r>
    <n v="1140"/>
    <n v="34"/>
    <x v="2"/>
    <x v="1"/>
    <n v="0"/>
    <x v="1"/>
    <n v="1003"/>
    <x v="0"/>
    <x v="1"/>
    <n v="2"/>
    <x v="0"/>
    <n v="2"/>
    <x v="0"/>
    <x v="0"/>
    <n v="1"/>
    <n v="4"/>
    <x v="2"/>
    <x v="1"/>
    <n v="95"/>
    <x v="0"/>
    <n v="3"/>
    <x v="0"/>
    <n v="2"/>
    <x v="3"/>
    <n v="3"/>
    <x v="2"/>
    <x v="0"/>
    <n v="4033"/>
    <x v="1"/>
    <n v="15834"/>
    <x v="3"/>
    <n v="2"/>
    <x v="3"/>
    <s v="Y"/>
    <x v="1"/>
    <n v="11"/>
    <x v="0"/>
    <n v="3"/>
    <x v="0"/>
    <n v="4"/>
    <x v="1"/>
    <n v="80"/>
    <n v="0"/>
    <n v="5"/>
    <x v="3"/>
    <n v="3"/>
    <x v="1"/>
    <n v="2"/>
    <x v="2"/>
    <n v="3"/>
    <x v="2"/>
    <n v="2"/>
    <x v="0"/>
    <n v="0"/>
    <x v="0"/>
    <n v="2"/>
    <x v="0"/>
  </r>
  <r>
    <n v="1143"/>
    <n v="29"/>
    <x v="2"/>
    <x v="1"/>
    <n v="0"/>
    <x v="1"/>
    <n v="490"/>
    <x v="1"/>
    <x v="1"/>
    <n v="10"/>
    <x v="1"/>
    <n v="3"/>
    <x v="3"/>
    <x v="0"/>
    <n v="1"/>
    <n v="4"/>
    <x v="2"/>
    <x v="0"/>
    <n v="61"/>
    <x v="1"/>
    <n v="3"/>
    <x v="0"/>
    <n v="1"/>
    <x v="1"/>
    <n v="2"/>
    <x v="1"/>
    <x v="2"/>
    <n v="3291"/>
    <x v="3"/>
    <n v="17940"/>
    <x v="0"/>
    <n v="0"/>
    <x v="1"/>
    <s v="Y"/>
    <x v="1"/>
    <n v="14"/>
    <x v="2"/>
    <n v="3"/>
    <x v="0"/>
    <n v="4"/>
    <x v="1"/>
    <n v="80"/>
    <n v="2"/>
    <n v="8"/>
    <x v="0"/>
    <n v="2"/>
    <x v="0"/>
    <n v="2"/>
    <x v="2"/>
    <n v="7"/>
    <x v="0"/>
    <n v="5"/>
    <x v="0"/>
    <n v="1"/>
    <x v="0"/>
    <n v="1"/>
    <x v="2"/>
  </r>
  <r>
    <n v="1148"/>
    <n v="42"/>
    <x v="0"/>
    <x v="1"/>
    <n v="0"/>
    <x v="0"/>
    <n v="188"/>
    <x v="1"/>
    <x v="1"/>
    <n v="29"/>
    <x v="2"/>
    <n v="3"/>
    <x v="3"/>
    <x v="2"/>
    <n v="1"/>
    <n v="2"/>
    <x v="0"/>
    <x v="1"/>
    <n v="56"/>
    <x v="1"/>
    <n v="1"/>
    <x v="3"/>
    <n v="2"/>
    <x v="2"/>
    <n v="4"/>
    <x v="0"/>
    <x v="0"/>
    <n v="4272"/>
    <x v="1"/>
    <n v="9558"/>
    <x v="3"/>
    <n v="4"/>
    <x v="2"/>
    <s v="Y"/>
    <x v="1"/>
    <n v="19"/>
    <x v="1"/>
    <n v="3"/>
    <x v="0"/>
    <n v="1"/>
    <x v="0"/>
    <n v="80"/>
    <n v="0"/>
    <n v="16"/>
    <x v="1"/>
    <n v="3"/>
    <x v="1"/>
    <n v="3"/>
    <x v="1"/>
    <n v="1"/>
    <x v="1"/>
    <n v="0"/>
    <x v="2"/>
    <n v="0"/>
    <x v="0"/>
    <n v="0"/>
    <x v="2"/>
  </r>
  <r>
    <n v="1150"/>
    <n v="29"/>
    <x v="2"/>
    <x v="1"/>
    <n v="0"/>
    <x v="0"/>
    <n v="718"/>
    <x v="2"/>
    <x v="1"/>
    <n v="8"/>
    <x v="1"/>
    <n v="1"/>
    <x v="1"/>
    <x v="2"/>
    <n v="1"/>
    <n v="2"/>
    <x v="0"/>
    <x v="1"/>
    <n v="79"/>
    <x v="0"/>
    <n v="2"/>
    <x v="1"/>
    <n v="2"/>
    <x v="3"/>
    <n v="4"/>
    <x v="0"/>
    <x v="1"/>
    <n v="5056"/>
    <x v="1"/>
    <n v="17689"/>
    <x v="0"/>
    <n v="1"/>
    <x v="1"/>
    <s v="Y"/>
    <x v="0"/>
    <n v="15"/>
    <x v="2"/>
    <n v="3"/>
    <x v="0"/>
    <n v="3"/>
    <x v="3"/>
    <n v="80"/>
    <n v="1"/>
    <n v="10"/>
    <x v="0"/>
    <n v="2"/>
    <x v="0"/>
    <n v="2"/>
    <x v="2"/>
    <n v="10"/>
    <x v="0"/>
    <n v="7"/>
    <x v="1"/>
    <n v="1"/>
    <x v="0"/>
    <n v="2"/>
    <x v="0"/>
  </r>
  <r>
    <n v="1152"/>
    <n v="38"/>
    <x v="0"/>
    <x v="1"/>
    <n v="0"/>
    <x v="0"/>
    <n v="433"/>
    <x v="1"/>
    <x v="2"/>
    <n v="1"/>
    <x v="0"/>
    <n v="3"/>
    <x v="3"/>
    <x v="5"/>
    <n v="1"/>
    <n v="3"/>
    <x v="1"/>
    <x v="1"/>
    <n v="37"/>
    <x v="2"/>
    <n v="4"/>
    <x v="2"/>
    <n v="1"/>
    <x v="8"/>
    <n v="3"/>
    <x v="2"/>
    <x v="1"/>
    <n v="2844"/>
    <x v="3"/>
    <n v="6004"/>
    <x v="2"/>
    <n v="1"/>
    <x v="1"/>
    <s v="Y"/>
    <x v="1"/>
    <n v="13"/>
    <x v="2"/>
    <n v="3"/>
    <x v="0"/>
    <n v="4"/>
    <x v="1"/>
    <n v="80"/>
    <n v="1"/>
    <n v="7"/>
    <x v="0"/>
    <n v="2"/>
    <x v="0"/>
    <n v="4"/>
    <x v="3"/>
    <n v="7"/>
    <x v="0"/>
    <n v="6"/>
    <x v="1"/>
    <n v="5"/>
    <x v="1"/>
    <n v="0"/>
    <x v="2"/>
  </r>
  <r>
    <n v="1154"/>
    <n v="28"/>
    <x v="2"/>
    <x v="1"/>
    <n v="0"/>
    <x v="1"/>
    <n v="773"/>
    <x v="2"/>
    <x v="1"/>
    <n v="6"/>
    <x v="1"/>
    <n v="3"/>
    <x v="3"/>
    <x v="0"/>
    <n v="1"/>
    <n v="3"/>
    <x v="1"/>
    <x v="1"/>
    <n v="39"/>
    <x v="2"/>
    <n v="2"/>
    <x v="1"/>
    <n v="1"/>
    <x v="1"/>
    <n v="3"/>
    <x v="2"/>
    <x v="2"/>
    <n v="2703"/>
    <x v="3"/>
    <n v="22088"/>
    <x v="1"/>
    <n v="1"/>
    <x v="1"/>
    <s v="Y"/>
    <x v="0"/>
    <n v="14"/>
    <x v="2"/>
    <n v="3"/>
    <x v="0"/>
    <n v="4"/>
    <x v="1"/>
    <n v="80"/>
    <n v="1"/>
    <n v="3"/>
    <x v="3"/>
    <n v="2"/>
    <x v="0"/>
    <n v="3"/>
    <x v="1"/>
    <n v="3"/>
    <x v="2"/>
    <n v="1"/>
    <x v="2"/>
    <n v="0"/>
    <x v="0"/>
    <n v="2"/>
    <x v="0"/>
  </r>
  <r>
    <n v="1156"/>
    <n v="18"/>
    <x v="4"/>
    <x v="0"/>
    <n v="1"/>
    <x v="2"/>
    <n v="247"/>
    <x v="1"/>
    <x v="1"/>
    <n v="8"/>
    <x v="1"/>
    <n v="1"/>
    <x v="1"/>
    <x v="2"/>
    <n v="1"/>
    <n v="3"/>
    <x v="1"/>
    <x v="1"/>
    <n v="80"/>
    <x v="0"/>
    <n v="3"/>
    <x v="0"/>
    <n v="1"/>
    <x v="2"/>
    <n v="3"/>
    <x v="2"/>
    <x v="0"/>
    <n v="1904"/>
    <x v="2"/>
    <n v="13556"/>
    <x v="3"/>
    <n v="1"/>
    <x v="1"/>
    <s v="Y"/>
    <x v="1"/>
    <n v="12"/>
    <x v="0"/>
    <n v="3"/>
    <x v="0"/>
    <n v="4"/>
    <x v="1"/>
    <n v="80"/>
    <n v="0"/>
    <n v="0"/>
    <x v="2"/>
    <n v="0"/>
    <x v="0"/>
    <n v="3"/>
    <x v="1"/>
    <n v="0"/>
    <x v="1"/>
    <n v="0"/>
    <x v="2"/>
    <n v="0"/>
    <x v="0"/>
    <n v="0"/>
    <x v="2"/>
  </r>
  <r>
    <n v="1157"/>
    <n v="33"/>
    <x v="2"/>
    <x v="0"/>
    <n v="1"/>
    <x v="0"/>
    <n v="603"/>
    <x v="2"/>
    <x v="0"/>
    <n v="9"/>
    <x v="1"/>
    <n v="4"/>
    <x v="2"/>
    <x v="3"/>
    <n v="1"/>
    <n v="1"/>
    <x v="3"/>
    <x v="0"/>
    <n v="77"/>
    <x v="0"/>
    <n v="3"/>
    <x v="0"/>
    <n v="2"/>
    <x v="0"/>
    <n v="1"/>
    <x v="3"/>
    <x v="0"/>
    <n v="8224"/>
    <x v="11"/>
    <n v="18385"/>
    <x v="0"/>
    <n v="0"/>
    <x v="1"/>
    <s v="Y"/>
    <x v="0"/>
    <n v="17"/>
    <x v="3"/>
    <n v="3"/>
    <x v="0"/>
    <n v="1"/>
    <x v="0"/>
    <n v="80"/>
    <n v="0"/>
    <n v="6"/>
    <x v="0"/>
    <n v="3"/>
    <x v="1"/>
    <n v="3"/>
    <x v="1"/>
    <n v="5"/>
    <x v="2"/>
    <n v="2"/>
    <x v="0"/>
    <n v="0"/>
    <x v="0"/>
    <n v="3"/>
    <x v="0"/>
  </r>
  <r>
    <n v="1158"/>
    <n v="41"/>
    <x v="0"/>
    <x v="1"/>
    <n v="0"/>
    <x v="0"/>
    <n v="167"/>
    <x v="1"/>
    <x v="1"/>
    <n v="12"/>
    <x v="3"/>
    <n v="4"/>
    <x v="2"/>
    <x v="0"/>
    <n v="1"/>
    <n v="2"/>
    <x v="0"/>
    <x v="1"/>
    <n v="46"/>
    <x v="2"/>
    <n v="3"/>
    <x v="0"/>
    <n v="1"/>
    <x v="2"/>
    <n v="4"/>
    <x v="0"/>
    <x v="1"/>
    <n v="4766"/>
    <x v="1"/>
    <n v="9051"/>
    <x v="3"/>
    <n v="3"/>
    <x v="3"/>
    <s v="Y"/>
    <x v="0"/>
    <n v="11"/>
    <x v="0"/>
    <n v="3"/>
    <x v="0"/>
    <n v="1"/>
    <x v="0"/>
    <n v="80"/>
    <n v="1"/>
    <n v="6"/>
    <x v="0"/>
    <n v="4"/>
    <x v="1"/>
    <n v="3"/>
    <x v="1"/>
    <n v="1"/>
    <x v="1"/>
    <n v="0"/>
    <x v="2"/>
    <n v="0"/>
    <x v="0"/>
    <n v="0"/>
    <x v="2"/>
  </r>
  <r>
    <n v="1160"/>
    <n v="31"/>
    <x v="2"/>
    <x v="0"/>
    <n v="1"/>
    <x v="1"/>
    <n v="874"/>
    <x v="2"/>
    <x v="1"/>
    <n v="15"/>
    <x v="3"/>
    <n v="3"/>
    <x v="3"/>
    <x v="2"/>
    <n v="1"/>
    <n v="3"/>
    <x v="1"/>
    <x v="1"/>
    <n v="72"/>
    <x v="1"/>
    <n v="3"/>
    <x v="0"/>
    <n v="1"/>
    <x v="2"/>
    <n v="3"/>
    <x v="2"/>
    <x v="1"/>
    <n v="2610"/>
    <x v="3"/>
    <n v="6233"/>
    <x v="2"/>
    <n v="1"/>
    <x v="1"/>
    <s v="Y"/>
    <x v="1"/>
    <n v="12"/>
    <x v="0"/>
    <n v="3"/>
    <x v="0"/>
    <n v="3"/>
    <x v="3"/>
    <n v="80"/>
    <n v="1"/>
    <n v="2"/>
    <x v="2"/>
    <n v="5"/>
    <x v="2"/>
    <n v="2"/>
    <x v="2"/>
    <n v="2"/>
    <x v="2"/>
    <n v="2"/>
    <x v="0"/>
    <n v="2"/>
    <x v="1"/>
    <n v="2"/>
    <x v="0"/>
  </r>
  <r>
    <n v="1161"/>
    <n v="37"/>
    <x v="0"/>
    <x v="1"/>
    <n v="0"/>
    <x v="0"/>
    <n v="367"/>
    <x v="1"/>
    <x v="1"/>
    <n v="25"/>
    <x v="2"/>
    <n v="2"/>
    <x v="0"/>
    <x v="2"/>
    <n v="1"/>
    <n v="3"/>
    <x v="1"/>
    <x v="0"/>
    <n v="52"/>
    <x v="1"/>
    <n v="2"/>
    <x v="1"/>
    <n v="2"/>
    <x v="4"/>
    <n v="4"/>
    <x v="0"/>
    <x v="2"/>
    <n v="5731"/>
    <x v="0"/>
    <n v="17171"/>
    <x v="0"/>
    <n v="7"/>
    <x v="0"/>
    <s v="Y"/>
    <x v="1"/>
    <n v="13"/>
    <x v="2"/>
    <n v="3"/>
    <x v="0"/>
    <n v="3"/>
    <x v="3"/>
    <n v="80"/>
    <n v="2"/>
    <n v="9"/>
    <x v="0"/>
    <n v="2"/>
    <x v="0"/>
    <n v="3"/>
    <x v="1"/>
    <n v="6"/>
    <x v="0"/>
    <n v="2"/>
    <x v="0"/>
    <n v="1"/>
    <x v="0"/>
    <n v="3"/>
    <x v="0"/>
  </r>
  <r>
    <n v="1162"/>
    <n v="27"/>
    <x v="2"/>
    <x v="1"/>
    <n v="0"/>
    <x v="0"/>
    <n v="199"/>
    <x v="1"/>
    <x v="1"/>
    <n v="6"/>
    <x v="1"/>
    <n v="3"/>
    <x v="3"/>
    <x v="0"/>
    <n v="1"/>
    <n v="4"/>
    <x v="2"/>
    <x v="1"/>
    <n v="55"/>
    <x v="1"/>
    <n v="2"/>
    <x v="1"/>
    <n v="1"/>
    <x v="1"/>
    <n v="3"/>
    <x v="2"/>
    <x v="1"/>
    <n v="2539"/>
    <x v="3"/>
    <n v="7950"/>
    <x v="2"/>
    <n v="1"/>
    <x v="1"/>
    <s v="Y"/>
    <x v="1"/>
    <n v="13"/>
    <x v="2"/>
    <n v="3"/>
    <x v="0"/>
    <n v="3"/>
    <x v="3"/>
    <n v="80"/>
    <n v="1"/>
    <n v="4"/>
    <x v="3"/>
    <n v="0"/>
    <x v="0"/>
    <n v="3"/>
    <x v="1"/>
    <n v="4"/>
    <x v="2"/>
    <n v="2"/>
    <x v="0"/>
    <n v="2"/>
    <x v="1"/>
    <n v="2"/>
    <x v="0"/>
  </r>
  <r>
    <n v="1163"/>
    <n v="34"/>
    <x v="2"/>
    <x v="1"/>
    <n v="0"/>
    <x v="0"/>
    <n v="1400"/>
    <x v="0"/>
    <x v="0"/>
    <n v="9"/>
    <x v="1"/>
    <n v="1"/>
    <x v="1"/>
    <x v="0"/>
    <n v="1"/>
    <n v="2"/>
    <x v="0"/>
    <x v="0"/>
    <n v="70"/>
    <x v="1"/>
    <n v="3"/>
    <x v="0"/>
    <n v="2"/>
    <x v="0"/>
    <n v="3"/>
    <x v="2"/>
    <x v="1"/>
    <n v="5714"/>
    <x v="0"/>
    <n v="5829"/>
    <x v="2"/>
    <n v="1"/>
    <x v="1"/>
    <s v="Y"/>
    <x v="1"/>
    <n v="20"/>
    <x v="1"/>
    <n v="4"/>
    <x v="1"/>
    <n v="1"/>
    <x v="0"/>
    <n v="80"/>
    <n v="0"/>
    <n v="6"/>
    <x v="0"/>
    <n v="3"/>
    <x v="1"/>
    <n v="2"/>
    <x v="2"/>
    <n v="6"/>
    <x v="0"/>
    <n v="5"/>
    <x v="0"/>
    <n v="1"/>
    <x v="0"/>
    <n v="3"/>
    <x v="0"/>
  </r>
  <r>
    <n v="1164"/>
    <n v="35"/>
    <x v="2"/>
    <x v="1"/>
    <n v="0"/>
    <x v="0"/>
    <n v="528"/>
    <x v="2"/>
    <x v="2"/>
    <n v="8"/>
    <x v="1"/>
    <n v="4"/>
    <x v="2"/>
    <x v="4"/>
    <n v="1"/>
    <n v="3"/>
    <x v="1"/>
    <x v="1"/>
    <n v="100"/>
    <x v="0"/>
    <n v="3"/>
    <x v="0"/>
    <n v="1"/>
    <x v="8"/>
    <n v="3"/>
    <x v="2"/>
    <x v="0"/>
    <n v="4323"/>
    <x v="1"/>
    <n v="7108"/>
    <x v="2"/>
    <n v="1"/>
    <x v="1"/>
    <s v="Y"/>
    <x v="1"/>
    <n v="17"/>
    <x v="3"/>
    <n v="3"/>
    <x v="0"/>
    <n v="2"/>
    <x v="4"/>
    <n v="80"/>
    <n v="0"/>
    <n v="6"/>
    <x v="0"/>
    <n v="2"/>
    <x v="0"/>
    <n v="1"/>
    <x v="0"/>
    <n v="5"/>
    <x v="2"/>
    <n v="4"/>
    <x v="0"/>
    <n v="1"/>
    <x v="0"/>
    <n v="4"/>
    <x v="0"/>
  </r>
  <r>
    <n v="1165"/>
    <n v="29"/>
    <x v="2"/>
    <x v="0"/>
    <n v="1"/>
    <x v="0"/>
    <n v="408"/>
    <x v="1"/>
    <x v="0"/>
    <n v="23"/>
    <x v="2"/>
    <n v="1"/>
    <x v="1"/>
    <x v="0"/>
    <n v="1"/>
    <n v="4"/>
    <x v="2"/>
    <x v="0"/>
    <n v="45"/>
    <x v="2"/>
    <n v="2"/>
    <x v="1"/>
    <n v="3"/>
    <x v="0"/>
    <n v="1"/>
    <x v="3"/>
    <x v="1"/>
    <n v="7336"/>
    <x v="11"/>
    <n v="11162"/>
    <x v="3"/>
    <n v="1"/>
    <x v="1"/>
    <s v="Y"/>
    <x v="1"/>
    <n v="13"/>
    <x v="2"/>
    <n v="3"/>
    <x v="0"/>
    <n v="1"/>
    <x v="0"/>
    <n v="80"/>
    <n v="1"/>
    <n v="11"/>
    <x v="1"/>
    <n v="3"/>
    <x v="1"/>
    <n v="1"/>
    <x v="0"/>
    <n v="11"/>
    <x v="4"/>
    <n v="8"/>
    <x v="1"/>
    <n v="3"/>
    <x v="1"/>
    <n v="10"/>
    <x v="1"/>
  </r>
  <r>
    <n v="1166"/>
    <n v="40"/>
    <x v="0"/>
    <x v="1"/>
    <n v="0"/>
    <x v="1"/>
    <n v="593"/>
    <x v="2"/>
    <x v="1"/>
    <n v="9"/>
    <x v="1"/>
    <n v="4"/>
    <x v="2"/>
    <x v="2"/>
    <n v="1"/>
    <n v="2"/>
    <x v="0"/>
    <x v="0"/>
    <n v="88"/>
    <x v="0"/>
    <n v="3"/>
    <x v="0"/>
    <n v="3"/>
    <x v="7"/>
    <n v="3"/>
    <x v="2"/>
    <x v="0"/>
    <n v="13499"/>
    <x v="10"/>
    <n v="13782"/>
    <x v="3"/>
    <n v="9"/>
    <x v="0"/>
    <s v="Y"/>
    <x v="1"/>
    <n v="17"/>
    <x v="3"/>
    <n v="3"/>
    <x v="0"/>
    <n v="3"/>
    <x v="3"/>
    <n v="80"/>
    <n v="0"/>
    <n v="20"/>
    <x v="1"/>
    <n v="3"/>
    <x v="1"/>
    <n v="2"/>
    <x v="2"/>
    <n v="18"/>
    <x v="4"/>
    <n v="7"/>
    <x v="1"/>
    <n v="2"/>
    <x v="1"/>
    <n v="13"/>
    <x v="3"/>
  </r>
  <r>
    <n v="1167"/>
    <n v="42"/>
    <x v="0"/>
    <x v="0"/>
    <n v="1"/>
    <x v="1"/>
    <n v="481"/>
    <x v="1"/>
    <x v="0"/>
    <n v="12"/>
    <x v="3"/>
    <n v="3"/>
    <x v="3"/>
    <x v="0"/>
    <n v="1"/>
    <n v="3"/>
    <x v="1"/>
    <x v="1"/>
    <n v="44"/>
    <x v="2"/>
    <n v="3"/>
    <x v="0"/>
    <n v="4"/>
    <x v="0"/>
    <n v="1"/>
    <x v="3"/>
    <x v="0"/>
    <n v="13758"/>
    <x v="10"/>
    <n v="2447"/>
    <x v="2"/>
    <n v="0"/>
    <x v="1"/>
    <s v="Y"/>
    <x v="0"/>
    <n v="12"/>
    <x v="0"/>
    <n v="3"/>
    <x v="0"/>
    <n v="2"/>
    <x v="4"/>
    <n v="80"/>
    <n v="0"/>
    <n v="22"/>
    <x v="4"/>
    <n v="2"/>
    <x v="0"/>
    <n v="2"/>
    <x v="2"/>
    <n v="21"/>
    <x v="3"/>
    <n v="9"/>
    <x v="1"/>
    <n v="13"/>
    <x v="3"/>
    <n v="14"/>
    <x v="3"/>
  </r>
  <r>
    <n v="1171"/>
    <n v="42"/>
    <x v="0"/>
    <x v="1"/>
    <n v="0"/>
    <x v="0"/>
    <n v="647"/>
    <x v="2"/>
    <x v="0"/>
    <n v="4"/>
    <x v="0"/>
    <n v="4"/>
    <x v="2"/>
    <x v="3"/>
    <n v="1"/>
    <n v="2"/>
    <x v="0"/>
    <x v="1"/>
    <n v="45"/>
    <x v="2"/>
    <n v="3"/>
    <x v="0"/>
    <n v="2"/>
    <x v="0"/>
    <n v="1"/>
    <x v="3"/>
    <x v="0"/>
    <n v="5155"/>
    <x v="1"/>
    <n v="2253"/>
    <x v="2"/>
    <n v="7"/>
    <x v="0"/>
    <s v="Y"/>
    <x v="1"/>
    <n v="13"/>
    <x v="2"/>
    <n v="3"/>
    <x v="0"/>
    <n v="4"/>
    <x v="1"/>
    <n v="80"/>
    <n v="0"/>
    <n v="9"/>
    <x v="0"/>
    <n v="3"/>
    <x v="1"/>
    <n v="4"/>
    <x v="3"/>
    <n v="6"/>
    <x v="0"/>
    <n v="4"/>
    <x v="0"/>
    <n v="1"/>
    <x v="0"/>
    <n v="5"/>
    <x v="0"/>
  </r>
  <r>
    <n v="1172"/>
    <n v="35"/>
    <x v="2"/>
    <x v="1"/>
    <n v="0"/>
    <x v="0"/>
    <n v="982"/>
    <x v="2"/>
    <x v="1"/>
    <n v="1"/>
    <x v="0"/>
    <n v="4"/>
    <x v="2"/>
    <x v="2"/>
    <n v="1"/>
    <n v="4"/>
    <x v="2"/>
    <x v="1"/>
    <n v="58"/>
    <x v="1"/>
    <n v="2"/>
    <x v="1"/>
    <n v="1"/>
    <x v="2"/>
    <n v="3"/>
    <x v="2"/>
    <x v="1"/>
    <n v="2258"/>
    <x v="2"/>
    <n v="16340"/>
    <x v="0"/>
    <n v="6"/>
    <x v="2"/>
    <s v="Y"/>
    <x v="1"/>
    <n v="12"/>
    <x v="0"/>
    <n v="3"/>
    <x v="0"/>
    <n v="2"/>
    <x v="4"/>
    <n v="80"/>
    <n v="1"/>
    <n v="10"/>
    <x v="0"/>
    <n v="2"/>
    <x v="0"/>
    <n v="3"/>
    <x v="1"/>
    <n v="8"/>
    <x v="0"/>
    <n v="0"/>
    <x v="2"/>
    <n v="1"/>
    <x v="0"/>
    <n v="7"/>
    <x v="1"/>
  </r>
  <r>
    <n v="1173"/>
    <n v="24"/>
    <x v="4"/>
    <x v="1"/>
    <n v="0"/>
    <x v="0"/>
    <n v="477"/>
    <x v="1"/>
    <x v="1"/>
    <n v="24"/>
    <x v="2"/>
    <n v="3"/>
    <x v="3"/>
    <x v="2"/>
    <n v="1"/>
    <n v="4"/>
    <x v="2"/>
    <x v="1"/>
    <n v="49"/>
    <x v="2"/>
    <n v="3"/>
    <x v="0"/>
    <n v="1"/>
    <x v="2"/>
    <n v="2"/>
    <x v="1"/>
    <x v="0"/>
    <n v="3597"/>
    <x v="3"/>
    <n v="6409"/>
    <x v="2"/>
    <n v="8"/>
    <x v="0"/>
    <s v="Y"/>
    <x v="1"/>
    <n v="22"/>
    <x v="1"/>
    <n v="4"/>
    <x v="1"/>
    <n v="4"/>
    <x v="1"/>
    <n v="80"/>
    <n v="0"/>
    <n v="6"/>
    <x v="0"/>
    <n v="2"/>
    <x v="0"/>
    <n v="3"/>
    <x v="1"/>
    <n v="4"/>
    <x v="2"/>
    <n v="3"/>
    <x v="0"/>
    <n v="1"/>
    <x v="0"/>
    <n v="2"/>
    <x v="0"/>
  </r>
  <r>
    <n v="1175"/>
    <n v="28"/>
    <x v="2"/>
    <x v="0"/>
    <n v="1"/>
    <x v="0"/>
    <n v="1485"/>
    <x v="0"/>
    <x v="1"/>
    <n v="12"/>
    <x v="3"/>
    <n v="1"/>
    <x v="1"/>
    <x v="0"/>
    <n v="1"/>
    <n v="3"/>
    <x v="1"/>
    <x v="0"/>
    <n v="79"/>
    <x v="0"/>
    <n v="3"/>
    <x v="0"/>
    <n v="1"/>
    <x v="2"/>
    <n v="4"/>
    <x v="0"/>
    <x v="1"/>
    <n v="2515"/>
    <x v="3"/>
    <n v="22955"/>
    <x v="1"/>
    <n v="1"/>
    <x v="1"/>
    <s v="Y"/>
    <x v="0"/>
    <n v="11"/>
    <x v="0"/>
    <n v="3"/>
    <x v="0"/>
    <n v="4"/>
    <x v="1"/>
    <n v="80"/>
    <n v="0"/>
    <n v="1"/>
    <x v="2"/>
    <n v="4"/>
    <x v="1"/>
    <n v="2"/>
    <x v="2"/>
    <n v="1"/>
    <x v="1"/>
    <n v="1"/>
    <x v="2"/>
    <n v="0"/>
    <x v="0"/>
    <n v="0"/>
    <x v="2"/>
  </r>
  <r>
    <n v="1177"/>
    <n v="26"/>
    <x v="2"/>
    <x v="1"/>
    <n v="0"/>
    <x v="0"/>
    <n v="1384"/>
    <x v="0"/>
    <x v="1"/>
    <n v="3"/>
    <x v="0"/>
    <n v="4"/>
    <x v="2"/>
    <x v="2"/>
    <n v="1"/>
    <n v="1"/>
    <x v="3"/>
    <x v="1"/>
    <n v="82"/>
    <x v="0"/>
    <n v="4"/>
    <x v="2"/>
    <n v="1"/>
    <x v="2"/>
    <n v="4"/>
    <x v="0"/>
    <x v="1"/>
    <n v="4420"/>
    <x v="1"/>
    <n v="13421"/>
    <x v="3"/>
    <n v="1"/>
    <x v="1"/>
    <s v="Y"/>
    <x v="1"/>
    <n v="22"/>
    <x v="1"/>
    <n v="4"/>
    <x v="1"/>
    <n v="2"/>
    <x v="4"/>
    <n v="80"/>
    <n v="1"/>
    <n v="8"/>
    <x v="0"/>
    <n v="2"/>
    <x v="0"/>
    <n v="3"/>
    <x v="1"/>
    <n v="8"/>
    <x v="0"/>
    <n v="7"/>
    <x v="1"/>
    <n v="0"/>
    <x v="0"/>
    <n v="7"/>
    <x v="1"/>
  </r>
  <r>
    <n v="1179"/>
    <n v="30"/>
    <x v="2"/>
    <x v="1"/>
    <n v="0"/>
    <x v="0"/>
    <n v="852"/>
    <x v="2"/>
    <x v="0"/>
    <n v="10"/>
    <x v="1"/>
    <n v="3"/>
    <x v="3"/>
    <x v="3"/>
    <n v="1"/>
    <n v="3"/>
    <x v="1"/>
    <x v="1"/>
    <n v="72"/>
    <x v="1"/>
    <n v="2"/>
    <x v="1"/>
    <n v="2"/>
    <x v="0"/>
    <n v="3"/>
    <x v="2"/>
    <x v="1"/>
    <n v="6578"/>
    <x v="0"/>
    <n v="2706"/>
    <x v="2"/>
    <n v="1"/>
    <x v="1"/>
    <s v="Y"/>
    <x v="1"/>
    <n v="18"/>
    <x v="1"/>
    <n v="3"/>
    <x v="0"/>
    <n v="1"/>
    <x v="0"/>
    <n v="80"/>
    <n v="1"/>
    <n v="10"/>
    <x v="0"/>
    <n v="3"/>
    <x v="1"/>
    <n v="3"/>
    <x v="1"/>
    <n v="10"/>
    <x v="0"/>
    <n v="3"/>
    <x v="0"/>
    <n v="1"/>
    <x v="0"/>
    <n v="4"/>
    <x v="0"/>
  </r>
  <r>
    <n v="1180"/>
    <n v="40"/>
    <x v="0"/>
    <x v="1"/>
    <n v="0"/>
    <x v="1"/>
    <n v="902"/>
    <x v="2"/>
    <x v="1"/>
    <n v="26"/>
    <x v="2"/>
    <n v="2"/>
    <x v="0"/>
    <x v="2"/>
    <n v="1"/>
    <n v="3"/>
    <x v="1"/>
    <x v="0"/>
    <n v="92"/>
    <x v="0"/>
    <n v="2"/>
    <x v="1"/>
    <n v="2"/>
    <x v="1"/>
    <n v="4"/>
    <x v="0"/>
    <x v="1"/>
    <n v="4422"/>
    <x v="1"/>
    <n v="21203"/>
    <x v="0"/>
    <n v="3"/>
    <x v="3"/>
    <s v="Y"/>
    <x v="0"/>
    <n v="13"/>
    <x v="2"/>
    <n v="3"/>
    <x v="0"/>
    <n v="4"/>
    <x v="1"/>
    <n v="80"/>
    <n v="1"/>
    <n v="16"/>
    <x v="1"/>
    <n v="3"/>
    <x v="1"/>
    <n v="1"/>
    <x v="0"/>
    <n v="1"/>
    <x v="1"/>
    <n v="1"/>
    <x v="2"/>
    <n v="0"/>
    <x v="0"/>
    <n v="0"/>
    <x v="2"/>
  </r>
  <r>
    <n v="1182"/>
    <n v="35"/>
    <x v="2"/>
    <x v="1"/>
    <n v="0"/>
    <x v="0"/>
    <n v="819"/>
    <x v="2"/>
    <x v="1"/>
    <n v="2"/>
    <x v="0"/>
    <n v="3"/>
    <x v="3"/>
    <x v="0"/>
    <n v="1"/>
    <n v="3"/>
    <x v="1"/>
    <x v="1"/>
    <n v="44"/>
    <x v="2"/>
    <n v="2"/>
    <x v="1"/>
    <n v="3"/>
    <x v="3"/>
    <n v="2"/>
    <x v="1"/>
    <x v="2"/>
    <n v="10274"/>
    <x v="8"/>
    <n v="19588"/>
    <x v="0"/>
    <n v="2"/>
    <x v="3"/>
    <s v="Y"/>
    <x v="1"/>
    <n v="18"/>
    <x v="1"/>
    <n v="3"/>
    <x v="0"/>
    <n v="2"/>
    <x v="4"/>
    <n v="80"/>
    <n v="1"/>
    <n v="15"/>
    <x v="1"/>
    <n v="2"/>
    <x v="0"/>
    <n v="4"/>
    <x v="3"/>
    <n v="7"/>
    <x v="0"/>
    <n v="7"/>
    <x v="1"/>
    <n v="6"/>
    <x v="2"/>
    <n v="4"/>
    <x v="0"/>
  </r>
  <r>
    <n v="1184"/>
    <n v="34"/>
    <x v="2"/>
    <x v="1"/>
    <n v="0"/>
    <x v="1"/>
    <n v="669"/>
    <x v="2"/>
    <x v="1"/>
    <n v="1"/>
    <x v="0"/>
    <n v="3"/>
    <x v="3"/>
    <x v="2"/>
    <n v="1"/>
    <n v="4"/>
    <x v="2"/>
    <x v="1"/>
    <n v="97"/>
    <x v="0"/>
    <n v="2"/>
    <x v="1"/>
    <n v="2"/>
    <x v="4"/>
    <n v="1"/>
    <x v="3"/>
    <x v="0"/>
    <n v="5343"/>
    <x v="1"/>
    <n v="25755"/>
    <x v="1"/>
    <n v="0"/>
    <x v="1"/>
    <s v="Y"/>
    <x v="1"/>
    <n v="20"/>
    <x v="1"/>
    <n v="4"/>
    <x v="1"/>
    <n v="3"/>
    <x v="3"/>
    <n v="80"/>
    <n v="0"/>
    <n v="14"/>
    <x v="1"/>
    <n v="3"/>
    <x v="1"/>
    <n v="3"/>
    <x v="1"/>
    <n v="13"/>
    <x v="4"/>
    <n v="9"/>
    <x v="1"/>
    <n v="4"/>
    <x v="1"/>
    <n v="9"/>
    <x v="1"/>
  </r>
  <r>
    <n v="1185"/>
    <n v="35"/>
    <x v="2"/>
    <x v="1"/>
    <n v="0"/>
    <x v="1"/>
    <n v="636"/>
    <x v="2"/>
    <x v="1"/>
    <n v="4"/>
    <x v="0"/>
    <n v="4"/>
    <x v="2"/>
    <x v="1"/>
    <n v="1"/>
    <n v="4"/>
    <x v="2"/>
    <x v="1"/>
    <n v="47"/>
    <x v="2"/>
    <n v="2"/>
    <x v="1"/>
    <n v="1"/>
    <x v="2"/>
    <n v="4"/>
    <x v="0"/>
    <x v="1"/>
    <n v="2376"/>
    <x v="2"/>
    <n v="26537"/>
    <x v="1"/>
    <n v="1"/>
    <x v="1"/>
    <s v="Y"/>
    <x v="1"/>
    <n v="13"/>
    <x v="2"/>
    <n v="3"/>
    <x v="0"/>
    <n v="2"/>
    <x v="4"/>
    <n v="80"/>
    <n v="1"/>
    <n v="2"/>
    <x v="2"/>
    <n v="2"/>
    <x v="0"/>
    <n v="4"/>
    <x v="3"/>
    <n v="2"/>
    <x v="2"/>
    <n v="2"/>
    <x v="0"/>
    <n v="2"/>
    <x v="1"/>
    <n v="2"/>
    <x v="0"/>
  </r>
  <r>
    <n v="1188"/>
    <n v="43"/>
    <x v="0"/>
    <x v="0"/>
    <n v="1"/>
    <x v="0"/>
    <n v="1372"/>
    <x v="0"/>
    <x v="0"/>
    <n v="9"/>
    <x v="1"/>
    <n v="3"/>
    <x v="3"/>
    <x v="3"/>
    <n v="1"/>
    <n v="1"/>
    <x v="3"/>
    <x v="0"/>
    <n v="85"/>
    <x v="0"/>
    <n v="1"/>
    <x v="3"/>
    <n v="2"/>
    <x v="0"/>
    <n v="3"/>
    <x v="2"/>
    <x v="0"/>
    <n v="5346"/>
    <x v="1"/>
    <n v="9489"/>
    <x v="3"/>
    <n v="8"/>
    <x v="0"/>
    <s v="Y"/>
    <x v="1"/>
    <n v="13"/>
    <x v="2"/>
    <n v="3"/>
    <x v="0"/>
    <n v="2"/>
    <x v="4"/>
    <n v="80"/>
    <n v="0"/>
    <n v="7"/>
    <x v="0"/>
    <n v="2"/>
    <x v="0"/>
    <n v="2"/>
    <x v="2"/>
    <n v="4"/>
    <x v="2"/>
    <n v="3"/>
    <x v="0"/>
    <n v="1"/>
    <x v="0"/>
    <n v="3"/>
    <x v="0"/>
  </r>
  <r>
    <n v="1190"/>
    <n v="32"/>
    <x v="2"/>
    <x v="1"/>
    <n v="0"/>
    <x v="2"/>
    <n v="862"/>
    <x v="2"/>
    <x v="0"/>
    <n v="2"/>
    <x v="0"/>
    <n v="1"/>
    <x v="1"/>
    <x v="0"/>
    <n v="1"/>
    <n v="3"/>
    <x v="1"/>
    <x v="0"/>
    <n v="76"/>
    <x v="0"/>
    <n v="3"/>
    <x v="0"/>
    <n v="1"/>
    <x v="6"/>
    <n v="1"/>
    <x v="3"/>
    <x v="2"/>
    <n v="2827"/>
    <x v="3"/>
    <n v="14947"/>
    <x v="3"/>
    <n v="1"/>
    <x v="1"/>
    <s v="Y"/>
    <x v="1"/>
    <n v="12"/>
    <x v="0"/>
    <n v="3"/>
    <x v="0"/>
    <n v="3"/>
    <x v="3"/>
    <n v="80"/>
    <n v="3"/>
    <n v="1"/>
    <x v="2"/>
    <n v="3"/>
    <x v="1"/>
    <n v="3"/>
    <x v="1"/>
    <n v="1"/>
    <x v="1"/>
    <n v="0"/>
    <x v="2"/>
    <n v="0"/>
    <x v="0"/>
    <n v="0"/>
    <x v="2"/>
  </r>
  <r>
    <n v="1191"/>
    <n v="56"/>
    <x v="3"/>
    <x v="1"/>
    <n v="0"/>
    <x v="0"/>
    <n v="718"/>
    <x v="2"/>
    <x v="1"/>
    <n v="4"/>
    <x v="0"/>
    <n v="4"/>
    <x v="2"/>
    <x v="4"/>
    <n v="1"/>
    <n v="4"/>
    <x v="2"/>
    <x v="0"/>
    <n v="92"/>
    <x v="0"/>
    <n v="3"/>
    <x v="0"/>
    <n v="5"/>
    <x v="5"/>
    <n v="1"/>
    <x v="3"/>
    <x v="2"/>
    <n v="19943"/>
    <x v="7"/>
    <n v="18575"/>
    <x v="0"/>
    <n v="4"/>
    <x v="2"/>
    <s v="Y"/>
    <x v="1"/>
    <n v="13"/>
    <x v="2"/>
    <n v="3"/>
    <x v="0"/>
    <n v="4"/>
    <x v="1"/>
    <n v="80"/>
    <n v="1"/>
    <n v="28"/>
    <x v="4"/>
    <n v="2"/>
    <x v="0"/>
    <n v="3"/>
    <x v="1"/>
    <n v="5"/>
    <x v="2"/>
    <n v="2"/>
    <x v="0"/>
    <n v="4"/>
    <x v="1"/>
    <n v="2"/>
    <x v="0"/>
  </r>
  <r>
    <n v="1192"/>
    <n v="29"/>
    <x v="2"/>
    <x v="1"/>
    <n v="0"/>
    <x v="0"/>
    <n v="1401"/>
    <x v="0"/>
    <x v="1"/>
    <n v="6"/>
    <x v="1"/>
    <n v="1"/>
    <x v="1"/>
    <x v="2"/>
    <n v="1"/>
    <n v="2"/>
    <x v="0"/>
    <x v="0"/>
    <n v="54"/>
    <x v="1"/>
    <n v="3"/>
    <x v="0"/>
    <n v="1"/>
    <x v="2"/>
    <n v="4"/>
    <x v="0"/>
    <x v="1"/>
    <n v="3131"/>
    <x v="3"/>
    <n v="26342"/>
    <x v="1"/>
    <n v="1"/>
    <x v="1"/>
    <s v="Y"/>
    <x v="1"/>
    <n v="13"/>
    <x v="2"/>
    <n v="3"/>
    <x v="0"/>
    <n v="1"/>
    <x v="0"/>
    <n v="80"/>
    <n v="1"/>
    <n v="10"/>
    <x v="0"/>
    <n v="5"/>
    <x v="2"/>
    <n v="3"/>
    <x v="1"/>
    <n v="10"/>
    <x v="0"/>
    <n v="8"/>
    <x v="1"/>
    <n v="0"/>
    <x v="0"/>
    <n v="8"/>
    <x v="1"/>
  </r>
  <r>
    <n v="1193"/>
    <n v="19"/>
    <x v="4"/>
    <x v="1"/>
    <n v="0"/>
    <x v="0"/>
    <n v="645"/>
    <x v="2"/>
    <x v="1"/>
    <n v="9"/>
    <x v="1"/>
    <n v="2"/>
    <x v="0"/>
    <x v="0"/>
    <n v="1"/>
    <n v="3"/>
    <x v="1"/>
    <x v="1"/>
    <n v="54"/>
    <x v="1"/>
    <n v="3"/>
    <x v="0"/>
    <n v="1"/>
    <x v="1"/>
    <n v="1"/>
    <x v="3"/>
    <x v="0"/>
    <n v="2552"/>
    <x v="3"/>
    <n v="7172"/>
    <x v="2"/>
    <n v="1"/>
    <x v="1"/>
    <s v="Y"/>
    <x v="1"/>
    <n v="25"/>
    <x v="1"/>
    <n v="4"/>
    <x v="1"/>
    <n v="3"/>
    <x v="3"/>
    <n v="80"/>
    <n v="0"/>
    <n v="1"/>
    <x v="2"/>
    <n v="4"/>
    <x v="1"/>
    <n v="3"/>
    <x v="1"/>
    <n v="1"/>
    <x v="1"/>
    <n v="1"/>
    <x v="2"/>
    <n v="0"/>
    <x v="0"/>
    <n v="0"/>
    <x v="2"/>
  </r>
  <r>
    <n v="1195"/>
    <n v="45"/>
    <x v="0"/>
    <x v="1"/>
    <n v="0"/>
    <x v="0"/>
    <n v="1457"/>
    <x v="0"/>
    <x v="1"/>
    <n v="7"/>
    <x v="1"/>
    <n v="3"/>
    <x v="3"/>
    <x v="2"/>
    <n v="1"/>
    <n v="1"/>
    <x v="3"/>
    <x v="0"/>
    <n v="83"/>
    <x v="0"/>
    <n v="3"/>
    <x v="0"/>
    <n v="1"/>
    <x v="1"/>
    <n v="3"/>
    <x v="2"/>
    <x v="1"/>
    <n v="4477"/>
    <x v="1"/>
    <n v="20100"/>
    <x v="0"/>
    <n v="4"/>
    <x v="2"/>
    <s v="Y"/>
    <x v="0"/>
    <n v="19"/>
    <x v="1"/>
    <n v="3"/>
    <x v="0"/>
    <n v="3"/>
    <x v="3"/>
    <n v="80"/>
    <n v="1"/>
    <n v="7"/>
    <x v="0"/>
    <n v="2"/>
    <x v="0"/>
    <n v="2"/>
    <x v="2"/>
    <n v="3"/>
    <x v="2"/>
    <n v="2"/>
    <x v="0"/>
    <n v="0"/>
    <x v="0"/>
    <n v="2"/>
    <x v="0"/>
  </r>
  <r>
    <n v="1196"/>
    <n v="37"/>
    <x v="0"/>
    <x v="1"/>
    <n v="0"/>
    <x v="0"/>
    <n v="977"/>
    <x v="2"/>
    <x v="1"/>
    <n v="1"/>
    <x v="0"/>
    <n v="3"/>
    <x v="3"/>
    <x v="0"/>
    <n v="1"/>
    <n v="4"/>
    <x v="2"/>
    <x v="0"/>
    <n v="56"/>
    <x v="1"/>
    <n v="2"/>
    <x v="1"/>
    <n v="2"/>
    <x v="3"/>
    <n v="4"/>
    <x v="0"/>
    <x v="1"/>
    <n v="6474"/>
    <x v="0"/>
    <n v="9961"/>
    <x v="3"/>
    <n v="1"/>
    <x v="1"/>
    <s v="Y"/>
    <x v="1"/>
    <n v="13"/>
    <x v="2"/>
    <n v="3"/>
    <x v="0"/>
    <n v="2"/>
    <x v="4"/>
    <n v="80"/>
    <n v="1"/>
    <n v="14"/>
    <x v="1"/>
    <n v="2"/>
    <x v="0"/>
    <n v="2"/>
    <x v="2"/>
    <n v="14"/>
    <x v="4"/>
    <n v="8"/>
    <x v="1"/>
    <n v="3"/>
    <x v="1"/>
    <n v="11"/>
    <x v="3"/>
  </r>
  <r>
    <n v="1198"/>
    <n v="20"/>
    <x v="4"/>
    <x v="1"/>
    <n v="0"/>
    <x v="0"/>
    <n v="805"/>
    <x v="2"/>
    <x v="1"/>
    <n v="3"/>
    <x v="0"/>
    <n v="3"/>
    <x v="3"/>
    <x v="0"/>
    <n v="1"/>
    <n v="1"/>
    <x v="3"/>
    <x v="1"/>
    <n v="87"/>
    <x v="0"/>
    <n v="2"/>
    <x v="1"/>
    <n v="1"/>
    <x v="2"/>
    <n v="3"/>
    <x v="2"/>
    <x v="0"/>
    <n v="3033"/>
    <x v="3"/>
    <n v="12828"/>
    <x v="3"/>
    <n v="1"/>
    <x v="1"/>
    <s v="Y"/>
    <x v="1"/>
    <n v="12"/>
    <x v="0"/>
    <n v="3"/>
    <x v="0"/>
    <n v="1"/>
    <x v="0"/>
    <n v="80"/>
    <n v="0"/>
    <n v="2"/>
    <x v="2"/>
    <n v="2"/>
    <x v="0"/>
    <n v="2"/>
    <x v="2"/>
    <n v="2"/>
    <x v="2"/>
    <n v="2"/>
    <x v="0"/>
    <n v="1"/>
    <x v="0"/>
    <n v="2"/>
    <x v="0"/>
  </r>
  <r>
    <n v="1200"/>
    <n v="44"/>
    <x v="0"/>
    <x v="0"/>
    <n v="1"/>
    <x v="0"/>
    <n v="1097"/>
    <x v="0"/>
    <x v="1"/>
    <n v="10"/>
    <x v="1"/>
    <n v="4"/>
    <x v="2"/>
    <x v="0"/>
    <n v="1"/>
    <n v="3"/>
    <x v="1"/>
    <x v="1"/>
    <n v="96"/>
    <x v="0"/>
    <n v="3"/>
    <x v="0"/>
    <n v="1"/>
    <x v="1"/>
    <n v="3"/>
    <x v="2"/>
    <x v="0"/>
    <n v="2936"/>
    <x v="3"/>
    <n v="10826"/>
    <x v="3"/>
    <n v="1"/>
    <x v="1"/>
    <s v="Y"/>
    <x v="0"/>
    <n v="11"/>
    <x v="0"/>
    <n v="3"/>
    <x v="0"/>
    <n v="3"/>
    <x v="3"/>
    <n v="80"/>
    <n v="0"/>
    <n v="6"/>
    <x v="0"/>
    <n v="4"/>
    <x v="1"/>
    <n v="3"/>
    <x v="1"/>
    <n v="6"/>
    <x v="0"/>
    <n v="4"/>
    <x v="0"/>
    <n v="0"/>
    <x v="0"/>
    <n v="2"/>
    <x v="0"/>
  </r>
  <r>
    <n v="1201"/>
    <n v="53"/>
    <x v="1"/>
    <x v="1"/>
    <n v="0"/>
    <x v="0"/>
    <n v="1223"/>
    <x v="0"/>
    <x v="1"/>
    <n v="7"/>
    <x v="1"/>
    <n v="2"/>
    <x v="0"/>
    <x v="2"/>
    <n v="1"/>
    <n v="4"/>
    <x v="2"/>
    <x v="0"/>
    <n v="50"/>
    <x v="2"/>
    <n v="3"/>
    <x v="0"/>
    <n v="5"/>
    <x v="5"/>
    <n v="3"/>
    <x v="2"/>
    <x v="2"/>
    <n v="18606"/>
    <x v="9"/>
    <n v="18640"/>
    <x v="0"/>
    <n v="3"/>
    <x v="3"/>
    <s v="Y"/>
    <x v="1"/>
    <n v="18"/>
    <x v="1"/>
    <n v="3"/>
    <x v="0"/>
    <n v="2"/>
    <x v="4"/>
    <n v="80"/>
    <n v="1"/>
    <n v="26"/>
    <x v="4"/>
    <n v="6"/>
    <x v="2"/>
    <n v="3"/>
    <x v="1"/>
    <n v="7"/>
    <x v="0"/>
    <n v="7"/>
    <x v="1"/>
    <n v="4"/>
    <x v="1"/>
    <n v="7"/>
    <x v="1"/>
  </r>
  <r>
    <n v="1202"/>
    <n v="29"/>
    <x v="2"/>
    <x v="1"/>
    <n v="0"/>
    <x v="0"/>
    <n v="942"/>
    <x v="2"/>
    <x v="1"/>
    <n v="15"/>
    <x v="3"/>
    <n v="1"/>
    <x v="1"/>
    <x v="0"/>
    <n v="1"/>
    <n v="2"/>
    <x v="0"/>
    <x v="0"/>
    <n v="69"/>
    <x v="1"/>
    <n v="1"/>
    <x v="3"/>
    <n v="1"/>
    <x v="1"/>
    <n v="4"/>
    <x v="0"/>
    <x v="1"/>
    <n v="2168"/>
    <x v="2"/>
    <n v="26933"/>
    <x v="1"/>
    <n v="0"/>
    <x v="1"/>
    <s v="Y"/>
    <x v="0"/>
    <n v="18"/>
    <x v="1"/>
    <n v="3"/>
    <x v="0"/>
    <n v="1"/>
    <x v="0"/>
    <n v="80"/>
    <n v="1"/>
    <n v="6"/>
    <x v="0"/>
    <n v="2"/>
    <x v="0"/>
    <n v="2"/>
    <x v="2"/>
    <n v="5"/>
    <x v="2"/>
    <n v="4"/>
    <x v="0"/>
    <n v="1"/>
    <x v="0"/>
    <n v="3"/>
    <x v="0"/>
  </r>
  <r>
    <n v="1203"/>
    <n v="22"/>
    <x v="4"/>
    <x v="0"/>
    <n v="1"/>
    <x v="1"/>
    <n v="1256"/>
    <x v="0"/>
    <x v="1"/>
    <n v="3"/>
    <x v="0"/>
    <n v="4"/>
    <x v="2"/>
    <x v="0"/>
    <n v="1"/>
    <n v="3"/>
    <x v="1"/>
    <x v="1"/>
    <n v="48"/>
    <x v="2"/>
    <n v="2"/>
    <x v="1"/>
    <n v="1"/>
    <x v="1"/>
    <n v="4"/>
    <x v="0"/>
    <x v="1"/>
    <n v="2853"/>
    <x v="3"/>
    <n v="4223"/>
    <x v="2"/>
    <n v="0"/>
    <x v="1"/>
    <s v="Y"/>
    <x v="0"/>
    <n v="11"/>
    <x v="0"/>
    <n v="3"/>
    <x v="0"/>
    <n v="2"/>
    <x v="4"/>
    <n v="80"/>
    <n v="1"/>
    <n v="1"/>
    <x v="2"/>
    <n v="5"/>
    <x v="2"/>
    <n v="3"/>
    <x v="1"/>
    <n v="0"/>
    <x v="1"/>
    <n v="0"/>
    <x v="2"/>
    <n v="0"/>
    <x v="0"/>
    <n v="0"/>
    <x v="2"/>
  </r>
  <r>
    <n v="1204"/>
    <n v="46"/>
    <x v="1"/>
    <x v="1"/>
    <n v="0"/>
    <x v="0"/>
    <n v="1402"/>
    <x v="0"/>
    <x v="0"/>
    <n v="2"/>
    <x v="0"/>
    <n v="3"/>
    <x v="3"/>
    <x v="3"/>
    <n v="1"/>
    <n v="3"/>
    <x v="1"/>
    <x v="0"/>
    <n v="69"/>
    <x v="1"/>
    <n v="3"/>
    <x v="0"/>
    <n v="4"/>
    <x v="5"/>
    <n v="1"/>
    <x v="3"/>
    <x v="1"/>
    <n v="17048"/>
    <x v="12"/>
    <n v="24097"/>
    <x v="1"/>
    <n v="8"/>
    <x v="0"/>
    <s v="Y"/>
    <x v="1"/>
    <n v="23"/>
    <x v="1"/>
    <n v="4"/>
    <x v="1"/>
    <n v="1"/>
    <x v="0"/>
    <n v="80"/>
    <n v="0"/>
    <n v="28"/>
    <x v="4"/>
    <n v="2"/>
    <x v="0"/>
    <n v="3"/>
    <x v="1"/>
    <n v="26"/>
    <x v="3"/>
    <n v="15"/>
    <x v="3"/>
    <n v="15"/>
    <x v="3"/>
    <n v="9"/>
    <x v="1"/>
  </r>
  <r>
    <n v="1206"/>
    <n v="44"/>
    <x v="0"/>
    <x v="1"/>
    <n v="0"/>
    <x v="2"/>
    <n v="111"/>
    <x v="1"/>
    <x v="1"/>
    <n v="17"/>
    <x v="3"/>
    <n v="3"/>
    <x v="3"/>
    <x v="0"/>
    <n v="1"/>
    <n v="4"/>
    <x v="2"/>
    <x v="1"/>
    <n v="74"/>
    <x v="1"/>
    <n v="1"/>
    <x v="3"/>
    <n v="1"/>
    <x v="1"/>
    <n v="3"/>
    <x v="2"/>
    <x v="0"/>
    <n v="2290"/>
    <x v="2"/>
    <n v="4279"/>
    <x v="2"/>
    <n v="2"/>
    <x v="3"/>
    <s v="Y"/>
    <x v="1"/>
    <n v="13"/>
    <x v="2"/>
    <n v="3"/>
    <x v="0"/>
    <n v="4"/>
    <x v="1"/>
    <n v="80"/>
    <n v="0"/>
    <n v="6"/>
    <x v="0"/>
    <n v="3"/>
    <x v="1"/>
    <n v="3"/>
    <x v="1"/>
    <n v="0"/>
    <x v="1"/>
    <n v="0"/>
    <x v="2"/>
    <n v="0"/>
    <x v="0"/>
    <n v="0"/>
    <x v="2"/>
  </r>
  <r>
    <n v="1207"/>
    <n v="33"/>
    <x v="2"/>
    <x v="1"/>
    <n v="0"/>
    <x v="0"/>
    <n v="147"/>
    <x v="1"/>
    <x v="2"/>
    <n v="2"/>
    <x v="0"/>
    <n v="3"/>
    <x v="3"/>
    <x v="5"/>
    <n v="1"/>
    <n v="2"/>
    <x v="0"/>
    <x v="1"/>
    <n v="99"/>
    <x v="0"/>
    <n v="3"/>
    <x v="0"/>
    <n v="1"/>
    <x v="8"/>
    <n v="3"/>
    <x v="2"/>
    <x v="1"/>
    <n v="3600"/>
    <x v="3"/>
    <n v="8429"/>
    <x v="3"/>
    <n v="1"/>
    <x v="1"/>
    <s v="Y"/>
    <x v="1"/>
    <n v="13"/>
    <x v="2"/>
    <n v="3"/>
    <x v="0"/>
    <n v="4"/>
    <x v="1"/>
    <n v="80"/>
    <n v="1"/>
    <n v="5"/>
    <x v="3"/>
    <n v="2"/>
    <x v="0"/>
    <n v="3"/>
    <x v="1"/>
    <n v="5"/>
    <x v="2"/>
    <n v="4"/>
    <x v="0"/>
    <n v="1"/>
    <x v="0"/>
    <n v="4"/>
    <x v="0"/>
  </r>
  <r>
    <n v="1210"/>
    <n v="41"/>
    <x v="0"/>
    <x v="0"/>
    <n v="1"/>
    <x v="2"/>
    <n v="906"/>
    <x v="2"/>
    <x v="1"/>
    <n v="5"/>
    <x v="0"/>
    <n v="2"/>
    <x v="0"/>
    <x v="0"/>
    <n v="1"/>
    <n v="1"/>
    <x v="3"/>
    <x v="1"/>
    <n v="95"/>
    <x v="0"/>
    <n v="2"/>
    <x v="1"/>
    <n v="1"/>
    <x v="1"/>
    <n v="1"/>
    <x v="3"/>
    <x v="2"/>
    <n v="2107"/>
    <x v="2"/>
    <n v="20293"/>
    <x v="0"/>
    <n v="6"/>
    <x v="2"/>
    <s v="Y"/>
    <x v="1"/>
    <n v="17"/>
    <x v="3"/>
    <n v="3"/>
    <x v="0"/>
    <n v="1"/>
    <x v="0"/>
    <n v="80"/>
    <n v="1"/>
    <n v="5"/>
    <x v="3"/>
    <n v="2"/>
    <x v="0"/>
    <n v="1"/>
    <x v="0"/>
    <n v="1"/>
    <x v="1"/>
    <n v="0"/>
    <x v="2"/>
    <n v="0"/>
    <x v="0"/>
    <n v="0"/>
    <x v="2"/>
  </r>
  <r>
    <n v="1211"/>
    <n v="30"/>
    <x v="2"/>
    <x v="1"/>
    <n v="0"/>
    <x v="0"/>
    <n v="1329"/>
    <x v="0"/>
    <x v="0"/>
    <n v="29"/>
    <x v="2"/>
    <n v="4"/>
    <x v="2"/>
    <x v="0"/>
    <n v="1"/>
    <n v="3"/>
    <x v="1"/>
    <x v="1"/>
    <n v="61"/>
    <x v="1"/>
    <n v="3"/>
    <x v="0"/>
    <n v="2"/>
    <x v="0"/>
    <n v="1"/>
    <x v="3"/>
    <x v="2"/>
    <n v="4115"/>
    <x v="1"/>
    <n v="13192"/>
    <x v="3"/>
    <n v="8"/>
    <x v="0"/>
    <s v="Y"/>
    <x v="1"/>
    <n v="19"/>
    <x v="1"/>
    <n v="3"/>
    <x v="0"/>
    <n v="3"/>
    <x v="3"/>
    <n v="80"/>
    <n v="3"/>
    <n v="8"/>
    <x v="0"/>
    <n v="3"/>
    <x v="1"/>
    <n v="3"/>
    <x v="1"/>
    <n v="4"/>
    <x v="2"/>
    <n v="3"/>
    <x v="0"/>
    <n v="0"/>
    <x v="0"/>
    <n v="3"/>
    <x v="0"/>
  </r>
  <r>
    <n v="1212"/>
    <n v="40"/>
    <x v="0"/>
    <x v="1"/>
    <n v="0"/>
    <x v="1"/>
    <n v="1184"/>
    <x v="0"/>
    <x v="0"/>
    <n v="2"/>
    <x v="0"/>
    <n v="4"/>
    <x v="2"/>
    <x v="2"/>
    <n v="1"/>
    <n v="2"/>
    <x v="0"/>
    <x v="1"/>
    <n v="62"/>
    <x v="1"/>
    <n v="3"/>
    <x v="0"/>
    <n v="2"/>
    <x v="0"/>
    <n v="2"/>
    <x v="1"/>
    <x v="1"/>
    <n v="4327"/>
    <x v="1"/>
    <n v="25440"/>
    <x v="1"/>
    <n v="5"/>
    <x v="2"/>
    <s v="Y"/>
    <x v="1"/>
    <n v="12"/>
    <x v="0"/>
    <n v="3"/>
    <x v="0"/>
    <n v="4"/>
    <x v="1"/>
    <n v="80"/>
    <n v="3"/>
    <n v="5"/>
    <x v="3"/>
    <n v="2"/>
    <x v="0"/>
    <n v="3"/>
    <x v="1"/>
    <n v="0"/>
    <x v="1"/>
    <n v="0"/>
    <x v="2"/>
    <n v="0"/>
    <x v="0"/>
    <n v="0"/>
    <x v="2"/>
  </r>
  <r>
    <n v="1215"/>
    <n v="50"/>
    <x v="1"/>
    <x v="1"/>
    <n v="0"/>
    <x v="1"/>
    <n v="1421"/>
    <x v="0"/>
    <x v="1"/>
    <n v="2"/>
    <x v="0"/>
    <n v="3"/>
    <x v="3"/>
    <x v="2"/>
    <n v="1"/>
    <n v="4"/>
    <x v="2"/>
    <x v="0"/>
    <n v="30"/>
    <x v="2"/>
    <n v="3"/>
    <x v="0"/>
    <n v="4"/>
    <x v="5"/>
    <n v="1"/>
    <x v="3"/>
    <x v="1"/>
    <n v="17856"/>
    <x v="9"/>
    <n v="9490"/>
    <x v="3"/>
    <n v="2"/>
    <x v="3"/>
    <s v="Y"/>
    <x v="1"/>
    <n v="22"/>
    <x v="1"/>
    <n v="4"/>
    <x v="1"/>
    <n v="3"/>
    <x v="3"/>
    <n v="80"/>
    <n v="1"/>
    <n v="32"/>
    <x v="4"/>
    <n v="3"/>
    <x v="1"/>
    <n v="3"/>
    <x v="1"/>
    <n v="2"/>
    <x v="2"/>
    <n v="2"/>
    <x v="0"/>
    <n v="2"/>
    <x v="1"/>
    <n v="2"/>
    <x v="0"/>
  </r>
  <r>
    <n v="1216"/>
    <n v="28"/>
    <x v="2"/>
    <x v="1"/>
    <n v="0"/>
    <x v="0"/>
    <n v="1179"/>
    <x v="0"/>
    <x v="1"/>
    <n v="19"/>
    <x v="3"/>
    <n v="4"/>
    <x v="2"/>
    <x v="2"/>
    <n v="1"/>
    <n v="4"/>
    <x v="2"/>
    <x v="1"/>
    <n v="78"/>
    <x v="0"/>
    <n v="2"/>
    <x v="1"/>
    <n v="1"/>
    <x v="2"/>
    <n v="1"/>
    <x v="3"/>
    <x v="1"/>
    <n v="3196"/>
    <x v="3"/>
    <n v="12449"/>
    <x v="3"/>
    <n v="1"/>
    <x v="1"/>
    <s v="Y"/>
    <x v="1"/>
    <n v="12"/>
    <x v="0"/>
    <n v="3"/>
    <x v="0"/>
    <n v="3"/>
    <x v="3"/>
    <n v="80"/>
    <n v="3"/>
    <n v="6"/>
    <x v="0"/>
    <n v="2"/>
    <x v="0"/>
    <n v="3"/>
    <x v="1"/>
    <n v="6"/>
    <x v="0"/>
    <n v="5"/>
    <x v="0"/>
    <n v="3"/>
    <x v="1"/>
    <n v="3"/>
    <x v="0"/>
  </r>
  <r>
    <n v="1217"/>
    <n v="46"/>
    <x v="1"/>
    <x v="1"/>
    <n v="0"/>
    <x v="0"/>
    <n v="1450"/>
    <x v="0"/>
    <x v="1"/>
    <n v="15"/>
    <x v="3"/>
    <n v="2"/>
    <x v="0"/>
    <x v="0"/>
    <n v="1"/>
    <n v="4"/>
    <x v="2"/>
    <x v="1"/>
    <n v="52"/>
    <x v="1"/>
    <n v="3"/>
    <x v="0"/>
    <n v="5"/>
    <x v="7"/>
    <n v="2"/>
    <x v="1"/>
    <x v="1"/>
    <n v="19081"/>
    <x v="7"/>
    <n v="10849"/>
    <x v="3"/>
    <n v="5"/>
    <x v="2"/>
    <s v="Y"/>
    <x v="1"/>
    <n v="11"/>
    <x v="0"/>
    <n v="3"/>
    <x v="0"/>
    <n v="1"/>
    <x v="0"/>
    <n v="80"/>
    <n v="1"/>
    <n v="25"/>
    <x v="4"/>
    <n v="2"/>
    <x v="0"/>
    <n v="3"/>
    <x v="1"/>
    <n v="4"/>
    <x v="2"/>
    <n v="2"/>
    <x v="0"/>
    <n v="0"/>
    <x v="0"/>
    <n v="3"/>
    <x v="0"/>
  </r>
  <r>
    <n v="1218"/>
    <n v="35"/>
    <x v="2"/>
    <x v="1"/>
    <n v="0"/>
    <x v="0"/>
    <n v="1361"/>
    <x v="0"/>
    <x v="0"/>
    <n v="17"/>
    <x v="3"/>
    <n v="4"/>
    <x v="2"/>
    <x v="0"/>
    <n v="1"/>
    <n v="3"/>
    <x v="1"/>
    <x v="1"/>
    <n v="94"/>
    <x v="0"/>
    <n v="3"/>
    <x v="0"/>
    <n v="2"/>
    <x v="0"/>
    <n v="1"/>
    <x v="3"/>
    <x v="1"/>
    <n v="8966"/>
    <x v="4"/>
    <n v="21026"/>
    <x v="0"/>
    <n v="3"/>
    <x v="3"/>
    <s v="Y"/>
    <x v="0"/>
    <n v="15"/>
    <x v="2"/>
    <n v="3"/>
    <x v="0"/>
    <n v="4"/>
    <x v="1"/>
    <n v="80"/>
    <n v="3"/>
    <n v="15"/>
    <x v="1"/>
    <n v="2"/>
    <x v="0"/>
    <n v="3"/>
    <x v="1"/>
    <n v="7"/>
    <x v="0"/>
    <n v="7"/>
    <x v="1"/>
    <n v="1"/>
    <x v="0"/>
    <n v="7"/>
    <x v="1"/>
  </r>
  <r>
    <n v="1219"/>
    <n v="24"/>
    <x v="4"/>
    <x v="0"/>
    <n v="1"/>
    <x v="0"/>
    <n v="984"/>
    <x v="2"/>
    <x v="1"/>
    <n v="17"/>
    <x v="3"/>
    <n v="2"/>
    <x v="0"/>
    <x v="0"/>
    <n v="1"/>
    <n v="4"/>
    <x v="2"/>
    <x v="0"/>
    <n v="97"/>
    <x v="0"/>
    <n v="3"/>
    <x v="0"/>
    <n v="1"/>
    <x v="2"/>
    <n v="2"/>
    <x v="1"/>
    <x v="1"/>
    <n v="2210"/>
    <x v="2"/>
    <n v="3372"/>
    <x v="2"/>
    <n v="1"/>
    <x v="1"/>
    <s v="Y"/>
    <x v="1"/>
    <n v="13"/>
    <x v="2"/>
    <n v="3"/>
    <x v="0"/>
    <n v="1"/>
    <x v="0"/>
    <n v="80"/>
    <n v="1"/>
    <n v="1"/>
    <x v="2"/>
    <n v="3"/>
    <x v="1"/>
    <n v="1"/>
    <x v="0"/>
    <n v="1"/>
    <x v="1"/>
    <n v="0"/>
    <x v="2"/>
    <n v="0"/>
    <x v="0"/>
    <n v="0"/>
    <x v="2"/>
  </r>
  <r>
    <n v="1220"/>
    <n v="33"/>
    <x v="2"/>
    <x v="1"/>
    <n v="0"/>
    <x v="1"/>
    <n v="1146"/>
    <x v="0"/>
    <x v="0"/>
    <n v="25"/>
    <x v="2"/>
    <n v="3"/>
    <x v="3"/>
    <x v="2"/>
    <n v="1"/>
    <n v="2"/>
    <x v="0"/>
    <x v="0"/>
    <n v="82"/>
    <x v="0"/>
    <n v="3"/>
    <x v="0"/>
    <n v="2"/>
    <x v="0"/>
    <n v="3"/>
    <x v="2"/>
    <x v="1"/>
    <n v="4539"/>
    <x v="1"/>
    <n v="4905"/>
    <x v="2"/>
    <n v="1"/>
    <x v="1"/>
    <s v="Y"/>
    <x v="1"/>
    <n v="12"/>
    <x v="0"/>
    <n v="3"/>
    <x v="0"/>
    <n v="1"/>
    <x v="0"/>
    <n v="80"/>
    <n v="1"/>
    <n v="10"/>
    <x v="0"/>
    <n v="3"/>
    <x v="1"/>
    <n v="2"/>
    <x v="2"/>
    <n v="10"/>
    <x v="0"/>
    <n v="7"/>
    <x v="1"/>
    <n v="0"/>
    <x v="0"/>
    <n v="1"/>
    <x v="2"/>
  </r>
  <r>
    <n v="1221"/>
    <n v="36"/>
    <x v="0"/>
    <x v="1"/>
    <n v="0"/>
    <x v="0"/>
    <n v="917"/>
    <x v="2"/>
    <x v="1"/>
    <n v="6"/>
    <x v="1"/>
    <n v="4"/>
    <x v="2"/>
    <x v="0"/>
    <n v="1"/>
    <n v="3"/>
    <x v="1"/>
    <x v="1"/>
    <n v="60"/>
    <x v="1"/>
    <n v="1"/>
    <x v="3"/>
    <n v="1"/>
    <x v="2"/>
    <n v="3"/>
    <x v="2"/>
    <x v="2"/>
    <n v="2741"/>
    <x v="3"/>
    <n v="6865"/>
    <x v="2"/>
    <n v="1"/>
    <x v="1"/>
    <s v="Y"/>
    <x v="1"/>
    <n v="14"/>
    <x v="2"/>
    <n v="3"/>
    <x v="0"/>
    <n v="3"/>
    <x v="3"/>
    <n v="80"/>
    <n v="1"/>
    <n v="7"/>
    <x v="0"/>
    <n v="4"/>
    <x v="1"/>
    <n v="3"/>
    <x v="1"/>
    <n v="7"/>
    <x v="0"/>
    <n v="7"/>
    <x v="1"/>
    <n v="1"/>
    <x v="0"/>
    <n v="7"/>
    <x v="1"/>
  </r>
  <r>
    <n v="1224"/>
    <n v="30"/>
    <x v="2"/>
    <x v="1"/>
    <n v="0"/>
    <x v="0"/>
    <n v="853"/>
    <x v="2"/>
    <x v="1"/>
    <n v="7"/>
    <x v="1"/>
    <n v="4"/>
    <x v="2"/>
    <x v="0"/>
    <n v="1"/>
    <n v="3"/>
    <x v="1"/>
    <x v="1"/>
    <n v="49"/>
    <x v="2"/>
    <n v="3"/>
    <x v="0"/>
    <n v="2"/>
    <x v="2"/>
    <n v="3"/>
    <x v="2"/>
    <x v="2"/>
    <n v="3491"/>
    <x v="3"/>
    <n v="11309"/>
    <x v="3"/>
    <n v="1"/>
    <x v="1"/>
    <s v="Y"/>
    <x v="1"/>
    <n v="13"/>
    <x v="2"/>
    <n v="3"/>
    <x v="0"/>
    <n v="1"/>
    <x v="0"/>
    <n v="80"/>
    <n v="3"/>
    <n v="10"/>
    <x v="0"/>
    <n v="4"/>
    <x v="1"/>
    <n v="2"/>
    <x v="2"/>
    <n v="10"/>
    <x v="0"/>
    <n v="7"/>
    <x v="1"/>
    <n v="8"/>
    <x v="2"/>
    <n v="9"/>
    <x v="1"/>
  </r>
  <r>
    <n v="1225"/>
    <n v="44"/>
    <x v="0"/>
    <x v="1"/>
    <n v="0"/>
    <x v="0"/>
    <n v="200"/>
    <x v="1"/>
    <x v="1"/>
    <n v="29"/>
    <x v="2"/>
    <n v="4"/>
    <x v="2"/>
    <x v="1"/>
    <n v="1"/>
    <n v="4"/>
    <x v="2"/>
    <x v="1"/>
    <n v="32"/>
    <x v="2"/>
    <n v="3"/>
    <x v="0"/>
    <n v="2"/>
    <x v="1"/>
    <n v="4"/>
    <x v="0"/>
    <x v="0"/>
    <n v="4541"/>
    <x v="1"/>
    <n v="7744"/>
    <x v="2"/>
    <n v="1"/>
    <x v="1"/>
    <s v="Y"/>
    <x v="1"/>
    <n v="25"/>
    <x v="1"/>
    <n v="4"/>
    <x v="1"/>
    <n v="2"/>
    <x v="4"/>
    <n v="80"/>
    <n v="0"/>
    <n v="20"/>
    <x v="1"/>
    <n v="3"/>
    <x v="1"/>
    <n v="3"/>
    <x v="1"/>
    <n v="20"/>
    <x v="4"/>
    <n v="11"/>
    <x v="3"/>
    <n v="13"/>
    <x v="3"/>
    <n v="17"/>
    <x v="3"/>
  </r>
  <r>
    <n v="1226"/>
    <n v="20"/>
    <x v="4"/>
    <x v="1"/>
    <n v="0"/>
    <x v="0"/>
    <n v="654"/>
    <x v="2"/>
    <x v="0"/>
    <n v="21"/>
    <x v="2"/>
    <n v="3"/>
    <x v="3"/>
    <x v="3"/>
    <n v="1"/>
    <n v="3"/>
    <x v="1"/>
    <x v="1"/>
    <n v="43"/>
    <x v="2"/>
    <n v="4"/>
    <x v="2"/>
    <n v="1"/>
    <x v="6"/>
    <n v="4"/>
    <x v="0"/>
    <x v="0"/>
    <n v="2678"/>
    <x v="3"/>
    <n v="5050"/>
    <x v="2"/>
    <n v="1"/>
    <x v="1"/>
    <s v="Y"/>
    <x v="1"/>
    <n v="17"/>
    <x v="3"/>
    <n v="3"/>
    <x v="0"/>
    <n v="4"/>
    <x v="1"/>
    <n v="80"/>
    <n v="0"/>
    <n v="2"/>
    <x v="2"/>
    <n v="2"/>
    <x v="0"/>
    <n v="3"/>
    <x v="1"/>
    <n v="2"/>
    <x v="2"/>
    <n v="1"/>
    <x v="2"/>
    <n v="2"/>
    <x v="1"/>
    <n v="2"/>
    <x v="0"/>
  </r>
  <r>
    <n v="1228"/>
    <n v="46"/>
    <x v="1"/>
    <x v="1"/>
    <n v="0"/>
    <x v="0"/>
    <n v="150"/>
    <x v="1"/>
    <x v="1"/>
    <n v="2"/>
    <x v="0"/>
    <n v="4"/>
    <x v="2"/>
    <x v="4"/>
    <n v="1"/>
    <n v="4"/>
    <x v="2"/>
    <x v="1"/>
    <n v="60"/>
    <x v="1"/>
    <n v="3"/>
    <x v="0"/>
    <n v="2"/>
    <x v="3"/>
    <n v="4"/>
    <x v="0"/>
    <x v="2"/>
    <n v="7379"/>
    <x v="11"/>
    <n v="17433"/>
    <x v="0"/>
    <n v="2"/>
    <x v="3"/>
    <s v="Y"/>
    <x v="1"/>
    <n v="11"/>
    <x v="0"/>
    <n v="3"/>
    <x v="0"/>
    <n v="3"/>
    <x v="3"/>
    <n v="80"/>
    <n v="1"/>
    <n v="12"/>
    <x v="1"/>
    <n v="3"/>
    <x v="1"/>
    <n v="2"/>
    <x v="2"/>
    <n v="6"/>
    <x v="0"/>
    <n v="3"/>
    <x v="0"/>
    <n v="1"/>
    <x v="0"/>
    <n v="4"/>
    <x v="0"/>
  </r>
  <r>
    <n v="1231"/>
    <n v="42"/>
    <x v="0"/>
    <x v="1"/>
    <n v="0"/>
    <x v="2"/>
    <n v="179"/>
    <x v="1"/>
    <x v="2"/>
    <n v="2"/>
    <x v="0"/>
    <n v="5"/>
    <x v="4"/>
    <x v="2"/>
    <n v="1"/>
    <n v="4"/>
    <x v="2"/>
    <x v="1"/>
    <n v="79"/>
    <x v="0"/>
    <n v="4"/>
    <x v="2"/>
    <n v="2"/>
    <x v="8"/>
    <n v="1"/>
    <x v="3"/>
    <x v="1"/>
    <n v="6272"/>
    <x v="0"/>
    <n v="12858"/>
    <x v="3"/>
    <n v="7"/>
    <x v="0"/>
    <s v="Y"/>
    <x v="1"/>
    <n v="16"/>
    <x v="3"/>
    <n v="3"/>
    <x v="0"/>
    <n v="1"/>
    <x v="0"/>
    <n v="80"/>
    <n v="1"/>
    <n v="10"/>
    <x v="0"/>
    <n v="3"/>
    <x v="1"/>
    <n v="4"/>
    <x v="3"/>
    <n v="4"/>
    <x v="2"/>
    <n v="3"/>
    <x v="0"/>
    <n v="0"/>
    <x v="0"/>
    <n v="3"/>
    <x v="0"/>
  </r>
  <r>
    <n v="1233"/>
    <n v="60"/>
    <x v="3"/>
    <x v="1"/>
    <n v="0"/>
    <x v="0"/>
    <n v="696"/>
    <x v="2"/>
    <x v="0"/>
    <n v="7"/>
    <x v="1"/>
    <n v="4"/>
    <x v="2"/>
    <x v="3"/>
    <n v="1"/>
    <n v="2"/>
    <x v="0"/>
    <x v="1"/>
    <n v="52"/>
    <x v="1"/>
    <n v="4"/>
    <x v="2"/>
    <n v="2"/>
    <x v="0"/>
    <n v="4"/>
    <x v="0"/>
    <x v="2"/>
    <n v="5220"/>
    <x v="1"/>
    <n v="10893"/>
    <x v="3"/>
    <n v="0"/>
    <x v="1"/>
    <s v="Y"/>
    <x v="0"/>
    <n v="18"/>
    <x v="1"/>
    <n v="3"/>
    <x v="0"/>
    <n v="2"/>
    <x v="4"/>
    <n v="80"/>
    <n v="1"/>
    <n v="12"/>
    <x v="1"/>
    <n v="3"/>
    <x v="1"/>
    <n v="3"/>
    <x v="1"/>
    <n v="11"/>
    <x v="4"/>
    <n v="7"/>
    <x v="1"/>
    <n v="1"/>
    <x v="0"/>
    <n v="9"/>
    <x v="1"/>
  </r>
  <r>
    <n v="1234"/>
    <n v="32"/>
    <x v="2"/>
    <x v="1"/>
    <n v="0"/>
    <x v="1"/>
    <n v="116"/>
    <x v="1"/>
    <x v="1"/>
    <n v="13"/>
    <x v="3"/>
    <n v="3"/>
    <x v="3"/>
    <x v="1"/>
    <n v="1"/>
    <n v="3"/>
    <x v="1"/>
    <x v="0"/>
    <n v="77"/>
    <x v="0"/>
    <n v="2"/>
    <x v="1"/>
    <n v="1"/>
    <x v="2"/>
    <n v="2"/>
    <x v="1"/>
    <x v="1"/>
    <n v="2743"/>
    <x v="3"/>
    <n v="7331"/>
    <x v="2"/>
    <n v="1"/>
    <x v="1"/>
    <s v="Y"/>
    <x v="1"/>
    <n v="20"/>
    <x v="1"/>
    <n v="4"/>
    <x v="1"/>
    <n v="3"/>
    <x v="3"/>
    <n v="80"/>
    <n v="1"/>
    <n v="2"/>
    <x v="2"/>
    <n v="2"/>
    <x v="0"/>
    <n v="3"/>
    <x v="1"/>
    <n v="2"/>
    <x v="2"/>
    <n v="2"/>
    <x v="0"/>
    <n v="2"/>
    <x v="1"/>
    <n v="2"/>
    <x v="0"/>
  </r>
  <r>
    <n v="1235"/>
    <n v="32"/>
    <x v="2"/>
    <x v="1"/>
    <n v="0"/>
    <x v="1"/>
    <n v="1316"/>
    <x v="0"/>
    <x v="1"/>
    <n v="2"/>
    <x v="0"/>
    <n v="2"/>
    <x v="0"/>
    <x v="0"/>
    <n v="1"/>
    <n v="4"/>
    <x v="2"/>
    <x v="0"/>
    <n v="38"/>
    <x v="2"/>
    <n v="3"/>
    <x v="0"/>
    <n v="2"/>
    <x v="1"/>
    <n v="3"/>
    <x v="2"/>
    <x v="0"/>
    <n v="4998"/>
    <x v="1"/>
    <n v="2338"/>
    <x v="2"/>
    <n v="4"/>
    <x v="2"/>
    <s v="Y"/>
    <x v="0"/>
    <n v="14"/>
    <x v="2"/>
    <n v="3"/>
    <x v="0"/>
    <n v="4"/>
    <x v="1"/>
    <n v="80"/>
    <n v="0"/>
    <n v="10"/>
    <x v="0"/>
    <n v="2"/>
    <x v="0"/>
    <n v="3"/>
    <x v="1"/>
    <n v="8"/>
    <x v="0"/>
    <n v="7"/>
    <x v="1"/>
    <n v="0"/>
    <x v="0"/>
    <n v="7"/>
    <x v="1"/>
  </r>
  <r>
    <n v="1237"/>
    <n v="36"/>
    <x v="0"/>
    <x v="1"/>
    <n v="0"/>
    <x v="0"/>
    <n v="363"/>
    <x v="1"/>
    <x v="1"/>
    <n v="1"/>
    <x v="0"/>
    <n v="3"/>
    <x v="3"/>
    <x v="4"/>
    <n v="1"/>
    <n v="3"/>
    <x v="1"/>
    <x v="0"/>
    <n v="77"/>
    <x v="0"/>
    <n v="1"/>
    <x v="3"/>
    <n v="3"/>
    <x v="3"/>
    <n v="1"/>
    <x v="3"/>
    <x v="2"/>
    <n v="10252"/>
    <x v="8"/>
    <n v="4235"/>
    <x v="2"/>
    <n v="2"/>
    <x v="3"/>
    <s v="Y"/>
    <x v="0"/>
    <n v="21"/>
    <x v="1"/>
    <n v="4"/>
    <x v="1"/>
    <n v="3"/>
    <x v="3"/>
    <n v="80"/>
    <n v="1"/>
    <n v="17"/>
    <x v="1"/>
    <n v="2"/>
    <x v="0"/>
    <n v="3"/>
    <x v="1"/>
    <n v="7"/>
    <x v="0"/>
    <n v="7"/>
    <x v="1"/>
    <n v="7"/>
    <x v="2"/>
    <n v="7"/>
    <x v="1"/>
  </r>
  <r>
    <n v="1238"/>
    <n v="33"/>
    <x v="2"/>
    <x v="1"/>
    <n v="0"/>
    <x v="0"/>
    <n v="117"/>
    <x v="1"/>
    <x v="1"/>
    <n v="9"/>
    <x v="1"/>
    <n v="3"/>
    <x v="3"/>
    <x v="2"/>
    <n v="1"/>
    <n v="1"/>
    <x v="3"/>
    <x v="1"/>
    <n v="60"/>
    <x v="1"/>
    <n v="3"/>
    <x v="0"/>
    <n v="1"/>
    <x v="1"/>
    <n v="4"/>
    <x v="0"/>
    <x v="1"/>
    <n v="2781"/>
    <x v="3"/>
    <n v="6311"/>
    <x v="2"/>
    <n v="0"/>
    <x v="1"/>
    <s v="Y"/>
    <x v="1"/>
    <n v="13"/>
    <x v="2"/>
    <n v="3"/>
    <x v="0"/>
    <n v="2"/>
    <x v="4"/>
    <n v="80"/>
    <n v="1"/>
    <n v="15"/>
    <x v="1"/>
    <n v="5"/>
    <x v="2"/>
    <n v="3"/>
    <x v="1"/>
    <n v="14"/>
    <x v="4"/>
    <n v="10"/>
    <x v="1"/>
    <n v="4"/>
    <x v="1"/>
    <n v="10"/>
    <x v="1"/>
  </r>
  <r>
    <n v="1239"/>
    <n v="40"/>
    <x v="0"/>
    <x v="1"/>
    <n v="0"/>
    <x v="0"/>
    <n v="107"/>
    <x v="1"/>
    <x v="0"/>
    <n v="10"/>
    <x v="1"/>
    <n v="3"/>
    <x v="3"/>
    <x v="4"/>
    <n v="1"/>
    <n v="2"/>
    <x v="0"/>
    <x v="0"/>
    <n v="84"/>
    <x v="0"/>
    <n v="2"/>
    <x v="1"/>
    <n v="2"/>
    <x v="0"/>
    <n v="2"/>
    <x v="1"/>
    <x v="2"/>
    <n v="6852"/>
    <x v="0"/>
    <n v="11591"/>
    <x v="3"/>
    <n v="7"/>
    <x v="0"/>
    <s v="Y"/>
    <x v="1"/>
    <n v="12"/>
    <x v="0"/>
    <n v="3"/>
    <x v="0"/>
    <n v="2"/>
    <x v="4"/>
    <n v="80"/>
    <n v="1"/>
    <n v="7"/>
    <x v="0"/>
    <n v="2"/>
    <x v="0"/>
    <n v="4"/>
    <x v="3"/>
    <n v="5"/>
    <x v="2"/>
    <n v="1"/>
    <x v="2"/>
    <n v="1"/>
    <x v="0"/>
    <n v="3"/>
    <x v="0"/>
  </r>
  <r>
    <n v="1240"/>
    <n v="25"/>
    <x v="4"/>
    <x v="1"/>
    <n v="0"/>
    <x v="0"/>
    <n v="1356"/>
    <x v="0"/>
    <x v="0"/>
    <n v="10"/>
    <x v="1"/>
    <n v="4"/>
    <x v="2"/>
    <x v="0"/>
    <n v="1"/>
    <n v="3"/>
    <x v="1"/>
    <x v="1"/>
    <n v="57"/>
    <x v="1"/>
    <n v="3"/>
    <x v="0"/>
    <n v="2"/>
    <x v="0"/>
    <n v="4"/>
    <x v="0"/>
    <x v="0"/>
    <n v="4950"/>
    <x v="1"/>
    <n v="20623"/>
    <x v="0"/>
    <n v="0"/>
    <x v="1"/>
    <s v="Y"/>
    <x v="1"/>
    <n v="14"/>
    <x v="2"/>
    <n v="3"/>
    <x v="0"/>
    <n v="2"/>
    <x v="4"/>
    <n v="80"/>
    <n v="0"/>
    <n v="5"/>
    <x v="3"/>
    <n v="4"/>
    <x v="1"/>
    <n v="3"/>
    <x v="1"/>
    <n v="4"/>
    <x v="2"/>
    <n v="3"/>
    <x v="0"/>
    <n v="1"/>
    <x v="0"/>
    <n v="1"/>
    <x v="2"/>
  </r>
  <r>
    <n v="1241"/>
    <n v="30"/>
    <x v="2"/>
    <x v="1"/>
    <n v="0"/>
    <x v="0"/>
    <n v="1465"/>
    <x v="0"/>
    <x v="1"/>
    <n v="1"/>
    <x v="0"/>
    <n v="3"/>
    <x v="3"/>
    <x v="2"/>
    <n v="1"/>
    <n v="4"/>
    <x v="2"/>
    <x v="1"/>
    <n v="63"/>
    <x v="1"/>
    <n v="3"/>
    <x v="0"/>
    <n v="1"/>
    <x v="1"/>
    <n v="2"/>
    <x v="1"/>
    <x v="1"/>
    <n v="3579"/>
    <x v="3"/>
    <n v="9369"/>
    <x v="3"/>
    <n v="0"/>
    <x v="1"/>
    <s v="Y"/>
    <x v="0"/>
    <n v="21"/>
    <x v="1"/>
    <n v="4"/>
    <x v="1"/>
    <n v="1"/>
    <x v="0"/>
    <n v="80"/>
    <n v="1"/>
    <n v="12"/>
    <x v="1"/>
    <n v="2"/>
    <x v="0"/>
    <n v="3"/>
    <x v="1"/>
    <n v="11"/>
    <x v="4"/>
    <n v="9"/>
    <x v="1"/>
    <n v="5"/>
    <x v="1"/>
    <n v="7"/>
    <x v="1"/>
  </r>
  <r>
    <n v="1242"/>
    <n v="42"/>
    <x v="0"/>
    <x v="1"/>
    <n v="0"/>
    <x v="1"/>
    <n v="458"/>
    <x v="1"/>
    <x v="1"/>
    <n v="26"/>
    <x v="2"/>
    <n v="5"/>
    <x v="4"/>
    <x v="2"/>
    <n v="1"/>
    <n v="1"/>
    <x v="3"/>
    <x v="0"/>
    <n v="60"/>
    <x v="1"/>
    <n v="3"/>
    <x v="0"/>
    <n v="3"/>
    <x v="7"/>
    <n v="1"/>
    <x v="3"/>
    <x v="1"/>
    <n v="13191"/>
    <x v="10"/>
    <n v="23281"/>
    <x v="1"/>
    <n v="3"/>
    <x v="3"/>
    <s v="Y"/>
    <x v="0"/>
    <n v="17"/>
    <x v="3"/>
    <n v="3"/>
    <x v="0"/>
    <n v="3"/>
    <x v="3"/>
    <n v="80"/>
    <n v="0"/>
    <n v="20"/>
    <x v="1"/>
    <n v="6"/>
    <x v="2"/>
    <n v="3"/>
    <x v="1"/>
    <n v="1"/>
    <x v="1"/>
    <n v="0"/>
    <x v="2"/>
    <n v="0"/>
    <x v="0"/>
    <n v="0"/>
    <x v="2"/>
  </r>
  <r>
    <n v="1243"/>
    <n v="35"/>
    <x v="2"/>
    <x v="1"/>
    <n v="0"/>
    <x v="2"/>
    <n v="1212"/>
    <x v="0"/>
    <x v="0"/>
    <n v="8"/>
    <x v="1"/>
    <n v="2"/>
    <x v="0"/>
    <x v="3"/>
    <n v="1"/>
    <n v="3"/>
    <x v="1"/>
    <x v="0"/>
    <n v="78"/>
    <x v="0"/>
    <n v="2"/>
    <x v="1"/>
    <n v="3"/>
    <x v="0"/>
    <n v="4"/>
    <x v="0"/>
    <x v="1"/>
    <n v="10377"/>
    <x v="8"/>
    <n v="13755"/>
    <x v="3"/>
    <n v="4"/>
    <x v="2"/>
    <s v="Y"/>
    <x v="0"/>
    <n v="11"/>
    <x v="0"/>
    <n v="3"/>
    <x v="0"/>
    <n v="2"/>
    <x v="4"/>
    <n v="80"/>
    <n v="1"/>
    <n v="16"/>
    <x v="1"/>
    <n v="6"/>
    <x v="2"/>
    <n v="2"/>
    <x v="2"/>
    <n v="13"/>
    <x v="4"/>
    <n v="2"/>
    <x v="0"/>
    <n v="4"/>
    <x v="1"/>
    <n v="12"/>
    <x v="3"/>
  </r>
  <r>
    <n v="1244"/>
    <n v="27"/>
    <x v="2"/>
    <x v="1"/>
    <n v="0"/>
    <x v="0"/>
    <n v="1103"/>
    <x v="0"/>
    <x v="1"/>
    <n v="14"/>
    <x v="3"/>
    <n v="3"/>
    <x v="3"/>
    <x v="0"/>
    <n v="1"/>
    <n v="1"/>
    <x v="3"/>
    <x v="1"/>
    <n v="42"/>
    <x v="2"/>
    <n v="3"/>
    <x v="0"/>
    <n v="1"/>
    <x v="1"/>
    <n v="1"/>
    <x v="3"/>
    <x v="1"/>
    <n v="2235"/>
    <x v="2"/>
    <n v="14377"/>
    <x v="3"/>
    <n v="1"/>
    <x v="1"/>
    <s v="Y"/>
    <x v="0"/>
    <n v="14"/>
    <x v="2"/>
    <n v="3"/>
    <x v="0"/>
    <n v="4"/>
    <x v="1"/>
    <n v="80"/>
    <n v="2"/>
    <n v="9"/>
    <x v="0"/>
    <n v="3"/>
    <x v="1"/>
    <n v="2"/>
    <x v="2"/>
    <n v="9"/>
    <x v="0"/>
    <n v="7"/>
    <x v="1"/>
    <n v="6"/>
    <x v="2"/>
    <n v="8"/>
    <x v="1"/>
  </r>
  <r>
    <n v="1245"/>
    <n v="54"/>
    <x v="1"/>
    <x v="1"/>
    <n v="0"/>
    <x v="1"/>
    <n v="966"/>
    <x v="2"/>
    <x v="1"/>
    <n v="1"/>
    <x v="0"/>
    <n v="4"/>
    <x v="2"/>
    <x v="0"/>
    <n v="1"/>
    <n v="4"/>
    <x v="2"/>
    <x v="0"/>
    <n v="53"/>
    <x v="1"/>
    <n v="3"/>
    <x v="0"/>
    <n v="3"/>
    <x v="3"/>
    <n v="3"/>
    <x v="2"/>
    <x v="2"/>
    <n v="10502"/>
    <x v="8"/>
    <n v="9659"/>
    <x v="3"/>
    <n v="7"/>
    <x v="0"/>
    <s v="Y"/>
    <x v="1"/>
    <n v="17"/>
    <x v="3"/>
    <n v="3"/>
    <x v="0"/>
    <n v="1"/>
    <x v="0"/>
    <n v="80"/>
    <n v="1"/>
    <n v="33"/>
    <x v="4"/>
    <n v="2"/>
    <x v="0"/>
    <n v="1"/>
    <x v="0"/>
    <n v="5"/>
    <x v="2"/>
    <n v="4"/>
    <x v="0"/>
    <n v="1"/>
    <x v="0"/>
    <n v="4"/>
    <x v="0"/>
  </r>
  <r>
    <n v="1246"/>
    <n v="44"/>
    <x v="0"/>
    <x v="1"/>
    <n v="0"/>
    <x v="0"/>
    <n v="1117"/>
    <x v="0"/>
    <x v="1"/>
    <n v="2"/>
    <x v="0"/>
    <n v="1"/>
    <x v="1"/>
    <x v="0"/>
    <n v="1"/>
    <n v="1"/>
    <x v="3"/>
    <x v="0"/>
    <n v="72"/>
    <x v="1"/>
    <n v="4"/>
    <x v="2"/>
    <n v="1"/>
    <x v="1"/>
    <n v="4"/>
    <x v="0"/>
    <x v="1"/>
    <n v="2011"/>
    <x v="2"/>
    <n v="19982"/>
    <x v="0"/>
    <n v="1"/>
    <x v="1"/>
    <s v="Y"/>
    <x v="1"/>
    <n v="13"/>
    <x v="2"/>
    <n v="3"/>
    <x v="0"/>
    <n v="4"/>
    <x v="1"/>
    <n v="80"/>
    <n v="1"/>
    <n v="10"/>
    <x v="0"/>
    <n v="5"/>
    <x v="2"/>
    <n v="3"/>
    <x v="1"/>
    <n v="10"/>
    <x v="0"/>
    <n v="5"/>
    <x v="0"/>
    <n v="7"/>
    <x v="2"/>
    <n v="7"/>
    <x v="1"/>
  </r>
  <r>
    <n v="1248"/>
    <n v="19"/>
    <x v="4"/>
    <x v="0"/>
    <n v="1"/>
    <x v="2"/>
    <n v="504"/>
    <x v="2"/>
    <x v="1"/>
    <n v="10"/>
    <x v="1"/>
    <n v="3"/>
    <x v="3"/>
    <x v="2"/>
    <n v="1"/>
    <n v="1"/>
    <x v="3"/>
    <x v="0"/>
    <n v="96"/>
    <x v="0"/>
    <n v="2"/>
    <x v="1"/>
    <n v="1"/>
    <x v="1"/>
    <n v="2"/>
    <x v="1"/>
    <x v="0"/>
    <n v="1859"/>
    <x v="2"/>
    <n v="6148"/>
    <x v="2"/>
    <n v="1"/>
    <x v="1"/>
    <s v="Y"/>
    <x v="0"/>
    <n v="25"/>
    <x v="1"/>
    <n v="4"/>
    <x v="1"/>
    <n v="2"/>
    <x v="4"/>
    <n v="80"/>
    <n v="0"/>
    <n v="1"/>
    <x v="2"/>
    <n v="2"/>
    <x v="0"/>
    <n v="4"/>
    <x v="3"/>
    <n v="1"/>
    <x v="1"/>
    <n v="1"/>
    <x v="2"/>
    <n v="0"/>
    <x v="0"/>
    <n v="0"/>
    <x v="2"/>
  </r>
  <r>
    <n v="1249"/>
    <n v="29"/>
    <x v="2"/>
    <x v="1"/>
    <n v="0"/>
    <x v="0"/>
    <n v="1010"/>
    <x v="0"/>
    <x v="1"/>
    <n v="1"/>
    <x v="0"/>
    <n v="3"/>
    <x v="3"/>
    <x v="0"/>
    <n v="1"/>
    <n v="1"/>
    <x v="3"/>
    <x v="0"/>
    <n v="97"/>
    <x v="0"/>
    <n v="3"/>
    <x v="0"/>
    <n v="1"/>
    <x v="1"/>
    <n v="4"/>
    <x v="0"/>
    <x v="2"/>
    <n v="3760"/>
    <x v="3"/>
    <n v="5598"/>
    <x v="2"/>
    <n v="1"/>
    <x v="1"/>
    <s v="Y"/>
    <x v="1"/>
    <n v="15"/>
    <x v="2"/>
    <n v="3"/>
    <x v="0"/>
    <n v="1"/>
    <x v="0"/>
    <n v="80"/>
    <n v="3"/>
    <n v="3"/>
    <x v="3"/>
    <n v="5"/>
    <x v="2"/>
    <n v="3"/>
    <x v="1"/>
    <n v="3"/>
    <x v="2"/>
    <n v="2"/>
    <x v="0"/>
    <n v="1"/>
    <x v="0"/>
    <n v="2"/>
    <x v="0"/>
  </r>
  <r>
    <n v="1250"/>
    <n v="54"/>
    <x v="1"/>
    <x v="1"/>
    <n v="0"/>
    <x v="0"/>
    <n v="685"/>
    <x v="2"/>
    <x v="1"/>
    <n v="3"/>
    <x v="0"/>
    <n v="3"/>
    <x v="3"/>
    <x v="0"/>
    <n v="1"/>
    <n v="4"/>
    <x v="2"/>
    <x v="1"/>
    <n v="85"/>
    <x v="0"/>
    <n v="3"/>
    <x v="0"/>
    <n v="4"/>
    <x v="7"/>
    <n v="4"/>
    <x v="0"/>
    <x v="1"/>
    <n v="17779"/>
    <x v="9"/>
    <n v="23474"/>
    <x v="1"/>
    <n v="3"/>
    <x v="3"/>
    <s v="Y"/>
    <x v="1"/>
    <n v="14"/>
    <x v="2"/>
    <n v="3"/>
    <x v="0"/>
    <n v="1"/>
    <x v="0"/>
    <n v="80"/>
    <n v="0"/>
    <n v="36"/>
    <x v="4"/>
    <n v="2"/>
    <x v="0"/>
    <n v="3"/>
    <x v="1"/>
    <n v="10"/>
    <x v="0"/>
    <n v="9"/>
    <x v="1"/>
    <n v="0"/>
    <x v="0"/>
    <n v="9"/>
    <x v="1"/>
  </r>
  <r>
    <n v="1251"/>
    <n v="31"/>
    <x v="2"/>
    <x v="1"/>
    <n v="0"/>
    <x v="0"/>
    <n v="1332"/>
    <x v="0"/>
    <x v="1"/>
    <n v="11"/>
    <x v="3"/>
    <n v="2"/>
    <x v="0"/>
    <x v="2"/>
    <n v="1"/>
    <n v="3"/>
    <x v="1"/>
    <x v="1"/>
    <n v="80"/>
    <x v="0"/>
    <n v="3"/>
    <x v="0"/>
    <n v="2"/>
    <x v="4"/>
    <n v="1"/>
    <x v="3"/>
    <x v="1"/>
    <n v="6833"/>
    <x v="0"/>
    <n v="17089"/>
    <x v="0"/>
    <n v="1"/>
    <x v="1"/>
    <s v="Y"/>
    <x v="0"/>
    <n v="12"/>
    <x v="0"/>
    <n v="3"/>
    <x v="0"/>
    <n v="4"/>
    <x v="1"/>
    <n v="80"/>
    <n v="0"/>
    <n v="6"/>
    <x v="0"/>
    <n v="2"/>
    <x v="0"/>
    <n v="2"/>
    <x v="2"/>
    <n v="6"/>
    <x v="0"/>
    <n v="5"/>
    <x v="0"/>
    <n v="0"/>
    <x v="0"/>
    <n v="1"/>
    <x v="2"/>
  </r>
  <r>
    <n v="1252"/>
    <n v="31"/>
    <x v="2"/>
    <x v="1"/>
    <n v="0"/>
    <x v="0"/>
    <n v="1062"/>
    <x v="0"/>
    <x v="1"/>
    <n v="24"/>
    <x v="2"/>
    <n v="3"/>
    <x v="3"/>
    <x v="2"/>
    <n v="1"/>
    <n v="3"/>
    <x v="1"/>
    <x v="0"/>
    <n v="96"/>
    <x v="0"/>
    <n v="2"/>
    <x v="1"/>
    <n v="2"/>
    <x v="4"/>
    <n v="1"/>
    <x v="3"/>
    <x v="0"/>
    <n v="6812"/>
    <x v="0"/>
    <n v="17198"/>
    <x v="0"/>
    <n v="1"/>
    <x v="1"/>
    <s v="Y"/>
    <x v="1"/>
    <n v="19"/>
    <x v="1"/>
    <n v="3"/>
    <x v="0"/>
    <n v="2"/>
    <x v="4"/>
    <n v="80"/>
    <n v="0"/>
    <n v="10"/>
    <x v="0"/>
    <n v="2"/>
    <x v="0"/>
    <n v="3"/>
    <x v="1"/>
    <n v="10"/>
    <x v="0"/>
    <n v="9"/>
    <x v="1"/>
    <n v="1"/>
    <x v="0"/>
    <n v="8"/>
    <x v="1"/>
  </r>
  <r>
    <n v="1254"/>
    <n v="59"/>
    <x v="3"/>
    <x v="1"/>
    <n v="0"/>
    <x v="0"/>
    <n v="326"/>
    <x v="1"/>
    <x v="0"/>
    <n v="3"/>
    <x v="0"/>
    <n v="3"/>
    <x v="3"/>
    <x v="0"/>
    <n v="1"/>
    <n v="3"/>
    <x v="1"/>
    <x v="0"/>
    <n v="48"/>
    <x v="2"/>
    <n v="2"/>
    <x v="1"/>
    <n v="2"/>
    <x v="0"/>
    <n v="4"/>
    <x v="0"/>
    <x v="0"/>
    <n v="5171"/>
    <x v="1"/>
    <n v="16490"/>
    <x v="0"/>
    <n v="5"/>
    <x v="2"/>
    <s v="Y"/>
    <x v="1"/>
    <n v="17"/>
    <x v="3"/>
    <n v="3"/>
    <x v="0"/>
    <n v="4"/>
    <x v="1"/>
    <n v="80"/>
    <n v="0"/>
    <n v="13"/>
    <x v="1"/>
    <n v="2"/>
    <x v="0"/>
    <n v="3"/>
    <x v="1"/>
    <n v="6"/>
    <x v="0"/>
    <n v="1"/>
    <x v="2"/>
    <n v="0"/>
    <x v="0"/>
    <n v="5"/>
    <x v="0"/>
  </r>
  <r>
    <n v="1255"/>
    <n v="43"/>
    <x v="0"/>
    <x v="1"/>
    <n v="0"/>
    <x v="0"/>
    <n v="920"/>
    <x v="2"/>
    <x v="1"/>
    <n v="3"/>
    <x v="0"/>
    <n v="3"/>
    <x v="3"/>
    <x v="0"/>
    <n v="1"/>
    <n v="3"/>
    <x v="1"/>
    <x v="1"/>
    <n v="96"/>
    <x v="0"/>
    <n v="1"/>
    <x v="3"/>
    <n v="5"/>
    <x v="7"/>
    <n v="4"/>
    <x v="0"/>
    <x v="1"/>
    <n v="19740"/>
    <x v="7"/>
    <n v="18625"/>
    <x v="0"/>
    <n v="3"/>
    <x v="3"/>
    <s v="Y"/>
    <x v="1"/>
    <n v="14"/>
    <x v="2"/>
    <n v="3"/>
    <x v="0"/>
    <n v="2"/>
    <x v="4"/>
    <n v="80"/>
    <n v="1"/>
    <n v="25"/>
    <x v="4"/>
    <n v="2"/>
    <x v="0"/>
    <n v="3"/>
    <x v="1"/>
    <n v="8"/>
    <x v="0"/>
    <n v="7"/>
    <x v="1"/>
    <n v="0"/>
    <x v="0"/>
    <n v="7"/>
    <x v="1"/>
  </r>
  <r>
    <n v="1256"/>
    <n v="49"/>
    <x v="1"/>
    <x v="1"/>
    <n v="0"/>
    <x v="0"/>
    <n v="1098"/>
    <x v="0"/>
    <x v="1"/>
    <n v="4"/>
    <x v="0"/>
    <n v="2"/>
    <x v="0"/>
    <x v="2"/>
    <n v="1"/>
    <n v="1"/>
    <x v="3"/>
    <x v="1"/>
    <n v="85"/>
    <x v="0"/>
    <n v="2"/>
    <x v="1"/>
    <n v="5"/>
    <x v="5"/>
    <n v="3"/>
    <x v="2"/>
    <x v="1"/>
    <n v="18711"/>
    <x v="9"/>
    <n v="12124"/>
    <x v="3"/>
    <n v="2"/>
    <x v="3"/>
    <s v="Y"/>
    <x v="1"/>
    <n v="13"/>
    <x v="2"/>
    <n v="3"/>
    <x v="0"/>
    <n v="3"/>
    <x v="3"/>
    <n v="80"/>
    <n v="1"/>
    <n v="23"/>
    <x v="4"/>
    <n v="2"/>
    <x v="0"/>
    <n v="4"/>
    <x v="3"/>
    <n v="1"/>
    <x v="1"/>
    <n v="0"/>
    <x v="2"/>
    <n v="0"/>
    <x v="0"/>
    <n v="0"/>
    <x v="2"/>
  </r>
  <r>
    <n v="1257"/>
    <n v="36"/>
    <x v="0"/>
    <x v="1"/>
    <n v="0"/>
    <x v="1"/>
    <n v="469"/>
    <x v="1"/>
    <x v="1"/>
    <n v="3"/>
    <x v="0"/>
    <n v="3"/>
    <x v="3"/>
    <x v="4"/>
    <n v="1"/>
    <n v="3"/>
    <x v="1"/>
    <x v="1"/>
    <n v="46"/>
    <x v="2"/>
    <n v="3"/>
    <x v="0"/>
    <n v="1"/>
    <x v="1"/>
    <n v="2"/>
    <x v="1"/>
    <x v="1"/>
    <n v="3692"/>
    <x v="3"/>
    <n v="9256"/>
    <x v="3"/>
    <n v="1"/>
    <x v="1"/>
    <s v="Y"/>
    <x v="1"/>
    <n v="12"/>
    <x v="0"/>
    <n v="3"/>
    <x v="0"/>
    <n v="3"/>
    <x v="3"/>
    <n v="80"/>
    <n v="0"/>
    <n v="12"/>
    <x v="1"/>
    <n v="2"/>
    <x v="0"/>
    <n v="2"/>
    <x v="2"/>
    <n v="11"/>
    <x v="4"/>
    <n v="10"/>
    <x v="1"/>
    <n v="0"/>
    <x v="0"/>
    <n v="7"/>
    <x v="1"/>
  </r>
  <r>
    <n v="1258"/>
    <n v="48"/>
    <x v="1"/>
    <x v="1"/>
    <n v="0"/>
    <x v="0"/>
    <n v="969"/>
    <x v="2"/>
    <x v="1"/>
    <n v="2"/>
    <x v="0"/>
    <n v="2"/>
    <x v="0"/>
    <x v="4"/>
    <n v="1"/>
    <n v="4"/>
    <x v="2"/>
    <x v="1"/>
    <n v="76"/>
    <x v="0"/>
    <n v="4"/>
    <x v="2"/>
    <n v="1"/>
    <x v="2"/>
    <n v="2"/>
    <x v="1"/>
    <x v="0"/>
    <n v="2559"/>
    <x v="3"/>
    <n v="16620"/>
    <x v="0"/>
    <n v="5"/>
    <x v="2"/>
    <s v="Y"/>
    <x v="1"/>
    <n v="11"/>
    <x v="0"/>
    <n v="3"/>
    <x v="0"/>
    <n v="3"/>
    <x v="3"/>
    <n v="80"/>
    <n v="0"/>
    <n v="7"/>
    <x v="0"/>
    <n v="4"/>
    <x v="1"/>
    <n v="2"/>
    <x v="2"/>
    <n v="1"/>
    <x v="1"/>
    <n v="0"/>
    <x v="2"/>
    <n v="0"/>
    <x v="0"/>
    <n v="0"/>
    <x v="2"/>
  </r>
  <r>
    <n v="1259"/>
    <n v="27"/>
    <x v="2"/>
    <x v="1"/>
    <n v="0"/>
    <x v="0"/>
    <n v="1167"/>
    <x v="0"/>
    <x v="1"/>
    <n v="4"/>
    <x v="0"/>
    <n v="2"/>
    <x v="0"/>
    <x v="0"/>
    <n v="1"/>
    <n v="1"/>
    <x v="3"/>
    <x v="1"/>
    <n v="76"/>
    <x v="0"/>
    <n v="3"/>
    <x v="0"/>
    <n v="1"/>
    <x v="1"/>
    <n v="3"/>
    <x v="2"/>
    <x v="2"/>
    <n v="2517"/>
    <x v="3"/>
    <n v="3208"/>
    <x v="2"/>
    <n v="1"/>
    <x v="1"/>
    <s v="Y"/>
    <x v="1"/>
    <n v="11"/>
    <x v="0"/>
    <n v="3"/>
    <x v="0"/>
    <n v="2"/>
    <x v="4"/>
    <n v="80"/>
    <n v="3"/>
    <n v="5"/>
    <x v="3"/>
    <n v="2"/>
    <x v="0"/>
    <n v="3"/>
    <x v="1"/>
    <n v="5"/>
    <x v="2"/>
    <n v="3"/>
    <x v="0"/>
    <n v="0"/>
    <x v="0"/>
    <n v="3"/>
    <x v="0"/>
  </r>
  <r>
    <n v="1260"/>
    <n v="29"/>
    <x v="2"/>
    <x v="1"/>
    <n v="0"/>
    <x v="0"/>
    <n v="1329"/>
    <x v="0"/>
    <x v="1"/>
    <n v="7"/>
    <x v="1"/>
    <n v="3"/>
    <x v="3"/>
    <x v="0"/>
    <n v="1"/>
    <n v="3"/>
    <x v="1"/>
    <x v="1"/>
    <n v="82"/>
    <x v="0"/>
    <n v="3"/>
    <x v="0"/>
    <n v="2"/>
    <x v="4"/>
    <n v="4"/>
    <x v="0"/>
    <x v="2"/>
    <n v="6623"/>
    <x v="0"/>
    <n v="4204"/>
    <x v="2"/>
    <n v="1"/>
    <x v="1"/>
    <s v="Y"/>
    <x v="0"/>
    <n v="11"/>
    <x v="0"/>
    <n v="3"/>
    <x v="0"/>
    <n v="2"/>
    <x v="4"/>
    <n v="80"/>
    <n v="2"/>
    <n v="6"/>
    <x v="0"/>
    <n v="2"/>
    <x v="0"/>
    <n v="3"/>
    <x v="1"/>
    <n v="6"/>
    <x v="0"/>
    <n v="0"/>
    <x v="2"/>
    <n v="1"/>
    <x v="0"/>
    <n v="0"/>
    <x v="2"/>
  </r>
  <r>
    <n v="1263"/>
    <n v="48"/>
    <x v="1"/>
    <x v="1"/>
    <n v="0"/>
    <x v="0"/>
    <n v="715"/>
    <x v="2"/>
    <x v="1"/>
    <n v="1"/>
    <x v="0"/>
    <n v="3"/>
    <x v="3"/>
    <x v="0"/>
    <n v="1"/>
    <n v="4"/>
    <x v="2"/>
    <x v="1"/>
    <n v="76"/>
    <x v="0"/>
    <n v="2"/>
    <x v="1"/>
    <n v="5"/>
    <x v="7"/>
    <n v="4"/>
    <x v="0"/>
    <x v="0"/>
    <n v="18265"/>
    <x v="9"/>
    <n v="8733"/>
    <x v="3"/>
    <n v="6"/>
    <x v="2"/>
    <s v="Y"/>
    <x v="1"/>
    <n v="12"/>
    <x v="0"/>
    <n v="3"/>
    <x v="0"/>
    <n v="3"/>
    <x v="3"/>
    <n v="80"/>
    <n v="0"/>
    <n v="25"/>
    <x v="4"/>
    <n v="3"/>
    <x v="1"/>
    <n v="4"/>
    <x v="3"/>
    <n v="1"/>
    <x v="1"/>
    <n v="0"/>
    <x v="2"/>
    <n v="0"/>
    <x v="0"/>
    <n v="0"/>
    <x v="2"/>
  </r>
  <r>
    <n v="1264"/>
    <n v="29"/>
    <x v="2"/>
    <x v="1"/>
    <n v="0"/>
    <x v="0"/>
    <n v="694"/>
    <x v="2"/>
    <x v="1"/>
    <n v="1"/>
    <x v="0"/>
    <n v="3"/>
    <x v="3"/>
    <x v="0"/>
    <n v="1"/>
    <n v="4"/>
    <x v="2"/>
    <x v="0"/>
    <n v="87"/>
    <x v="0"/>
    <n v="2"/>
    <x v="1"/>
    <n v="4"/>
    <x v="7"/>
    <n v="4"/>
    <x v="0"/>
    <x v="2"/>
    <n v="16124"/>
    <x v="12"/>
    <n v="3423"/>
    <x v="2"/>
    <n v="3"/>
    <x v="3"/>
    <s v="Y"/>
    <x v="1"/>
    <n v="14"/>
    <x v="2"/>
    <n v="3"/>
    <x v="0"/>
    <n v="2"/>
    <x v="4"/>
    <n v="80"/>
    <n v="2"/>
    <n v="9"/>
    <x v="0"/>
    <n v="2"/>
    <x v="0"/>
    <n v="2"/>
    <x v="2"/>
    <n v="7"/>
    <x v="0"/>
    <n v="7"/>
    <x v="1"/>
    <n v="1"/>
    <x v="0"/>
    <n v="7"/>
    <x v="1"/>
  </r>
  <r>
    <n v="1265"/>
    <n v="34"/>
    <x v="2"/>
    <x v="1"/>
    <n v="0"/>
    <x v="0"/>
    <n v="1320"/>
    <x v="0"/>
    <x v="1"/>
    <n v="20"/>
    <x v="3"/>
    <n v="3"/>
    <x v="3"/>
    <x v="4"/>
    <n v="1"/>
    <n v="3"/>
    <x v="1"/>
    <x v="0"/>
    <n v="89"/>
    <x v="0"/>
    <n v="4"/>
    <x v="2"/>
    <n v="1"/>
    <x v="1"/>
    <n v="3"/>
    <x v="2"/>
    <x v="1"/>
    <n v="2585"/>
    <x v="3"/>
    <n v="21643"/>
    <x v="0"/>
    <n v="0"/>
    <x v="1"/>
    <s v="Y"/>
    <x v="1"/>
    <n v="17"/>
    <x v="3"/>
    <n v="3"/>
    <x v="0"/>
    <n v="4"/>
    <x v="1"/>
    <n v="80"/>
    <n v="0"/>
    <n v="2"/>
    <x v="2"/>
    <n v="5"/>
    <x v="2"/>
    <n v="2"/>
    <x v="2"/>
    <n v="1"/>
    <x v="1"/>
    <n v="0"/>
    <x v="2"/>
    <n v="0"/>
    <x v="0"/>
    <n v="0"/>
    <x v="2"/>
  </r>
  <r>
    <n v="1267"/>
    <n v="44"/>
    <x v="0"/>
    <x v="1"/>
    <n v="0"/>
    <x v="0"/>
    <n v="1099"/>
    <x v="0"/>
    <x v="0"/>
    <n v="5"/>
    <x v="0"/>
    <n v="3"/>
    <x v="3"/>
    <x v="3"/>
    <n v="1"/>
    <n v="2"/>
    <x v="0"/>
    <x v="1"/>
    <n v="88"/>
    <x v="0"/>
    <n v="3"/>
    <x v="0"/>
    <n v="5"/>
    <x v="5"/>
    <n v="2"/>
    <x v="1"/>
    <x v="1"/>
    <n v="18213"/>
    <x v="9"/>
    <n v="8751"/>
    <x v="3"/>
    <n v="7"/>
    <x v="0"/>
    <s v="Y"/>
    <x v="1"/>
    <n v="11"/>
    <x v="0"/>
    <n v="3"/>
    <x v="0"/>
    <n v="3"/>
    <x v="3"/>
    <n v="80"/>
    <n v="1"/>
    <n v="26"/>
    <x v="4"/>
    <n v="5"/>
    <x v="2"/>
    <n v="3"/>
    <x v="1"/>
    <n v="22"/>
    <x v="3"/>
    <n v="9"/>
    <x v="1"/>
    <n v="3"/>
    <x v="1"/>
    <n v="10"/>
    <x v="1"/>
  </r>
  <r>
    <n v="1268"/>
    <n v="33"/>
    <x v="2"/>
    <x v="1"/>
    <n v="0"/>
    <x v="0"/>
    <n v="536"/>
    <x v="2"/>
    <x v="0"/>
    <n v="10"/>
    <x v="1"/>
    <n v="5"/>
    <x v="4"/>
    <x v="3"/>
    <n v="1"/>
    <n v="4"/>
    <x v="2"/>
    <x v="1"/>
    <n v="82"/>
    <x v="0"/>
    <n v="4"/>
    <x v="2"/>
    <n v="3"/>
    <x v="0"/>
    <n v="3"/>
    <x v="2"/>
    <x v="2"/>
    <n v="8380"/>
    <x v="11"/>
    <n v="21708"/>
    <x v="0"/>
    <n v="0"/>
    <x v="1"/>
    <s v="Y"/>
    <x v="0"/>
    <n v="14"/>
    <x v="2"/>
    <n v="3"/>
    <x v="0"/>
    <n v="4"/>
    <x v="1"/>
    <n v="80"/>
    <n v="2"/>
    <n v="10"/>
    <x v="0"/>
    <n v="3"/>
    <x v="1"/>
    <n v="3"/>
    <x v="1"/>
    <n v="9"/>
    <x v="0"/>
    <n v="8"/>
    <x v="1"/>
    <n v="0"/>
    <x v="0"/>
    <n v="8"/>
    <x v="1"/>
  </r>
  <r>
    <n v="1269"/>
    <n v="19"/>
    <x v="4"/>
    <x v="1"/>
    <n v="0"/>
    <x v="0"/>
    <n v="265"/>
    <x v="1"/>
    <x v="1"/>
    <n v="25"/>
    <x v="2"/>
    <n v="3"/>
    <x v="3"/>
    <x v="0"/>
    <n v="1"/>
    <n v="2"/>
    <x v="0"/>
    <x v="0"/>
    <n v="57"/>
    <x v="1"/>
    <n v="4"/>
    <x v="2"/>
    <n v="1"/>
    <x v="1"/>
    <n v="4"/>
    <x v="0"/>
    <x v="0"/>
    <n v="2994"/>
    <x v="3"/>
    <n v="21221"/>
    <x v="0"/>
    <n v="1"/>
    <x v="1"/>
    <s v="Y"/>
    <x v="0"/>
    <n v="12"/>
    <x v="0"/>
    <n v="3"/>
    <x v="0"/>
    <n v="4"/>
    <x v="1"/>
    <n v="80"/>
    <n v="0"/>
    <n v="1"/>
    <x v="2"/>
    <n v="2"/>
    <x v="0"/>
    <n v="3"/>
    <x v="1"/>
    <n v="1"/>
    <x v="1"/>
    <n v="0"/>
    <x v="2"/>
    <n v="0"/>
    <x v="0"/>
    <n v="1"/>
    <x v="2"/>
  </r>
  <r>
    <n v="1270"/>
    <n v="23"/>
    <x v="4"/>
    <x v="1"/>
    <n v="0"/>
    <x v="0"/>
    <n v="373"/>
    <x v="1"/>
    <x v="1"/>
    <n v="1"/>
    <x v="0"/>
    <n v="2"/>
    <x v="0"/>
    <x v="0"/>
    <n v="1"/>
    <n v="4"/>
    <x v="2"/>
    <x v="1"/>
    <n v="47"/>
    <x v="2"/>
    <n v="3"/>
    <x v="0"/>
    <n v="1"/>
    <x v="1"/>
    <n v="3"/>
    <x v="2"/>
    <x v="1"/>
    <n v="1223"/>
    <x v="2"/>
    <n v="16901"/>
    <x v="0"/>
    <n v="1"/>
    <x v="1"/>
    <s v="Y"/>
    <x v="1"/>
    <n v="22"/>
    <x v="1"/>
    <n v="4"/>
    <x v="1"/>
    <n v="4"/>
    <x v="1"/>
    <n v="80"/>
    <n v="1"/>
    <n v="1"/>
    <x v="2"/>
    <n v="2"/>
    <x v="0"/>
    <n v="3"/>
    <x v="1"/>
    <n v="1"/>
    <x v="1"/>
    <n v="0"/>
    <x v="2"/>
    <n v="0"/>
    <x v="0"/>
    <n v="1"/>
    <x v="2"/>
  </r>
  <r>
    <n v="1273"/>
    <n v="25"/>
    <x v="4"/>
    <x v="0"/>
    <n v="1"/>
    <x v="1"/>
    <n v="599"/>
    <x v="2"/>
    <x v="0"/>
    <n v="24"/>
    <x v="2"/>
    <n v="1"/>
    <x v="1"/>
    <x v="0"/>
    <n v="1"/>
    <n v="3"/>
    <x v="1"/>
    <x v="1"/>
    <n v="73"/>
    <x v="1"/>
    <n v="1"/>
    <x v="3"/>
    <n v="1"/>
    <x v="6"/>
    <n v="4"/>
    <x v="0"/>
    <x v="0"/>
    <n v="1118"/>
    <x v="2"/>
    <n v="8040"/>
    <x v="3"/>
    <n v="1"/>
    <x v="1"/>
    <s v="Y"/>
    <x v="0"/>
    <n v="14"/>
    <x v="2"/>
    <n v="3"/>
    <x v="0"/>
    <n v="4"/>
    <x v="1"/>
    <n v="80"/>
    <n v="0"/>
    <n v="1"/>
    <x v="2"/>
    <n v="4"/>
    <x v="1"/>
    <n v="3"/>
    <x v="1"/>
    <n v="1"/>
    <x v="1"/>
    <n v="0"/>
    <x v="2"/>
    <n v="1"/>
    <x v="0"/>
    <n v="0"/>
    <x v="2"/>
  </r>
  <r>
    <n v="1275"/>
    <n v="26"/>
    <x v="2"/>
    <x v="1"/>
    <n v="0"/>
    <x v="0"/>
    <n v="583"/>
    <x v="2"/>
    <x v="1"/>
    <n v="4"/>
    <x v="0"/>
    <n v="2"/>
    <x v="0"/>
    <x v="0"/>
    <n v="1"/>
    <n v="3"/>
    <x v="1"/>
    <x v="1"/>
    <n v="53"/>
    <x v="1"/>
    <n v="3"/>
    <x v="0"/>
    <n v="1"/>
    <x v="1"/>
    <n v="4"/>
    <x v="0"/>
    <x v="0"/>
    <n v="2875"/>
    <x v="3"/>
    <n v="9973"/>
    <x v="3"/>
    <n v="1"/>
    <x v="1"/>
    <s v="Y"/>
    <x v="0"/>
    <n v="20"/>
    <x v="1"/>
    <n v="4"/>
    <x v="1"/>
    <n v="2"/>
    <x v="4"/>
    <n v="80"/>
    <n v="0"/>
    <n v="8"/>
    <x v="0"/>
    <n v="2"/>
    <x v="0"/>
    <n v="2"/>
    <x v="2"/>
    <n v="8"/>
    <x v="0"/>
    <n v="5"/>
    <x v="0"/>
    <n v="2"/>
    <x v="1"/>
    <n v="2"/>
    <x v="0"/>
  </r>
  <r>
    <n v="1277"/>
    <n v="45"/>
    <x v="0"/>
    <x v="0"/>
    <n v="1"/>
    <x v="0"/>
    <n v="1449"/>
    <x v="0"/>
    <x v="0"/>
    <n v="2"/>
    <x v="0"/>
    <n v="3"/>
    <x v="3"/>
    <x v="3"/>
    <n v="1"/>
    <n v="1"/>
    <x v="3"/>
    <x v="0"/>
    <n v="94"/>
    <x v="0"/>
    <n v="1"/>
    <x v="3"/>
    <n v="5"/>
    <x v="5"/>
    <n v="2"/>
    <x v="1"/>
    <x v="0"/>
    <n v="18824"/>
    <x v="9"/>
    <n v="2493"/>
    <x v="2"/>
    <n v="2"/>
    <x v="3"/>
    <s v="Y"/>
    <x v="0"/>
    <n v="16"/>
    <x v="3"/>
    <n v="3"/>
    <x v="0"/>
    <n v="1"/>
    <x v="0"/>
    <n v="80"/>
    <n v="0"/>
    <n v="26"/>
    <x v="4"/>
    <n v="2"/>
    <x v="0"/>
    <n v="3"/>
    <x v="1"/>
    <n v="24"/>
    <x v="3"/>
    <n v="10"/>
    <x v="1"/>
    <n v="1"/>
    <x v="0"/>
    <n v="11"/>
    <x v="3"/>
  </r>
  <r>
    <n v="1278"/>
    <n v="55"/>
    <x v="1"/>
    <x v="1"/>
    <n v="0"/>
    <x v="2"/>
    <n v="177"/>
    <x v="1"/>
    <x v="1"/>
    <n v="8"/>
    <x v="1"/>
    <n v="1"/>
    <x v="1"/>
    <x v="2"/>
    <n v="1"/>
    <n v="4"/>
    <x v="2"/>
    <x v="1"/>
    <n v="37"/>
    <x v="2"/>
    <n v="2"/>
    <x v="1"/>
    <n v="4"/>
    <x v="4"/>
    <n v="2"/>
    <x v="1"/>
    <x v="2"/>
    <n v="13577"/>
    <x v="10"/>
    <n v="25592"/>
    <x v="1"/>
    <n v="1"/>
    <x v="1"/>
    <s v="Y"/>
    <x v="0"/>
    <n v="15"/>
    <x v="2"/>
    <n v="3"/>
    <x v="0"/>
    <n v="4"/>
    <x v="1"/>
    <n v="80"/>
    <n v="1"/>
    <n v="34"/>
    <x v="4"/>
    <n v="3"/>
    <x v="1"/>
    <n v="3"/>
    <x v="1"/>
    <n v="33"/>
    <x v="3"/>
    <n v="9"/>
    <x v="1"/>
    <n v="15"/>
    <x v="3"/>
    <n v="0"/>
    <x v="2"/>
  </r>
  <r>
    <n v="1279"/>
    <n v="21"/>
    <x v="4"/>
    <x v="0"/>
    <n v="1"/>
    <x v="1"/>
    <n v="251"/>
    <x v="1"/>
    <x v="1"/>
    <n v="10"/>
    <x v="1"/>
    <n v="2"/>
    <x v="0"/>
    <x v="0"/>
    <n v="1"/>
    <n v="1"/>
    <x v="3"/>
    <x v="0"/>
    <n v="45"/>
    <x v="2"/>
    <n v="2"/>
    <x v="1"/>
    <n v="1"/>
    <x v="2"/>
    <n v="3"/>
    <x v="2"/>
    <x v="0"/>
    <n v="2625"/>
    <x v="3"/>
    <n v="25308"/>
    <x v="1"/>
    <n v="1"/>
    <x v="1"/>
    <s v="Y"/>
    <x v="1"/>
    <n v="20"/>
    <x v="1"/>
    <n v="4"/>
    <x v="1"/>
    <n v="3"/>
    <x v="3"/>
    <n v="80"/>
    <n v="0"/>
    <n v="2"/>
    <x v="2"/>
    <n v="2"/>
    <x v="0"/>
    <n v="1"/>
    <x v="0"/>
    <n v="2"/>
    <x v="2"/>
    <n v="2"/>
    <x v="0"/>
    <n v="2"/>
    <x v="1"/>
    <n v="2"/>
    <x v="0"/>
  </r>
  <r>
    <n v="1280"/>
    <n v="46"/>
    <x v="1"/>
    <x v="1"/>
    <n v="0"/>
    <x v="0"/>
    <n v="168"/>
    <x v="1"/>
    <x v="0"/>
    <n v="4"/>
    <x v="0"/>
    <n v="2"/>
    <x v="0"/>
    <x v="3"/>
    <n v="1"/>
    <n v="4"/>
    <x v="2"/>
    <x v="0"/>
    <n v="33"/>
    <x v="2"/>
    <n v="2"/>
    <x v="1"/>
    <n v="5"/>
    <x v="5"/>
    <n v="2"/>
    <x v="1"/>
    <x v="1"/>
    <n v="18789"/>
    <x v="9"/>
    <n v="9946"/>
    <x v="3"/>
    <n v="2"/>
    <x v="3"/>
    <s v="Y"/>
    <x v="1"/>
    <n v="14"/>
    <x v="2"/>
    <n v="3"/>
    <x v="0"/>
    <n v="3"/>
    <x v="3"/>
    <n v="80"/>
    <n v="1"/>
    <n v="26"/>
    <x v="4"/>
    <n v="2"/>
    <x v="0"/>
    <n v="3"/>
    <x v="1"/>
    <n v="11"/>
    <x v="4"/>
    <n v="4"/>
    <x v="0"/>
    <n v="0"/>
    <x v="0"/>
    <n v="8"/>
    <x v="1"/>
  </r>
  <r>
    <n v="1281"/>
    <n v="34"/>
    <x v="2"/>
    <x v="1"/>
    <n v="0"/>
    <x v="0"/>
    <n v="131"/>
    <x v="1"/>
    <x v="0"/>
    <n v="2"/>
    <x v="0"/>
    <n v="3"/>
    <x v="3"/>
    <x v="3"/>
    <n v="1"/>
    <n v="3"/>
    <x v="1"/>
    <x v="0"/>
    <n v="86"/>
    <x v="0"/>
    <n v="3"/>
    <x v="0"/>
    <n v="2"/>
    <x v="0"/>
    <n v="1"/>
    <x v="3"/>
    <x v="0"/>
    <n v="4538"/>
    <x v="1"/>
    <n v="6039"/>
    <x v="2"/>
    <n v="0"/>
    <x v="1"/>
    <s v="Y"/>
    <x v="0"/>
    <n v="12"/>
    <x v="0"/>
    <n v="3"/>
    <x v="0"/>
    <n v="4"/>
    <x v="1"/>
    <n v="80"/>
    <n v="0"/>
    <n v="4"/>
    <x v="3"/>
    <n v="3"/>
    <x v="1"/>
    <n v="3"/>
    <x v="1"/>
    <n v="3"/>
    <x v="2"/>
    <n v="2"/>
    <x v="0"/>
    <n v="0"/>
    <x v="0"/>
    <n v="2"/>
    <x v="0"/>
  </r>
  <r>
    <n v="1282"/>
    <n v="51"/>
    <x v="1"/>
    <x v="1"/>
    <n v="0"/>
    <x v="1"/>
    <n v="237"/>
    <x v="1"/>
    <x v="0"/>
    <n v="9"/>
    <x v="1"/>
    <n v="3"/>
    <x v="3"/>
    <x v="0"/>
    <n v="1"/>
    <n v="4"/>
    <x v="2"/>
    <x v="1"/>
    <n v="83"/>
    <x v="0"/>
    <n v="3"/>
    <x v="0"/>
    <n v="5"/>
    <x v="5"/>
    <n v="2"/>
    <x v="1"/>
    <x v="2"/>
    <n v="19847"/>
    <x v="7"/>
    <n v="19196"/>
    <x v="0"/>
    <n v="4"/>
    <x v="2"/>
    <s v="Y"/>
    <x v="0"/>
    <n v="24"/>
    <x v="1"/>
    <n v="4"/>
    <x v="1"/>
    <n v="1"/>
    <x v="0"/>
    <n v="80"/>
    <n v="1"/>
    <n v="31"/>
    <x v="4"/>
    <n v="5"/>
    <x v="2"/>
    <n v="2"/>
    <x v="2"/>
    <n v="29"/>
    <x v="3"/>
    <n v="10"/>
    <x v="1"/>
    <n v="11"/>
    <x v="3"/>
    <n v="10"/>
    <x v="1"/>
  </r>
  <r>
    <n v="1283"/>
    <n v="59"/>
    <x v="3"/>
    <x v="1"/>
    <n v="0"/>
    <x v="0"/>
    <n v="1429"/>
    <x v="0"/>
    <x v="1"/>
    <n v="18"/>
    <x v="3"/>
    <n v="4"/>
    <x v="2"/>
    <x v="2"/>
    <n v="1"/>
    <n v="4"/>
    <x v="2"/>
    <x v="1"/>
    <n v="67"/>
    <x v="1"/>
    <n v="3"/>
    <x v="0"/>
    <n v="3"/>
    <x v="3"/>
    <n v="4"/>
    <x v="0"/>
    <x v="0"/>
    <n v="10512"/>
    <x v="8"/>
    <n v="20002"/>
    <x v="0"/>
    <n v="6"/>
    <x v="2"/>
    <s v="Y"/>
    <x v="1"/>
    <n v="12"/>
    <x v="0"/>
    <n v="3"/>
    <x v="0"/>
    <n v="4"/>
    <x v="1"/>
    <n v="80"/>
    <n v="0"/>
    <n v="25"/>
    <x v="4"/>
    <n v="6"/>
    <x v="2"/>
    <n v="2"/>
    <x v="2"/>
    <n v="9"/>
    <x v="0"/>
    <n v="7"/>
    <x v="1"/>
    <n v="5"/>
    <x v="1"/>
    <n v="4"/>
    <x v="0"/>
  </r>
  <r>
    <n v="1285"/>
    <n v="34"/>
    <x v="2"/>
    <x v="1"/>
    <n v="0"/>
    <x v="1"/>
    <n v="135"/>
    <x v="1"/>
    <x v="1"/>
    <n v="19"/>
    <x v="3"/>
    <n v="3"/>
    <x v="3"/>
    <x v="2"/>
    <n v="1"/>
    <n v="3"/>
    <x v="1"/>
    <x v="0"/>
    <n v="46"/>
    <x v="2"/>
    <n v="3"/>
    <x v="0"/>
    <n v="2"/>
    <x v="2"/>
    <n v="2"/>
    <x v="1"/>
    <x v="2"/>
    <n v="4444"/>
    <x v="1"/>
    <n v="22534"/>
    <x v="1"/>
    <n v="4"/>
    <x v="2"/>
    <s v="Y"/>
    <x v="1"/>
    <n v="13"/>
    <x v="2"/>
    <n v="3"/>
    <x v="0"/>
    <n v="3"/>
    <x v="3"/>
    <n v="80"/>
    <n v="2"/>
    <n v="15"/>
    <x v="1"/>
    <n v="2"/>
    <x v="0"/>
    <n v="4"/>
    <x v="3"/>
    <n v="11"/>
    <x v="4"/>
    <n v="8"/>
    <x v="1"/>
    <n v="5"/>
    <x v="1"/>
    <n v="10"/>
    <x v="1"/>
  </r>
  <r>
    <n v="1286"/>
    <n v="28"/>
    <x v="2"/>
    <x v="1"/>
    <n v="0"/>
    <x v="1"/>
    <n v="791"/>
    <x v="2"/>
    <x v="1"/>
    <n v="1"/>
    <x v="0"/>
    <n v="4"/>
    <x v="2"/>
    <x v="2"/>
    <n v="1"/>
    <n v="4"/>
    <x v="2"/>
    <x v="1"/>
    <n v="44"/>
    <x v="2"/>
    <n v="3"/>
    <x v="0"/>
    <n v="1"/>
    <x v="2"/>
    <n v="3"/>
    <x v="2"/>
    <x v="0"/>
    <n v="2154"/>
    <x v="2"/>
    <n v="6842"/>
    <x v="2"/>
    <n v="0"/>
    <x v="1"/>
    <s v="Y"/>
    <x v="0"/>
    <n v="11"/>
    <x v="0"/>
    <n v="3"/>
    <x v="0"/>
    <n v="3"/>
    <x v="3"/>
    <n v="80"/>
    <n v="0"/>
    <n v="5"/>
    <x v="3"/>
    <n v="2"/>
    <x v="0"/>
    <n v="2"/>
    <x v="2"/>
    <n v="4"/>
    <x v="2"/>
    <n v="2"/>
    <x v="0"/>
    <n v="0"/>
    <x v="0"/>
    <n v="2"/>
    <x v="0"/>
  </r>
  <r>
    <n v="1288"/>
    <n v="44"/>
    <x v="0"/>
    <x v="1"/>
    <n v="0"/>
    <x v="0"/>
    <n v="1199"/>
    <x v="0"/>
    <x v="1"/>
    <n v="4"/>
    <x v="0"/>
    <n v="2"/>
    <x v="0"/>
    <x v="0"/>
    <n v="1"/>
    <n v="3"/>
    <x v="1"/>
    <x v="1"/>
    <n v="92"/>
    <x v="0"/>
    <n v="4"/>
    <x v="2"/>
    <n v="5"/>
    <x v="5"/>
    <n v="1"/>
    <x v="3"/>
    <x v="2"/>
    <n v="19190"/>
    <x v="7"/>
    <n v="17477"/>
    <x v="0"/>
    <n v="1"/>
    <x v="1"/>
    <s v="Y"/>
    <x v="1"/>
    <n v="14"/>
    <x v="2"/>
    <n v="3"/>
    <x v="0"/>
    <n v="4"/>
    <x v="1"/>
    <n v="80"/>
    <n v="2"/>
    <n v="26"/>
    <x v="4"/>
    <n v="4"/>
    <x v="1"/>
    <n v="2"/>
    <x v="2"/>
    <n v="25"/>
    <x v="3"/>
    <n v="9"/>
    <x v="1"/>
    <n v="14"/>
    <x v="3"/>
    <n v="13"/>
    <x v="3"/>
  </r>
  <r>
    <n v="1289"/>
    <n v="34"/>
    <x v="2"/>
    <x v="1"/>
    <n v="0"/>
    <x v="1"/>
    <n v="648"/>
    <x v="2"/>
    <x v="2"/>
    <n v="11"/>
    <x v="3"/>
    <n v="3"/>
    <x v="3"/>
    <x v="0"/>
    <n v="1"/>
    <n v="3"/>
    <x v="1"/>
    <x v="1"/>
    <n v="56"/>
    <x v="1"/>
    <n v="2"/>
    <x v="1"/>
    <n v="2"/>
    <x v="8"/>
    <n v="2"/>
    <x v="1"/>
    <x v="1"/>
    <n v="4490"/>
    <x v="1"/>
    <n v="21833"/>
    <x v="0"/>
    <n v="4"/>
    <x v="2"/>
    <s v="Y"/>
    <x v="1"/>
    <n v="11"/>
    <x v="0"/>
    <n v="3"/>
    <x v="0"/>
    <n v="4"/>
    <x v="1"/>
    <n v="80"/>
    <n v="2"/>
    <n v="14"/>
    <x v="1"/>
    <n v="5"/>
    <x v="2"/>
    <n v="4"/>
    <x v="3"/>
    <n v="10"/>
    <x v="0"/>
    <n v="9"/>
    <x v="1"/>
    <n v="1"/>
    <x v="0"/>
    <n v="8"/>
    <x v="1"/>
  </r>
  <r>
    <n v="1291"/>
    <n v="35"/>
    <x v="2"/>
    <x v="1"/>
    <n v="0"/>
    <x v="0"/>
    <n v="735"/>
    <x v="2"/>
    <x v="1"/>
    <n v="6"/>
    <x v="1"/>
    <n v="1"/>
    <x v="1"/>
    <x v="0"/>
    <n v="1"/>
    <n v="3"/>
    <x v="1"/>
    <x v="1"/>
    <n v="66"/>
    <x v="1"/>
    <n v="3"/>
    <x v="0"/>
    <n v="1"/>
    <x v="1"/>
    <n v="3"/>
    <x v="2"/>
    <x v="1"/>
    <n v="3506"/>
    <x v="3"/>
    <n v="6020"/>
    <x v="2"/>
    <n v="0"/>
    <x v="1"/>
    <s v="Y"/>
    <x v="0"/>
    <n v="14"/>
    <x v="2"/>
    <n v="3"/>
    <x v="0"/>
    <n v="4"/>
    <x v="1"/>
    <n v="80"/>
    <n v="0"/>
    <n v="4"/>
    <x v="3"/>
    <n v="3"/>
    <x v="1"/>
    <n v="3"/>
    <x v="1"/>
    <n v="3"/>
    <x v="2"/>
    <n v="2"/>
    <x v="0"/>
    <n v="2"/>
    <x v="1"/>
    <n v="2"/>
    <x v="0"/>
  </r>
  <r>
    <n v="1292"/>
    <n v="42"/>
    <x v="0"/>
    <x v="1"/>
    <n v="0"/>
    <x v="0"/>
    <n v="603"/>
    <x v="2"/>
    <x v="1"/>
    <n v="7"/>
    <x v="1"/>
    <n v="4"/>
    <x v="2"/>
    <x v="2"/>
    <n v="1"/>
    <n v="2"/>
    <x v="0"/>
    <x v="0"/>
    <n v="78"/>
    <x v="0"/>
    <n v="4"/>
    <x v="2"/>
    <n v="2"/>
    <x v="1"/>
    <n v="2"/>
    <x v="1"/>
    <x v="1"/>
    <n v="2372"/>
    <x v="2"/>
    <n v="5628"/>
    <x v="2"/>
    <n v="6"/>
    <x v="2"/>
    <s v="Y"/>
    <x v="0"/>
    <n v="16"/>
    <x v="3"/>
    <n v="3"/>
    <x v="0"/>
    <n v="4"/>
    <x v="1"/>
    <n v="80"/>
    <n v="0"/>
    <n v="18"/>
    <x v="1"/>
    <n v="2"/>
    <x v="0"/>
    <n v="3"/>
    <x v="1"/>
    <n v="1"/>
    <x v="1"/>
    <n v="0"/>
    <x v="2"/>
    <n v="0"/>
    <x v="0"/>
    <n v="0"/>
    <x v="2"/>
  </r>
  <r>
    <n v="1293"/>
    <n v="43"/>
    <x v="0"/>
    <x v="1"/>
    <n v="0"/>
    <x v="0"/>
    <n v="531"/>
    <x v="2"/>
    <x v="0"/>
    <n v="4"/>
    <x v="0"/>
    <n v="4"/>
    <x v="2"/>
    <x v="3"/>
    <n v="1"/>
    <n v="4"/>
    <x v="2"/>
    <x v="0"/>
    <n v="56"/>
    <x v="1"/>
    <n v="2"/>
    <x v="1"/>
    <n v="3"/>
    <x v="0"/>
    <n v="4"/>
    <x v="0"/>
    <x v="0"/>
    <n v="10231"/>
    <x v="8"/>
    <n v="20364"/>
    <x v="0"/>
    <n v="3"/>
    <x v="3"/>
    <s v="Y"/>
    <x v="1"/>
    <n v="14"/>
    <x v="2"/>
    <n v="3"/>
    <x v="0"/>
    <n v="4"/>
    <x v="1"/>
    <n v="80"/>
    <n v="0"/>
    <n v="23"/>
    <x v="4"/>
    <n v="3"/>
    <x v="1"/>
    <n v="4"/>
    <x v="3"/>
    <n v="21"/>
    <x v="3"/>
    <n v="7"/>
    <x v="1"/>
    <n v="15"/>
    <x v="3"/>
    <n v="17"/>
    <x v="3"/>
  </r>
  <r>
    <n v="1294"/>
    <n v="36"/>
    <x v="0"/>
    <x v="1"/>
    <n v="0"/>
    <x v="0"/>
    <n v="429"/>
    <x v="1"/>
    <x v="1"/>
    <n v="2"/>
    <x v="0"/>
    <n v="4"/>
    <x v="2"/>
    <x v="0"/>
    <n v="1"/>
    <n v="3"/>
    <x v="1"/>
    <x v="0"/>
    <n v="53"/>
    <x v="1"/>
    <n v="3"/>
    <x v="0"/>
    <n v="2"/>
    <x v="3"/>
    <n v="2"/>
    <x v="1"/>
    <x v="0"/>
    <n v="5410"/>
    <x v="1"/>
    <n v="2323"/>
    <x v="2"/>
    <n v="9"/>
    <x v="0"/>
    <s v="Y"/>
    <x v="0"/>
    <n v="11"/>
    <x v="0"/>
    <n v="3"/>
    <x v="0"/>
    <n v="4"/>
    <x v="1"/>
    <n v="80"/>
    <n v="0"/>
    <n v="18"/>
    <x v="1"/>
    <n v="2"/>
    <x v="0"/>
    <n v="3"/>
    <x v="1"/>
    <n v="16"/>
    <x v="4"/>
    <n v="14"/>
    <x v="3"/>
    <n v="5"/>
    <x v="1"/>
    <n v="12"/>
    <x v="3"/>
  </r>
  <r>
    <n v="1295"/>
    <n v="44"/>
    <x v="0"/>
    <x v="0"/>
    <n v="1"/>
    <x v="0"/>
    <n v="621"/>
    <x v="2"/>
    <x v="1"/>
    <n v="15"/>
    <x v="3"/>
    <n v="3"/>
    <x v="3"/>
    <x v="2"/>
    <n v="1"/>
    <n v="1"/>
    <x v="3"/>
    <x v="0"/>
    <n v="73"/>
    <x v="1"/>
    <n v="3"/>
    <x v="0"/>
    <n v="3"/>
    <x v="4"/>
    <n v="4"/>
    <x v="0"/>
    <x v="1"/>
    <n v="7978"/>
    <x v="11"/>
    <n v="14075"/>
    <x v="3"/>
    <n v="1"/>
    <x v="1"/>
    <s v="Y"/>
    <x v="1"/>
    <n v="11"/>
    <x v="0"/>
    <n v="3"/>
    <x v="0"/>
    <n v="4"/>
    <x v="1"/>
    <n v="80"/>
    <n v="1"/>
    <n v="10"/>
    <x v="0"/>
    <n v="2"/>
    <x v="0"/>
    <n v="3"/>
    <x v="1"/>
    <n v="10"/>
    <x v="0"/>
    <n v="7"/>
    <x v="1"/>
    <n v="0"/>
    <x v="0"/>
    <n v="5"/>
    <x v="0"/>
  </r>
  <r>
    <n v="1296"/>
    <n v="28"/>
    <x v="2"/>
    <x v="1"/>
    <n v="0"/>
    <x v="1"/>
    <n v="193"/>
    <x v="1"/>
    <x v="1"/>
    <n v="2"/>
    <x v="0"/>
    <n v="3"/>
    <x v="3"/>
    <x v="0"/>
    <n v="1"/>
    <n v="4"/>
    <x v="2"/>
    <x v="1"/>
    <n v="52"/>
    <x v="1"/>
    <n v="2"/>
    <x v="1"/>
    <n v="1"/>
    <x v="2"/>
    <n v="4"/>
    <x v="0"/>
    <x v="1"/>
    <n v="3867"/>
    <x v="3"/>
    <n v="14222"/>
    <x v="3"/>
    <n v="1"/>
    <x v="1"/>
    <s v="Y"/>
    <x v="0"/>
    <n v="12"/>
    <x v="0"/>
    <n v="3"/>
    <x v="0"/>
    <n v="2"/>
    <x v="4"/>
    <n v="80"/>
    <n v="1"/>
    <n v="2"/>
    <x v="2"/>
    <n v="2"/>
    <x v="0"/>
    <n v="3"/>
    <x v="1"/>
    <n v="2"/>
    <x v="2"/>
    <n v="2"/>
    <x v="0"/>
    <n v="2"/>
    <x v="1"/>
    <n v="2"/>
    <x v="0"/>
  </r>
  <r>
    <n v="1297"/>
    <n v="51"/>
    <x v="1"/>
    <x v="1"/>
    <n v="0"/>
    <x v="1"/>
    <n v="968"/>
    <x v="2"/>
    <x v="1"/>
    <n v="6"/>
    <x v="1"/>
    <n v="2"/>
    <x v="0"/>
    <x v="2"/>
    <n v="1"/>
    <n v="2"/>
    <x v="0"/>
    <x v="0"/>
    <n v="40"/>
    <x v="2"/>
    <n v="2"/>
    <x v="1"/>
    <n v="1"/>
    <x v="2"/>
    <n v="3"/>
    <x v="2"/>
    <x v="0"/>
    <n v="2838"/>
    <x v="3"/>
    <n v="4257"/>
    <x v="2"/>
    <n v="0"/>
    <x v="1"/>
    <s v="Y"/>
    <x v="1"/>
    <n v="14"/>
    <x v="2"/>
    <n v="3"/>
    <x v="0"/>
    <n v="2"/>
    <x v="4"/>
    <n v="80"/>
    <n v="0"/>
    <n v="8"/>
    <x v="0"/>
    <n v="6"/>
    <x v="2"/>
    <n v="2"/>
    <x v="2"/>
    <n v="7"/>
    <x v="0"/>
    <n v="0"/>
    <x v="2"/>
    <n v="7"/>
    <x v="2"/>
    <n v="7"/>
    <x v="1"/>
  </r>
  <r>
    <n v="1298"/>
    <n v="30"/>
    <x v="2"/>
    <x v="1"/>
    <n v="0"/>
    <x v="2"/>
    <n v="879"/>
    <x v="2"/>
    <x v="1"/>
    <n v="9"/>
    <x v="1"/>
    <n v="2"/>
    <x v="0"/>
    <x v="2"/>
    <n v="1"/>
    <n v="3"/>
    <x v="1"/>
    <x v="0"/>
    <n v="72"/>
    <x v="1"/>
    <n v="3"/>
    <x v="0"/>
    <n v="2"/>
    <x v="3"/>
    <n v="3"/>
    <x v="2"/>
    <x v="0"/>
    <n v="4695"/>
    <x v="1"/>
    <n v="12858"/>
    <x v="3"/>
    <n v="7"/>
    <x v="0"/>
    <s v="Y"/>
    <x v="0"/>
    <n v="18"/>
    <x v="1"/>
    <n v="3"/>
    <x v="0"/>
    <n v="3"/>
    <x v="3"/>
    <n v="80"/>
    <n v="0"/>
    <n v="10"/>
    <x v="0"/>
    <n v="3"/>
    <x v="1"/>
    <n v="3"/>
    <x v="1"/>
    <n v="8"/>
    <x v="0"/>
    <n v="4"/>
    <x v="0"/>
    <n v="1"/>
    <x v="0"/>
    <n v="7"/>
    <x v="1"/>
  </r>
  <r>
    <n v="1299"/>
    <n v="29"/>
    <x v="2"/>
    <x v="0"/>
    <n v="1"/>
    <x v="0"/>
    <n v="806"/>
    <x v="2"/>
    <x v="1"/>
    <n v="7"/>
    <x v="1"/>
    <n v="3"/>
    <x v="3"/>
    <x v="4"/>
    <n v="1"/>
    <n v="2"/>
    <x v="0"/>
    <x v="0"/>
    <n v="39"/>
    <x v="2"/>
    <n v="3"/>
    <x v="0"/>
    <n v="1"/>
    <x v="2"/>
    <n v="3"/>
    <x v="2"/>
    <x v="2"/>
    <n v="3339"/>
    <x v="3"/>
    <n v="17285"/>
    <x v="0"/>
    <n v="3"/>
    <x v="3"/>
    <s v="Y"/>
    <x v="0"/>
    <n v="13"/>
    <x v="2"/>
    <n v="3"/>
    <x v="0"/>
    <n v="1"/>
    <x v="0"/>
    <n v="80"/>
    <n v="2"/>
    <n v="10"/>
    <x v="0"/>
    <n v="2"/>
    <x v="0"/>
    <n v="3"/>
    <x v="1"/>
    <n v="7"/>
    <x v="0"/>
    <n v="7"/>
    <x v="1"/>
    <n v="7"/>
    <x v="2"/>
    <n v="7"/>
    <x v="1"/>
  </r>
  <r>
    <n v="1301"/>
    <n v="28"/>
    <x v="2"/>
    <x v="1"/>
    <n v="0"/>
    <x v="0"/>
    <n v="640"/>
    <x v="2"/>
    <x v="1"/>
    <n v="1"/>
    <x v="0"/>
    <n v="3"/>
    <x v="3"/>
    <x v="4"/>
    <n v="1"/>
    <n v="4"/>
    <x v="2"/>
    <x v="1"/>
    <n v="84"/>
    <x v="0"/>
    <n v="3"/>
    <x v="0"/>
    <n v="1"/>
    <x v="1"/>
    <n v="1"/>
    <x v="3"/>
    <x v="0"/>
    <n v="2080"/>
    <x v="2"/>
    <n v="4732"/>
    <x v="2"/>
    <n v="2"/>
    <x v="3"/>
    <s v="Y"/>
    <x v="1"/>
    <n v="11"/>
    <x v="0"/>
    <n v="3"/>
    <x v="0"/>
    <n v="2"/>
    <x v="4"/>
    <n v="80"/>
    <n v="0"/>
    <n v="5"/>
    <x v="3"/>
    <n v="2"/>
    <x v="0"/>
    <n v="2"/>
    <x v="2"/>
    <n v="3"/>
    <x v="2"/>
    <n v="2"/>
    <x v="0"/>
    <n v="1"/>
    <x v="0"/>
    <n v="2"/>
    <x v="0"/>
  </r>
  <r>
    <n v="1303"/>
    <n v="25"/>
    <x v="4"/>
    <x v="1"/>
    <n v="0"/>
    <x v="0"/>
    <n v="266"/>
    <x v="1"/>
    <x v="1"/>
    <n v="1"/>
    <x v="0"/>
    <n v="3"/>
    <x v="3"/>
    <x v="2"/>
    <n v="1"/>
    <n v="4"/>
    <x v="2"/>
    <x v="0"/>
    <n v="40"/>
    <x v="2"/>
    <n v="3"/>
    <x v="0"/>
    <n v="1"/>
    <x v="1"/>
    <n v="2"/>
    <x v="1"/>
    <x v="0"/>
    <n v="2096"/>
    <x v="2"/>
    <n v="18830"/>
    <x v="0"/>
    <n v="1"/>
    <x v="1"/>
    <s v="Y"/>
    <x v="1"/>
    <n v="18"/>
    <x v="1"/>
    <n v="3"/>
    <x v="0"/>
    <n v="4"/>
    <x v="1"/>
    <n v="80"/>
    <n v="0"/>
    <n v="2"/>
    <x v="2"/>
    <n v="3"/>
    <x v="1"/>
    <n v="2"/>
    <x v="2"/>
    <n v="2"/>
    <x v="2"/>
    <n v="2"/>
    <x v="0"/>
    <n v="2"/>
    <x v="1"/>
    <n v="1"/>
    <x v="2"/>
  </r>
  <r>
    <n v="1304"/>
    <n v="32"/>
    <x v="2"/>
    <x v="1"/>
    <n v="0"/>
    <x v="0"/>
    <n v="604"/>
    <x v="2"/>
    <x v="0"/>
    <n v="8"/>
    <x v="1"/>
    <n v="3"/>
    <x v="3"/>
    <x v="2"/>
    <n v="1"/>
    <n v="3"/>
    <x v="1"/>
    <x v="1"/>
    <n v="56"/>
    <x v="1"/>
    <n v="4"/>
    <x v="2"/>
    <n v="2"/>
    <x v="0"/>
    <n v="4"/>
    <x v="0"/>
    <x v="1"/>
    <n v="6209"/>
    <x v="0"/>
    <n v="11693"/>
    <x v="3"/>
    <n v="1"/>
    <x v="1"/>
    <s v="Y"/>
    <x v="1"/>
    <n v="15"/>
    <x v="2"/>
    <n v="3"/>
    <x v="0"/>
    <n v="3"/>
    <x v="3"/>
    <n v="80"/>
    <n v="2"/>
    <n v="10"/>
    <x v="0"/>
    <n v="4"/>
    <x v="1"/>
    <n v="4"/>
    <x v="3"/>
    <n v="10"/>
    <x v="0"/>
    <n v="7"/>
    <x v="1"/>
    <n v="0"/>
    <x v="0"/>
    <n v="8"/>
    <x v="1"/>
  </r>
  <r>
    <n v="1306"/>
    <n v="45"/>
    <x v="0"/>
    <x v="1"/>
    <n v="0"/>
    <x v="1"/>
    <n v="364"/>
    <x v="1"/>
    <x v="1"/>
    <n v="25"/>
    <x v="2"/>
    <n v="3"/>
    <x v="3"/>
    <x v="2"/>
    <n v="1"/>
    <n v="2"/>
    <x v="0"/>
    <x v="0"/>
    <n v="83"/>
    <x v="0"/>
    <n v="3"/>
    <x v="0"/>
    <n v="5"/>
    <x v="5"/>
    <n v="2"/>
    <x v="1"/>
    <x v="0"/>
    <n v="18061"/>
    <x v="9"/>
    <n v="13035"/>
    <x v="3"/>
    <n v="3"/>
    <x v="3"/>
    <s v="Y"/>
    <x v="1"/>
    <n v="22"/>
    <x v="1"/>
    <n v="4"/>
    <x v="1"/>
    <n v="3"/>
    <x v="3"/>
    <n v="80"/>
    <n v="0"/>
    <n v="22"/>
    <x v="4"/>
    <n v="4"/>
    <x v="1"/>
    <n v="3"/>
    <x v="1"/>
    <n v="0"/>
    <x v="1"/>
    <n v="0"/>
    <x v="2"/>
    <n v="0"/>
    <x v="0"/>
    <n v="0"/>
    <x v="2"/>
  </r>
  <r>
    <n v="1307"/>
    <n v="39"/>
    <x v="0"/>
    <x v="1"/>
    <n v="0"/>
    <x v="0"/>
    <n v="412"/>
    <x v="1"/>
    <x v="1"/>
    <n v="13"/>
    <x v="3"/>
    <n v="4"/>
    <x v="2"/>
    <x v="2"/>
    <n v="1"/>
    <n v="3"/>
    <x v="1"/>
    <x v="0"/>
    <n v="94"/>
    <x v="0"/>
    <n v="2"/>
    <x v="1"/>
    <n v="4"/>
    <x v="5"/>
    <n v="2"/>
    <x v="1"/>
    <x v="2"/>
    <n v="17123"/>
    <x v="12"/>
    <n v="17334"/>
    <x v="0"/>
    <n v="6"/>
    <x v="2"/>
    <s v="Y"/>
    <x v="0"/>
    <n v="13"/>
    <x v="2"/>
    <n v="3"/>
    <x v="0"/>
    <n v="4"/>
    <x v="1"/>
    <n v="80"/>
    <n v="2"/>
    <n v="21"/>
    <x v="4"/>
    <n v="4"/>
    <x v="1"/>
    <n v="3"/>
    <x v="1"/>
    <n v="19"/>
    <x v="4"/>
    <n v="9"/>
    <x v="1"/>
    <n v="15"/>
    <x v="3"/>
    <n v="2"/>
    <x v="0"/>
  </r>
  <r>
    <n v="1308"/>
    <n v="58"/>
    <x v="3"/>
    <x v="1"/>
    <n v="0"/>
    <x v="0"/>
    <n v="848"/>
    <x v="2"/>
    <x v="1"/>
    <n v="23"/>
    <x v="2"/>
    <n v="4"/>
    <x v="2"/>
    <x v="0"/>
    <n v="1"/>
    <n v="1"/>
    <x v="3"/>
    <x v="1"/>
    <n v="88"/>
    <x v="0"/>
    <n v="3"/>
    <x v="0"/>
    <n v="1"/>
    <x v="1"/>
    <n v="3"/>
    <x v="2"/>
    <x v="2"/>
    <n v="2372"/>
    <x v="2"/>
    <n v="26076"/>
    <x v="1"/>
    <n v="1"/>
    <x v="1"/>
    <s v="Y"/>
    <x v="1"/>
    <n v="12"/>
    <x v="0"/>
    <n v="3"/>
    <x v="0"/>
    <n v="4"/>
    <x v="1"/>
    <n v="80"/>
    <n v="2"/>
    <n v="2"/>
    <x v="2"/>
    <n v="3"/>
    <x v="1"/>
    <n v="3"/>
    <x v="1"/>
    <n v="2"/>
    <x v="2"/>
    <n v="2"/>
    <x v="0"/>
    <n v="2"/>
    <x v="1"/>
    <n v="2"/>
    <x v="0"/>
  </r>
  <r>
    <n v="1309"/>
    <n v="32"/>
    <x v="2"/>
    <x v="0"/>
    <n v="1"/>
    <x v="0"/>
    <n v="1089"/>
    <x v="0"/>
    <x v="1"/>
    <n v="7"/>
    <x v="1"/>
    <n v="2"/>
    <x v="0"/>
    <x v="0"/>
    <n v="1"/>
    <n v="4"/>
    <x v="2"/>
    <x v="1"/>
    <n v="79"/>
    <x v="0"/>
    <n v="3"/>
    <x v="0"/>
    <n v="2"/>
    <x v="2"/>
    <n v="3"/>
    <x v="2"/>
    <x v="1"/>
    <n v="4883"/>
    <x v="1"/>
    <n v="22845"/>
    <x v="1"/>
    <n v="1"/>
    <x v="1"/>
    <s v="Y"/>
    <x v="1"/>
    <n v="18"/>
    <x v="1"/>
    <n v="3"/>
    <x v="0"/>
    <n v="1"/>
    <x v="0"/>
    <n v="80"/>
    <n v="1"/>
    <n v="10"/>
    <x v="0"/>
    <n v="3"/>
    <x v="1"/>
    <n v="3"/>
    <x v="1"/>
    <n v="10"/>
    <x v="0"/>
    <n v="4"/>
    <x v="0"/>
    <n v="1"/>
    <x v="0"/>
    <n v="1"/>
    <x v="2"/>
  </r>
  <r>
    <n v="1310"/>
    <n v="39"/>
    <x v="0"/>
    <x v="0"/>
    <n v="1"/>
    <x v="0"/>
    <n v="360"/>
    <x v="1"/>
    <x v="1"/>
    <n v="23"/>
    <x v="2"/>
    <n v="3"/>
    <x v="3"/>
    <x v="2"/>
    <n v="1"/>
    <n v="3"/>
    <x v="1"/>
    <x v="1"/>
    <n v="93"/>
    <x v="0"/>
    <n v="3"/>
    <x v="0"/>
    <n v="1"/>
    <x v="1"/>
    <n v="1"/>
    <x v="3"/>
    <x v="0"/>
    <n v="3904"/>
    <x v="3"/>
    <n v="22154"/>
    <x v="1"/>
    <n v="0"/>
    <x v="1"/>
    <s v="Y"/>
    <x v="1"/>
    <n v="13"/>
    <x v="2"/>
    <n v="3"/>
    <x v="0"/>
    <n v="1"/>
    <x v="0"/>
    <n v="80"/>
    <n v="0"/>
    <n v="6"/>
    <x v="0"/>
    <n v="2"/>
    <x v="0"/>
    <n v="3"/>
    <x v="1"/>
    <n v="5"/>
    <x v="2"/>
    <n v="2"/>
    <x v="0"/>
    <n v="0"/>
    <x v="0"/>
    <n v="3"/>
    <x v="0"/>
  </r>
  <r>
    <n v="1311"/>
    <n v="30"/>
    <x v="2"/>
    <x v="1"/>
    <n v="0"/>
    <x v="0"/>
    <n v="1138"/>
    <x v="0"/>
    <x v="1"/>
    <n v="6"/>
    <x v="1"/>
    <n v="3"/>
    <x v="3"/>
    <x v="4"/>
    <n v="1"/>
    <n v="1"/>
    <x v="3"/>
    <x v="0"/>
    <n v="48"/>
    <x v="2"/>
    <n v="2"/>
    <x v="1"/>
    <n v="2"/>
    <x v="2"/>
    <n v="4"/>
    <x v="0"/>
    <x v="1"/>
    <n v="4627"/>
    <x v="1"/>
    <n v="23631"/>
    <x v="1"/>
    <n v="0"/>
    <x v="1"/>
    <s v="Y"/>
    <x v="1"/>
    <n v="12"/>
    <x v="0"/>
    <n v="3"/>
    <x v="0"/>
    <n v="1"/>
    <x v="0"/>
    <n v="80"/>
    <n v="1"/>
    <n v="10"/>
    <x v="0"/>
    <n v="6"/>
    <x v="2"/>
    <n v="3"/>
    <x v="1"/>
    <n v="9"/>
    <x v="0"/>
    <n v="2"/>
    <x v="0"/>
    <n v="6"/>
    <x v="2"/>
    <n v="7"/>
    <x v="1"/>
  </r>
  <r>
    <n v="1312"/>
    <n v="36"/>
    <x v="0"/>
    <x v="1"/>
    <n v="0"/>
    <x v="0"/>
    <n v="325"/>
    <x v="1"/>
    <x v="1"/>
    <n v="10"/>
    <x v="1"/>
    <n v="4"/>
    <x v="2"/>
    <x v="4"/>
    <n v="1"/>
    <n v="4"/>
    <x v="2"/>
    <x v="0"/>
    <n v="63"/>
    <x v="1"/>
    <n v="3"/>
    <x v="0"/>
    <n v="3"/>
    <x v="4"/>
    <n v="3"/>
    <x v="2"/>
    <x v="1"/>
    <n v="7094"/>
    <x v="11"/>
    <n v="5747"/>
    <x v="2"/>
    <n v="3"/>
    <x v="3"/>
    <s v="Y"/>
    <x v="1"/>
    <n v="12"/>
    <x v="0"/>
    <n v="3"/>
    <x v="0"/>
    <n v="1"/>
    <x v="0"/>
    <n v="80"/>
    <n v="0"/>
    <n v="10"/>
    <x v="0"/>
    <n v="0"/>
    <x v="0"/>
    <n v="3"/>
    <x v="1"/>
    <n v="7"/>
    <x v="0"/>
    <n v="7"/>
    <x v="1"/>
    <n v="1"/>
    <x v="0"/>
    <n v="7"/>
    <x v="1"/>
  </r>
  <r>
    <n v="1314"/>
    <n v="46"/>
    <x v="1"/>
    <x v="1"/>
    <n v="0"/>
    <x v="0"/>
    <n v="991"/>
    <x v="2"/>
    <x v="2"/>
    <n v="1"/>
    <x v="0"/>
    <n v="2"/>
    <x v="0"/>
    <x v="0"/>
    <n v="1"/>
    <n v="4"/>
    <x v="2"/>
    <x v="0"/>
    <n v="44"/>
    <x v="2"/>
    <n v="3"/>
    <x v="0"/>
    <n v="1"/>
    <x v="8"/>
    <n v="1"/>
    <x v="3"/>
    <x v="0"/>
    <n v="3423"/>
    <x v="3"/>
    <n v="22957"/>
    <x v="1"/>
    <n v="6"/>
    <x v="2"/>
    <s v="Y"/>
    <x v="1"/>
    <n v="12"/>
    <x v="0"/>
    <n v="3"/>
    <x v="0"/>
    <n v="3"/>
    <x v="3"/>
    <n v="80"/>
    <n v="0"/>
    <n v="10"/>
    <x v="0"/>
    <n v="3"/>
    <x v="1"/>
    <n v="4"/>
    <x v="3"/>
    <n v="7"/>
    <x v="0"/>
    <n v="6"/>
    <x v="1"/>
    <n v="5"/>
    <x v="1"/>
    <n v="7"/>
    <x v="1"/>
  </r>
  <r>
    <n v="1315"/>
    <n v="28"/>
    <x v="2"/>
    <x v="1"/>
    <n v="0"/>
    <x v="2"/>
    <n v="1476"/>
    <x v="0"/>
    <x v="1"/>
    <n v="1"/>
    <x v="0"/>
    <n v="3"/>
    <x v="3"/>
    <x v="0"/>
    <n v="1"/>
    <n v="3"/>
    <x v="1"/>
    <x v="0"/>
    <n v="55"/>
    <x v="1"/>
    <n v="1"/>
    <x v="3"/>
    <n v="2"/>
    <x v="2"/>
    <n v="4"/>
    <x v="0"/>
    <x v="1"/>
    <n v="6674"/>
    <x v="0"/>
    <n v="16392"/>
    <x v="0"/>
    <n v="0"/>
    <x v="1"/>
    <s v="Y"/>
    <x v="1"/>
    <n v="11"/>
    <x v="0"/>
    <n v="3"/>
    <x v="0"/>
    <n v="1"/>
    <x v="0"/>
    <n v="80"/>
    <n v="3"/>
    <n v="10"/>
    <x v="0"/>
    <n v="6"/>
    <x v="2"/>
    <n v="3"/>
    <x v="1"/>
    <n v="9"/>
    <x v="0"/>
    <n v="8"/>
    <x v="1"/>
    <n v="7"/>
    <x v="2"/>
    <n v="5"/>
    <x v="0"/>
  </r>
  <r>
    <n v="1317"/>
    <n v="50"/>
    <x v="1"/>
    <x v="1"/>
    <n v="0"/>
    <x v="0"/>
    <n v="1322"/>
    <x v="0"/>
    <x v="1"/>
    <n v="28"/>
    <x v="2"/>
    <n v="3"/>
    <x v="3"/>
    <x v="0"/>
    <n v="1"/>
    <n v="4"/>
    <x v="2"/>
    <x v="0"/>
    <n v="43"/>
    <x v="2"/>
    <n v="3"/>
    <x v="0"/>
    <n v="4"/>
    <x v="7"/>
    <n v="1"/>
    <x v="3"/>
    <x v="1"/>
    <n v="16880"/>
    <x v="12"/>
    <n v="22422"/>
    <x v="1"/>
    <n v="4"/>
    <x v="2"/>
    <s v="Y"/>
    <x v="0"/>
    <n v="11"/>
    <x v="0"/>
    <n v="3"/>
    <x v="0"/>
    <n v="2"/>
    <x v="4"/>
    <n v="80"/>
    <n v="0"/>
    <n v="25"/>
    <x v="4"/>
    <n v="2"/>
    <x v="0"/>
    <n v="3"/>
    <x v="1"/>
    <n v="3"/>
    <x v="2"/>
    <n v="2"/>
    <x v="0"/>
    <n v="1"/>
    <x v="0"/>
    <n v="2"/>
    <x v="0"/>
  </r>
  <r>
    <n v="1318"/>
    <n v="40"/>
    <x v="0"/>
    <x v="0"/>
    <n v="1"/>
    <x v="0"/>
    <n v="299"/>
    <x v="1"/>
    <x v="0"/>
    <n v="25"/>
    <x v="2"/>
    <n v="4"/>
    <x v="2"/>
    <x v="3"/>
    <n v="1"/>
    <n v="4"/>
    <x v="2"/>
    <x v="1"/>
    <n v="57"/>
    <x v="1"/>
    <n v="2"/>
    <x v="1"/>
    <n v="3"/>
    <x v="0"/>
    <n v="2"/>
    <x v="1"/>
    <x v="0"/>
    <n v="9094"/>
    <x v="4"/>
    <n v="17235"/>
    <x v="0"/>
    <n v="2"/>
    <x v="3"/>
    <s v="Y"/>
    <x v="0"/>
    <n v="12"/>
    <x v="0"/>
    <n v="3"/>
    <x v="0"/>
    <n v="3"/>
    <x v="3"/>
    <n v="80"/>
    <n v="0"/>
    <n v="9"/>
    <x v="0"/>
    <n v="2"/>
    <x v="0"/>
    <n v="3"/>
    <x v="1"/>
    <n v="5"/>
    <x v="2"/>
    <n v="4"/>
    <x v="0"/>
    <n v="1"/>
    <x v="0"/>
    <n v="0"/>
    <x v="2"/>
  </r>
  <r>
    <n v="1319"/>
    <n v="52"/>
    <x v="1"/>
    <x v="0"/>
    <n v="1"/>
    <x v="0"/>
    <n v="1030"/>
    <x v="0"/>
    <x v="0"/>
    <n v="5"/>
    <x v="0"/>
    <n v="3"/>
    <x v="3"/>
    <x v="0"/>
    <n v="1"/>
    <n v="2"/>
    <x v="0"/>
    <x v="1"/>
    <n v="64"/>
    <x v="1"/>
    <n v="3"/>
    <x v="0"/>
    <n v="3"/>
    <x v="0"/>
    <n v="2"/>
    <x v="1"/>
    <x v="0"/>
    <n v="8446"/>
    <x v="11"/>
    <n v="21534"/>
    <x v="0"/>
    <n v="9"/>
    <x v="0"/>
    <s v="Y"/>
    <x v="0"/>
    <n v="19"/>
    <x v="1"/>
    <n v="3"/>
    <x v="0"/>
    <n v="3"/>
    <x v="3"/>
    <n v="80"/>
    <n v="0"/>
    <n v="10"/>
    <x v="0"/>
    <n v="2"/>
    <x v="0"/>
    <n v="2"/>
    <x v="2"/>
    <n v="8"/>
    <x v="0"/>
    <n v="7"/>
    <x v="1"/>
    <n v="7"/>
    <x v="2"/>
    <n v="7"/>
    <x v="1"/>
  </r>
  <r>
    <n v="1321"/>
    <n v="30"/>
    <x v="2"/>
    <x v="1"/>
    <n v="0"/>
    <x v="0"/>
    <n v="634"/>
    <x v="2"/>
    <x v="1"/>
    <n v="17"/>
    <x v="3"/>
    <n v="4"/>
    <x v="2"/>
    <x v="2"/>
    <n v="1"/>
    <n v="2"/>
    <x v="0"/>
    <x v="0"/>
    <n v="95"/>
    <x v="0"/>
    <n v="3"/>
    <x v="0"/>
    <n v="3"/>
    <x v="5"/>
    <n v="1"/>
    <x v="3"/>
    <x v="1"/>
    <n v="11916"/>
    <x v="6"/>
    <n v="25927"/>
    <x v="1"/>
    <n v="1"/>
    <x v="1"/>
    <s v="Y"/>
    <x v="0"/>
    <n v="23"/>
    <x v="1"/>
    <n v="4"/>
    <x v="1"/>
    <n v="4"/>
    <x v="1"/>
    <n v="80"/>
    <n v="2"/>
    <n v="9"/>
    <x v="0"/>
    <n v="2"/>
    <x v="0"/>
    <n v="3"/>
    <x v="1"/>
    <n v="9"/>
    <x v="0"/>
    <n v="1"/>
    <x v="2"/>
    <n v="0"/>
    <x v="0"/>
    <n v="8"/>
    <x v="1"/>
  </r>
  <r>
    <n v="1322"/>
    <n v="39"/>
    <x v="0"/>
    <x v="1"/>
    <n v="0"/>
    <x v="0"/>
    <n v="524"/>
    <x v="2"/>
    <x v="1"/>
    <n v="18"/>
    <x v="3"/>
    <n v="2"/>
    <x v="0"/>
    <x v="0"/>
    <n v="1"/>
    <n v="1"/>
    <x v="3"/>
    <x v="1"/>
    <n v="32"/>
    <x v="2"/>
    <n v="3"/>
    <x v="0"/>
    <n v="2"/>
    <x v="3"/>
    <n v="3"/>
    <x v="2"/>
    <x v="0"/>
    <n v="4534"/>
    <x v="1"/>
    <n v="13352"/>
    <x v="3"/>
    <n v="0"/>
    <x v="1"/>
    <s v="Y"/>
    <x v="1"/>
    <n v="11"/>
    <x v="0"/>
    <n v="3"/>
    <x v="0"/>
    <n v="1"/>
    <x v="0"/>
    <n v="80"/>
    <n v="0"/>
    <n v="9"/>
    <x v="0"/>
    <n v="6"/>
    <x v="2"/>
    <n v="3"/>
    <x v="1"/>
    <n v="8"/>
    <x v="0"/>
    <n v="7"/>
    <x v="1"/>
    <n v="1"/>
    <x v="0"/>
    <n v="7"/>
    <x v="1"/>
  </r>
  <r>
    <n v="1324"/>
    <n v="31"/>
    <x v="2"/>
    <x v="1"/>
    <n v="0"/>
    <x v="2"/>
    <n v="587"/>
    <x v="2"/>
    <x v="0"/>
    <n v="2"/>
    <x v="0"/>
    <n v="4"/>
    <x v="2"/>
    <x v="0"/>
    <n v="1"/>
    <n v="4"/>
    <x v="2"/>
    <x v="0"/>
    <n v="57"/>
    <x v="1"/>
    <n v="3"/>
    <x v="0"/>
    <n v="3"/>
    <x v="0"/>
    <n v="3"/>
    <x v="2"/>
    <x v="2"/>
    <n v="9852"/>
    <x v="4"/>
    <n v="8935"/>
    <x v="3"/>
    <n v="1"/>
    <x v="1"/>
    <s v="Y"/>
    <x v="0"/>
    <n v="19"/>
    <x v="1"/>
    <n v="3"/>
    <x v="0"/>
    <n v="1"/>
    <x v="0"/>
    <n v="80"/>
    <n v="1"/>
    <n v="10"/>
    <x v="0"/>
    <n v="5"/>
    <x v="2"/>
    <n v="2"/>
    <x v="2"/>
    <n v="10"/>
    <x v="0"/>
    <n v="8"/>
    <x v="1"/>
    <n v="9"/>
    <x v="2"/>
    <n v="6"/>
    <x v="1"/>
  </r>
  <r>
    <n v="1329"/>
    <n v="41"/>
    <x v="0"/>
    <x v="1"/>
    <n v="0"/>
    <x v="2"/>
    <n v="256"/>
    <x v="1"/>
    <x v="0"/>
    <n v="10"/>
    <x v="1"/>
    <n v="2"/>
    <x v="0"/>
    <x v="2"/>
    <n v="1"/>
    <n v="3"/>
    <x v="1"/>
    <x v="1"/>
    <n v="40"/>
    <x v="2"/>
    <n v="1"/>
    <x v="3"/>
    <n v="2"/>
    <x v="0"/>
    <n v="2"/>
    <x v="1"/>
    <x v="0"/>
    <n v="6151"/>
    <x v="0"/>
    <n v="22074"/>
    <x v="1"/>
    <n v="1"/>
    <x v="1"/>
    <s v="Y"/>
    <x v="1"/>
    <n v="13"/>
    <x v="2"/>
    <n v="3"/>
    <x v="0"/>
    <n v="1"/>
    <x v="0"/>
    <n v="80"/>
    <n v="0"/>
    <n v="19"/>
    <x v="1"/>
    <n v="4"/>
    <x v="1"/>
    <n v="3"/>
    <x v="1"/>
    <n v="19"/>
    <x v="4"/>
    <n v="2"/>
    <x v="0"/>
    <n v="11"/>
    <x v="3"/>
    <n v="9"/>
    <x v="1"/>
  </r>
  <r>
    <n v="1331"/>
    <n v="31"/>
    <x v="2"/>
    <x v="0"/>
    <n v="1"/>
    <x v="1"/>
    <n v="1060"/>
    <x v="0"/>
    <x v="0"/>
    <n v="1"/>
    <x v="0"/>
    <n v="3"/>
    <x v="3"/>
    <x v="0"/>
    <n v="1"/>
    <n v="4"/>
    <x v="2"/>
    <x v="0"/>
    <n v="54"/>
    <x v="1"/>
    <n v="3"/>
    <x v="0"/>
    <n v="1"/>
    <x v="6"/>
    <n v="2"/>
    <x v="1"/>
    <x v="0"/>
    <n v="2302"/>
    <x v="2"/>
    <n v="8319"/>
    <x v="3"/>
    <n v="1"/>
    <x v="1"/>
    <s v="Y"/>
    <x v="0"/>
    <n v="11"/>
    <x v="0"/>
    <n v="3"/>
    <x v="0"/>
    <n v="1"/>
    <x v="0"/>
    <n v="80"/>
    <n v="0"/>
    <n v="3"/>
    <x v="3"/>
    <n v="2"/>
    <x v="0"/>
    <n v="4"/>
    <x v="3"/>
    <n v="3"/>
    <x v="2"/>
    <n v="2"/>
    <x v="0"/>
    <n v="2"/>
    <x v="1"/>
    <n v="2"/>
    <x v="0"/>
  </r>
  <r>
    <n v="1333"/>
    <n v="44"/>
    <x v="0"/>
    <x v="0"/>
    <n v="1"/>
    <x v="0"/>
    <n v="935"/>
    <x v="2"/>
    <x v="1"/>
    <n v="3"/>
    <x v="0"/>
    <n v="3"/>
    <x v="3"/>
    <x v="0"/>
    <n v="1"/>
    <n v="1"/>
    <x v="3"/>
    <x v="1"/>
    <n v="89"/>
    <x v="0"/>
    <n v="3"/>
    <x v="0"/>
    <n v="1"/>
    <x v="2"/>
    <n v="1"/>
    <x v="3"/>
    <x v="1"/>
    <n v="2362"/>
    <x v="2"/>
    <n v="14669"/>
    <x v="3"/>
    <n v="4"/>
    <x v="2"/>
    <s v="Y"/>
    <x v="1"/>
    <n v="12"/>
    <x v="0"/>
    <n v="3"/>
    <x v="0"/>
    <n v="3"/>
    <x v="3"/>
    <n v="80"/>
    <n v="0"/>
    <n v="10"/>
    <x v="0"/>
    <n v="4"/>
    <x v="1"/>
    <n v="4"/>
    <x v="3"/>
    <n v="3"/>
    <x v="2"/>
    <n v="2"/>
    <x v="0"/>
    <n v="1"/>
    <x v="0"/>
    <n v="2"/>
    <x v="0"/>
  </r>
  <r>
    <n v="1334"/>
    <n v="42"/>
    <x v="0"/>
    <x v="1"/>
    <n v="0"/>
    <x v="2"/>
    <n v="495"/>
    <x v="1"/>
    <x v="1"/>
    <n v="2"/>
    <x v="0"/>
    <n v="1"/>
    <x v="1"/>
    <x v="0"/>
    <n v="1"/>
    <n v="3"/>
    <x v="1"/>
    <x v="1"/>
    <n v="37"/>
    <x v="2"/>
    <n v="3"/>
    <x v="0"/>
    <n v="4"/>
    <x v="5"/>
    <n v="3"/>
    <x v="2"/>
    <x v="1"/>
    <n v="17861"/>
    <x v="9"/>
    <n v="26582"/>
    <x v="1"/>
    <n v="0"/>
    <x v="1"/>
    <s v="Y"/>
    <x v="0"/>
    <n v="13"/>
    <x v="2"/>
    <n v="3"/>
    <x v="0"/>
    <n v="4"/>
    <x v="1"/>
    <n v="80"/>
    <n v="0"/>
    <n v="21"/>
    <x v="4"/>
    <n v="3"/>
    <x v="1"/>
    <n v="2"/>
    <x v="2"/>
    <n v="20"/>
    <x v="4"/>
    <n v="8"/>
    <x v="1"/>
    <n v="2"/>
    <x v="1"/>
    <n v="10"/>
    <x v="1"/>
  </r>
  <r>
    <n v="1336"/>
    <n v="55"/>
    <x v="1"/>
    <x v="1"/>
    <n v="0"/>
    <x v="0"/>
    <n v="282"/>
    <x v="1"/>
    <x v="1"/>
    <n v="2"/>
    <x v="0"/>
    <n v="2"/>
    <x v="0"/>
    <x v="2"/>
    <n v="1"/>
    <n v="4"/>
    <x v="2"/>
    <x v="0"/>
    <n v="58"/>
    <x v="1"/>
    <n v="1"/>
    <x v="3"/>
    <n v="5"/>
    <x v="5"/>
    <n v="3"/>
    <x v="2"/>
    <x v="1"/>
    <n v="19187"/>
    <x v="7"/>
    <n v="6992"/>
    <x v="2"/>
    <n v="4"/>
    <x v="2"/>
    <s v="Y"/>
    <x v="1"/>
    <n v="14"/>
    <x v="2"/>
    <n v="3"/>
    <x v="0"/>
    <n v="4"/>
    <x v="1"/>
    <n v="80"/>
    <n v="1"/>
    <n v="23"/>
    <x v="4"/>
    <n v="5"/>
    <x v="2"/>
    <n v="3"/>
    <x v="1"/>
    <n v="19"/>
    <x v="4"/>
    <n v="9"/>
    <x v="1"/>
    <n v="9"/>
    <x v="2"/>
    <n v="11"/>
    <x v="3"/>
  </r>
  <r>
    <n v="1338"/>
    <n v="56"/>
    <x v="3"/>
    <x v="1"/>
    <n v="0"/>
    <x v="0"/>
    <n v="206"/>
    <x v="1"/>
    <x v="2"/>
    <n v="8"/>
    <x v="1"/>
    <n v="4"/>
    <x v="2"/>
    <x v="0"/>
    <n v="1"/>
    <n v="4"/>
    <x v="2"/>
    <x v="1"/>
    <n v="99"/>
    <x v="0"/>
    <n v="3"/>
    <x v="0"/>
    <n v="5"/>
    <x v="5"/>
    <n v="2"/>
    <x v="1"/>
    <x v="0"/>
    <n v="19717"/>
    <x v="7"/>
    <n v="4022"/>
    <x v="2"/>
    <n v="6"/>
    <x v="2"/>
    <s v="Y"/>
    <x v="1"/>
    <n v="14"/>
    <x v="2"/>
    <n v="3"/>
    <x v="0"/>
    <n v="1"/>
    <x v="0"/>
    <n v="80"/>
    <n v="0"/>
    <n v="36"/>
    <x v="4"/>
    <n v="4"/>
    <x v="1"/>
    <n v="3"/>
    <x v="1"/>
    <n v="7"/>
    <x v="0"/>
    <n v="3"/>
    <x v="0"/>
    <n v="7"/>
    <x v="2"/>
    <n v="7"/>
    <x v="1"/>
  </r>
  <r>
    <n v="1340"/>
    <n v="40"/>
    <x v="0"/>
    <x v="1"/>
    <n v="0"/>
    <x v="2"/>
    <n v="458"/>
    <x v="1"/>
    <x v="1"/>
    <n v="16"/>
    <x v="3"/>
    <n v="2"/>
    <x v="0"/>
    <x v="0"/>
    <n v="1"/>
    <n v="3"/>
    <x v="1"/>
    <x v="1"/>
    <n v="74"/>
    <x v="1"/>
    <n v="3"/>
    <x v="0"/>
    <n v="1"/>
    <x v="1"/>
    <n v="3"/>
    <x v="2"/>
    <x v="2"/>
    <n v="3544"/>
    <x v="3"/>
    <n v="8532"/>
    <x v="3"/>
    <n v="9"/>
    <x v="0"/>
    <s v="Y"/>
    <x v="1"/>
    <n v="16"/>
    <x v="3"/>
    <n v="3"/>
    <x v="0"/>
    <n v="2"/>
    <x v="4"/>
    <n v="80"/>
    <n v="1"/>
    <n v="6"/>
    <x v="0"/>
    <n v="0"/>
    <x v="0"/>
    <n v="3"/>
    <x v="1"/>
    <n v="4"/>
    <x v="2"/>
    <n v="2"/>
    <x v="0"/>
    <n v="0"/>
    <x v="0"/>
    <n v="0"/>
    <x v="2"/>
  </r>
  <r>
    <n v="1344"/>
    <n v="34"/>
    <x v="2"/>
    <x v="1"/>
    <n v="0"/>
    <x v="0"/>
    <n v="943"/>
    <x v="2"/>
    <x v="1"/>
    <n v="9"/>
    <x v="1"/>
    <n v="3"/>
    <x v="3"/>
    <x v="0"/>
    <n v="1"/>
    <n v="4"/>
    <x v="2"/>
    <x v="1"/>
    <n v="86"/>
    <x v="0"/>
    <n v="3"/>
    <x v="0"/>
    <n v="3"/>
    <x v="4"/>
    <n v="4"/>
    <x v="0"/>
    <x v="2"/>
    <n v="8500"/>
    <x v="4"/>
    <n v="5494"/>
    <x v="2"/>
    <n v="0"/>
    <x v="1"/>
    <s v="Y"/>
    <x v="1"/>
    <n v="11"/>
    <x v="0"/>
    <n v="3"/>
    <x v="0"/>
    <n v="4"/>
    <x v="1"/>
    <n v="80"/>
    <n v="1"/>
    <n v="10"/>
    <x v="0"/>
    <n v="0"/>
    <x v="0"/>
    <n v="2"/>
    <x v="2"/>
    <n v="9"/>
    <x v="0"/>
    <n v="7"/>
    <x v="1"/>
    <n v="1"/>
    <x v="0"/>
    <n v="6"/>
    <x v="1"/>
  </r>
  <r>
    <n v="1346"/>
    <n v="40"/>
    <x v="0"/>
    <x v="1"/>
    <n v="0"/>
    <x v="0"/>
    <n v="523"/>
    <x v="2"/>
    <x v="1"/>
    <n v="2"/>
    <x v="0"/>
    <n v="3"/>
    <x v="3"/>
    <x v="0"/>
    <n v="1"/>
    <n v="3"/>
    <x v="1"/>
    <x v="1"/>
    <n v="98"/>
    <x v="0"/>
    <n v="3"/>
    <x v="0"/>
    <n v="2"/>
    <x v="1"/>
    <n v="4"/>
    <x v="0"/>
    <x v="0"/>
    <n v="4661"/>
    <x v="1"/>
    <n v="22455"/>
    <x v="1"/>
    <n v="1"/>
    <x v="1"/>
    <s v="Y"/>
    <x v="1"/>
    <n v="13"/>
    <x v="2"/>
    <n v="3"/>
    <x v="0"/>
    <n v="3"/>
    <x v="3"/>
    <n v="80"/>
    <n v="0"/>
    <n v="9"/>
    <x v="0"/>
    <n v="4"/>
    <x v="1"/>
    <n v="3"/>
    <x v="1"/>
    <n v="9"/>
    <x v="0"/>
    <n v="8"/>
    <x v="1"/>
    <n v="8"/>
    <x v="2"/>
    <n v="8"/>
    <x v="1"/>
  </r>
  <r>
    <n v="1349"/>
    <n v="41"/>
    <x v="0"/>
    <x v="1"/>
    <n v="0"/>
    <x v="1"/>
    <n v="1018"/>
    <x v="0"/>
    <x v="0"/>
    <n v="1"/>
    <x v="0"/>
    <n v="3"/>
    <x v="3"/>
    <x v="3"/>
    <n v="1"/>
    <n v="3"/>
    <x v="1"/>
    <x v="0"/>
    <n v="66"/>
    <x v="1"/>
    <n v="3"/>
    <x v="0"/>
    <n v="2"/>
    <x v="0"/>
    <n v="1"/>
    <x v="3"/>
    <x v="2"/>
    <n v="4103"/>
    <x v="1"/>
    <n v="4297"/>
    <x v="2"/>
    <n v="0"/>
    <x v="1"/>
    <s v="Y"/>
    <x v="1"/>
    <n v="17"/>
    <x v="3"/>
    <n v="3"/>
    <x v="0"/>
    <n v="4"/>
    <x v="1"/>
    <n v="80"/>
    <n v="1"/>
    <n v="10"/>
    <x v="0"/>
    <n v="2"/>
    <x v="0"/>
    <n v="3"/>
    <x v="1"/>
    <n v="9"/>
    <x v="0"/>
    <n v="3"/>
    <x v="0"/>
    <n v="1"/>
    <x v="0"/>
    <n v="7"/>
    <x v="1"/>
  </r>
  <r>
    <n v="1350"/>
    <n v="35"/>
    <x v="2"/>
    <x v="1"/>
    <n v="0"/>
    <x v="1"/>
    <n v="482"/>
    <x v="1"/>
    <x v="1"/>
    <n v="4"/>
    <x v="0"/>
    <n v="4"/>
    <x v="2"/>
    <x v="0"/>
    <n v="1"/>
    <n v="3"/>
    <x v="1"/>
    <x v="1"/>
    <n v="87"/>
    <x v="0"/>
    <n v="3"/>
    <x v="0"/>
    <n v="2"/>
    <x v="1"/>
    <n v="3"/>
    <x v="2"/>
    <x v="0"/>
    <n v="4249"/>
    <x v="1"/>
    <n v="2690"/>
    <x v="2"/>
    <n v="1"/>
    <x v="1"/>
    <s v="Y"/>
    <x v="0"/>
    <n v="11"/>
    <x v="0"/>
    <n v="3"/>
    <x v="0"/>
    <n v="2"/>
    <x v="4"/>
    <n v="80"/>
    <n v="0"/>
    <n v="9"/>
    <x v="0"/>
    <n v="3"/>
    <x v="1"/>
    <n v="3"/>
    <x v="1"/>
    <n v="9"/>
    <x v="0"/>
    <n v="6"/>
    <x v="1"/>
    <n v="1"/>
    <x v="0"/>
    <n v="1"/>
    <x v="2"/>
  </r>
  <r>
    <n v="1352"/>
    <n v="51"/>
    <x v="1"/>
    <x v="1"/>
    <n v="0"/>
    <x v="0"/>
    <n v="770"/>
    <x v="2"/>
    <x v="2"/>
    <n v="5"/>
    <x v="0"/>
    <n v="3"/>
    <x v="3"/>
    <x v="0"/>
    <n v="1"/>
    <n v="3"/>
    <x v="1"/>
    <x v="1"/>
    <n v="84"/>
    <x v="0"/>
    <n v="3"/>
    <x v="0"/>
    <n v="4"/>
    <x v="5"/>
    <n v="2"/>
    <x v="1"/>
    <x v="2"/>
    <n v="14026"/>
    <x v="10"/>
    <n v="17588"/>
    <x v="0"/>
    <n v="1"/>
    <x v="1"/>
    <s v="Y"/>
    <x v="0"/>
    <n v="11"/>
    <x v="0"/>
    <n v="3"/>
    <x v="0"/>
    <n v="2"/>
    <x v="4"/>
    <n v="80"/>
    <n v="1"/>
    <n v="33"/>
    <x v="4"/>
    <n v="2"/>
    <x v="0"/>
    <n v="3"/>
    <x v="1"/>
    <n v="33"/>
    <x v="3"/>
    <n v="9"/>
    <x v="1"/>
    <n v="0"/>
    <x v="0"/>
    <n v="10"/>
    <x v="1"/>
  </r>
  <r>
    <n v="1355"/>
    <n v="38"/>
    <x v="0"/>
    <x v="1"/>
    <n v="0"/>
    <x v="0"/>
    <n v="1009"/>
    <x v="0"/>
    <x v="0"/>
    <n v="2"/>
    <x v="0"/>
    <n v="2"/>
    <x v="0"/>
    <x v="0"/>
    <n v="1"/>
    <n v="2"/>
    <x v="0"/>
    <x v="0"/>
    <n v="31"/>
    <x v="2"/>
    <n v="3"/>
    <x v="0"/>
    <n v="2"/>
    <x v="0"/>
    <n v="1"/>
    <x v="3"/>
    <x v="2"/>
    <n v="6893"/>
    <x v="0"/>
    <n v="19461"/>
    <x v="0"/>
    <n v="3"/>
    <x v="3"/>
    <s v="Y"/>
    <x v="1"/>
    <n v="15"/>
    <x v="2"/>
    <n v="3"/>
    <x v="0"/>
    <n v="4"/>
    <x v="1"/>
    <n v="80"/>
    <n v="1"/>
    <n v="11"/>
    <x v="1"/>
    <n v="3"/>
    <x v="1"/>
    <n v="3"/>
    <x v="1"/>
    <n v="7"/>
    <x v="0"/>
    <n v="7"/>
    <x v="1"/>
    <n v="1"/>
    <x v="0"/>
    <n v="7"/>
    <x v="1"/>
  </r>
  <r>
    <n v="1356"/>
    <n v="34"/>
    <x v="2"/>
    <x v="1"/>
    <n v="0"/>
    <x v="0"/>
    <n v="507"/>
    <x v="2"/>
    <x v="0"/>
    <n v="15"/>
    <x v="3"/>
    <n v="2"/>
    <x v="0"/>
    <x v="2"/>
    <n v="1"/>
    <n v="3"/>
    <x v="1"/>
    <x v="0"/>
    <n v="66"/>
    <x v="1"/>
    <n v="3"/>
    <x v="0"/>
    <n v="2"/>
    <x v="0"/>
    <n v="1"/>
    <x v="3"/>
    <x v="0"/>
    <n v="6125"/>
    <x v="0"/>
    <n v="23553"/>
    <x v="1"/>
    <n v="1"/>
    <x v="1"/>
    <s v="Y"/>
    <x v="1"/>
    <n v="12"/>
    <x v="0"/>
    <n v="3"/>
    <x v="0"/>
    <n v="4"/>
    <x v="1"/>
    <n v="80"/>
    <n v="0"/>
    <n v="10"/>
    <x v="0"/>
    <n v="6"/>
    <x v="2"/>
    <n v="4"/>
    <x v="3"/>
    <n v="10"/>
    <x v="0"/>
    <n v="8"/>
    <x v="1"/>
    <n v="9"/>
    <x v="2"/>
    <n v="6"/>
    <x v="1"/>
  </r>
  <r>
    <n v="1358"/>
    <n v="25"/>
    <x v="4"/>
    <x v="1"/>
    <n v="0"/>
    <x v="0"/>
    <n v="882"/>
    <x v="2"/>
    <x v="1"/>
    <n v="19"/>
    <x v="3"/>
    <n v="1"/>
    <x v="1"/>
    <x v="2"/>
    <n v="1"/>
    <n v="4"/>
    <x v="2"/>
    <x v="1"/>
    <n v="67"/>
    <x v="1"/>
    <n v="3"/>
    <x v="0"/>
    <n v="1"/>
    <x v="2"/>
    <n v="4"/>
    <x v="0"/>
    <x v="1"/>
    <n v="3669"/>
    <x v="3"/>
    <n v="9075"/>
    <x v="3"/>
    <n v="3"/>
    <x v="3"/>
    <s v="Y"/>
    <x v="1"/>
    <n v="11"/>
    <x v="0"/>
    <n v="3"/>
    <x v="0"/>
    <n v="3"/>
    <x v="3"/>
    <n v="80"/>
    <n v="3"/>
    <n v="7"/>
    <x v="0"/>
    <n v="6"/>
    <x v="2"/>
    <n v="2"/>
    <x v="2"/>
    <n v="3"/>
    <x v="2"/>
    <n v="2"/>
    <x v="0"/>
    <n v="1"/>
    <x v="0"/>
    <n v="2"/>
    <x v="0"/>
  </r>
  <r>
    <n v="1360"/>
    <n v="58"/>
    <x v="3"/>
    <x v="0"/>
    <n v="1"/>
    <x v="0"/>
    <n v="601"/>
    <x v="2"/>
    <x v="1"/>
    <n v="7"/>
    <x v="1"/>
    <n v="4"/>
    <x v="2"/>
    <x v="2"/>
    <n v="1"/>
    <n v="3"/>
    <x v="1"/>
    <x v="0"/>
    <n v="53"/>
    <x v="1"/>
    <n v="2"/>
    <x v="1"/>
    <n v="3"/>
    <x v="3"/>
    <n v="1"/>
    <x v="3"/>
    <x v="1"/>
    <n v="10008"/>
    <x v="8"/>
    <n v="12023"/>
    <x v="3"/>
    <n v="7"/>
    <x v="0"/>
    <s v="Y"/>
    <x v="0"/>
    <n v="14"/>
    <x v="2"/>
    <n v="3"/>
    <x v="0"/>
    <n v="4"/>
    <x v="1"/>
    <n v="80"/>
    <n v="0"/>
    <n v="31"/>
    <x v="4"/>
    <n v="0"/>
    <x v="0"/>
    <n v="2"/>
    <x v="2"/>
    <n v="10"/>
    <x v="0"/>
    <n v="9"/>
    <x v="1"/>
    <n v="5"/>
    <x v="1"/>
    <n v="9"/>
    <x v="1"/>
  </r>
  <r>
    <n v="1361"/>
    <n v="40"/>
    <x v="0"/>
    <x v="1"/>
    <n v="0"/>
    <x v="0"/>
    <n v="329"/>
    <x v="1"/>
    <x v="1"/>
    <n v="1"/>
    <x v="0"/>
    <n v="4"/>
    <x v="2"/>
    <x v="0"/>
    <n v="1"/>
    <n v="2"/>
    <x v="0"/>
    <x v="1"/>
    <n v="88"/>
    <x v="0"/>
    <n v="3"/>
    <x v="0"/>
    <n v="1"/>
    <x v="2"/>
    <n v="2"/>
    <x v="1"/>
    <x v="1"/>
    <n v="2387"/>
    <x v="2"/>
    <n v="6762"/>
    <x v="2"/>
    <n v="3"/>
    <x v="3"/>
    <s v="Y"/>
    <x v="1"/>
    <n v="22"/>
    <x v="1"/>
    <n v="4"/>
    <x v="1"/>
    <n v="3"/>
    <x v="3"/>
    <n v="80"/>
    <n v="1"/>
    <n v="7"/>
    <x v="0"/>
    <n v="3"/>
    <x v="1"/>
    <n v="3"/>
    <x v="1"/>
    <n v="4"/>
    <x v="2"/>
    <n v="2"/>
    <x v="0"/>
    <n v="0"/>
    <x v="0"/>
    <n v="3"/>
    <x v="0"/>
  </r>
  <r>
    <n v="1362"/>
    <n v="36"/>
    <x v="0"/>
    <x v="1"/>
    <n v="0"/>
    <x v="1"/>
    <n v="607"/>
    <x v="2"/>
    <x v="0"/>
    <n v="7"/>
    <x v="1"/>
    <n v="3"/>
    <x v="3"/>
    <x v="3"/>
    <n v="1"/>
    <n v="1"/>
    <x v="3"/>
    <x v="0"/>
    <n v="83"/>
    <x v="0"/>
    <n v="4"/>
    <x v="2"/>
    <n v="2"/>
    <x v="0"/>
    <n v="1"/>
    <x v="3"/>
    <x v="1"/>
    <n v="4639"/>
    <x v="1"/>
    <n v="2261"/>
    <x v="2"/>
    <n v="2"/>
    <x v="3"/>
    <s v="Y"/>
    <x v="1"/>
    <n v="16"/>
    <x v="3"/>
    <n v="3"/>
    <x v="0"/>
    <n v="4"/>
    <x v="1"/>
    <n v="80"/>
    <n v="1"/>
    <n v="17"/>
    <x v="1"/>
    <n v="2"/>
    <x v="0"/>
    <n v="2"/>
    <x v="2"/>
    <n v="15"/>
    <x v="4"/>
    <n v="7"/>
    <x v="1"/>
    <n v="6"/>
    <x v="2"/>
    <n v="13"/>
    <x v="3"/>
  </r>
  <r>
    <n v="1363"/>
    <n v="48"/>
    <x v="1"/>
    <x v="1"/>
    <n v="0"/>
    <x v="0"/>
    <n v="855"/>
    <x v="2"/>
    <x v="1"/>
    <n v="4"/>
    <x v="0"/>
    <n v="3"/>
    <x v="3"/>
    <x v="0"/>
    <n v="1"/>
    <n v="4"/>
    <x v="2"/>
    <x v="1"/>
    <n v="54"/>
    <x v="1"/>
    <n v="3"/>
    <x v="0"/>
    <n v="3"/>
    <x v="3"/>
    <n v="4"/>
    <x v="0"/>
    <x v="0"/>
    <n v="7898"/>
    <x v="11"/>
    <n v="18706"/>
    <x v="0"/>
    <n v="1"/>
    <x v="1"/>
    <s v="Y"/>
    <x v="1"/>
    <n v="11"/>
    <x v="0"/>
    <n v="3"/>
    <x v="0"/>
    <n v="3"/>
    <x v="3"/>
    <n v="80"/>
    <n v="0"/>
    <n v="11"/>
    <x v="1"/>
    <n v="2"/>
    <x v="0"/>
    <n v="3"/>
    <x v="1"/>
    <n v="10"/>
    <x v="0"/>
    <n v="9"/>
    <x v="1"/>
    <n v="0"/>
    <x v="0"/>
    <n v="8"/>
    <x v="1"/>
  </r>
  <r>
    <n v="1364"/>
    <n v="27"/>
    <x v="2"/>
    <x v="1"/>
    <n v="0"/>
    <x v="0"/>
    <n v="1291"/>
    <x v="0"/>
    <x v="0"/>
    <n v="11"/>
    <x v="3"/>
    <n v="3"/>
    <x v="3"/>
    <x v="2"/>
    <n v="1"/>
    <n v="3"/>
    <x v="1"/>
    <x v="0"/>
    <n v="98"/>
    <x v="0"/>
    <n v="4"/>
    <x v="2"/>
    <n v="1"/>
    <x v="6"/>
    <n v="4"/>
    <x v="0"/>
    <x v="1"/>
    <n v="2534"/>
    <x v="3"/>
    <n v="6527"/>
    <x v="2"/>
    <n v="8"/>
    <x v="0"/>
    <s v="Y"/>
    <x v="1"/>
    <n v="14"/>
    <x v="2"/>
    <n v="3"/>
    <x v="0"/>
    <n v="2"/>
    <x v="4"/>
    <n v="80"/>
    <n v="1"/>
    <n v="5"/>
    <x v="3"/>
    <n v="4"/>
    <x v="1"/>
    <n v="3"/>
    <x v="1"/>
    <n v="1"/>
    <x v="1"/>
    <n v="0"/>
    <x v="2"/>
    <n v="0"/>
    <x v="0"/>
    <n v="0"/>
    <x v="2"/>
  </r>
  <r>
    <n v="1367"/>
    <n v="51"/>
    <x v="1"/>
    <x v="1"/>
    <n v="0"/>
    <x v="0"/>
    <n v="1405"/>
    <x v="0"/>
    <x v="1"/>
    <n v="11"/>
    <x v="3"/>
    <n v="2"/>
    <x v="0"/>
    <x v="4"/>
    <n v="1"/>
    <n v="4"/>
    <x v="2"/>
    <x v="0"/>
    <n v="82"/>
    <x v="0"/>
    <n v="2"/>
    <x v="1"/>
    <n v="4"/>
    <x v="3"/>
    <n v="2"/>
    <x v="1"/>
    <x v="0"/>
    <n v="13142"/>
    <x v="10"/>
    <n v="24439"/>
    <x v="1"/>
    <n v="3"/>
    <x v="3"/>
    <s v="Y"/>
    <x v="1"/>
    <n v="16"/>
    <x v="3"/>
    <n v="3"/>
    <x v="0"/>
    <n v="2"/>
    <x v="4"/>
    <n v="80"/>
    <n v="0"/>
    <n v="29"/>
    <x v="4"/>
    <n v="1"/>
    <x v="0"/>
    <n v="2"/>
    <x v="2"/>
    <n v="5"/>
    <x v="2"/>
    <n v="2"/>
    <x v="0"/>
    <n v="0"/>
    <x v="0"/>
    <n v="3"/>
    <x v="0"/>
  </r>
  <r>
    <n v="1368"/>
    <n v="18"/>
    <x v="4"/>
    <x v="1"/>
    <n v="0"/>
    <x v="2"/>
    <n v="1124"/>
    <x v="0"/>
    <x v="1"/>
    <n v="1"/>
    <x v="0"/>
    <n v="3"/>
    <x v="3"/>
    <x v="0"/>
    <n v="1"/>
    <n v="4"/>
    <x v="2"/>
    <x v="0"/>
    <n v="97"/>
    <x v="0"/>
    <n v="3"/>
    <x v="0"/>
    <n v="1"/>
    <x v="2"/>
    <n v="4"/>
    <x v="0"/>
    <x v="0"/>
    <n v="1611"/>
    <x v="2"/>
    <n v="19305"/>
    <x v="0"/>
    <n v="1"/>
    <x v="1"/>
    <s v="Y"/>
    <x v="1"/>
    <n v="15"/>
    <x v="2"/>
    <n v="3"/>
    <x v="0"/>
    <n v="3"/>
    <x v="3"/>
    <n v="80"/>
    <n v="0"/>
    <n v="0"/>
    <x v="2"/>
    <n v="5"/>
    <x v="2"/>
    <n v="4"/>
    <x v="3"/>
    <n v="0"/>
    <x v="1"/>
    <n v="0"/>
    <x v="2"/>
    <n v="0"/>
    <x v="0"/>
    <n v="0"/>
    <x v="2"/>
  </r>
  <r>
    <n v="1369"/>
    <n v="35"/>
    <x v="2"/>
    <x v="1"/>
    <n v="0"/>
    <x v="0"/>
    <n v="817"/>
    <x v="2"/>
    <x v="1"/>
    <n v="1"/>
    <x v="0"/>
    <n v="3"/>
    <x v="3"/>
    <x v="2"/>
    <n v="1"/>
    <n v="4"/>
    <x v="2"/>
    <x v="0"/>
    <n v="60"/>
    <x v="1"/>
    <n v="2"/>
    <x v="1"/>
    <n v="2"/>
    <x v="2"/>
    <n v="4"/>
    <x v="0"/>
    <x v="1"/>
    <n v="5363"/>
    <x v="1"/>
    <n v="10846"/>
    <x v="3"/>
    <n v="0"/>
    <x v="1"/>
    <s v="Y"/>
    <x v="1"/>
    <n v="12"/>
    <x v="0"/>
    <n v="3"/>
    <x v="0"/>
    <n v="2"/>
    <x v="4"/>
    <n v="80"/>
    <n v="1"/>
    <n v="10"/>
    <x v="0"/>
    <n v="0"/>
    <x v="0"/>
    <n v="3"/>
    <x v="1"/>
    <n v="9"/>
    <x v="0"/>
    <n v="7"/>
    <x v="1"/>
    <n v="0"/>
    <x v="0"/>
    <n v="0"/>
    <x v="2"/>
  </r>
  <r>
    <n v="1371"/>
    <n v="27"/>
    <x v="2"/>
    <x v="1"/>
    <n v="0"/>
    <x v="1"/>
    <n v="793"/>
    <x v="2"/>
    <x v="0"/>
    <n v="2"/>
    <x v="0"/>
    <n v="1"/>
    <x v="1"/>
    <x v="0"/>
    <n v="1"/>
    <n v="4"/>
    <x v="2"/>
    <x v="1"/>
    <n v="43"/>
    <x v="2"/>
    <n v="1"/>
    <x v="3"/>
    <n v="2"/>
    <x v="0"/>
    <n v="4"/>
    <x v="0"/>
    <x v="0"/>
    <n v="5071"/>
    <x v="1"/>
    <n v="20392"/>
    <x v="0"/>
    <n v="3"/>
    <x v="3"/>
    <s v="Y"/>
    <x v="1"/>
    <n v="20"/>
    <x v="1"/>
    <n v="4"/>
    <x v="1"/>
    <n v="2"/>
    <x v="4"/>
    <n v="80"/>
    <n v="0"/>
    <n v="8"/>
    <x v="0"/>
    <n v="3"/>
    <x v="1"/>
    <n v="3"/>
    <x v="1"/>
    <n v="6"/>
    <x v="0"/>
    <n v="2"/>
    <x v="0"/>
    <n v="0"/>
    <x v="0"/>
    <n v="0"/>
    <x v="2"/>
  </r>
  <r>
    <n v="1372"/>
    <n v="55"/>
    <x v="1"/>
    <x v="0"/>
    <n v="1"/>
    <x v="0"/>
    <n v="267"/>
    <x v="1"/>
    <x v="0"/>
    <n v="13"/>
    <x v="3"/>
    <n v="4"/>
    <x v="2"/>
    <x v="3"/>
    <n v="1"/>
    <n v="1"/>
    <x v="3"/>
    <x v="1"/>
    <n v="85"/>
    <x v="0"/>
    <n v="4"/>
    <x v="2"/>
    <n v="4"/>
    <x v="0"/>
    <n v="3"/>
    <x v="2"/>
    <x v="0"/>
    <n v="13695"/>
    <x v="10"/>
    <n v="9277"/>
    <x v="3"/>
    <n v="6"/>
    <x v="2"/>
    <s v="Y"/>
    <x v="0"/>
    <n v="17"/>
    <x v="3"/>
    <n v="3"/>
    <x v="0"/>
    <n v="3"/>
    <x v="3"/>
    <n v="80"/>
    <n v="0"/>
    <n v="24"/>
    <x v="4"/>
    <n v="2"/>
    <x v="0"/>
    <n v="2"/>
    <x v="2"/>
    <n v="19"/>
    <x v="4"/>
    <n v="7"/>
    <x v="1"/>
    <n v="3"/>
    <x v="1"/>
    <n v="8"/>
    <x v="1"/>
  </r>
  <r>
    <n v="1373"/>
    <n v="56"/>
    <x v="3"/>
    <x v="1"/>
    <n v="0"/>
    <x v="0"/>
    <n v="1369"/>
    <x v="0"/>
    <x v="1"/>
    <n v="23"/>
    <x v="2"/>
    <n v="3"/>
    <x v="3"/>
    <x v="0"/>
    <n v="1"/>
    <n v="4"/>
    <x v="2"/>
    <x v="1"/>
    <n v="68"/>
    <x v="1"/>
    <n v="3"/>
    <x v="0"/>
    <n v="4"/>
    <x v="3"/>
    <n v="2"/>
    <x v="1"/>
    <x v="1"/>
    <n v="13402"/>
    <x v="10"/>
    <n v="18235"/>
    <x v="0"/>
    <n v="4"/>
    <x v="2"/>
    <s v="Y"/>
    <x v="0"/>
    <n v="12"/>
    <x v="0"/>
    <n v="3"/>
    <x v="0"/>
    <n v="1"/>
    <x v="0"/>
    <n v="80"/>
    <n v="1"/>
    <n v="33"/>
    <x v="4"/>
    <n v="0"/>
    <x v="0"/>
    <n v="3"/>
    <x v="1"/>
    <n v="19"/>
    <x v="4"/>
    <n v="16"/>
    <x v="3"/>
    <n v="15"/>
    <x v="3"/>
    <n v="9"/>
    <x v="1"/>
  </r>
  <r>
    <n v="1374"/>
    <n v="34"/>
    <x v="2"/>
    <x v="1"/>
    <n v="0"/>
    <x v="2"/>
    <n v="999"/>
    <x v="2"/>
    <x v="1"/>
    <n v="26"/>
    <x v="2"/>
    <n v="1"/>
    <x v="1"/>
    <x v="4"/>
    <n v="1"/>
    <n v="1"/>
    <x v="3"/>
    <x v="0"/>
    <n v="92"/>
    <x v="0"/>
    <n v="2"/>
    <x v="1"/>
    <n v="1"/>
    <x v="1"/>
    <n v="3"/>
    <x v="2"/>
    <x v="2"/>
    <n v="2029"/>
    <x v="2"/>
    <n v="15891"/>
    <x v="3"/>
    <n v="1"/>
    <x v="1"/>
    <s v="Y"/>
    <x v="1"/>
    <n v="20"/>
    <x v="1"/>
    <n v="4"/>
    <x v="1"/>
    <n v="3"/>
    <x v="3"/>
    <n v="80"/>
    <n v="3"/>
    <n v="5"/>
    <x v="3"/>
    <n v="2"/>
    <x v="0"/>
    <n v="3"/>
    <x v="1"/>
    <n v="5"/>
    <x v="2"/>
    <n v="4"/>
    <x v="0"/>
    <n v="0"/>
    <x v="0"/>
    <n v="0"/>
    <x v="2"/>
  </r>
  <r>
    <n v="1375"/>
    <n v="40"/>
    <x v="0"/>
    <x v="1"/>
    <n v="0"/>
    <x v="0"/>
    <n v="1202"/>
    <x v="0"/>
    <x v="1"/>
    <n v="2"/>
    <x v="0"/>
    <n v="1"/>
    <x v="1"/>
    <x v="2"/>
    <n v="1"/>
    <n v="2"/>
    <x v="0"/>
    <x v="0"/>
    <n v="89"/>
    <x v="0"/>
    <n v="4"/>
    <x v="2"/>
    <n v="2"/>
    <x v="4"/>
    <n v="3"/>
    <x v="2"/>
    <x v="2"/>
    <n v="6377"/>
    <x v="0"/>
    <n v="13888"/>
    <x v="3"/>
    <n v="5"/>
    <x v="2"/>
    <s v="Y"/>
    <x v="1"/>
    <n v="20"/>
    <x v="1"/>
    <n v="4"/>
    <x v="1"/>
    <n v="2"/>
    <x v="4"/>
    <n v="80"/>
    <n v="3"/>
    <n v="15"/>
    <x v="1"/>
    <n v="0"/>
    <x v="0"/>
    <n v="3"/>
    <x v="1"/>
    <n v="12"/>
    <x v="4"/>
    <n v="11"/>
    <x v="3"/>
    <n v="11"/>
    <x v="3"/>
    <n v="8"/>
    <x v="1"/>
  </r>
  <r>
    <n v="1377"/>
    <n v="34"/>
    <x v="2"/>
    <x v="1"/>
    <n v="0"/>
    <x v="0"/>
    <n v="285"/>
    <x v="1"/>
    <x v="1"/>
    <n v="29"/>
    <x v="2"/>
    <n v="3"/>
    <x v="3"/>
    <x v="2"/>
    <n v="1"/>
    <n v="2"/>
    <x v="0"/>
    <x v="1"/>
    <n v="86"/>
    <x v="0"/>
    <n v="3"/>
    <x v="0"/>
    <n v="2"/>
    <x v="2"/>
    <n v="3"/>
    <x v="2"/>
    <x v="1"/>
    <n v="5429"/>
    <x v="1"/>
    <n v="17491"/>
    <x v="0"/>
    <n v="4"/>
    <x v="2"/>
    <s v="Y"/>
    <x v="1"/>
    <n v="13"/>
    <x v="2"/>
    <n v="3"/>
    <x v="0"/>
    <n v="1"/>
    <x v="0"/>
    <n v="80"/>
    <n v="2"/>
    <n v="10"/>
    <x v="0"/>
    <n v="1"/>
    <x v="0"/>
    <n v="3"/>
    <x v="1"/>
    <n v="8"/>
    <x v="0"/>
    <n v="7"/>
    <x v="1"/>
    <n v="7"/>
    <x v="2"/>
    <n v="7"/>
    <x v="1"/>
  </r>
  <r>
    <n v="1379"/>
    <n v="31"/>
    <x v="2"/>
    <x v="0"/>
    <n v="1"/>
    <x v="1"/>
    <n v="703"/>
    <x v="2"/>
    <x v="0"/>
    <n v="2"/>
    <x v="0"/>
    <n v="3"/>
    <x v="3"/>
    <x v="0"/>
    <n v="1"/>
    <n v="3"/>
    <x v="1"/>
    <x v="0"/>
    <n v="90"/>
    <x v="0"/>
    <n v="2"/>
    <x v="1"/>
    <n v="1"/>
    <x v="6"/>
    <n v="4"/>
    <x v="0"/>
    <x v="0"/>
    <n v="2785"/>
    <x v="3"/>
    <n v="11882"/>
    <x v="3"/>
    <n v="7"/>
    <x v="0"/>
    <s v="Y"/>
    <x v="1"/>
    <n v="14"/>
    <x v="2"/>
    <n v="3"/>
    <x v="0"/>
    <n v="3"/>
    <x v="3"/>
    <n v="80"/>
    <n v="0"/>
    <n v="3"/>
    <x v="3"/>
    <n v="3"/>
    <x v="1"/>
    <n v="4"/>
    <x v="3"/>
    <n v="1"/>
    <x v="1"/>
    <n v="0"/>
    <x v="2"/>
    <n v="0"/>
    <x v="0"/>
    <n v="0"/>
    <x v="2"/>
  </r>
  <r>
    <n v="1380"/>
    <n v="35"/>
    <x v="2"/>
    <x v="0"/>
    <n v="1"/>
    <x v="1"/>
    <n v="662"/>
    <x v="2"/>
    <x v="0"/>
    <n v="18"/>
    <x v="3"/>
    <n v="4"/>
    <x v="2"/>
    <x v="3"/>
    <n v="1"/>
    <n v="4"/>
    <x v="2"/>
    <x v="0"/>
    <n v="67"/>
    <x v="1"/>
    <n v="3"/>
    <x v="0"/>
    <n v="2"/>
    <x v="0"/>
    <n v="3"/>
    <x v="2"/>
    <x v="1"/>
    <n v="4614"/>
    <x v="1"/>
    <n v="23288"/>
    <x v="1"/>
    <n v="0"/>
    <x v="1"/>
    <s v="Y"/>
    <x v="0"/>
    <n v="18"/>
    <x v="1"/>
    <n v="3"/>
    <x v="0"/>
    <n v="3"/>
    <x v="3"/>
    <n v="80"/>
    <n v="1"/>
    <n v="5"/>
    <x v="3"/>
    <n v="0"/>
    <x v="0"/>
    <n v="2"/>
    <x v="2"/>
    <n v="4"/>
    <x v="2"/>
    <n v="2"/>
    <x v="0"/>
    <n v="3"/>
    <x v="1"/>
    <n v="2"/>
    <x v="0"/>
  </r>
  <r>
    <n v="1382"/>
    <n v="38"/>
    <x v="0"/>
    <x v="1"/>
    <n v="0"/>
    <x v="1"/>
    <n v="693"/>
    <x v="2"/>
    <x v="1"/>
    <n v="7"/>
    <x v="1"/>
    <n v="3"/>
    <x v="3"/>
    <x v="0"/>
    <n v="1"/>
    <n v="4"/>
    <x v="2"/>
    <x v="1"/>
    <n v="57"/>
    <x v="1"/>
    <n v="4"/>
    <x v="2"/>
    <n v="1"/>
    <x v="1"/>
    <n v="3"/>
    <x v="2"/>
    <x v="2"/>
    <n v="2610"/>
    <x v="3"/>
    <n v="15748"/>
    <x v="3"/>
    <n v="1"/>
    <x v="1"/>
    <s v="Y"/>
    <x v="1"/>
    <n v="11"/>
    <x v="0"/>
    <n v="3"/>
    <x v="0"/>
    <n v="4"/>
    <x v="1"/>
    <n v="80"/>
    <n v="3"/>
    <n v="4"/>
    <x v="3"/>
    <n v="2"/>
    <x v="0"/>
    <n v="3"/>
    <x v="1"/>
    <n v="4"/>
    <x v="2"/>
    <n v="2"/>
    <x v="0"/>
    <n v="0"/>
    <x v="0"/>
    <n v="3"/>
    <x v="0"/>
  </r>
  <r>
    <n v="1383"/>
    <n v="34"/>
    <x v="2"/>
    <x v="1"/>
    <n v="0"/>
    <x v="0"/>
    <n v="404"/>
    <x v="1"/>
    <x v="1"/>
    <n v="2"/>
    <x v="0"/>
    <n v="4"/>
    <x v="2"/>
    <x v="4"/>
    <n v="1"/>
    <n v="3"/>
    <x v="1"/>
    <x v="0"/>
    <n v="98"/>
    <x v="0"/>
    <n v="3"/>
    <x v="0"/>
    <n v="2"/>
    <x v="4"/>
    <n v="4"/>
    <x v="0"/>
    <x v="0"/>
    <n v="6687"/>
    <x v="0"/>
    <n v="6163"/>
    <x v="2"/>
    <n v="1"/>
    <x v="1"/>
    <s v="Y"/>
    <x v="1"/>
    <n v="11"/>
    <x v="0"/>
    <n v="3"/>
    <x v="0"/>
    <n v="4"/>
    <x v="1"/>
    <n v="80"/>
    <n v="0"/>
    <n v="14"/>
    <x v="1"/>
    <n v="2"/>
    <x v="0"/>
    <n v="4"/>
    <x v="3"/>
    <n v="14"/>
    <x v="4"/>
    <n v="11"/>
    <x v="3"/>
    <n v="4"/>
    <x v="1"/>
    <n v="11"/>
    <x v="3"/>
  </r>
  <r>
    <n v="1387"/>
    <n v="28"/>
    <x v="2"/>
    <x v="1"/>
    <n v="0"/>
    <x v="0"/>
    <n v="736"/>
    <x v="2"/>
    <x v="0"/>
    <n v="26"/>
    <x v="2"/>
    <n v="3"/>
    <x v="3"/>
    <x v="0"/>
    <n v="1"/>
    <n v="3"/>
    <x v="1"/>
    <x v="1"/>
    <n v="48"/>
    <x v="2"/>
    <n v="2"/>
    <x v="1"/>
    <n v="2"/>
    <x v="0"/>
    <n v="1"/>
    <x v="3"/>
    <x v="1"/>
    <n v="4724"/>
    <x v="1"/>
    <n v="24232"/>
    <x v="1"/>
    <n v="1"/>
    <x v="1"/>
    <s v="Y"/>
    <x v="1"/>
    <n v="11"/>
    <x v="0"/>
    <n v="3"/>
    <x v="0"/>
    <n v="3"/>
    <x v="3"/>
    <n v="80"/>
    <n v="1"/>
    <n v="5"/>
    <x v="3"/>
    <n v="0"/>
    <x v="0"/>
    <n v="3"/>
    <x v="1"/>
    <n v="5"/>
    <x v="2"/>
    <n v="3"/>
    <x v="0"/>
    <n v="0"/>
    <x v="0"/>
    <n v="4"/>
    <x v="0"/>
  </r>
  <r>
    <n v="1389"/>
    <n v="31"/>
    <x v="2"/>
    <x v="0"/>
    <n v="1"/>
    <x v="0"/>
    <n v="330"/>
    <x v="1"/>
    <x v="1"/>
    <n v="22"/>
    <x v="2"/>
    <n v="4"/>
    <x v="2"/>
    <x v="2"/>
    <n v="1"/>
    <n v="4"/>
    <x v="2"/>
    <x v="1"/>
    <n v="98"/>
    <x v="0"/>
    <n v="3"/>
    <x v="0"/>
    <n v="2"/>
    <x v="3"/>
    <n v="3"/>
    <x v="2"/>
    <x v="1"/>
    <n v="6179"/>
    <x v="0"/>
    <n v="21057"/>
    <x v="0"/>
    <n v="1"/>
    <x v="1"/>
    <s v="Y"/>
    <x v="0"/>
    <n v="15"/>
    <x v="2"/>
    <n v="3"/>
    <x v="0"/>
    <n v="4"/>
    <x v="1"/>
    <n v="80"/>
    <n v="2"/>
    <n v="10"/>
    <x v="0"/>
    <n v="3"/>
    <x v="1"/>
    <n v="2"/>
    <x v="2"/>
    <n v="10"/>
    <x v="0"/>
    <n v="2"/>
    <x v="0"/>
    <n v="6"/>
    <x v="2"/>
    <n v="7"/>
    <x v="1"/>
  </r>
  <r>
    <n v="1390"/>
    <n v="39"/>
    <x v="0"/>
    <x v="1"/>
    <n v="0"/>
    <x v="0"/>
    <n v="1498"/>
    <x v="0"/>
    <x v="0"/>
    <n v="21"/>
    <x v="2"/>
    <n v="4"/>
    <x v="2"/>
    <x v="0"/>
    <n v="1"/>
    <n v="1"/>
    <x v="3"/>
    <x v="1"/>
    <n v="44"/>
    <x v="2"/>
    <n v="2"/>
    <x v="1"/>
    <n v="2"/>
    <x v="0"/>
    <n v="4"/>
    <x v="0"/>
    <x v="1"/>
    <n v="6120"/>
    <x v="0"/>
    <n v="3567"/>
    <x v="2"/>
    <n v="3"/>
    <x v="3"/>
    <s v="Y"/>
    <x v="0"/>
    <n v="12"/>
    <x v="0"/>
    <n v="3"/>
    <x v="0"/>
    <n v="4"/>
    <x v="1"/>
    <n v="80"/>
    <n v="2"/>
    <n v="8"/>
    <x v="0"/>
    <n v="2"/>
    <x v="0"/>
    <n v="4"/>
    <x v="3"/>
    <n v="5"/>
    <x v="2"/>
    <n v="4"/>
    <x v="0"/>
    <n v="1"/>
    <x v="0"/>
    <n v="4"/>
    <x v="0"/>
  </r>
  <r>
    <n v="1391"/>
    <n v="51"/>
    <x v="1"/>
    <x v="1"/>
    <n v="0"/>
    <x v="1"/>
    <n v="541"/>
    <x v="2"/>
    <x v="0"/>
    <n v="2"/>
    <x v="0"/>
    <n v="3"/>
    <x v="3"/>
    <x v="3"/>
    <n v="1"/>
    <n v="2"/>
    <x v="0"/>
    <x v="1"/>
    <n v="52"/>
    <x v="1"/>
    <n v="3"/>
    <x v="0"/>
    <n v="3"/>
    <x v="0"/>
    <n v="2"/>
    <x v="1"/>
    <x v="1"/>
    <n v="10596"/>
    <x v="8"/>
    <n v="15395"/>
    <x v="3"/>
    <n v="2"/>
    <x v="3"/>
    <s v="Y"/>
    <x v="1"/>
    <n v="11"/>
    <x v="0"/>
    <n v="3"/>
    <x v="0"/>
    <n v="2"/>
    <x v="4"/>
    <n v="80"/>
    <n v="0"/>
    <n v="14"/>
    <x v="1"/>
    <n v="5"/>
    <x v="2"/>
    <n v="3"/>
    <x v="1"/>
    <n v="4"/>
    <x v="2"/>
    <n v="2"/>
    <x v="0"/>
    <n v="3"/>
    <x v="1"/>
    <n v="2"/>
    <x v="0"/>
  </r>
  <r>
    <n v="1392"/>
    <n v="41"/>
    <x v="0"/>
    <x v="1"/>
    <n v="0"/>
    <x v="1"/>
    <n v="1200"/>
    <x v="0"/>
    <x v="1"/>
    <n v="22"/>
    <x v="2"/>
    <n v="3"/>
    <x v="3"/>
    <x v="0"/>
    <n v="1"/>
    <n v="4"/>
    <x v="2"/>
    <x v="0"/>
    <n v="75"/>
    <x v="1"/>
    <n v="3"/>
    <x v="0"/>
    <n v="2"/>
    <x v="1"/>
    <n v="4"/>
    <x v="0"/>
    <x v="2"/>
    <n v="5467"/>
    <x v="1"/>
    <n v="13953"/>
    <x v="3"/>
    <n v="3"/>
    <x v="3"/>
    <s v="Y"/>
    <x v="0"/>
    <n v="14"/>
    <x v="2"/>
    <n v="3"/>
    <x v="0"/>
    <n v="1"/>
    <x v="0"/>
    <n v="80"/>
    <n v="2"/>
    <n v="12"/>
    <x v="1"/>
    <n v="4"/>
    <x v="1"/>
    <n v="2"/>
    <x v="2"/>
    <n v="6"/>
    <x v="0"/>
    <n v="2"/>
    <x v="0"/>
    <n v="3"/>
    <x v="1"/>
    <n v="3"/>
    <x v="0"/>
  </r>
  <r>
    <n v="1394"/>
    <n v="37"/>
    <x v="0"/>
    <x v="1"/>
    <n v="0"/>
    <x v="0"/>
    <n v="1439"/>
    <x v="0"/>
    <x v="1"/>
    <n v="4"/>
    <x v="0"/>
    <n v="1"/>
    <x v="1"/>
    <x v="0"/>
    <n v="1"/>
    <n v="3"/>
    <x v="1"/>
    <x v="1"/>
    <n v="54"/>
    <x v="1"/>
    <n v="3"/>
    <x v="0"/>
    <n v="1"/>
    <x v="1"/>
    <n v="3"/>
    <x v="2"/>
    <x v="1"/>
    <n v="2996"/>
    <x v="3"/>
    <n v="5182"/>
    <x v="2"/>
    <n v="7"/>
    <x v="0"/>
    <s v="Y"/>
    <x v="0"/>
    <n v="15"/>
    <x v="2"/>
    <n v="3"/>
    <x v="0"/>
    <n v="4"/>
    <x v="1"/>
    <n v="80"/>
    <n v="0"/>
    <n v="8"/>
    <x v="0"/>
    <n v="2"/>
    <x v="0"/>
    <n v="3"/>
    <x v="1"/>
    <n v="6"/>
    <x v="0"/>
    <n v="4"/>
    <x v="0"/>
    <n v="1"/>
    <x v="0"/>
    <n v="3"/>
    <x v="0"/>
  </r>
  <r>
    <n v="1395"/>
    <n v="33"/>
    <x v="2"/>
    <x v="1"/>
    <n v="0"/>
    <x v="1"/>
    <n v="1111"/>
    <x v="0"/>
    <x v="0"/>
    <n v="5"/>
    <x v="0"/>
    <n v="1"/>
    <x v="1"/>
    <x v="0"/>
    <n v="1"/>
    <n v="2"/>
    <x v="0"/>
    <x v="1"/>
    <n v="61"/>
    <x v="1"/>
    <n v="3"/>
    <x v="0"/>
    <n v="2"/>
    <x v="0"/>
    <n v="4"/>
    <x v="0"/>
    <x v="1"/>
    <n v="9998"/>
    <x v="4"/>
    <n v="19293"/>
    <x v="0"/>
    <n v="6"/>
    <x v="2"/>
    <s v="Y"/>
    <x v="1"/>
    <n v="13"/>
    <x v="2"/>
    <n v="3"/>
    <x v="0"/>
    <n v="1"/>
    <x v="0"/>
    <n v="80"/>
    <n v="0"/>
    <n v="8"/>
    <x v="0"/>
    <n v="2"/>
    <x v="0"/>
    <n v="4"/>
    <x v="3"/>
    <n v="5"/>
    <x v="2"/>
    <n v="4"/>
    <x v="0"/>
    <n v="1"/>
    <x v="0"/>
    <n v="2"/>
    <x v="0"/>
  </r>
  <r>
    <n v="1396"/>
    <n v="32"/>
    <x v="2"/>
    <x v="1"/>
    <n v="0"/>
    <x v="0"/>
    <n v="499"/>
    <x v="1"/>
    <x v="0"/>
    <n v="2"/>
    <x v="0"/>
    <n v="1"/>
    <x v="1"/>
    <x v="3"/>
    <n v="1"/>
    <n v="3"/>
    <x v="1"/>
    <x v="1"/>
    <n v="36"/>
    <x v="2"/>
    <n v="3"/>
    <x v="0"/>
    <n v="2"/>
    <x v="0"/>
    <n v="2"/>
    <x v="1"/>
    <x v="1"/>
    <n v="4078"/>
    <x v="1"/>
    <n v="20497"/>
    <x v="0"/>
    <n v="0"/>
    <x v="1"/>
    <s v="Y"/>
    <x v="0"/>
    <n v="13"/>
    <x v="2"/>
    <n v="3"/>
    <x v="0"/>
    <n v="1"/>
    <x v="0"/>
    <n v="80"/>
    <n v="3"/>
    <n v="4"/>
    <x v="3"/>
    <n v="3"/>
    <x v="1"/>
    <n v="2"/>
    <x v="2"/>
    <n v="3"/>
    <x v="2"/>
    <n v="2"/>
    <x v="0"/>
    <n v="1"/>
    <x v="0"/>
    <n v="2"/>
    <x v="0"/>
  </r>
  <r>
    <n v="1397"/>
    <n v="39"/>
    <x v="0"/>
    <x v="1"/>
    <n v="0"/>
    <x v="2"/>
    <n v="1485"/>
    <x v="0"/>
    <x v="1"/>
    <n v="25"/>
    <x v="2"/>
    <n v="2"/>
    <x v="0"/>
    <x v="0"/>
    <n v="1"/>
    <n v="3"/>
    <x v="1"/>
    <x v="1"/>
    <n v="71"/>
    <x v="1"/>
    <n v="3"/>
    <x v="0"/>
    <n v="3"/>
    <x v="4"/>
    <n v="3"/>
    <x v="2"/>
    <x v="1"/>
    <n v="10920"/>
    <x v="8"/>
    <n v="3449"/>
    <x v="2"/>
    <n v="3"/>
    <x v="3"/>
    <s v="Y"/>
    <x v="1"/>
    <n v="21"/>
    <x v="1"/>
    <n v="4"/>
    <x v="1"/>
    <n v="2"/>
    <x v="4"/>
    <n v="80"/>
    <n v="1"/>
    <n v="13"/>
    <x v="1"/>
    <n v="2"/>
    <x v="0"/>
    <n v="3"/>
    <x v="1"/>
    <n v="6"/>
    <x v="0"/>
    <n v="4"/>
    <x v="0"/>
    <n v="0"/>
    <x v="0"/>
    <n v="5"/>
    <x v="0"/>
  </r>
  <r>
    <n v="1399"/>
    <n v="25"/>
    <x v="4"/>
    <x v="1"/>
    <n v="0"/>
    <x v="0"/>
    <n v="1372"/>
    <x v="0"/>
    <x v="0"/>
    <n v="18"/>
    <x v="3"/>
    <n v="1"/>
    <x v="1"/>
    <x v="0"/>
    <n v="1"/>
    <n v="1"/>
    <x v="3"/>
    <x v="1"/>
    <n v="93"/>
    <x v="0"/>
    <n v="4"/>
    <x v="2"/>
    <n v="2"/>
    <x v="0"/>
    <n v="3"/>
    <x v="2"/>
    <x v="1"/>
    <n v="6232"/>
    <x v="0"/>
    <n v="12477"/>
    <x v="3"/>
    <n v="2"/>
    <x v="3"/>
    <s v="Y"/>
    <x v="1"/>
    <n v="11"/>
    <x v="0"/>
    <n v="3"/>
    <x v="0"/>
    <n v="2"/>
    <x v="4"/>
    <n v="80"/>
    <n v="0"/>
    <n v="6"/>
    <x v="0"/>
    <n v="3"/>
    <x v="1"/>
    <n v="2"/>
    <x v="2"/>
    <n v="3"/>
    <x v="2"/>
    <n v="2"/>
    <x v="0"/>
    <n v="1"/>
    <x v="0"/>
    <n v="2"/>
    <x v="0"/>
  </r>
  <r>
    <n v="1401"/>
    <n v="52"/>
    <x v="1"/>
    <x v="1"/>
    <n v="0"/>
    <x v="1"/>
    <n v="322"/>
    <x v="1"/>
    <x v="1"/>
    <n v="28"/>
    <x v="2"/>
    <n v="2"/>
    <x v="0"/>
    <x v="2"/>
    <n v="1"/>
    <n v="4"/>
    <x v="2"/>
    <x v="0"/>
    <n v="59"/>
    <x v="1"/>
    <n v="4"/>
    <x v="2"/>
    <n v="4"/>
    <x v="3"/>
    <n v="3"/>
    <x v="2"/>
    <x v="1"/>
    <n v="13247"/>
    <x v="10"/>
    <n v="9731"/>
    <x v="3"/>
    <n v="2"/>
    <x v="3"/>
    <s v="Y"/>
    <x v="0"/>
    <n v="11"/>
    <x v="0"/>
    <n v="3"/>
    <x v="0"/>
    <n v="2"/>
    <x v="4"/>
    <n v="80"/>
    <n v="1"/>
    <n v="24"/>
    <x v="4"/>
    <n v="3"/>
    <x v="1"/>
    <n v="2"/>
    <x v="2"/>
    <n v="5"/>
    <x v="2"/>
    <n v="3"/>
    <x v="0"/>
    <n v="0"/>
    <x v="0"/>
    <n v="2"/>
    <x v="0"/>
  </r>
  <r>
    <n v="1402"/>
    <n v="43"/>
    <x v="0"/>
    <x v="1"/>
    <n v="0"/>
    <x v="0"/>
    <n v="930"/>
    <x v="2"/>
    <x v="1"/>
    <n v="6"/>
    <x v="1"/>
    <n v="3"/>
    <x v="3"/>
    <x v="2"/>
    <n v="1"/>
    <n v="1"/>
    <x v="3"/>
    <x v="0"/>
    <n v="73"/>
    <x v="1"/>
    <n v="2"/>
    <x v="1"/>
    <n v="2"/>
    <x v="1"/>
    <n v="3"/>
    <x v="2"/>
    <x v="0"/>
    <n v="4081"/>
    <x v="1"/>
    <n v="20003"/>
    <x v="0"/>
    <n v="1"/>
    <x v="1"/>
    <s v="Y"/>
    <x v="0"/>
    <n v="14"/>
    <x v="2"/>
    <n v="3"/>
    <x v="0"/>
    <n v="1"/>
    <x v="0"/>
    <n v="80"/>
    <n v="0"/>
    <n v="20"/>
    <x v="1"/>
    <n v="3"/>
    <x v="1"/>
    <n v="1"/>
    <x v="0"/>
    <n v="20"/>
    <x v="4"/>
    <n v="7"/>
    <x v="1"/>
    <n v="1"/>
    <x v="0"/>
    <n v="8"/>
    <x v="1"/>
  </r>
  <r>
    <n v="1403"/>
    <n v="27"/>
    <x v="2"/>
    <x v="1"/>
    <n v="0"/>
    <x v="0"/>
    <n v="205"/>
    <x v="1"/>
    <x v="0"/>
    <n v="10"/>
    <x v="1"/>
    <n v="3"/>
    <x v="3"/>
    <x v="3"/>
    <n v="1"/>
    <n v="4"/>
    <x v="2"/>
    <x v="0"/>
    <n v="98"/>
    <x v="0"/>
    <n v="2"/>
    <x v="1"/>
    <n v="2"/>
    <x v="0"/>
    <n v="4"/>
    <x v="0"/>
    <x v="1"/>
    <n v="5769"/>
    <x v="0"/>
    <n v="7100"/>
    <x v="2"/>
    <n v="1"/>
    <x v="1"/>
    <s v="Y"/>
    <x v="0"/>
    <n v="11"/>
    <x v="0"/>
    <n v="3"/>
    <x v="0"/>
    <n v="4"/>
    <x v="1"/>
    <n v="80"/>
    <n v="0"/>
    <n v="6"/>
    <x v="0"/>
    <n v="3"/>
    <x v="1"/>
    <n v="3"/>
    <x v="1"/>
    <n v="6"/>
    <x v="0"/>
    <n v="2"/>
    <x v="0"/>
    <n v="4"/>
    <x v="1"/>
    <n v="4"/>
    <x v="0"/>
  </r>
  <r>
    <n v="1405"/>
    <n v="27"/>
    <x v="2"/>
    <x v="0"/>
    <n v="1"/>
    <x v="0"/>
    <n v="135"/>
    <x v="1"/>
    <x v="1"/>
    <n v="17"/>
    <x v="3"/>
    <n v="4"/>
    <x v="2"/>
    <x v="0"/>
    <n v="1"/>
    <n v="4"/>
    <x v="2"/>
    <x v="0"/>
    <n v="51"/>
    <x v="1"/>
    <n v="3"/>
    <x v="0"/>
    <n v="1"/>
    <x v="1"/>
    <n v="3"/>
    <x v="2"/>
    <x v="0"/>
    <n v="2394"/>
    <x v="2"/>
    <n v="25681"/>
    <x v="1"/>
    <n v="1"/>
    <x v="1"/>
    <s v="Y"/>
    <x v="0"/>
    <n v="13"/>
    <x v="2"/>
    <n v="3"/>
    <x v="0"/>
    <n v="4"/>
    <x v="1"/>
    <n v="80"/>
    <n v="0"/>
    <n v="8"/>
    <x v="0"/>
    <n v="2"/>
    <x v="0"/>
    <n v="3"/>
    <x v="1"/>
    <n v="8"/>
    <x v="0"/>
    <n v="2"/>
    <x v="0"/>
    <n v="7"/>
    <x v="2"/>
    <n v="7"/>
    <x v="1"/>
  </r>
  <r>
    <n v="1407"/>
    <n v="26"/>
    <x v="2"/>
    <x v="1"/>
    <n v="0"/>
    <x v="0"/>
    <n v="683"/>
    <x v="2"/>
    <x v="1"/>
    <n v="2"/>
    <x v="0"/>
    <n v="1"/>
    <x v="1"/>
    <x v="2"/>
    <n v="1"/>
    <n v="1"/>
    <x v="3"/>
    <x v="1"/>
    <n v="36"/>
    <x v="2"/>
    <n v="2"/>
    <x v="1"/>
    <n v="1"/>
    <x v="1"/>
    <n v="4"/>
    <x v="0"/>
    <x v="0"/>
    <n v="3904"/>
    <x v="3"/>
    <n v="4050"/>
    <x v="2"/>
    <n v="0"/>
    <x v="1"/>
    <s v="Y"/>
    <x v="1"/>
    <n v="12"/>
    <x v="0"/>
    <n v="3"/>
    <x v="0"/>
    <n v="4"/>
    <x v="1"/>
    <n v="80"/>
    <n v="0"/>
    <n v="5"/>
    <x v="3"/>
    <n v="2"/>
    <x v="0"/>
    <n v="3"/>
    <x v="1"/>
    <n v="4"/>
    <x v="2"/>
    <n v="3"/>
    <x v="0"/>
    <n v="1"/>
    <x v="0"/>
    <n v="1"/>
    <x v="2"/>
  </r>
  <r>
    <n v="1408"/>
    <n v="42"/>
    <x v="0"/>
    <x v="1"/>
    <n v="0"/>
    <x v="0"/>
    <n v="1147"/>
    <x v="0"/>
    <x v="2"/>
    <n v="10"/>
    <x v="1"/>
    <n v="3"/>
    <x v="3"/>
    <x v="5"/>
    <n v="1"/>
    <n v="3"/>
    <x v="1"/>
    <x v="0"/>
    <n v="31"/>
    <x v="2"/>
    <n v="3"/>
    <x v="0"/>
    <n v="4"/>
    <x v="5"/>
    <n v="1"/>
    <x v="3"/>
    <x v="1"/>
    <n v="16799"/>
    <x v="12"/>
    <n v="16616"/>
    <x v="0"/>
    <n v="0"/>
    <x v="1"/>
    <s v="Y"/>
    <x v="1"/>
    <n v="14"/>
    <x v="2"/>
    <n v="3"/>
    <x v="0"/>
    <n v="3"/>
    <x v="3"/>
    <n v="80"/>
    <n v="1"/>
    <n v="21"/>
    <x v="4"/>
    <n v="5"/>
    <x v="2"/>
    <n v="3"/>
    <x v="1"/>
    <n v="20"/>
    <x v="4"/>
    <n v="7"/>
    <x v="1"/>
    <n v="0"/>
    <x v="0"/>
    <n v="9"/>
    <x v="1"/>
  </r>
  <r>
    <n v="1409"/>
    <n v="52"/>
    <x v="1"/>
    <x v="1"/>
    <n v="0"/>
    <x v="0"/>
    <n v="258"/>
    <x v="1"/>
    <x v="1"/>
    <n v="8"/>
    <x v="1"/>
    <n v="4"/>
    <x v="2"/>
    <x v="1"/>
    <n v="1"/>
    <n v="3"/>
    <x v="1"/>
    <x v="0"/>
    <n v="54"/>
    <x v="1"/>
    <n v="3"/>
    <x v="0"/>
    <n v="1"/>
    <x v="2"/>
    <n v="1"/>
    <x v="3"/>
    <x v="1"/>
    <n v="2950"/>
    <x v="3"/>
    <n v="17363"/>
    <x v="0"/>
    <n v="9"/>
    <x v="0"/>
    <s v="Y"/>
    <x v="1"/>
    <n v="13"/>
    <x v="2"/>
    <n v="3"/>
    <x v="0"/>
    <n v="3"/>
    <x v="3"/>
    <n v="80"/>
    <n v="0"/>
    <n v="12"/>
    <x v="1"/>
    <n v="2"/>
    <x v="0"/>
    <n v="1"/>
    <x v="0"/>
    <n v="5"/>
    <x v="2"/>
    <n v="4"/>
    <x v="0"/>
    <n v="0"/>
    <x v="0"/>
    <n v="4"/>
    <x v="0"/>
  </r>
  <r>
    <n v="1411"/>
    <n v="37"/>
    <x v="0"/>
    <x v="1"/>
    <n v="0"/>
    <x v="0"/>
    <n v="1462"/>
    <x v="0"/>
    <x v="1"/>
    <n v="11"/>
    <x v="3"/>
    <n v="3"/>
    <x v="3"/>
    <x v="2"/>
    <n v="1"/>
    <n v="1"/>
    <x v="3"/>
    <x v="0"/>
    <n v="94"/>
    <x v="0"/>
    <n v="3"/>
    <x v="0"/>
    <n v="1"/>
    <x v="2"/>
    <n v="3"/>
    <x v="2"/>
    <x v="0"/>
    <n v="3629"/>
    <x v="3"/>
    <n v="19106"/>
    <x v="0"/>
    <n v="4"/>
    <x v="2"/>
    <s v="Y"/>
    <x v="1"/>
    <n v="18"/>
    <x v="1"/>
    <n v="3"/>
    <x v="0"/>
    <n v="1"/>
    <x v="0"/>
    <n v="80"/>
    <n v="0"/>
    <n v="8"/>
    <x v="0"/>
    <n v="6"/>
    <x v="2"/>
    <n v="3"/>
    <x v="1"/>
    <n v="3"/>
    <x v="2"/>
    <n v="2"/>
    <x v="0"/>
    <n v="0"/>
    <x v="0"/>
    <n v="2"/>
    <x v="0"/>
  </r>
  <r>
    <n v="1412"/>
    <n v="35"/>
    <x v="2"/>
    <x v="1"/>
    <n v="0"/>
    <x v="1"/>
    <n v="200"/>
    <x v="1"/>
    <x v="1"/>
    <n v="18"/>
    <x v="3"/>
    <n v="2"/>
    <x v="0"/>
    <x v="0"/>
    <n v="1"/>
    <n v="3"/>
    <x v="1"/>
    <x v="1"/>
    <n v="60"/>
    <x v="1"/>
    <n v="3"/>
    <x v="0"/>
    <n v="3"/>
    <x v="3"/>
    <n v="4"/>
    <x v="0"/>
    <x v="0"/>
    <n v="9362"/>
    <x v="4"/>
    <n v="19944"/>
    <x v="0"/>
    <n v="2"/>
    <x v="3"/>
    <s v="Y"/>
    <x v="1"/>
    <n v="11"/>
    <x v="0"/>
    <n v="3"/>
    <x v="0"/>
    <n v="3"/>
    <x v="3"/>
    <n v="80"/>
    <n v="0"/>
    <n v="10"/>
    <x v="0"/>
    <n v="2"/>
    <x v="0"/>
    <n v="3"/>
    <x v="1"/>
    <n v="2"/>
    <x v="2"/>
    <n v="2"/>
    <x v="0"/>
    <n v="2"/>
    <x v="1"/>
    <n v="2"/>
    <x v="0"/>
  </r>
  <r>
    <n v="1415"/>
    <n v="25"/>
    <x v="4"/>
    <x v="1"/>
    <n v="0"/>
    <x v="0"/>
    <n v="949"/>
    <x v="2"/>
    <x v="1"/>
    <n v="1"/>
    <x v="0"/>
    <n v="3"/>
    <x v="3"/>
    <x v="4"/>
    <n v="1"/>
    <n v="1"/>
    <x v="3"/>
    <x v="1"/>
    <n v="81"/>
    <x v="0"/>
    <n v="3"/>
    <x v="0"/>
    <n v="1"/>
    <x v="2"/>
    <n v="4"/>
    <x v="0"/>
    <x v="1"/>
    <n v="3229"/>
    <x v="3"/>
    <n v="4910"/>
    <x v="2"/>
    <n v="4"/>
    <x v="2"/>
    <s v="Y"/>
    <x v="1"/>
    <n v="11"/>
    <x v="0"/>
    <n v="3"/>
    <x v="0"/>
    <n v="2"/>
    <x v="4"/>
    <n v="80"/>
    <n v="1"/>
    <n v="7"/>
    <x v="0"/>
    <n v="2"/>
    <x v="0"/>
    <n v="2"/>
    <x v="2"/>
    <n v="3"/>
    <x v="2"/>
    <n v="2"/>
    <x v="0"/>
    <n v="0"/>
    <x v="0"/>
    <n v="2"/>
    <x v="0"/>
  </r>
  <r>
    <n v="1417"/>
    <n v="26"/>
    <x v="2"/>
    <x v="1"/>
    <n v="0"/>
    <x v="0"/>
    <n v="652"/>
    <x v="2"/>
    <x v="1"/>
    <n v="7"/>
    <x v="1"/>
    <n v="3"/>
    <x v="3"/>
    <x v="1"/>
    <n v="1"/>
    <n v="3"/>
    <x v="1"/>
    <x v="1"/>
    <n v="100"/>
    <x v="0"/>
    <n v="4"/>
    <x v="2"/>
    <n v="1"/>
    <x v="2"/>
    <n v="1"/>
    <x v="3"/>
    <x v="0"/>
    <n v="3578"/>
    <x v="3"/>
    <n v="23577"/>
    <x v="1"/>
    <n v="0"/>
    <x v="1"/>
    <s v="Y"/>
    <x v="1"/>
    <n v="12"/>
    <x v="0"/>
    <n v="3"/>
    <x v="0"/>
    <n v="4"/>
    <x v="1"/>
    <n v="80"/>
    <n v="0"/>
    <n v="8"/>
    <x v="0"/>
    <n v="2"/>
    <x v="0"/>
    <n v="3"/>
    <x v="1"/>
    <n v="7"/>
    <x v="0"/>
    <n v="7"/>
    <x v="1"/>
    <n v="0"/>
    <x v="0"/>
    <n v="7"/>
    <x v="1"/>
  </r>
  <r>
    <n v="1419"/>
    <n v="29"/>
    <x v="2"/>
    <x v="1"/>
    <n v="0"/>
    <x v="0"/>
    <n v="332"/>
    <x v="1"/>
    <x v="2"/>
    <n v="17"/>
    <x v="3"/>
    <n v="3"/>
    <x v="3"/>
    <x v="1"/>
    <n v="1"/>
    <n v="2"/>
    <x v="0"/>
    <x v="1"/>
    <n v="51"/>
    <x v="1"/>
    <n v="2"/>
    <x v="1"/>
    <n v="3"/>
    <x v="8"/>
    <n v="1"/>
    <x v="3"/>
    <x v="0"/>
    <n v="7988"/>
    <x v="11"/>
    <n v="9769"/>
    <x v="3"/>
    <n v="1"/>
    <x v="1"/>
    <s v="Y"/>
    <x v="1"/>
    <n v="13"/>
    <x v="2"/>
    <n v="3"/>
    <x v="0"/>
    <n v="1"/>
    <x v="0"/>
    <n v="80"/>
    <n v="0"/>
    <n v="10"/>
    <x v="0"/>
    <n v="3"/>
    <x v="1"/>
    <n v="2"/>
    <x v="2"/>
    <n v="10"/>
    <x v="0"/>
    <n v="9"/>
    <x v="1"/>
    <n v="0"/>
    <x v="0"/>
    <n v="9"/>
    <x v="1"/>
  </r>
  <r>
    <n v="1420"/>
    <n v="49"/>
    <x v="1"/>
    <x v="0"/>
    <n v="1"/>
    <x v="1"/>
    <n v="1475"/>
    <x v="0"/>
    <x v="1"/>
    <n v="28"/>
    <x v="2"/>
    <n v="2"/>
    <x v="0"/>
    <x v="0"/>
    <n v="1"/>
    <n v="1"/>
    <x v="3"/>
    <x v="1"/>
    <n v="97"/>
    <x v="0"/>
    <n v="2"/>
    <x v="1"/>
    <n v="2"/>
    <x v="2"/>
    <n v="1"/>
    <x v="3"/>
    <x v="0"/>
    <n v="4284"/>
    <x v="1"/>
    <n v="22710"/>
    <x v="1"/>
    <n v="3"/>
    <x v="3"/>
    <s v="Y"/>
    <x v="1"/>
    <n v="20"/>
    <x v="1"/>
    <n v="4"/>
    <x v="1"/>
    <n v="1"/>
    <x v="0"/>
    <n v="80"/>
    <n v="0"/>
    <n v="20"/>
    <x v="1"/>
    <n v="2"/>
    <x v="0"/>
    <n v="3"/>
    <x v="1"/>
    <n v="4"/>
    <x v="2"/>
    <n v="3"/>
    <x v="0"/>
    <n v="1"/>
    <x v="0"/>
    <n v="3"/>
    <x v="0"/>
  </r>
  <r>
    <n v="1421"/>
    <n v="29"/>
    <x v="2"/>
    <x v="0"/>
    <n v="1"/>
    <x v="1"/>
    <n v="337"/>
    <x v="1"/>
    <x v="1"/>
    <n v="14"/>
    <x v="3"/>
    <n v="1"/>
    <x v="1"/>
    <x v="1"/>
    <n v="1"/>
    <n v="3"/>
    <x v="1"/>
    <x v="0"/>
    <n v="84"/>
    <x v="0"/>
    <n v="3"/>
    <x v="0"/>
    <n v="3"/>
    <x v="4"/>
    <n v="4"/>
    <x v="0"/>
    <x v="0"/>
    <n v="7553"/>
    <x v="11"/>
    <n v="22930"/>
    <x v="1"/>
    <n v="0"/>
    <x v="1"/>
    <s v="Y"/>
    <x v="0"/>
    <n v="12"/>
    <x v="0"/>
    <n v="3"/>
    <x v="0"/>
    <n v="1"/>
    <x v="0"/>
    <n v="80"/>
    <n v="0"/>
    <n v="9"/>
    <x v="0"/>
    <n v="1"/>
    <x v="0"/>
    <n v="3"/>
    <x v="1"/>
    <n v="8"/>
    <x v="0"/>
    <n v="7"/>
    <x v="1"/>
    <n v="7"/>
    <x v="2"/>
    <n v="7"/>
    <x v="1"/>
  </r>
  <r>
    <n v="1422"/>
    <n v="54"/>
    <x v="1"/>
    <x v="1"/>
    <n v="0"/>
    <x v="0"/>
    <n v="971"/>
    <x v="2"/>
    <x v="1"/>
    <n v="1"/>
    <x v="0"/>
    <n v="3"/>
    <x v="3"/>
    <x v="2"/>
    <n v="1"/>
    <n v="4"/>
    <x v="2"/>
    <x v="0"/>
    <n v="54"/>
    <x v="1"/>
    <n v="3"/>
    <x v="0"/>
    <n v="4"/>
    <x v="7"/>
    <n v="4"/>
    <x v="0"/>
    <x v="0"/>
    <n v="17328"/>
    <x v="12"/>
    <n v="5652"/>
    <x v="2"/>
    <n v="6"/>
    <x v="2"/>
    <s v="Y"/>
    <x v="1"/>
    <n v="19"/>
    <x v="1"/>
    <n v="3"/>
    <x v="0"/>
    <n v="4"/>
    <x v="1"/>
    <n v="80"/>
    <n v="0"/>
    <n v="29"/>
    <x v="4"/>
    <n v="3"/>
    <x v="1"/>
    <n v="2"/>
    <x v="2"/>
    <n v="20"/>
    <x v="4"/>
    <n v="7"/>
    <x v="1"/>
    <n v="12"/>
    <x v="3"/>
    <n v="7"/>
    <x v="1"/>
  </r>
  <r>
    <n v="1423"/>
    <n v="58"/>
    <x v="3"/>
    <x v="1"/>
    <n v="0"/>
    <x v="0"/>
    <n v="1055"/>
    <x v="0"/>
    <x v="1"/>
    <n v="1"/>
    <x v="0"/>
    <n v="3"/>
    <x v="3"/>
    <x v="2"/>
    <n v="1"/>
    <n v="4"/>
    <x v="2"/>
    <x v="0"/>
    <n v="76"/>
    <x v="0"/>
    <n v="3"/>
    <x v="0"/>
    <n v="5"/>
    <x v="7"/>
    <n v="1"/>
    <x v="3"/>
    <x v="1"/>
    <n v="19701"/>
    <x v="7"/>
    <n v="22456"/>
    <x v="1"/>
    <n v="3"/>
    <x v="3"/>
    <s v="Y"/>
    <x v="0"/>
    <n v="21"/>
    <x v="1"/>
    <n v="4"/>
    <x v="1"/>
    <n v="3"/>
    <x v="3"/>
    <n v="80"/>
    <n v="1"/>
    <n v="32"/>
    <x v="4"/>
    <n v="3"/>
    <x v="1"/>
    <n v="3"/>
    <x v="1"/>
    <n v="9"/>
    <x v="0"/>
    <n v="8"/>
    <x v="1"/>
    <n v="1"/>
    <x v="0"/>
    <n v="5"/>
    <x v="0"/>
  </r>
  <r>
    <n v="1424"/>
    <n v="55"/>
    <x v="1"/>
    <x v="1"/>
    <n v="0"/>
    <x v="0"/>
    <n v="1136"/>
    <x v="0"/>
    <x v="1"/>
    <n v="1"/>
    <x v="0"/>
    <n v="4"/>
    <x v="2"/>
    <x v="2"/>
    <n v="1"/>
    <n v="2"/>
    <x v="0"/>
    <x v="1"/>
    <n v="81"/>
    <x v="0"/>
    <n v="4"/>
    <x v="2"/>
    <n v="4"/>
    <x v="7"/>
    <n v="4"/>
    <x v="0"/>
    <x v="2"/>
    <n v="14732"/>
    <x v="5"/>
    <n v="12414"/>
    <x v="3"/>
    <n v="2"/>
    <x v="3"/>
    <s v="Y"/>
    <x v="1"/>
    <n v="13"/>
    <x v="2"/>
    <n v="3"/>
    <x v="0"/>
    <n v="4"/>
    <x v="1"/>
    <n v="80"/>
    <n v="2"/>
    <n v="31"/>
    <x v="4"/>
    <n v="4"/>
    <x v="1"/>
    <n v="4"/>
    <x v="3"/>
    <n v="7"/>
    <x v="0"/>
    <n v="7"/>
    <x v="1"/>
    <n v="0"/>
    <x v="0"/>
    <n v="0"/>
    <x v="2"/>
  </r>
  <r>
    <n v="1425"/>
    <n v="36"/>
    <x v="0"/>
    <x v="1"/>
    <n v="0"/>
    <x v="0"/>
    <n v="1174"/>
    <x v="0"/>
    <x v="0"/>
    <n v="3"/>
    <x v="0"/>
    <n v="4"/>
    <x v="2"/>
    <x v="3"/>
    <n v="1"/>
    <n v="1"/>
    <x v="3"/>
    <x v="0"/>
    <n v="99"/>
    <x v="0"/>
    <n v="3"/>
    <x v="0"/>
    <n v="2"/>
    <x v="0"/>
    <n v="2"/>
    <x v="1"/>
    <x v="0"/>
    <n v="9278"/>
    <x v="4"/>
    <n v="20763"/>
    <x v="0"/>
    <n v="3"/>
    <x v="3"/>
    <s v="Y"/>
    <x v="0"/>
    <n v="16"/>
    <x v="3"/>
    <n v="3"/>
    <x v="0"/>
    <n v="4"/>
    <x v="1"/>
    <n v="80"/>
    <n v="0"/>
    <n v="15"/>
    <x v="1"/>
    <n v="3"/>
    <x v="1"/>
    <n v="3"/>
    <x v="1"/>
    <n v="5"/>
    <x v="2"/>
    <n v="4"/>
    <x v="0"/>
    <n v="0"/>
    <x v="0"/>
    <n v="1"/>
    <x v="2"/>
  </r>
  <r>
    <n v="1427"/>
    <n v="31"/>
    <x v="2"/>
    <x v="0"/>
    <n v="1"/>
    <x v="1"/>
    <n v="667"/>
    <x v="2"/>
    <x v="0"/>
    <n v="1"/>
    <x v="0"/>
    <n v="4"/>
    <x v="2"/>
    <x v="0"/>
    <n v="1"/>
    <n v="2"/>
    <x v="0"/>
    <x v="0"/>
    <n v="50"/>
    <x v="2"/>
    <n v="1"/>
    <x v="3"/>
    <n v="1"/>
    <x v="6"/>
    <n v="3"/>
    <x v="2"/>
    <x v="0"/>
    <n v="1359"/>
    <x v="2"/>
    <n v="16154"/>
    <x v="0"/>
    <n v="1"/>
    <x v="1"/>
    <s v="Y"/>
    <x v="1"/>
    <n v="12"/>
    <x v="0"/>
    <n v="3"/>
    <x v="0"/>
    <n v="2"/>
    <x v="4"/>
    <n v="80"/>
    <n v="0"/>
    <n v="1"/>
    <x v="2"/>
    <n v="3"/>
    <x v="1"/>
    <n v="3"/>
    <x v="1"/>
    <n v="1"/>
    <x v="1"/>
    <n v="0"/>
    <x v="2"/>
    <n v="0"/>
    <x v="0"/>
    <n v="0"/>
    <x v="2"/>
  </r>
  <r>
    <n v="1428"/>
    <n v="30"/>
    <x v="2"/>
    <x v="1"/>
    <n v="0"/>
    <x v="0"/>
    <n v="855"/>
    <x v="2"/>
    <x v="0"/>
    <n v="7"/>
    <x v="1"/>
    <n v="4"/>
    <x v="2"/>
    <x v="3"/>
    <n v="1"/>
    <n v="4"/>
    <x v="2"/>
    <x v="0"/>
    <n v="73"/>
    <x v="1"/>
    <n v="3"/>
    <x v="0"/>
    <n v="2"/>
    <x v="0"/>
    <n v="1"/>
    <x v="3"/>
    <x v="2"/>
    <n v="4779"/>
    <x v="1"/>
    <n v="12761"/>
    <x v="3"/>
    <n v="7"/>
    <x v="0"/>
    <s v="Y"/>
    <x v="1"/>
    <n v="14"/>
    <x v="2"/>
    <n v="3"/>
    <x v="0"/>
    <n v="2"/>
    <x v="4"/>
    <n v="80"/>
    <n v="2"/>
    <n v="8"/>
    <x v="0"/>
    <n v="3"/>
    <x v="1"/>
    <n v="3"/>
    <x v="1"/>
    <n v="3"/>
    <x v="2"/>
    <n v="2"/>
    <x v="0"/>
    <n v="0"/>
    <x v="0"/>
    <n v="2"/>
    <x v="0"/>
  </r>
  <r>
    <n v="1430"/>
    <n v="31"/>
    <x v="2"/>
    <x v="1"/>
    <n v="0"/>
    <x v="0"/>
    <n v="182"/>
    <x v="1"/>
    <x v="1"/>
    <n v="8"/>
    <x v="1"/>
    <n v="5"/>
    <x v="4"/>
    <x v="0"/>
    <n v="1"/>
    <n v="1"/>
    <x v="3"/>
    <x v="0"/>
    <n v="93"/>
    <x v="0"/>
    <n v="3"/>
    <x v="0"/>
    <n v="4"/>
    <x v="7"/>
    <n v="2"/>
    <x v="1"/>
    <x v="0"/>
    <n v="16422"/>
    <x v="12"/>
    <n v="8847"/>
    <x v="3"/>
    <n v="3"/>
    <x v="3"/>
    <s v="Y"/>
    <x v="1"/>
    <n v="11"/>
    <x v="0"/>
    <n v="3"/>
    <x v="0"/>
    <n v="3"/>
    <x v="3"/>
    <n v="80"/>
    <n v="0"/>
    <n v="9"/>
    <x v="0"/>
    <n v="3"/>
    <x v="1"/>
    <n v="4"/>
    <x v="3"/>
    <n v="3"/>
    <x v="2"/>
    <n v="2"/>
    <x v="0"/>
    <n v="1"/>
    <x v="0"/>
    <n v="0"/>
    <x v="2"/>
  </r>
  <r>
    <n v="1431"/>
    <n v="34"/>
    <x v="2"/>
    <x v="1"/>
    <n v="0"/>
    <x v="1"/>
    <n v="560"/>
    <x v="2"/>
    <x v="1"/>
    <n v="1"/>
    <x v="0"/>
    <n v="4"/>
    <x v="2"/>
    <x v="1"/>
    <n v="1"/>
    <n v="4"/>
    <x v="2"/>
    <x v="1"/>
    <n v="91"/>
    <x v="0"/>
    <n v="3"/>
    <x v="0"/>
    <n v="1"/>
    <x v="1"/>
    <n v="1"/>
    <x v="3"/>
    <x v="2"/>
    <n v="2996"/>
    <x v="3"/>
    <n v="20284"/>
    <x v="0"/>
    <n v="5"/>
    <x v="2"/>
    <s v="Y"/>
    <x v="1"/>
    <n v="14"/>
    <x v="2"/>
    <n v="3"/>
    <x v="0"/>
    <n v="3"/>
    <x v="3"/>
    <n v="80"/>
    <n v="2"/>
    <n v="10"/>
    <x v="0"/>
    <n v="2"/>
    <x v="0"/>
    <n v="3"/>
    <x v="1"/>
    <n v="4"/>
    <x v="2"/>
    <n v="3"/>
    <x v="0"/>
    <n v="1"/>
    <x v="0"/>
    <n v="3"/>
    <x v="0"/>
  </r>
  <r>
    <n v="1433"/>
    <n v="31"/>
    <x v="2"/>
    <x v="0"/>
    <n v="1"/>
    <x v="0"/>
    <n v="202"/>
    <x v="1"/>
    <x v="1"/>
    <n v="8"/>
    <x v="1"/>
    <n v="3"/>
    <x v="3"/>
    <x v="0"/>
    <n v="1"/>
    <n v="1"/>
    <x v="3"/>
    <x v="0"/>
    <n v="34"/>
    <x v="2"/>
    <n v="2"/>
    <x v="1"/>
    <n v="1"/>
    <x v="1"/>
    <n v="2"/>
    <x v="1"/>
    <x v="0"/>
    <n v="1261"/>
    <x v="2"/>
    <n v="22262"/>
    <x v="1"/>
    <n v="1"/>
    <x v="1"/>
    <s v="Y"/>
    <x v="1"/>
    <n v="12"/>
    <x v="0"/>
    <n v="3"/>
    <x v="0"/>
    <n v="3"/>
    <x v="3"/>
    <n v="80"/>
    <n v="0"/>
    <n v="1"/>
    <x v="2"/>
    <n v="3"/>
    <x v="1"/>
    <n v="4"/>
    <x v="3"/>
    <n v="1"/>
    <x v="1"/>
    <n v="0"/>
    <x v="2"/>
    <n v="0"/>
    <x v="0"/>
    <n v="0"/>
    <x v="2"/>
  </r>
  <r>
    <n v="1434"/>
    <n v="27"/>
    <x v="2"/>
    <x v="1"/>
    <n v="0"/>
    <x v="0"/>
    <n v="1377"/>
    <x v="0"/>
    <x v="1"/>
    <n v="11"/>
    <x v="3"/>
    <n v="1"/>
    <x v="1"/>
    <x v="0"/>
    <n v="1"/>
    <n v="2"/>
    <x v="0"/>
    <x v="1"/>
    <n v="91"/>
    <x v="0"/>
    <n v="3"/>
    <x v="0"/>
    <n v="1"/>
    <x v="2"/>
    <n v="1"/>
    <x v="3"/>
    <x v="1"/>
    <n v="2099"/>
    <x v="2"/>
    <n v="7679"/>
    <x v="2"/>
    <n v="0"/>
    <x v="1"/>
    <s v="Y"/>
    <x v="1"/>
    <n v="14"/>
    <x v="2"/>
    <n v="3"/>
    <x v="0"/>
    <n v="2"/>
    <x v="4"/>
    <n v="80"/>
    <n v="0"/>
    <n v="6"/>
    <x v="0"/>
    <n v="3"/>
    <x v="1"/>
    <n v="4"/>
    <x v="3"/>
    <n v="5"/>
    <x v="2"/>
    <n v="0"/>
    <x v="2"/>
    <n v="1"/>
    <x v="0"/>
    <n v="4"/>
    <x v="0"/>
  </r>
  <r>
    <n v="1435"/>
    <n v="36"/>
    <x v="0"/>
    <x v="1"/>
    <n v="0"/>
    <x v="0"/>
    <n v="172"/>
    <x v="1"/>
    <x v="1"/>
    <n v="4"/>
    <x v="0"/>
    <n v="4"/>
    <x v="2"/>
    <x v="0"/>
    <n v="1"/>
    <n v="1"/>
    <x v="3"/>
    <x v="1"/>
    <n v="37"/>
    <x v="2"/>
    <n v="2"/>
    <x v="1"/>
    <n v="2"/>
    <x v="2"/>
    <n v="4"/>
    <x v="0"/>
    <x v="0"/>
    <n v="5810"/>
    <x v="0"/>
    <n v="22604"/>
    <x v="1"/>
    <n v="1"/>
    <x v="1"/>
    <s v="Y"/>
    <x v="1"/>
    <n v="16"/>
    <x v="3"/>
    <n v="3"/>
    <x v="0"/>
    <n v="3"/>
    <x v="3"/>
    <n v="80"/>
    <n v="0"/>
    <n v="10"/>
    <x v="0"/>
    <n v="2"/>
    <x v="0"/>
    <n v="2"/>
    <x v="2"/>
    <n v="10"/>
    <x v="0"/>
    <n v="4"/>
    <x v="0"/>
    <n v="1"/>
    <x v="0"/>
    <n v="8"/>
    <x v="1"/>
  </r>
  <r>
    <n v="1436"/>
    <n v="36"/>
    <x v="0"/>
    <x v="1"/>
    <n v="0"/>
    <x v="0"/>
    <n v="329"/>
    <x v="1"/>
    <x v="0"/>
    <n v="16"/>
    <x v="3"/>
    <n v="4"/>
    <x v="2"/>
    <x v="3"/>
    <n v="1"/>
    <n v="3"/>
    <x v="1"/>
    <x v="0"/>
    <n v="98"/>
    <x v="0"/>
    <n v="2"/>
    <x v="1"/>
    <n v="2"/>
    <x v="0"/>
    <n v="1"/>
    <x v="3"/>
    <x v="1"/>
    <n v="5647"/>
    <x v="0"/>
    <n v="13494"/>
    <x v="3"/>
    <n v="4"/>
    <x v="2"/>
    <s v="Y"/>
    <x v="1"/>
    <n v="13"/>
    <x v="2"/>
    <n v="3"/>
    <x v="0"/>
    <n v="1"/>
    <x v="0"/>
    <n v="80"/>
    <n v="2"/>
    <n v="11"/>
    <x v="1"/>
    <n v="3"/>
    <x v="1"/>
    <n v="2"/>
    <x v="2"/>
    <n v="3"/>
    <x v="2"/>
    <n v="2"/>
    <x v="0"/>
    <n v="0"/>
    <x v="0"/>
    <n v="2"/>
    <x v="0"/>
  </r>
  <r>
    <n v="1438"/>
    <n v="47"/>
    <x v="1"/>
    <x v="1"/>
    <n v="0"/>
    <x v="0"/>
    <n v="465"/>
    <x v="1"/>
    <x v="1"/>
    <n v="1"/>
    <x v="0"/>
    <n v="3"/>
    <x v="3"/>
    <x v="4"/>
    <n v="1"/>
    <n v="1"/>
    <x v="3"/>
    <x v="1"/>
    <n v="74"/>
    <x v="1"/>
    <n v="3"/>
    <x v="0"/>
    <n v="1"/>
    <x v="1"/>
    <n v="4"/>
    <x v="0"/>
    <x v="1"/>
    <n v="3420"/>
    <x v="3"/>
    <n v="10205"/>
    <x v="3"/>
    <n v="7"/>
    <x v="0"/>
    <s v="Y"/>
    <x v="1"/>
    <n v="12"/>
    <x v="0"/>
    <n v="3"/>
    <x v="0"/>
    <n v="3"/>
    <x v="3"/>
    <n v="80"/>
    <n v="1"/>
    <n v="17"/>
    <x v="1"/>
    <n v="2"/>
    <x v="0"/>
    <n v="2"/>
    <x v="2"/>
    <n v="6"/>
    <x v="0"/>
    <n v="5"/>
    <x v="0"/>
    <n v="1"/>
    <x v="0"/>
    <n v="2"/>
    <x v="0"/>
  </r>
  <r>
    <n v="1439"/>
    <n v="25"/>
    <x v="4"/>
    <x v="0"/>
    <n v="1"/>
    <x v="0"/>
    <n v="383"/>
    <x v="1"/>
    <x v="0"/>
    <n v="9"/>
    <x v="1"/>
    <n v="2"/>
    <x v="0"/>
    <x v="0"/>
    <n v="1"/>
    <n v="1"/>
    <x v="3"/>
    <x v="1"/>
    <n v="68"/>
    <x v="1"/>
    <n v="2"/>
    <x v="1"/>
    <n v="1"/>
    <x v="6"/>
    <n v="1"/>
    <x v="3"/>
    <x v="1"/>
    <n v="4400"/>
    <x v="1"/>
    <n v="15182"/>
    <x v="3"/>
    <n v="3"/>
    <x v="3"/>
    <s v="Y"/>
    <x v="1"/>
    <n v="12"/>
    <x v="0"/>
    <n v="3"/>
    <x v="0"/>
    <n v="1"/>
    <x v="0"/>
    <n v="80"/>
    <n v="0"/>
    <n v="6"/>
    <x v="0"/>
    <n v="2"/>
    <x v="0"/>
    <n v="3"/>
    <x v="1"/>
    <n v="3"/>
    <x v="2"/>
    <n v="2"/>
    <x v="0"/>
    <n v="2"/>
    <x v="1"/>
    <n v="2"/>
    <x v="0"/>
  </r>
  <r>
    <n v="1440"/>
    <n v="37"/>
    <x v="0"/>
    <x v="1"/>
    <n v="0"/>
    <x v="2"/>
    <n v="1413"/>
    <x v="0"/>
    <x v="1"/>
    <n v="5"/>
    <x v="0"/>
    <n v="2"/>
    <x v="0"/>
    <x v="4"/>
    <n v="1"/>
    <n v="3"/>
    <x v="1"/>
    <x v="1"/>
    <n v="84"/>
    <x v="0"/>
    <n v="4"/>
    <x v="2"/>
    <n v="1"/>
    <x v="2"/>
    <n v="3"/>
    <x v="2"/>
    <x v="0"/>
    <n v="3500"/>
    <x v="3"/>
    <n v="25470"/>
    <x v="1"/>
    <n v="0"/>
    <x v="1"/>
    <s v="Y"/>
    <x v="1"/>
    <n v="14"/>
    <x v="2"/>
    <n v="3"/>
    <x v="0"/>
    <n v="1"/>
    <x v="0"/>
    <n v="80"/>
    <n v="0"/>
    <n v="7"/>
    <x v="0"/>
    <n v="2"/>
    <x v="0"/>
    <n v="1"/>
    <x v="0"/>
    <n v="6"/>
    <x v="0"/>
    <n v="5"/>
    <x v="0"/>
    <n v="1"/>
    <x v="0"/>
    <n v="3"/>
    <x v="0"/>
  </r>
  <r>
    <n v="1441"/>
    <n v="56"/>
    <x v="3"/>
    <x v="1"/>
    <n v="0"/>
    <x v="0"/>
    <n v="1255"/>
    <x v="0"/>
    <x v="1"/>
    <n v="1"/>
    <x v="0"/>
    <n v="2"/>
    <x v="0"/>
    <x v="0"/>
    <n v="1"/>
    <n v="1"/>
    <x v="3"/>
    <x v="0"/>
    <n v="90"/>
    <x v="0"/>
    <n v="3"/>
    <x v="0"/>
    <n v="1"/>
    <x v="1"/>
    <n v="1"/>
    <x v="3"/>
    <x v="1"/>
    <n v="2066"/>
    <x v="2"/>
    <n v="10494"/>
    <x v="3"/>
    <n v="2"/>
    <x v="3"/>
    <s v="Y"/>
    <x v="1"/>
    <n v="22"/>
    <x v="1"/>
    <n v="4"/>
    <x v="1"/>
    <n v="4"/>
    <x v="1"/>
    <n v="80"/>
    <n v="1"/>
    <n v="5"/>
    <x v="3"/>
    <n v="3"/>
    <x v="1"/>
    <n v="4"/>
    <x v="3"/>
    <n v="3"/>
    <x v="2"/>
    <n v="2"/>
    <x v="0"/>
    <n v="1"/>
    <x v="0"/>
    <n v="0"/>
    <x v="2"/>
  </r>
  <r>
    <n v="1443"/>
    <n v="47"/>
    <x v="1"/>
    <x v="1"/>
    <n v="0"/>
    <x v="0"/>
    <n v="359"/>
    <x v="1"/>
    <x v="1"/>
    <n v="2"/>
    <x v="0"/>
    <n v="4"/>
    <x v="2"/>
    <x v="2"/>
    <n v="1"/>
    <n v="1"/>
    <x v="3"/>
    <x v="0"/>
    <n v="82"/>
    <x v="0"/>
    <n v="3"/>
    <x v="0"/>
    <n v="4"/>
    <x v="7"/>
    <n v="3"/>
    <x v="2"/>
    <x v="1"/>
    <n v="17169"/>
    <x v="12"/>
    <n v="26703"/>
    <x v="1"/>
    <n v="3"/>
    <x v="3"/>
    <s v="Y"/>
    <x v="1"/>
    <n v="19"/>
    <x v="1"/>
    <n v="3"/>
    <x v="0"/>
    <n v="2"/>
    <x v="4"/>
    <n v="80"/>
    <n v="2"/>
    <n v="26"/>
    <x v="4"/>
    <n v="2"/>
    <x v="0"/>
    <n v="4"/>
    <x v="3"/>
    <n v="20"/>
    <x v="4"/>
    <n v="17"/>
    <x v="3"/>
    <n v="5"/>
    <x v="1"/>
    <n v="6"/>
    <x v="1"/>
  </r>
  <r>
    <n v="1445"/>
    <n v="24"/>
    <x v="4"/>
    <x v="1"/>
    <n v="0"/>
    <x v="0"/>
    <n v="1476"/>
    <x v="0"/>
    <x v="0"/>
    <n v="4"/>
    <x v="0"/>
    <n v="1"/>
    <x v="1"/>
    <x v="2"/>
    <n v="1"/>
    <n v="4"/>
    <x v="2"/>
    <x v="0"/>
    <n v="42"/>
    <x v="2"/>
    <n v="3"/>
    <x v="0"/>
    <n v="2"/>
    <x v="0"/>
    <n v="3"/>
    <x v="2"/>
    <x v="1"/>
    <n v="4162"/>
    <x v="1"/>
    <n v="15211"/>
    <x v="3"/>
    <n v="1"/>
    <x v="1"/>
    <s v="Y"/>
    <x v="0"/>
    <n v="12"/>
    <x v="0"/>
    <n v="3"/>
    <x v="0"/>
    <n v="3"/>
    <x v="3"/>
    <n v="80"/>
    <n v="2"/>
    <n v="5"/>
    <x v="3"/>
    <n v="3"/>
    <x v="1"/>
    <n v="3"/>
    <x v="1"/>
    <n v="5"/>
    <x v="2"/>
    <n v="4"/>
    <x v="0"/>
    <n v="0"/>
    <x v="0"/>
    <n v="3"/>
    <x v="0"/>
  </r>
  <r>
    <n v="1446"/>
    <n v="32"/>
    <x v="2"/>
    <x v="1"/>
    <n v="0"/>
    <x v="0"/>
    <n v="601"/>
    <x v="2"/>
    <x v="0"/>
    <n v="7"/>
    <x v="1"/>
    <n v="5"/>
    <x v="4"/>
    <x v="3"/>
    <n v="1"/>
    <n v="4"/>
    <x v="2"/>
    <x v="1"/>
    <n v="97"/>
    <x v="0"/>
    <n v="3"/>
    <x v="0"/>
    <n v="2"/>
    <x v="0"/>
    <n v="4"/>
    <x v="0"/>
    <x v="1"/>
    <n v="9204"/>
    <x v="4"/>
    <n v="23343"/>
    <x v="1"/>
    <n v="4"/>
    <x v="2"/>
    <s v="Y"/>
    <x v="1"/>
    <n v="12"/>
    <x v="0"/>
    <n v="3"/>
    <x v="0"/>
    <n v="3"/>
    <x v="3"/>
    <n v="80"/>
    <n v="1"/>
    <n v="7"/>
    <x v="0"/>
    <n v="3"/>
    <x v="1"/>
    <n v="2"/>
    <x v="2"/>
    <n v="4"/>
    <x v="2"/>
    <n v="3"/>
    <x v="0"/>
    <n v="0"/>
    <x v="0"/>
    <n v="3"/>
    <x v="0"/>
  </r>
  <r>
    <n v="1447"/>
    <n v="34"/>
    <x v="2"/>
    <x v="1"/>
    <n v="0"/>
    <x v="0"/>
    <n v="401"/>
    <x v="1"/>
    <x v="1"/>
    <n v="1"/>
    <x v="0"/>
    <n v="3"/>
    <x v="3"/>
    <x v="0"/>
    <n v="1"/>
    <n v="4"/>
    <x v="2"/>
    <x v="0"/>
    <n v="86"/>
    <x v="0"/>
    <n v="2"/>
    <x v="1"/>
    <n v="1"/>
    <x v="2"/>
    <n v="2"/>
    <x v="1"/>
    <x v="1"/>
    <n v="3294"/>
    <x v="3"/>
    <n v="3708"/>
    <x v="2"/>
    <n v="5"/>
    <x v="2"/>
    <s v="Y"/>
    <x v="1"/>
    <n v="17"/>
    <x v="3"/>
    <n v="3"/>
    <x v="0"/>
    <n v="1"/>
    <x v="0"/>
    <n v="80"/>
    <n v="1"/>
    <n v="7"/>
    <x v="0"/>
    <n v="2"/>
    <x v="0"/>
    <n v="2"/>
    <x v="2"/>
    <n v="5"/>
    <x v="2"/>
    <n v="4"/>
    <x v="0"/>
    <n v="0"/>
    <x v="0"/>
    <n v="2"/>
    <x v="0"/>
  </r>
  <r>
    <n v="1448"/>
    <n v="41"/>
    <x v="0"/>
    <x v="1"/>
    <n v="0"/>
    <x v="0"/>
    <n v="1283"/>
    <x v="0"/>
    <x v="1"/>
    <n v="5"/>
    <x v="0"/>
    <n v="5"/>
    <x v="4"/>
    <x v="2"/>
    <n v="1"/>
    <n v="2"/>
    <x v="0"/>
    <x v="1"/>
    <n v="90"/>
    <x v="0"/>
    <n v="4"/>
    <x v="2"/>
    <n v="1"/>
    <x v="1"/>
    <n v="3"/>
    <x v="2"/>
    <x v="1"/>
    <n v="2127"/>
    <x v="2"/>
    <n v="5561"/>
    <x v="2"/>
    <n v="2"/>
    <x v="3"/>
    <s v="Y"/>
    <x v="0"/>
    <n v="12"/>
    <x v="0"/>
    <n v="3"/>
    <x v="0"/>
    <n v="1"/>
    <x v="0"/>
    <n v="80"/>
    <n v="0"/>
    <n v="7"/>
    <x v="0"/>
    <n v="5"/>
    <x v="2"/>
    <n v="2"/>
    <x v="2"/>
    <n v="4"/>
    <x v="2"/>
    <n v="2"/>
    <x v="0"/>
    <n v="0"/>
    <x v="0"/>
    <n v="3"/>
    <x v="0"/>
  </r>
  <r>
    <n v="1449"/>
    <n v="40"/>
    <x v="0"/>
    <x v="1"/>
    <n v="0"/>
    <x v="2"/>
    <n v="663"/>
    <x v="2"/>
    <x v="1"/>
    <n v="9"/>
    <x v="1"/>
    <n v="4"/>
    <x v="2"/>
    <x v="1"/>
    <n v="1"/>
    <n v="3"/>
    <x v="1"/>
    <x v="1"/>
    <n v="81"/>
    <x v="0"/>
    <n v="3"/>
    <x v="0"/>
    <n v="2"/>
    <x v="2"/>
    <n v="3"/>
    <x v="2"/>
    <x v="2"/>
    <n v="3975"/>
    <x v="3"/>
    <n v="23099"/>
    <x v="1"/>
    <n v="3"/>
    <x v="3"/>
    <s v="Y"/>
    <x v="1"/>
    <n v="11"/>
    <x v="0"/>
    <n v="3"/>
    <x v="0"/>
    <n v="3"/>
    <x v="3"/>
    <n v="80"/>
    <n v="2"/>
    <n v="11"/>
    <x v="1"/>
    <n v="2"/>
    <x v="0"/>
    <n v="4"/>
    <x v="3"/>
    <n v="8"/>
    <x v="0"/>
    <n v="7"/>
    <x v="1"/>
    <n v="0"/>
    <x v="0"/>
    <n v="7"/>
    <x v="1"/>
  </r>
  <r>
    <n v="1453"/>
    <n v="31"/>
    <x v="2"/>
    <x v="1"/>
    <n v="0"/>
    <x v="0"/>
    <n v="326"/>
    <x v="1"/>
    <x v="0"/>
    <n v="8"/>
    <x v="1"/>
    <n v="2"/>
    <x v="0"/>
    <x v="0"/>
    <n v="1"/>
    <n v="1"/>
    <x v="3"/>
    <x v="1"/>
    <n v="31"/>
    <x v="2"/>
    <n v="3"/>
    <x v="0"/>
    <n v="3"/>
    <x v="0"/>
    <n v="4"/>
    <x v="0"/>
    <x v="2"/>
    <n v="10793"/>
    <x v="8"/>
    <n v="8386"/>
    <x v="3"/>
    <n v="1"/>
    <x v="1"/>
    <s v="Y"/>
    <x v="1"/>
    <n v="18"/>
    <x v="1"/>
    <n v="3"/>
    <x v="0"/>
    <n v="1"/>
    <x v="0"/>
    <n v="80"/>
    <n v="1"/>
    <n v="13"/>
    <x v="1"/>
    <n v="5"/>
    <x v="2"/>
    <n v="3"/>
    <x v="1"/>
    <n v="13"/>
    <x v="4"/>
    <n v="7"/>
    <x v="1"/>
    <n v="9"/>
    <x v="2"/>
    <n v="9"/>
    <x v="1"/>
  </r>
  <r>
    <n v="1457"/>
    <n v="46"/>
    <x v="1"/>
    <x v="0"/>
    <n v="1"/>
    <x v="0"/>
    <n v="377"/>
    <x v="1"/>
    <x v="0"/>
    <n v="9"/>
    <x v="1"/>
    <n v="3"/>
    <x v="3"/>
    <x v="3"/>
    <n v="1"/>
    <n v="1"/>
    <x v="3"/>
    <x v="1"/>
    <n v="52"/>
    <x v="1"/>
    <n v="3"/>
    <x v="0"/>
    <n v="3"/>
    <x v="0"/>
    <n v="4"/>
    <x v="0"/>
    <x v="2"/>
    <n v="10096"/>
    <x v="8"/>
    <n v="15986"/>
    <x v="3"/>
    <n v="4"/>
    <x v="2"/>
    <s v="Y"/>
    <x v="1"/>
    <n v="11"/>
    <x v="0"/>
    <n v="3"/>
    <x v="0"/>
    <n v="1"/>
    <x v="0"/>
    <n v="80"/>
    <n v="1"/>
    <n v="28"/>
    <x v="4"/>
    <n v="1"/>
    <x v="0"/>
    <n v="4"/>
    <x v="3"/>
    <n v="7"/>
    <x v="0"/>
    <n v="7"/>
    <x v="1"/>
    <n v="4"/>
    <x v="1"/>
    <n v="3"/>
    <x v="0"/>
  </r>
  <r>
    <n v="1458"/>
    <n v="39"/>
    <x v="0"/>
    <x v="0"/>
    <n v="1"/>
    <x v="2"/>
    <n v="592"/>
    <x v="2"/>
    <x v="1"/>
    <n v="2"/>
    <x v="0"/>
    <n v="3"/>
    <x v="3"/>
    <x v="0"/>
    <n v="1"/>
    <n v="1"/>
    <x v="3"/>
    <x v="0"/>
    <n v="54"/>
    <x v="1"/>
    <n v="2"/>
    <x v="1"/>
    <n v="1"/>
    <x v="2"/>
    <n v="1"/>
    <x v="3"/>
    <x v="0"/>
    <n v="3646"/>
    <x v="3"/>
    <n v="17181"/>
    <x v="0"/>
    <n v="2"/>
    <x v="3"/>
    <s v="Y"/>
    <x v="0"/>
    <n v="23"/>
    <x v="1"/>
    <n v="4"/>
    <x v="1"/>
    <n v="2"/>
    <x v="4"/>
    <n v="80"/>
    <n v="0"/>
    <n v="11"/>
    <x v="1"/>
    <n v="2"/>
    <x v="0"/>
    <n v="4"/>
    <x v="3"/>
    <n v="1"/>
    <x v="1"/>
    <n v="0"/>
    <x v="2"/>
    <n v="0"/>
    <x v="0"/>
    <n v="0"/>
    <x v="2"/>
  </r>
  <r>
    <n v="1459"/>
    <n v="31"/>
    <x v="2"/>
    <x v="0"/>
    <n v="1"/>
    <x v="1"/>
    <n v="1445"/>
    <x v="0"/>
    <x v="1"/>
    <n v="1"/>
    <x v="0"/>
    <n v="5"/>
    <x v="4"/>
    <x v="0"/>
    <n v="1"/>
    <n v="3"/>
    <x v="1"/>
    <x v="0"/>
    <n v="100"/>
    <x v="0"/>
    <n v="4"/>
    <x v="2"/>
    <n v="3"/>
    <x v="3"/>
    <n v="2"/>
    <x v="1"/>
    <x v="0"/>
    <n v="7446"/>
    <x v="11"/>
    <n v="8931"/>
    <x v="3"/>
    <n v="1"/>
    <x v="1"/>
    <s v="Y"/>
    <x v="1"/>
    <n v="11"/>
    <x v="0"/>
    <n v="3"/>
    <x v="0"/>
    <n v="1"/>
    <x v="0"/>
    <n v="80"/>
    <n v="0"/>
    <n v="10"/>
    <x v="0"/>
    <n v="2"/>
    <x v="0"/>
    <n v="3"/>
    <x v="1"/>
    <n v="10"/>
    <x v="0"/>
    <n v="8"/>
    <x v="1"/>
    <n v="4"/>
    <x v="1"/>
    <n v="7"/>
    <x v="1"/>
  </r>
  <r>
    <n v="1460"/>
    <n v="45"/>
    <x v="0"/>
    <x v="1"/>
    <n v="0"/>
    <x v="0"/>
    <n v="1038"/>
    <x v="0"/>
    <x v="1"/>
    <n v="20"/>
    <x v="3"/>
    <n v="3"/>
    <x v="3"/>
    <x v="2"/>
    <n v="1"/>
    <n v="2"/>
    <x v="0"/>
    <x v="1"/>
    <n v="95"/>
    <x v="0"/>
    <n v="1"/>
    <x v="3"/>
    <n v="3"/>
    <x v="4"/>
    <n v="1"/>
    <x v="3"/>
    <x v="2"/>
    <n v="10851"/>
    <x v="8"/>
    <n v="19863"/>
    <x v="0"/>
    <n v="2"/>
    <x v="3"/>
    <s v="Y"/>
    <x v="0"/>
    <n v="18"/>
    <x v="1"/>
    <n v="3"/>
    <x v="0"/>
    <n v="2"/>
    <x v="4"/>
    <n v="80"/>
    <n v="1"/>
    <n v="24"/>
    <x v="4"/>
    <n v="2"/>
    <x v="0"/>
    <n v="3"/>
    <x v="1"/>
    <n v="7"/>
    <x v="0"/>
    <n v="7"/>
    <x v="1"/>
    <n v="0"/>
    <x v="0"/>
    <n v="7"/>
    <x v="1"/>
  </r>
  <r>
    <n v="1461"/>
    <n v="31"/>
    <x v="2"/>
    <x v="1"/>
    <n v="0"/>
    <x v="0"/>
    <n v="1398"/>
    <x v="0"/>
    <x v="2"/>
    <n v="8"/>
    <x v="1"/>
    <n v="2"/>
    <x v="0"/>
    <x v="2"/>
    <n v="1"/>
    <n v="4"/>
    <x v="2"/>
    <x v="0"/>
    <n v="96"/>
    <x v="0"/>
    <n v="4"/>
    <x v="2"/>
    <n v="1"/>
    <x v="8"/>
    <n v="2"/>
    <x v="1"/>
    <x v="0"/>
    <n v="2109"/>
    <x v="2"/>
    <n v="24609"/>
    <x v="1"/>
    <n v="9"/>
    <x v="0"/>
    <s v="Y"/>
    <x v="1"/>
    <n v="18"/>
    <x v="1"/>
    <n v="3"/>
    <x v="0"/>
    <n v="4"/>
    <x v="1"/>
    <n v="80"/>
    <n v="0"/>
    <n v="8"/>
    <x v="0"/>
    <n v="3"/>
    <x v="1"/>
    <n v="3"/>
    <x v="1"/>
    <n v="3"/>
    <x v="2"/>
    <n v="2"/>
    <x v="0"/>
    <n v="0"/>
    <x v="0"/>
    <n v="2"/>
    <x v="0"/>
  </r>
  <r>
    <n v="1464"/>
    <n v="31"/>
    <x v="2"/>
    <x v="0"/>
    <n v="1"/>
    <x v="1"/>
    <n v="523"/>
    <x v="2"/>
    <x v="1"/>
    <n v="2"/>
    <x v="0"/>
    <n v="3"/>
    <x v="3"/>
    <x v="0"/>
    <n v="1"/>
    <n v="2"/>
    <x v="0"/>
    <x v="1"/>
    <n v="94"/>
    <x v="0"/>
    <n v="3"/>
    <x v="0"/>
    <n v="1"/>
    <x v="2"/>
    <n v="4"/>
    <x v="0"/>
    <x v="1"/>
    <n v="3722"/>
    <x v="3"/>
    <n v="21081"/>
    <x v="0"/>
    <n v="6"/>
    <x v="2"/>
    <s v="Y"/>
    <x v="0"/>
    <n v="13"/>
    <x v="2"/>
    <n v="3"/>
    <x v="0"/>
    <n v="3"/>
    <x v="3"/>
    <n v="80"/>
    <n v="1"/>
    <n v="7"/>
    <x v="0"/>
    <n v="2"/>
    <x v="0"/>
    <n v="1"/>
    <x v="0"/>
    <n v="2"/>
    <x v="2"/>
    <n v="2"/>
    <x v="0"/>
    <n v="2"/>
    <x v="1"/>
    <n v="2"/>
    <x v="0"/>
  </r>
  <r>
    <n v="1465"/>
    <n v="45"/>
    <x v="0"/>
    <x v="1"/>
    <n v="0"/>
    <x v="0"/>
    <n v="1448"/>
    <x v="0"/>
    <x v="1"/>
    <n v="29"/>
    <x v="2"/>
    <n v="3"/>
    <x v="3"/>
    <x v="4"/>
    <n v="1"/>
    <n v="2"/>
    <x v="0"/>
    <x v="1"/>
    <n v="55"/>
    <x v="1"/>
    <n v="3"/>
    <x v="0"/>
    <n v="3"/>
    <x v="3"/>
    <n v="4"/>
    <x v="0"/>
    <x v="1"/>
    <n v="9380"/>
    <x v="4"/>
    <n v="14720"/>
    <x v="3"/>
    <n v="4"/>
    <x v="2"/>
    <s v="Y"/>
    <x v="0"/>
    <n v="18"/>
    <x v="1"/>
    <n v="3"/>
    <x v="0"/>
    <n v="4"/>
    <x v="1"/>
    <n v="80"/>
    <n v="2"/>
    <n v="10"/>
    <x v="0"/>
    <n v="4"/>
    <x v="1"/>
    <n v="4"/>
    <x v="3"/>
    <n v="3"/>
    <x v="2"/>
    <n v="1"/>
    <x v="2"/>
    <n v="1"/>
    <x v="0"/>
    <n v="2"/>
    <x v="0"/>
  </r>
  <r>
    <n v="1466"/>
    <n v="48"/>
    <x v="1"/>
    <x v="1"/>
    <n v="0"/>
    <x v="0"/>
    <n v="1221"/>
    <x v="0"/>
    <x v="0"/>
    <n v="7"/>
    <x v="1"/>
    <n v="3"/>
    <x v="3"/>
    <x v="3"/>
    <n v="1"/>
    <n v="3"/>
    <x v="1"/>
    <x v="1"/>
    <n v="96"/>
    <x v="0"/>
    <n v="3"/>
    <x v="0"/>
    <n v="2"/>
    <x v="0"/>
    <n v="1"/>
    <x v="3"/>
    <x v="2"/>
    <n v="5486"/>
    <x v="1"/>
    <n v="24795"/>
    <x v="1"/>
    <n v="4"/>
    <x v="2"/>
    <s v="Y"/>
    <x v="1"/>
    <n v="11"/>
    <x v="0"/>
    <n v="3"/>
    <x v="0"/>
    <n v="1"/>
    <x v="0"/>
    <n v="80"/>
    <n v="3"/>
    <n v="15"/>
    <x v="1"/>
    <n v="3"/>
    <x v="1"/>
    <n v="3"/>
    <x v="1"/>
    <n v="2"/>
    <x v="2"/>
    <n v="2"/>
    <x v="0"/>
    <n v="2"/>
    <x v="1"/>
    <n v="2"/>
    <x v="0"/>
  </r>
  <r>
    <n v="1467"/>
    <n v="34"/>
    <x v="2"/>
    <x v="0"/>
    <n v="1"/>
    <x v="0"/>
    <n v="1107"/>
    <x v="0"/>
    <x v="2"/>
    <n v="9"/>
    <x v="1"/>
    <n v="4"/>
    <x v="2"/>
    <x v="4"/>
    <n v="1"/>
    <n v="1"/>
    <x v="3"/>
    <x v="0"/>
    <n v="52"/>
    <x v="1"/>
    <n v="3"/>
    <x v="0"/>
    <n v="1"/>
    <x v="8"/>
    <n v="3"/>
    <x v="2"/>
    <x v="1"/>
    <n v="2742"/>
    <x v="3"/>
    <n v="3072"/>
    <x v="2"/>
    <n v="1"/>
    <x v="1"/>
    <s v="Y"/>
    <x v="1"/>
    <n v="15"/>
    <x v="2"/>
    <n v="3"/>
    <x v="0"/>
    <n v="4"/>
    <x v="1"/>
    <n v="80"/>
    <n v="0"/>
    <n v="2"/>
    <x v="2"/>
    <n v="0"/>
    <x v="0"/>
    <n v="3"/>
    <x v="1"/>
    <n v="2"/>
    <x v="2"/>
    <n v="2"/>
    <x v="0"/>
    <n v="2"/>
    <x v="1"/>
    <n v="2"/>
    <x v="0"/>
  </r>
  <r>
    <n v="1468"/>
    <n v="40"/>
    <x v="0"/>
    <x v="1"/>
    <n v="0"/>
    <x v="2"/>
    <n v="218"/>
    <x v="1"/>
    <x v="1"/>
    <n v="8"/>
    <x v="1"/>
    <n v="1"/>
    <x v="1"/>
    <x v="2"/>
    <n v="1"/>
    <n v="4"/>
    <x v="2"/>
    <x v="1"/>
    <n v="55"/>
    <x v="1"/>
    <n v="2"/>
    <x v="1"/>
    <n v="3"/>
    <x v="7"/>
    <n v="2"/>
    <x v="1"/>
    <x v="2"/>
    <n v="13757"/>
    <x v="10"/>
    <n v="25178"/>
    <x v="1"/>
    <n v="2"/>
    <x v="3"/>
    <s v="Y"/>
    <x v="1"/>
    <n v="11"/>
    <x v="0"/>
    <n v="3"/>
    <x v="0"/>
    <n v="3"/>
    <x v="3"/>
    <n v="80"/>
    <n v="1"/>
    <n v="16"/>
    <x v="1"/>
    <n v="5"/>
    <x v="2"/>
    <n v="3"/>
    <x v="1"/>
    <n v="9"/>
    <x v="0"/>
    <n v="8"/>
    <x v="1"/>
    <n v="4"/>
    <x v="1"/>
    <n v="8"/>
    <x v="1"/>
  </r>
  <r>
    <n v="1469"/>
    <n v="28"/>
    <x v="2"/>
    <x v="1"/>
    <n v="0"/>
    <x v="0"/>
    <n v="866"/>
    <x v="2"/>
    <x v="0"/>
    <n v="5"/>
    <x v="0"/>
    <n v="3"/>
    <x v="3"/>
    <x v="2"/>
    <n v="1"/>
    <n v="4"/>
    <x v="2"/>
    <x v="1"/>
    <n v="84"/>
    <x v="0"/>
    <n v="3"/>
    <x v="0"/>
    <n v="2"/>
    <x v="0"/>
    <n v="1"/>
    <x v="3"/>
    <x v="0"/>
    <n v="8463"/>
    <x v="11"/>
    <n v="23490"/>
    <x v="1"/>
    <n v="0"/>
    <x v="1"/>
    <s v="Y"/>
    <x v="1"/>
    <n v="18"/>
    <x v="1"/>
    <n v="3"/>
    <x v="0"/>
    <n v="4"/>
    <x v="1"/>
    <n v="80"/>
    <n v="0"/>
    <n v="6"/>
    <x v="0"/>
    <n v="4"/>
    <x v="1"/>
    <n v="3"/>
    <x v="1"/>
    <n v="5"/>
    <x v="2"/>
    <n v="4"/>
    <x v="0"/>
    <n v="1"/>
    <x v="0"/>
    <n v="3"/>
    <x v="0"/>
  </r>
  <r>
    <n v="1471"/>
    <n v="44"/>
    <x v="0"/>
    <x v="1"/>
    <n v="0"/>
    <x v="2"/>
    <n v="981"/>
    <x v="2"/>
    <x v="1"/>
    <n v="5"/>
    <x v="0"/>
    <n v="3"/>
    <x v="3"/>
    <x v="0"/>
    <n v="1"/>
    <n v="3"/>
    <x v="1"/>
    <x v="1"/>
    <n v="90"/>
    <x v="0"/>
    <n v="2"/>
    <x v="1"/>
    <n v="1"/>
    <x v="2"/>
    <n v="3"/>
    <x v="2"/>
    <x v="0"/>
    <n v="3162"/>
    <x v="3"/>
    <n v="7973"/>
    <x v="2"/>
    <n v="3"/>
    <x v="3"/>
    <s v="Y"/>
    <x v="1"/>
    <n v="14"/>
    <x v="2"/>
    <n v="3"/>
    <x v="0"/>
    <n v="4"/>
    <x v="1"/>
    <n v="80"/>
    <n v="0"/>
    <n v="7"/>
    <x v="0"/>
    <n v="5"/>
    <x v="2"/>
    <n v="3"/>
    <x v="1"/>
    <n v="5"/>
    <x v="2"/>
    <n v="2"/>
    <x v="0"/>
    <n v="0"/>
    <x v="0"/>
    <n v="3"/>
    <x v="0"/>
  </r>
  <r>
    <n v="1472"/>
    <n v="53"/>
    <x v="1"/>
    <x v="1"/>
    <n v="0"/>
    <x v="0"/>
    <n v="447"/>
    <x v="1"/>
    <x v="1"/>
    <n v="2"/>
    <x v="0"/>
    <n v="3"/>
    <x v="3"/>
    <x v="2"/>
    <n v="1"/>
    <n v="4"/>
    <x v="2"/>
    <x v="1"/>
    <n v="39"/>
    <x v="2"/>
    <n v="4"/>
    <x v="2"/>
    <n v="4"/>
    <x v="7"/>
    <n v="2"/>
    <x v="1"/>
    <x v="0"/>
    <n v="16598"/>
    <x v="12"/>
    <n v="19764"/>
    <x v="0"/>
    <n v="4"/>
    <x v="2"/>
    <s v="Y"/>
    <x v="1"/>
    <n v="12"/>
    <x v="0"/>
    <n v="3"/>
    <x v="0"/>
    <n v="2"/>
    <x v="4"/>
    <n v="80"/>
    <n v="0"/>
    <n v="35"/>
    <x v="4"/>
    <n v="2"/>
    <x v="0"/>
    <n v="2"/>
    <x v="2"/>
    <n v="9"/>
    <x v="0"/>
    <n v="8"/>
    <x v="1"/>
    <n v="8"/>
    <x v="2"/>
    <n v="8"/>
    <x v="1"/>
  </r>
  <r>
    <n v="1473"/>
    <n v="49"/>
    <x v="1"/>
    <x v="1"/>
    <n v="0"/>
    <x v="0"/>
    <n v="1495"/>
    <x v="0"/>
    <x v="1"/>
    <n v="5"/>
    <x v="0"/>
    <n v="4"/>
    <x v="2"/>
    <x v="4"/>
    <n v="1"/>
    <n v="1"/>
    <x v="3"/>
    <x v="1"/>
    <n v="96"/>
    <x v="0"/>
    <n v="3"/>
    <x v="0"/>
    <n v="2"/>
    <x v="4"/>
    <n v="3"/>
    <x v="2"/>
    <x v="1"/>
    <n v="6651"/>
    <x v="0"/>
    <n v="21534"/>
    <x v="0"/>
    <n v="2"/>
    <x v="3"/>
    <s v="Y"/>
    <x v="1"/>
    <n v="14"/>
    <x v="2"/>
    <n v="3"/>
    <x v="0"/>
    <n v="2"/>
    <x v="4"/>
    <n v="80"/>
    <n v="1"/>
    <n v="20"/>
    <x v="1"/>
    <n v="0"/>
    <x v="0"/>
    <n v="2"/>
    <x v="2"/>
    <n v="3"/>
    <x v="2"/>
    <n v="2"/>
    <x v="0"/>
    <n v="1"/>
    <x v="0"/>
    <n v="2"/>
    <x v="0"/>
  </r>
  <r>
    <n v="1474"/>
    <n v="40"/>
    <x v="0"/>
    <x v="1"/>
    <n v="0"/>
    <x v="0"/>
    <n v="896"/>
    <x v="2"/>
    <x v="1"/>
    <n v="2"/>
    <x v="0"/>
    <n v="3"/>
    <x v="3"/>
    <x v="2"/>
    <n v="1"/>
    <n v="3"/>
    <x v="1"/>
    <x v="1"/>
    <n v="68"/>
    <x v="1"/>
    <n v="3"/>
    <x v="0"/>
    <n v="1"/>
    <x v="1"/>
    <n v="3"/>
    <x v="2"/>
    <x v="2"/>
    <n v="2345"/>
    <x v="2"/>
    <n v="8045"/>
    <x v="3"/>
    <n v="2"/>
    <x v="3"/>
    <s v="Y"/>
    <x v="1"/>
    <n v="14"/>
    <x v="2"/>
    <n v="3"/>
    <x v="0"/>
    <n v="3"/>
    <x v="3"/>
    <n v="80"/>
    <n v="1"/>
    <n v="8"/>
    <x v="0"/>
    <n v="3"/>
    <x v="1"/>
    <n v="4"/>
    <x v="3"/>
    <n v="3"/>
    <x v="2"/>
    <n v="1"/>
    <x v="2"/>
    <n v="1"/>
    <x v="0"/>
    <n v="2"/>
    <x v="0"/>
  </r>
  <r>
    <n v="1475"/>
    <n v="44"/>
    <x v="0"/>
    <x v="1"/>
    <n v="0"/>
    <x v="0"/>
    <n v="1467"/>
    <x v="0"/>
    <x v="1"/>
    <n v="20"/>
    <x v="3"/>
    <n v="3"/>
    <x v="3"/>
    <x v="0"/>
    <n v="1"/>
    <n v="4"/>
    <x v="2"/>
    <x v="1"/>
    <n v="49"/>
    <x v="2"/>
    <n v="3"/>
    <x v="0"/>
    <n v="1"/>
    <x v="1"/>
    <n v="2"/>
    <x v="1"/>
    <x v="0"/>
    <n v="3420"/>
    <x v="3"/>
    <n v="21158"/>
    <x v="0"/>
    <n v="1"/>
    <x v="1"/>
    <s v="Y"/>
    <x v="1"/>
    <n v="13"/>
    <x v="2"/>
    <n v="3"/>
    <x v="0"/>
    <n v="3"/>
    <x v="3"/>
    <n v="80"/>
    <n v="0"/>
    <n v="6"/>
    <x v="0"/>
    <n v="3"/>
    <x v="1"/>
    <n v="2"/>
    <x v="2"/>
    <n v="5"/>
    <x v="2"/>
    <n v="2"/>
    <x v="0"/>
    <n v="1"/>
    <x v="0"/>
    <n v="3"/>
    <x v="0"/>
  </r>
  <r>
    <n v="1477"/>
    <n v="33"/>
    <x v="2"/>
    <x v="1"/>
    <n v="0"/>
    <x v="1"/>
    <n v="430"/>
    <x v="1"/>
    <x v="0"/>
    <n v="7"/>
    <x v="1"/>
    <n v="3"/>
    <x v="3"/>
    <x v="2"/>
    <n v="1"/>
    <n v="4"/>
    <x v="2"/>
    <x v="1"/>
    <n v="54"/>
    <x v="1"/>
    <n v="3"/>
    <x v="0"/>
    <n v="2"/>
    <x v="0"/>
    <n v="1"/>
    <x v="3"/>
    <x v="1"/>
    <n v="4373"/>
    <x v="1"/>
    <n v="17456"/>
    <x v="0"/>
    <n v="0"/>
    <x v="1"/>
    <s v="Y"/>
    <x v="1"/>
    <n v="14"/>
    <x v="2"/>
    <n v="3"/>
    <x v="0"/>
    <n v="1"/>
    <x v="0"/>
    <n v="80"/>
    <n v="2"/>
    <n v="5"/>
    <x v="3"/>
    <n v="2"/>
    <x v="0"/>
    <n v="3"/>
    <x v="1"/>
    <n v="4"/>
    <x v="2"/>
    <n v="3"/>
    <x v="0"/>
    <n v="0"/>
    <x v="0"/>
    <n v="3"/>
    <x v="0"/>
  </r>
  <r>
    <n v="1478"/>
    <n v="34"/>
    <x v="2"/>
    <x v="1"/>
    <n v="0"/>
    <x v="0"/>
    <n v="1326"/>
    <x v="0"/>
    <x v="0"/>
    <n v="3"/>
    <x v="0"/>
    <n v="3"/>
    <x v="3"/>
    <x v="1"/>
    <n v="1"/>
    <n v="4"/>
    <x v="2"/>
    <x v="1"/>
    <n v="81"/>
    <x v="0"/>
    <n v="1"/>
    <x v="3"/>
    <n v="2"/>
    <x v="0"/>
    <n v="1"/>
    <x v="3"/>
    <x v="0"/>
    <n v="4759"/>
    <x v="1"/>
    <n v="15891"/>
    <x v="3"/>
    <n v="3"/>
    <x v="3"/>
    <s v="Y"/>
    <x v="1"/>
    <n v="18"/>
    <x v="1"/>
    <n v="3"/>
    <x v="0"/>
    <n v="4"/>
    <x v="1"/>
    <n v="80"/>
    <n v="0"/>
    <n v="15"/>
    <x v="1"/>
    <n v="2"/>
    <x v="0"/>
    <n v="3"/>
    <x v="1"/>
    <n v="13"/>
    <x v="4"/>
    <n v="9"/>
    <x v="1"/>
    <n v="3"/>
    <x v="1"/>
    <n v="12"/>
    <x v="3"/>
  </r>
  <r>
    <n v="1479"/>
    <n v="30"/>
    <x v="2"/>
    <x v="1"/>
    <n v="0"/>
    <x v="0"/>
    <n v="1358"/>
    <x v="0"/>
    <x v="0"/>
    <n v="16"/>
    <x v="3"/>
    <n v="1"/>
    <x v="1"/>
    <x v="0"/>
    <n v="1"/>
    <n v="4"/>
    <x v="2"/>
    <x v="1"/>
    <n v="96"/>
    <x v="0"/>
    <n v="3"/>
    <x v="0"/>
    <n v="2"/>
    <x v="0"/>
    <n v="3"/>
    <x v="2"/>
    <x v="1"/>
    <n v="5301"/>
    <x v="1"/>
    <n v="2939"/>
    <x v="2"/>
    <n v="8"/>
    <x v="0"/>
    <s v="Y"/>
    <x v="1"/>
    <n v="15"/>
    <x v="2"/>
    <n v="3"/>
    <x v="0"/>
    <n v="3"/>
    <x v="3"/>
    <n v="80"/>
    <n v="2"/>
    <n v="4"/>
    <x v="3"/>
    <n v="2"/>
    <x v="0"/>
    <n v="2"/>
    <x v="2"/>
    <n v="2"/>
    <x v="2"/>
    <n v="1"/>
    <x v="2"/>
    <n v="2"/>
    <x v="1"/>
    <n v="2"/>
    <x v="0"/>
  </r>
  <r>
    <n v="1480"/>
    <n v="42"/>
    <x v="0"/>
    <x v="1"/>
    <n v="0"/>
    <x v="1"/>
    <n v="748"/>
    <x v="2"/>
    <x v="1"/>
    <n v="9"/>
    <x v="1"/>
    <n v="2"/>
    <x v="0"/>
    <x v="2"/>
    <n v="1"/>
    <n v="1"/>
    <x v="3"/>
    <x v="0"/>
    <n v="74"/>
    <x v="1"/>
    <n v="3"/>
    <x v="0"/>
    <n v="1"/>
    <x v="2"/>
    <n v="4"/>
    <x v="0"/>
    <x v="0"/>
    <n v="3673"/>
    <x v="3"/>
    <n v="16458"/>
    <x v="0"/>
    <n v="1"/>
    <x v="1"/>
    <s v="Y"/>
    <x v="1"/>
    <n v="13"/>
    <x v="2"/>
    <n v="3"/>
    <x v="0"/>
    <n v="3"/>
    <x v="3"/>
    <n v="80"/>
    <n v="0"/>
    <n v="12"/>
    <x v="1"/>
    <n v="3"/>
    <x v="1"/>
    <n v="3"/>
    <x v="1"/>
    <n v="12"/>
    <x v="4"/>
    <n v="9"/>
    <x v="1"/>
    <n v="5"/>
    <x v="1"/>
    <n v="8"/>
    <x v="1"/>
  </r>
  <r>
    <n v="1481"/>
    <n v="44"/>
    <x v="0"/>
    <x v="1"/>
    <n v="0"/>
    <x v="1"/>
    <n v="383"/>
    <x v="1"/>
    <x v="0"/>
    <n v="1"/>
    <x v="0"/>
    <n v="5"/>
    <x v="4"/>
    <x v="3"/>
    <n v="1"/>
    <n v="1"/>
    <x v="3"/>
    <x v="0"/>
    <n v="79"/>
    <x v="0"/>
    <n v="3"/>
    <x v="0"/>
    <n v="2"/>
    <x v="0"/>
    <n v="3"/>
    <x v="2"/>
    <x v="1"/>
    <n v="4768"/>
    <x v="1"/>
    <n v="9282"/>
    <x v="3"/>
    <n v="7"/>
    <x v="0"/>
    <s v="Y"/>
    <x v="1"/>
    <n v="12"/>
    <x v="0"/>
    <n v="3"/>
    <x v="0"/>
    <n v="3"/>
    <x v="3"/>
    <n v="80"/>
    <n v="1"/>
    <n v="11"/>
    <x v="1"/>
    <n v="4"/>
    <x v="1"/>
    <n v="2"/>
    <x v="2"/>
    <n v="1"/>
    <x v="1"/>
    <n v="0"/>
    <x v="2"/>
    <n v="0"/>
    <x v="0"/>
    <n v="0"/>
    <x v="2"/>
  </r>
  <r>
    <n v="1482"/>
    <n v="30"/>
    <x v="2"/>
    <x v="1"/>
    <n v="0"/>
    <x v="2"/>
    <n v="990"/>
    <x v="2"/>
    <x v="1"/>
    <n v="7"/>
    <x v="1"/>
    <n v="3"/>
    <x v="3"/>
    <x v="4"/>
    <n v="1"/>
    <n v="3"/>
    <x v="1"/>
    <x v="1"/>
    <n v="64"/>
    <x v="1"/>
    <n v="3"/>
    <x v="0"/>
    <n v="1"/>
    <x v="1"/>
    <n v="3"/>
    <x v="2"/>
    <x v="2"/>
    <n v="1274"/>
    <x v="2"/>
    <n v="7152"/>
    <x v="2"/>
    <n v="1"/>
    <x v="1"/>
    <s v="Y"/>
    <x v="1"/>
    <n v="13"/>
    <x v="2"/>
    <n v="3"/>
    <x v="0"/>
    <n v="2"/>
    <x v="4"/>
    <n v="80"/>
    <n v="2"/>
    <n v="1"/>
    <x v="2"/>
    <n v="2"/>
    <x v="0"/>
    <n v="2"/>
    <x v="2"/>
    <n v="1"/>
    <x v="1"/>
    <n v="0"/>
    <x v="2"/>
    <n v="0"/>
    <x v="0"/>
    <n v="0"/>
    <x v="2"/>
  </r>
  <r>
    <n v="1483"/>
    <n v="57"/>
    <x v="3"/>
    <x v="1"/>
    <n v="0"/>
    <x v="0"/>
    <n v="405"/>
    <x v="1"/>
    <x v="1"/>
    <n v="1"/>
    <x v="0"/>
    <n v="2"/>
    <x v="0"/>
    <x v="0"/>
    <n v="1"/>
    <n v="2"/>
    <x v="0"/>
    <x v="1"/>
    <n v="93"/>
    <x v="0"/>
    <n v="4"/>
    <x v="2"/>
    <n v="2"/>
    <x v="1"/>
    <n v="3"/>
    <x v="2"/>
    <x v="1"/>
    <n v="4900"/>
    <x v="1"/>
    <n v="2721"/>
    <x v="2"/>
    <n v="0"/>
    <x v="1"/>
    <s v="Y"/>
    <x v="1"/>
    <n v="24"/>
    <x v="1"/>
    <n v="4"/>
    <x v="1"/>
    <n v="1"/>
    <x v="0"/>
    <n v="80"/>
    <n v="1"/>
    <n v="13"/>
    <x v="1"/>
    <n v="2"/>
    <x v="0"/>
    <n v="2"/>
    <x v="2"/>
    <n v="12"/>
    <x v="4"/>
    <n v="9"/>
    <x v="1"/>
    <n v="2"/>
    <x v="1"/>
    <n v="8"/>
    <x v="1"/>
  </r>
  <r>
    <n v="1484"/>
    <n v="49"/>
    <x v="1"/>
    <x v="1"/>
    <n v="0"/>
    <x v="0"/>
    <n v="1490"/>
    <x v="0"/>
    <x v="1"/>
    <n v="7"/>
    <x v="1"/>
    <n v="4"/>
    <x v="2"/>
    <x v="0"/>
    <n v="1"/>
    <n v="3"/>
    <x v="1"/>
    <x v="1"/>
    <n v="35"/>
    <x v="2"/>
    <n v="3"/>
    <x v="0"/>
    <n v="3"/>
    <x v="4"/>
    <n v="2"/>
    <x v="1"/>
    <x v="2"/>
    <n v="10466"/>
    <x v="8"/>
    <n v="20948"/>
    <x v="0"/>
    <n v="3"/>
    <x v="3"/>
    <s v="Y"/>
    <x v="1"/>
    <n v="14"/>
    <x v="2"/>
    <n v="3"/>
    <x v="0"/>
    <n v="2"/>
    <x v="4"/>
    <n v="80"/>
    <n v="2"/>
    <n v="29"/>
    <x v="4"/>
    <n v="3"/>
    <x v="1"/>
    <n v="3"/>
    <x v="1"/>
    <n v="8"/>
    <x v="0"/>
    <n v="7"/>
    <x v="1"/>
    <n v="0"/>
    <x v="0"/>
    <n v="7"/>
    <x v="1"/>
  </r>
  <r>
    <n v="1485"/>
    <n v="34"/>
    <x v="2"/>
    <x v="1"/>
    <n v="0"/>
    <x v="1"/>
    <n v="829"/>
    <x v="2"/>
    <x v="1"/>
    <n v="15"/>
    <x v="3"/>
    <n v="3"/>
    <x v="3"/>
    <x v="2"/>
    <n v="1"/>
    <n v="2"/>
    <x v="0"/>
    <x v="1"/>
    <n v="71"/>
    <x v="1"/>
    <n v="3"/>
    <x v="0"/>
    <n v="4"/>
    <x v="7"/>
    <n v="1"/>
    <x v="3"/>
    <x v="2"/>
    <n v="17007"/>
    <x v="12"/>
    <n v="11929"/>
    <x v="3"/>
    <n v="7"/>
    <x v="0"/>
    <s v="Y"/>
    <x v="1"/>
    <n v="14"/>
    <x v="2"/>
    <n v="3"/>
    <x v="0"/>
    <n v="4"/>
    <x v="1"/>
    <n v="80"/>
    <n v="2"/>
    <n v="16"/>
    <x v="1"/>
    <n v="3"/>
    <x v="1"/>
    <n v="2"/>
    <x v="2"/>
    <n v="14"/>
    <x v="4"/>
    <n v="8"/>
    <x v="1"/>
    <n v="6"/>
    <x v="2"/>
    <n v="9"/>
    <x v="1"/>
  </r>
  <r>
    <n v="1486"/>
    <n v="28"/>
    <x v="2"/>
    <x v="0"/>
    <n v="1"/>
    <x v="1"/>
    <n v="1496"/>
    <x v="0"/>
    <x v="0"/>
    <n v="1"/>
    <x v="0"/>
    <n v="3"/>
    <x v="3"/>
    <x v="4"/>
    <n v="1"/>
    <n v="1"/>
    <x v="3"/>
    <x v="1"/>
    <n v="92"/>
    <x v="0"/>
    <n v="3"/>
    <x v="0"/>
    <n v="1"/>
    <x v="6"/>
    <n v="3"/>
    <x v="2"/>
    <x v="1"/>
    <n v="2909"/>
    <x v="3"/>
    <n v="15747"/>
    <x v="3"/>
    <n v="3"/>
    <x v="3"/>
    <s v="Y"/>
    <x v="1"/>
    <n v="15"/>
    <x v="2"/>
    <n v="3"/>
    <x v="0"/>
    <n v="4"/>
    <x v="1"/>
    <n v="80"/>
    <n v="1"/>
    <n v="5"/>
    <x v="3"/>
    <n v="3"/>
    <x v="1"/>
    <n v="4"/>
    <x v="3"/>
    <n v="3"/>
    <x v="2"/>
    <n v="2"/>
    <x v="0"/>
    <n v="1"/>
    <x v="0"/>
    <n v="2"/>
    <x v="0"/>
  </r>
  <r>
    <n v="1487"/>
    <n v="29"/>
    <x v="2"/>
    <x v="0"/>
    <n v="1"/>
    <x v="1"/>
    <n v="115"/>
    <x v="1"/>
    <x v="0"/>
    <n v="13"/>
    <x v="3"/>
    <n v="3"/>
    <x v="3"/>
    <x v="4"/>
    <n v="1"/>
    <n v="1"/>
    <x v="3"/>
    <x v="0"/>
    <n v="51"/>
    <x v="1"/>
    <n v="3"/>
    <x v="0"/>
    <n v="2"/>
    <x v="0"/>
    <n v="2"/>
    <x v="1"/>
    <x v="0"/>
    <n v="5765"/>
    <x v="0"/>
    <n v="17485"/>
    <x v="0"/>
    <n v="5"/>
    <x v="2"/>
    <s v="Y"/>
    <x v="1"/>
    <n v="11"/>
    <x v="0"/>
    <n v="3"/>
    <x v="0"/>
    <n v="1"/>
    <x v="0"/>
    <n v="80"/>
    <n v="0"/>
    <n v="7"/>
    <x v="0"/>
    <n v="4"/>
    <x v="1"/>
    <n v="1"/>
    <x v="0"/>
    <n v="5"/>
    <x v="2"/>
    <n v="3"/>
    <x v="0"/>
    <n v="0"/>
    <x v="0"/>
    <n v="0"/>
    <x v="2"/>
  </r>
  <r>
    <n v="1489"/>
    <n v="34"/>
    <x v="2"/>
    <x v="0"/>
    <n v="1"/>
    <x v="0"/>
    <n v="790"/>
    <x v="2"/>
    <x v="0"/>
    <n v="24"/>
    <x v="2"/>
    <n v="4"/>
    <x v="2"/>
    <x v="2"/>
    <n v="1"/>
    <n v="1"/>
    <x v="3"/>
    <x v="0"/>
    <n v="40"/>
    <x v="2"/>
    <n v="2"/>
    <x v="1"/>
    <n v="2"/>
    <x v="0"/>
    <n v="2"/>
    <x v="1"/>
    <x v="0"/>
    <n v="4599"/>
    <x v="1"/>
    <n v="7815"/>
    <x v="2"/>
    <n v="0"/>
    <x v="1"/>
    <s v="Y"/>
    <x v="0"/>
    <n v="23"/>
    <x v="1"/>
    <n v="4"/>
    <x v="1"/>
    <n v="3"/>
    <x v="3"/>
    <n v="80"/>
    <n v="0"/>
    <n v="16"/>
    <x v="1"/>
    <n v="2"/>
    <x v="0"/>
    <n v="4"/>
    <x v="3"/>
    <n v="15"/>
    <x v="4"/>
    <n v="9"/>
    <x v="1"/>
    <n v="10"/>
    <x v="2"/>
    <n v="10"/>
    <x v="1"/>
  </r>
  <r>
    <n v="1492"/>
    <n v="35"/>
    <x v="2"/>
    <x v="1"/>
    <n v="0"/>
    <x v="0"/>
    <n v="660"/>
    <x v="2"/>
    <x v="0"/>
    <n v="7"/>
    <x v="1"/>
    <n v="1"/>
    <x v="1"/>
    <x v="0"/>
    <n v="1"/>
    <n v="4"/>
    <x v="2"/>
    <x v="1"/>
    <n v="76"/>
    <x v="0"/>
    <n v="3"/>
    <x v="0"/>
    <n v="1"/>
    <x v="6"/>
    <n v="3"/>
    <x v="2"/>
    <x v="1"/>
    <n v="2404"/>
    <x v="2"/>
    <n v="16192"/>
    <x v="0"/>
    <n v="1"/>
    <x v="1"/>
    <s v="Y"/>
    <x v="1"/>
    <n v="13"/>
    <x v="2"/>
    <n v="3"/>
    <x v="0"/>
    <n v="1"/>
    <x v="0"/>
    <n v="80"/>
    <n v="1"/>
    <n v="1"/>
    <x v="2"/>
    <n v="3"/>
    <x v="1"/>
    <n v="3"/>
    <x v="1"/>
    <n v="1"/>
    <x v="1"/>
    <n v="0"/>
    <x v="2"/>
    <n v="0"/>
    <x v="0"/>
    <n v="0"/>
    <x v="2"/>
  </r>
  <r>
    <n v="1494"/>
    <n v="24"/>
    <x v="4"/>
    <x v="0"/>
    <n v="1"/>
    <x v="1"/>
    <n v="381"/>
    <x v="1"/>
    <x v="1"/>
    <n v="9"/>
    <x v="1"/>
    <n v="3"/>
    <x v="3"/>
    <x v="2"/>
    <n v="1"/>
    <n v="2"/>
    <x v="0"/>
    <x v="1"/>
    <n v="89"/>
    <x v="0"/>
    <n v="3"/>
    <x v="0"/>
    <n v="1"/>
    <x v="2"/>
    <n v="1"/>
    <x v="3"/>
    <x v="0"/>
    <n v="3172"/>
    <x v="3"/>
    <n v="16998"/>
    <x v="0"/>
    <n v="2"/>
    <x v="3"/>
    <s v="Y"/>
    <x v="0"/>
    <n v="11"/>
    <x v="0"/>
    <n v="3"/>
    <x v="0"/>
    <n v="3"/>
    <x v="3"/>
    <n v="80"/>
    <n v="0"/>
    <n v="4"/>
    <x v="3"/>
    <n v="2"/>
    <x v="0"/>
    <n v="2"/>
    <x v="2"/>
    <n v="0"/>
    <x v="1"/>
    <n v="0"/>
    <x v="2"/>
    <n v="0"/>
    <x v="0"/>
    <n v="0"/>
    <x v="2"/>
  </r>
  <r>
    <n v="1495"/>
    <n v="24"/>
    <x v="4"/>
    <x v="1"/>
    <n v="0"/>
    <x v="2"/>
    <n v="830"/>
    <x v="2"/>
    <x v="0"/>
    <n v="13"/>
    <x v="3"/>
    <n v="2"/>
    <x v="0"/>
    <x v="0"/>
    <n v="1"/>
    <n v="4"/>
    <x v="2"/>
    <x v="0"/>
    <n v="78"/>
    <x v="0"/>
    <n v="3"/>
    <x v="0"/>
    <n v="1"/>
    <x v="6"/>
    <n v="2"/>
    <x v="1"/>
    <x v="1"/>
    <n v="2033"/>
    <x v="2"/>
    <n v="7103"/>
    <x v="2"/>
    <n v="1"/>
    <x v="1"/>
    <s v="Y"/>
    <x v="1"/>
    <n v="13"/>
    <x v="2"/>
    <n v="3"/>
    <x v="0"/>
    <n v="3"/>
    <x v="3"/>
    <n v="80"/>
    <n v="1"/>
    <n v="1"/>
    <x v="2"/>
    <n v="2"/>
    <x v="0"/>
    <n v="3"/>
    <x v="1"/>
    <n v="1"/>
    <x v="1"/>
    <n v="0"/>
    <x v="2"/>
    <n v="0"/>
    <x v="0"/>
    <n v="0"/>
    <x v="2"/>
  </r>
  <r>
    <n v="1496"/>
    <n v="44"/>
    <x v="0"/>
    <x v="1"/>
    <n v="0"/>
    <x v="1"/>
    <n v="1193"/>
    <x v="0"/>
    <x v="1"/>
    <n v="2"/>
    <x v="0"/>
    <n v="1"/>
    <x v="1"/>
    <x v="2"/>
    <n v="1"/>
    <n v="2"/>
    <x v="0"/>
    <x v="1"/>
    <n v="86"/>
    <x v="0"/>
    <n v="3"/>
    <x v="0"/>
    <n v="3"/>
    <x v="3"/>
    <n v="3"/>
    <x v="2"/>
    <x v="0"/>
    <n v="10209"/>
    <x v="8"/>
    <n v="19719"/>
    <x v="0"/>
    <n v="5"/>
    <x v="2"/>
    <s v="Y"/>
    <x v="0"/>
    <n v="18"/>
    <x v="1"/>
    <n v="3"/>
    <x v="0"/>
    <n v="2"/>
    <x v="4"/>
    <n v="80"/>
    <n v="0"/>
    <n v="16"/>
    <x v="1"/>
    <n v="2"/>
    <x v="0"/>
    <n v="2"/>
    <x v="2"/>
    <n v="2"/>
    <x v="2"/>
    <n v="2"/>
    <x v="0"/>
    <n v="2"/>
    <x v="1"/>
    <n v="2"/>
    <x v="0"/>
  </r>
  <r>
    <n v="1497"/>
    <n v="29"/>
    <x v="2"/>
    <x v="1"/>
    <n v="0"/>
    <x v="0"/>
    <n v="1246"/>
    <x v="0"/>
    <x v="0"/>
    <n v="19"/>
    <x v="3"/>
    <n v="3"/>
    <x v="3"/>
    <x v="0"/>
    <n v="1"/>
    <n v="3"/>
    <x v="1"/>
    <x v="1"/>
    <n v="77"/>
    <x v="0"/>
    <n v="2"/>
    <x v="1"/>
    <n v="2"/>
    <x v="0"/>
    <n v="3"/>
    <x v="2"/>
    <x v="2"/>
    <n v="8620"/>
    <x v="4"/>
    <n v="23757"/>
    <x v="1"/>
    <n v="1"/>
    <x v="1"/>
    <s v="Y"/>
    <x v="1"/>
    <n v="14"/>
    <x v="2"/>
    <n v="3"/>
    <x v="0"/>
    <n v="3"/>
    <x v="3"/>
    <n v="80"/>
    <n v="2"/>
    <n v="10"/>
    <x v="0"/>
    <n v="3"/>
    <x v="1"/>
    <n v="3"/>
    <x v="1"/>
    <n v="10"/>
    <x v="0"/>
    <n v="7"/>
    <x v="1"/>
    <n v="0"/>
    <x v="0"/>
    <n v="4"/>
    <x v="0"/>
  </r>
  <r>
    <n v="1499"/>
    <n v="30"/>
    <x v="2"/>
    <x v="1"/>
    <n v="0"/>
    <x v="0"/>
    <n v="330"/>
    <x v="1"/>
    <x v="2"/>
    <n v="1"/>
    <x v="0"/>
    <n v="3"/>
    <x v="3"/>
    <x v="0"/>
    <n v="1"/>
    <n v="3"/>
    <x v="1"/>
    <x v="1"/>
    <n v="46"/>
    <x v="2"/>
    <n v="3"/>
    <x v="0"/>
    <n v="1"/>
    <x v="8"/>
    <n v="3"/>
    <x v="2"/>
    <x v="2"/>
    <n v="2064"/>
    <x v="2"/>
    <n v="15428"/>
    <x v="3"/>
    <n v="0"/>
    <x v="1"/>
    <s v="Y"/>
    <x v="1"/>
    <n v="21"/>
    <x v="1"/>
    <n v="4"/>
    <x v="1"/>
    <n v="1"/>
    <x v="0"/>
    <n v="80"/>
    <n v="1"/>
    <n v="6"/>
    <x v="0"/>
    <n v="3"/>
    <x v="1"/>
    <n v="4"/>
    <x v="3"/>
    <n v="5"/>
    <x v="2"/>
    <n v="3"/>
    <x v="0"/>
    <n v="1"/>
    <x v="0"/>
    <n v="3"/>
    <x v="0"/>
  </r>
  <r>
    <n v="1501"/>
    <n v="55"/>
    <x v="1"/>
    <x v="1"/>
    <n v="0"/>
    <x v="0"/>
    <n v="1229"/>
    <x v="0"/>
    <x v="1"/>
    <n v="4"/>
    <x v="0"/>
    <n v="4"/>
    <x v="2"/>
    <x v="0"/>
    <n v="1"/>
    <n v="4"/>
    <x v="2"/>
    <x v="1"/>
    <n v="30"/>
    <x v="2"/>
    <n v="3"/>
    <x v="0"/>
    <n v="2"/>
    <x v="4"/>
    <n v="3"/>
    <x v="2"/>
    <x v="1"/>
    <n v="4035"/>
    <x v="1"/>
    <n v="16143"/>
    <x v="0"/>
    <n v="0"/>
    <x v="1"/>
    <s v="Y"/>
    <x v="0"/>
    <n v="16"/>
    <x v="3"/>
    <n v="3"/>
    <x v="0"/>
    <n v="2"/>
    <x v="4"/>
    <n v="80"/>
    <n v="0"/>
    <n v="4"/>
    <x v="3"/>
    <n v="2"/>
    <x v="0"/>
    <n v="3"/>
    <x v="1"/>
    <n v="3"/>
    <x v="2"/>
    <n v="2"/>
    <x v="0"/>
    <n v="1"/>
    <x v="0"/>
    <n v="2"/>
    <x v="0"/>
  </r>
  <r>
    <n v="1502"/>
    <n v="33"/>
    <x v="2"/>
    <x v="1"/>
    <n v="0"/>
    <x v="0"/>
    <n v="1099"/>
    <x v="0"/>
    <x v="1"/>
    <n v="4"/>
    <x v="0"/>
    <n v="4"/>
    <x v="2"/>
    <x v="2"/>
    <n v="1"/>
    <n v="1"/>
    <x v="3"/>
    <x v="0"/>
    <n v="82"/>
    <x v="0"/>
    <n v="2"/>
    <x v="1"/>
    <n v="1"/>
    <x v="2"/>
    <n v="2"/>
    <x v="1"/>
    <x v="1"/>
    <n v="3838"/>
    <x v="3"/>
    <n v="8192"/>
    <x v="3"/>
    <n v="8"/>
    <x v="0"/>
    <s v="Y"/>
    <x v="1"/>
    <n v="11"/>
    <x v="0"/>
    <n v="3"/>
    <x v="0"/>
    <n v="4"/>
    <x v="1"/>
    <n v="80"/>
    <n v="0"/>
    <n v="8"/>
    <x v="0"/>
    <n v="5"/>
    <x v="2"/>
    <n v="3"/>
    <x v="1"/>
    <n v="5"/>
    <x v="2"/>
    <n v="4"/>
    <x v="0"/>
    <n v="0"/>
    <x v="0"/>
    <n v="2"/>
    <x v="0"/>
  </r>
  <r>
    <n v="1503"/>
    <n v="47"/>
    <x v="1"/>
    <x v="1"/>
    <n v="0"/>
    <x v="0"/>
    <n v="571"/>
    <x v="2"/>
    <x v="0"/>
    <n v="14"/>
    <x v="3"/>
    <n v="3"/>
    <x v="3"/>
    <x v="2"/>
    <n v="1"/>
    <n v="3"/>
    <x v="1"/>
    <x v="0"/>
    <n v="78"/>
    <x v="0"/>
    <n v="3"/>
    <x v="0"/>
    <n v="2"/>
    <x v="0"/>
    <n v="3"/>
    <x v="2"/>
    <x v="1"/>
    <n v="4591"/>
    <x v="1"/>
    <n v="24200"/>
    <x v="1"/>
    <n v="3"/>
    <x v="3"/>
    <s v="Y"/>
    <x v="0"/>
    <n v="17"/>
    <x v="3"/>
    <n v="3"/>
    <x v="0"/>
    <n v="3"/>
    <x v="3"/>
    <n v="80"/>
    <n v="1"/>
    <n v="11"/>
    <x v="1"/>
    <n v="4"/>
    <x v="1"/>
    <n v="2"/>
    <x v="2"/>
    <n v="5"/>
    <x v="2"/>
    <n v="4"/>
    <x v="0"/>
    <n v="1"/>
    <x v="0"/>
    <n v="2"/>
    <x v="0"/>
  </r>
  <r>
    <n v="1504"/>
    <n v="28"/>
    <x v="2"/>
    <x v="0"/>
    <n v="1"/>
    <x v="1"/>
    <n v="289"/>
    <x v="1"/>
    <x v="1"/>
    <n v="2"/>
    <x v="0"/>
    <n v="2"/>
    <x v="0"/>
    <x v="2"/>
    <n v="1"/>
    <n v="3"/>
    <x v="1"/>
    <x v="1"/>
    <n v="38"/>
    <x v="2"/>
    <n v="2"/>
    <x v="1"/>
    <n v="1"/>
    <x v="2"/>
    <n v="1"/>
    <x v="3"/>
    <x v="0"/>
    <n v="2561"/>
    <x v="3"/>
    <n v="5355"/>
    <x v="2"/>
    <n v="7"/>
    <x v="0"/>
    <s v="Y"/>
    <x v="1"/>
    <n v="11"/>
    <x v="0"/>
    <n v="3"/>
    <x v="0"/>
    <n v="3"/>
    <x v="3"/>
    <n v="80"/>
    <n v="0"/>
    <n v="8"/>
    <x v="0"/>
    <n v="2"/>
    <x v="0"/>
    <n v="2"/>
    <x v="2"/>
    <n v="0"/>
    <x v="1"/>
    <n v="0"/>
    <x v="2"/>
    <n v="0"/>
    <x v="0"/>
    <n v="0"/>
    <x v="2"/>
  </r>
  <r>
    <n v="1506"/>
    <n v="28"/>
    <x v="2"/>
    <x v="1"/>
    <n v="0"/>
    <x v="0"/>
    <n v="1423"/>
    <x v="0"/>
    <x v="1"/>
    <n v="1"/>
    <x v="0"/>
    <n v="3"/>
    <x v="3"/>
    <x v="0"/>
    <n v="1"/>
    <n v="1"/>
    <x v="3"/>
    <x v="1"/>
    <n v="72"/>
    <x v="1"/>
    <n v="2"/>
    <x v="1"/>
    <n v="1"/>
    <x v="1"/>
    <n v="3"/>
    <x v="2"/>
    <x v="2"/>
    <n v="1563"/>
    <x v="2"/>
    <n v="12530"/>
    <x v="3"/>
    <n v="1"/>
    <x v="1"/>
    <s v="Y"/>
    <x v="1"/>
    <n v="14"/>
    <x v="2"/>
    <n v="3"/>
    <x v="0"/>
    <n v="4"/>
    <x v="1"/>
    <n v="80"/>
    <n v="1"/>
    <n v="1"/>
    <x v="2"/>
    <n v="2"/>
    <x v="0"/>
    <n v="1"/>
    <x v="0"/>
    <n v="1"/>
    <x v="1"/>
    <n v="0"/>
    <x v="2"/>
    <n v="0"/>
    <x v="0"/>
    <n v="0"/>
    <x v="2"/>
  </r>
  <r>
    <n v="1507"/>
    <n v="28"/>
    <x v="2"/>
    <x v="1"/>
    <n v="0"/>
    <x v="1"/>
    <n v="467"/>
    <x v="1"/>
    <x v="0"/>
    <n v="7"/>
    <x v="1"/>
    <n v="3"/>
    <x v="3"/>
    <x v="0"/>
    <n v="1"/>
    <n v="3"/>
    <x v="1"/>
    <x v="1"/>
    <n v="55"/>
    <x v="1"/>
    <n v="3"/>
    <x v="0"/>
    <n v="2"/>
    <x v="0"/>
    <n v="1"/>
    <x v="3"/>
    <x v="0"/>
    <n v="4898"/>
    <x v="1"/>
    <n v="11827"/>
    <x v="3"/>
    <n v="0"/>
    <x v="1"/>
    <s v="Y"/>
    <x v="1"/>
    <n v="14"/>
    <x v="2"/>
    <n v="3"/>
    <x v="0"/>
    <n v="4"/>
    <x v="1"/>
    <n v="80"/>
    <n v="0"/>
    <n v="5"/>
    <x v="3"/>
    <n v="5"/>
    <x v="2"/>
    <n v="3"/>
    <x v="1"/>
    <n v="4"/>
    <x v="2"/>
    <n v="2"/>
    <x v="0"/>
    <n v="1"/>
    <x v="0"/>
    <n v="3"/>
    <x v="0"/>
  </r>
  <r>
    <n v="1509"/>
    <n v="49"/>
    <x v="1"/>
    <x v="1"/>
    <n v="0"/>
    <x v="0"/>
    <n v="271"/>
    <x v="1"/>
    <x v="1"/>
    <n v="3"/>
    <x v="0"/>
    <n v="2"/>
    <x v="0"/>
    <x v="2"/>
    <n v="1"/>
    <n v="3"/>
    <x v="1"/>
    <x v="0"/>
    <n v="43"/>
    <x v="2"/>
    <n v="2"/>
    <x v="1"/>
    <n v="2"/>
    <x v="2"/>
    <n v="1"/>
    <x v="3"/>
    <x v="1"/>
    <n v="4789"/>
    <x v="1"/>
    <n v="23070"/>
    <x v="1"/>
    <n v="4"/>
    <x v="2"/>
    <s v="Y"/>
    <x v="1"/>
    <n v="25"/>
    <x v="1"/>
    <n v="4"/>
    <x v="1"/>
    <n v="1"/>
    <x v="0"/>
    <n v="80"/>
    <n v="1"/>
    <n v="10"/>
    <x v="0"/>
    <n v="3"/>
    <x v="1"/>
    <n v="3"/>
    <x v="1"/>
    <n v="3"/>
    <x v="2"/>
    <n v="2"/>
    <x v="0"/>
    <n v="1"/>
    <x v="0"/>
    <n v="2"/>
    <x v="0"/>
  </r>
  <r>
    <n v="1513"/>
    <n v="29"/>
    <x v="2"/>
    <x v="1"/>
    <n v="0"/>
    <x v="1"/>
    <n v="410"/>
    <x v="1"/>
    <x v="1"/>
    <n v="2"/>
    <x v="0"/>
    <n v="1"/>
    <x v="1"/>
    <x v="0"/>
    <n v="1"/>
    <n v="4"/>
    <x v="2"/>
    <x v="0"/>
    <n v="97"/>
    <x v="0"/>
    <n v="3"/>
    <x v="0"/>
    <n v="1"/>
    <x v="2"/>
    <n v="2"/>
    <x v="1"/>
    <x v="1"/>
    <n v="3180"/>
    <x v="3"/>
    <n v="4668"/>
    <x v="2"/>
    <n v="0"/>
    <x v="1"/>
    <s v="Y"/>
    <x v="1"/>
    <n v="13"/>
    <x v="2"/>
    <n v="3"/>
    <x v="0"/>
    <n v="3"/>
    <x v="3"/>
    <n v="80"/>
    <n v="3"/>
    <n v="4"/>
    <x v="3"/>
    <n v="3"/>
    <x v="1"/>
    <n v="3"/>
    <x v="1"/>
    <n v="3"/>
    <x v="2"/>
    <n v="2"/>
    <x v="0"/>
    <n v="0"/>
    <x v="0"/>
    <n v="2"/>
    <x v="0"/>
  </r>
  <r>
    <n v="1514"/>
    <n v="28"/>
    <x v="2"/>
    <x v="1"/>
    <n v="0"/>
    <x v="0"/>
    <n v="1083"/>
    <x v="0"/>
    <x v="1"/>
    <n v="29"/>
    <x v="2"/>
    <n v="1"/>
    <x v="1"/>
    <x v="0"/>
    <n v="1"/>
    <n v="3"/>
    <x v="1"/>
    <x v="1"/>
    <n v="96"/>
    <x v="0"/>
    <n v="1"/>
    <x v="3"/>
    <n v="2"/>
    <x v="3"/>
    <n v="2"/>
    <x v="1"/>
    <x v="1"/>
    <n v="6549"/>
    <x v="0"/>
    <n v="3173"/>
    <x v="2"/>
    <n v="1"/>
    <x v="1"/>
    <s v="Y"/>
    <x v="1"/>
    <n v="14"/>
    <x v="2"/>
    <n v="3"/>
    <x v="0"/>
    <n v="2"/>
    <x v="4"/>
    <n v="80"/>
    <n v="2"/>
    <n v="8"/>
    <x v="0"/>
    <n v="2"/>
    <x v="0"/>
    <n v="2"/>
    <x v="2"/>
    <n v="8"/>
    <x v="0"/>
    <n v="6"/>
    <x v="1"/>
    <n v="1"/>
    <x v="0"/>
    <n v="7"/>
    <x v="1"/>
  </r>
  <r>
    <n v="1515"/>
    <n v="33"/>
    <x v="2"/>
    <x v="1"/>
    <n v="0"/>
    <x v="0"/>
    <n v="516"/>
    <x v="2"/>
    <x v="1"/>
    <n v="8"/>
    <x v="1"/>
    <n v="5"/>
    <x v="4"/>
    <x v="0"/>
    <n v="1"/>
    <n v="4"/>
    <x v="2"/>
    <x v="1"/>
    <n v="69"/>
    <x v="1"/>
    <n v="3"/>
    <x v="0"/>
    <n v="2"/>
    <x v="4"/>
    <n v="3"/>
    <x v="2"/>
    <x v="0"/>
    <n v="6388"/>
    <x v="0"/>
    <n v="22049"/>
    <x v="1"/>
    <n v="2"/>
    <x v="3"/>
    <s v="Y"/>
    <x v="0"/>
    <n v="17"/>
    <x v="3"/>
    <n v="3"/>
    <x v="0"/>
    <n v="1"/>
    <x v="0"/>
    <n v="80"/>
    <n v="0"/>
    <n v="14"/>
    <x v="1"/>
    <n v="6"/>
    <x v="2"/>
    <n v="3"/>
    <x v="1"/>
    <n v="0"/>
    <x v="1"/>
    <n v="0"/>
    <x v="2"/>
    <n v="0"/>
    <x v="0"/>
    <n v="0"/>
    <x v="2"/>
  </r>
  <r>
    <n v="1516"/>
    <n v="32"/>
    <x v="2"/>
    <x v="1"/>
    <n v="0"/>
    <x v="0"/>
    <n v="495"/>
    <x v="1"/>
    <x v="1"/>
    <n v="10"/>
    <x v="1"/>
    <n v="3"/>
    <x v="3"/>
    <x v="2"/>
    <n v="1"/>
    <n v="3"/>
    <x v="1"/>
    <x v="1"/>
    <n v="64"/>
    <x v="1"/>
    <n v="3"/>
    <x v="0"/>
    <n v="3"/>
    <x v="5"/>
    <n v="4"/>
    <x v="0"/>
    <x v="0"/>
    <n v="11244"/>
    <x v="8"/>
    <n v="21072"/>
    <x v="0"/>
    <n v="2"/>
    <x v="3"/>
    <s v="Y"/>
    <x v="1"/>
    <n v="25"/>
    <x v="1"/>
    <n v="4"/>
    <x v="1"/>
    <n v="2"/>
    <x v="4"/>
    <n v="80"/>
    <n v="0"/>
    <n v="10"/>
    <x v="0"/>
    <n v="5"/>
    <x v="2"/>
    <n v="4"/>
    <x v="3"/>
    <n v="5"/>
    <x v="2"/>
    <n v="2"/>
    <x v="0"/>
    <n v="0"/>
    <x v="0"/>
    <n v="0"/>
    <x v="2"/>
  </r>
  <r>
    <n v="1520"/>
    <n v="54"/>
    <x v="1"/>
    <x v="1"/>
    <n v="0"/>
    <x v="1"/>
    <n v="1050"/>
    <x v="0"/>
    <x v="1"/>
    <n v="11"/>
    <x v="3"/>
    <n v="4"/>
    <x v="2"/>
    <x v="2"/>
    <n v="1"/>
    <n v="2"/>
    <x v="0"/>
    <x v="0"/>
    <n v="87"/>
    <x v="0"/>
    <n v="3"/>
    <x v="0"/>
    <n v="4"/>
    <x v="5"/>
    <n v="4"/>
    <x v="0"/>
    <x v="2"/>
    <n v="16032"/>
    <x v="12"/>
    <n v="24456"/>
    <x v="1"/>
    <n v="3"/>
    <x v="3"/>
    <s v="Y"/>
    <x v="1"/>
    <n v="20"/>
    <x v="1"/>
    <n v="4"/>
    <x v="1"/>
    <n v="1"/>
    <x v="0"/>
    <n v="80"/>
    <n v="1"/>
    <n v="26"/>
    <x v="4"/>
    <n v="2"/>
    <x v="0"/>
    <n v="3"/>
    <x v="1"/>
    <n v="14"/>
    <x v="4"/>
    <n v="9"/>
    <x v="1"/>
    <n v="1"/>
    <x v="0"/>
    <n v="12"/>
    <x v="3"/>
  </r>
  <r>
    <n v="1522"/>
    <n v="29"/>
    <x v="2"/>
    <x v="0"/>
    <n v="1"/>
    <x v="0"/>
    <n v="224"/>
    <x v="1"/>
    <x v="1"/>
    <n v="1"/>
    <x v="0"/>
    <n v="4"/>
    <x v="2"/>
    <x v="4"/>
    <n v="1"/>
    <n v="1"/>
    <x v="3"/>
    <x v="1"/>
    <n v="100"/>
    <x v="0"/>
    <n v="2"/>
    <x v="1"/>
    <n v="1"/>
    <x v="1"/>
    <n v="1"/>
    <x v="3"/>
    <x v="0"/>
    <n v="2362"/>
    <x v="2"/>
    <n v="7568"/>
    <x v="2"/>
    <n v="6"/>
    <x v="2"/>
    <s v="Y"/>
    <x v="1"/>
    <n v="13"/>
    <x v="2"/>
    <n v="3"/>
    <x v="0"/>
    <n v="3"/>
    <x v="3"/>
    <n v="80"/>
    <n v="0"/>
    <n v="11"/>
    <x v="1"/>
    <n v="2"/>
    <x v="0"/>
    <n v="1"/>
    <x v="0"/>
    <n v="9"/>
    <x v="0"/>
    <n v="7"/>
    <x v="1"/>
    <n v="0"/>
    <x v="0"/>
    <n v="7"/>
    <x v="1"/>
  </r>
  <r>
    <n v="1523"/>
    <n v="44"/>
    <x v="0"/>
    <x v="1"/>
    <n v="0"/>
    <x v="0"/>
    <n v="136"/>
    <x v="1"/>
    <x v="1"/>
    <n v="28"/>
    <x v="2"/>
    <n v="3"/>
    <x v="3"/>
    <x v="0"/>
    <n v="1"/>
    <n v="4"/>
    <x v="2"/>
    <x v="1"/>
    <n v="32"/>
    <x v="2"/>
    <n v="3"/>
    <x v="0"/>
    <n v="4"/>
    <x v="7"/>
    <n v="1"/>
    <x v="3"/>
    <x v="1"/>
    <n v="16328"/>
    <x v="12"/>
    <n v="22074"/>
    <x v="1"/>
    <n v="3"/>
    <x v="3"/>
    <s v="Y"/>
    <x v="1"/>
    <n v="13"/>
    <x v="2"/>
    <n v="3"/>
    <x v="0"/>
    <n v="3"/>
    <x v="3"/>
    <n v="80"/>
    <n v="1"/>
    <n v="24"/>
    <x v="4"/>
    <n v="1"/>
    <x v="0"/>
    <n v="4"/>
    <x v="3"/>
    <n v="20"/>
    <x v="4"/>
    <n v="6"/>
    <x v="1"/>
    <n v="14"/>
    <x v="3"/>
    <n v="17"/>
    <x v="3"/>
  </r>
  <r>
    <n v="1525"/>
    <n v="39"/>
    <x v="0"/>
    <x v="1"/>
    <n v="0"/>
    <x v="0"/>
    <n v="1089"/>
    <x v="0"/>
    <x v="1"/>
    <n v="6"/>
    <x v="1"/>
    <n v="3"/>
    <x v="3"/>
    <x v="0"/>
    <n v="1"/>
    <n v="2"/>
    <x v="0"/>
    <x v="0"/>
    <n v="32"/>
    <x v="2"/>
    <n v="3"/>
    <x v="0"/>
    <n v="3"/>
    <x v="3"/>
    <n v="2"/>
    <x v="1"/>
    <x v="0"/>
    <n v="8376"/>
    <x v="11"/>
    <n v="9150"/>
    <x v="3"/>
    <n v="4"/>
    <x v="2"/>
    <s v="Y"/>
    <x v="1"/>
    <n v="18"/>
    <x v="1"/>
    <n v="3"/>
    <x v="0"/>
    <n v="4"/>
    <x v="1"/>
    <n v="80"/>
    <n v="0"/>
    <n v="9"/>
    <x v="0"/>
    <n v="3"/>
    <x v="1"/>
    <n v="3"/>
    <x v="1"/>
    <n v="2"/>
    <x v="2"/>
    <n v="0"/>
    <x v="2"/>
    <n v="2"/>
    <x v="1"/>
    <n v="2"/>
    <x v="0"/>
  </r>
  <r>
    <n v="1527"/>
    <n v="46"/>
    <x v="1"/>
    <x v="1"/>
    <n v="0"/>
    <x v="0"/>
    <n v="228"/>
    <x v="1"/>
    <x v="0"/>
    <n v="3"/>
    <x v="0"/>
    <n v="3"/>
    <x v="3"/>
    <x v="0"/>
    <n v="1"/>
    <n v="3"/>
    <x v="1"/>
    <x v="0"/>
    <n v="51"/>
    <x v="1"/>
    <n v="3"/>
    <x v="0"/>
    <n v="4"/>
    <x v="5"/>
    <n v="2"/>
    <x v="1"/>
    <x v="1"/>
    <n v="16606"/>
    <x v="12"/>
    <n v="11380"/>
    <x v="3"/>
    <n v="8"/>
    <x v="0"/>
    <s v="Y"/>
    <x v="1"/>
    <n v="12"/>
    <x v="0"/>
    <n v="3"/>
    <x v="0"/>
    <n v="4"/>
    <x v="1"/>
    <n v="80"/>
    <n v="1"/>
    <n v="23"/>
    <x v="4"/>
    <n v="2"/>
    <x v="0"/>
    <n v="4"/>
    <x v="3"/>
    <n v="13"/>
    <x v="4"/>
    <n v="12"/>
    <x v="3"/>
    <n v="5"/>
    <x v="1"/>
    <n v="1"/>
    <x v="2"/>
  </r>
  <r>
    <n v="1529"/>
    <n v="35"/>
    <x v="2"/>
    <x v="1"/>
    <n v="0"/>
    <x v="0"/>
    <n v="1029"/>
    <x v="0"/>
    <x v="1"/>
    <n v="16"/>
    <x v="3"/>
    <n v="3"/>
    <x v="3"/>
    <x v="0"/>
    <n v="1"/>
    <n v="4"/>
    <x v="2"/>
    <x v="0"/>
    <n v="91"/>
    <x v="0"/>
    <n v="2"/>
    <x v="1"/>
    <n v="3"/>
    <x v="4"/>
    <n v="2"/>
    <x v="1"/>
    <x v="0"/>
    <n v="8606"/>
    <x v="4"/>
    <n v="21195"/>
    <x v="0"/>
    <n v="1"/>
    <x v="1"/>
    <s v="Y"/>
    <x v="1"/>
    <n v="19"/>
    <x v="1"/>
    <n v="3"/>
    <x v="0"/>
    <n v="4"/>
    <x v="1"/>
    <n v="80"/>
    <n v="0"/>
    <n v="11"/>
    <x v="1"/>
    <n v="3"/>
    <x v="1"/>
    <n v="1"/>
    <x v="0"/>
    <n v="11"/>
    <x v="4"/>
    <n v="8"/>
    <x v="1"/>
    <n v="3"/>
    <x v="1"/>
    <n v="3"/>
    <x v="0"/>
  </r>
  <r>
    <n v="1533"/>
    <n v="23"/>
    <x v="4"/>
    <x v="1"/>
    <n v="0"/>
    <x v="0"/>
    <n v="507"/>
    <x v="2"/>
    <x v="1"/>
    <n v="20"/>
    <x v="3"/>
    <n v="1"/>
    <x v="1"/>
    <x v="0"/>
    <n v="1"/>
    <n v="1"/>
    <x v="3"/>
    <x v="1"/>
    <n v="97"/>
    <x v="0"/>
    <n v="3"/>
    <x v="0"/>
    <n v="2"/>
    <x v="2"/>
    <n v="3"/>
    <x v="2"/>
    <x v="0"/>
    <n v="2272"/>
    <x v="2"/>
    <n v="24812"/>
    <x v="1"/>
    <n v="0"/>
    <x v="1"/>
    <s v="Y"/>
    <x v="1"/>
    <n v="14"/>
    <x v="2"/>
    <n v="3"/>
    <x v="0"/>
    <n v="2"/>
    <x v="4"/>
    <n v="80"/>
    <n v="0"/>
    <n v="5"/>
    <x v="3"/>
    <n v="2"/>
    <x v="0"/>
    <n v="3"/>
    <x v="1"/>
    <n v="4"/>
    <x v="2"/>
    <n v="3"/>
    <x v="0"/>
    <n v="1"/>
    <x v="0"/>
    <n v="2"/>
    <x v="0"/>
  </r>
  <r>
    <n v="1534"/>
    <n v="40"/>
    <x v="0"/>
    <x v="0"/>
    <n v="1"/>
    <x v="0"/>
    <n v="676"/>
    <x v="2"/>
    <x v="1"/>
    <n v="9"/>
    <x v="1"/>
    <n v="4"/>
    <x v="2"/>
    <x v="0"/>
    <n v="1"/>
    <n v="4"/>
    <x v="2"/>
    <x v="1"/>
    <n v="86"/>
    <x v="0"/>
    <n v="3"/>
    <x v="0"/>
    <n v="1"/>
    <x v="2"/>
    <n v="1"/>
    <x v="3"/>
    <x v="0"/>
    <n v="2018"/>
    <x v="2"/>
    <n v="21831"/>
    <x v="0"/>
    <n v="3"/>
    <x v="3"/>
    <s v="Y"/>
    <x v="1"/>
    <n v="14"/>
    <x v="2"/>
    <n v="3"/>
    <x v="0"/>
    <n v="2"/>
    <x v="4"/>
    <n v="80"/>
    <n v="0"/>
    <n v="15"/>
    <x v="1"/>
    <n v="3"/>
    <x v="1"/>
    <n v="1"/>
    <x v="0"/>
    <n v="5"/>
    <x v="2"/>
    <n v="4"/>
    <x v="0"/>
    <n v="1"/>
    <x v="0"/>
    <n v="0"/>
    <x v="2"/>
  </r>
  <r>
    <n v="1535"/>
    <n v="34"/>
    <x v="2"/>
    <x v="1"/>
    <n v="0"/>
    <x v="0"/>
    <n v="971"/>
    <x v="2"/>
    <x v="0"/>
    <n v="1"/>
    <x v="0"/>
    <n v="3"/>
    <x v="3"/>
    <x v="4"/>
    <n v="1"/>
    <n v="4"/>
    <x v="2"/>
    <x v="1"/>
    <n v="64"/>
    <x v="1"/>
    <n v="2"/>
    <x v="1"/>
    <n v="3"/>
    <x v="0"/>
    <n v="3"/>
    <x v="2"/>
    <x v="1"/>
    <n v="7083"/>
    <x v="11"/>
    <n v="12288"/>
    <x v="3"/>
    <n v="1"/>
    <x v="1"/>
    <s v="Y"/>
    <x v="0"/>
    <n v="14"/>
    <x v="2"/>
    <n v="3"/>
    <x v="0"/>
    <n v="4"/>
    <x v="1"/>
    <n v="80"/>
    <n v="0"/>
    <n v="10"/>
    <x v="0"/>
    <n v="3"/>
    <x v="1"/>
    <n v="3"/>
    <x v="1"/>
    <n v="10"/>
    <x v="0"/>
    <n v="9"/>
    <x v="1"/>
    <n v="8"/>
    <x v="2"/>
    <n v="6"/>
    <x v="1"/>
  </r>
  <r>
    <n v="1537"/>
    <n v="31"/>
    <x v="2"/>
    <x v="0"/>
    <n v="1"/>
    <x v="1"/>
    <n v="561"/>
    <x v="2"/>
    <x v="1"/>
    <n v="3"/>
    <x v="0"/>
    <n v="3"/>
    <x v="3"/>
    <x v="0"/>
    <n v="1"/>
    <n v="4"/>
    <x v="2"/>
    <x v="0"/>
    <n v="33"/>
    <x v="2"/>
    <n v="3"/>
    <x v="0"/>
    <n v="1"/>
    <x v="1"/>
    <n v="3"/>
    <x v="2"/>
    <x v="0"/>
    <n v="4084"/>
    <x v="1"/>
    <n v="4156"/>
    <x v="2"/>
    <n v="1"/>
    <x v="1"/>
    <s v="Y"/>
    <x v="1"/>
    <n v="12"/>
    <x v="0"/>
    <n v="3"/>
    <x v="0"/>
    <n v="1"/>
    <x v="0"/>
    <n v="80"/>
    <n v="0"/>
    <n v="7"/>
    <x v="0"/>
    <n v="2"/>
    <x v="0"/>
    <n v="1"/>
    <x v="0"/>
    <n v="7"/>
    <x v="0"/>
    <n v="2"/>
    <x v="0"/>
    <n v="7"/>
    <x v="2"/>
    <n v="7"/>
    <x v="1"/>
  </r>
  <r>
    <n v="1539"/>
    <n v="50"/>
    <x v="1"/>
    <x v="1"/>
    <n v="0"/>
    <x v="1"/>
    <n v="333"/>
    <x v="1"/>
    <x v="1"/>
    <n v="22"/>
    <x v="2"/>
    <n v="5"/>
    <x v="4"/>
    <x v="2"/>
    <n v="1"/>
    <n v="3"/>
    <x v="1"/>
    <x v="1"/>
    <n v="88"/>
    <x v="0"/>
    <n v="1"/>
    <x v="3"/>
    <n v="4"/>
    <x v="7"/>
    <n v="4"/>
    <x v="0"/>
    <x v="0"/>
    <n v="14411"/>
    <x v="10"/>
    <n v="24450"/>
    <x v="1"/>
    <n v="1"/>
    <x v="1"/>
    <s v="Y"/>
    <x v="0"/>
    <n v="13"/>
    <x v="2"/>
    <n v="3"/>
    <x v="0"/>
    <n v="4"/>
    <x v="1"/>
    <n v="80"/>
    <n v="0"/>
    <n v="32"/>
    <x v="4"/>
    <n v="2"/>
    <x v="0"/>
    <n v="3"/>
    <x v="1"/>
    <n v="32"/>
    <x v="3"/>
    <n v="6"/>
    <x v="1"/>
    <n v="13"/>
    <x v="3"/>
    <n v="9"/>
    <x v="1"/>
  </r>
  <r>
    <n v="1541"/>
    <n v="34"/>
    <x v="2"/>
    <x v="1"/>
    <n v="0"/>
    <x v="0"/>
    <n v="1440"/>
    <x v="0"/>
    <x v="0"/>
    <n v="7"/>
    <x v="1"/>
    <n v="2"/>
    <x v="0"/>
    <x v="4"/>
    <n v="1"/>
    <n v="2"/>
    <x v="0"/>
    <x v="1"/>
    <n v="55"/>
    <x v="1"/>
    <n v="3"/>
    <x v="0"/>
    <n v="1"/>
    <x v="6"/>
    <n v="3"/>
    <x v="2"/>
    <x v="1"/>
    <n v="2308"/>
    <x v="2"/>
    <n v="4944"/>
    <x v="2"/>
    <n v="0"/>
    <x v="1"/>
    <s v="Y"/>
    <x v="0"/>
    <n v="25"/>
    <x v="1"/>
    <n v="4"/>
    <x v="1"/>
    <n v="2"/>
    <x v="4"/>
    <n v="80"/>
    <n v="1"/>
    <n v="12"/>
    <x v="1"/>
    <n v="4"/>
    <x v="1"/>
    <n v="3"/>
    <x v="1"/>
    <n v="11"/>
    <x v="4"/>
    <n v="10"/>
    <x v="1"/>
    <n v="5"/>
    <x v="1"/>
    <n v="7"/>
    <x v="1"/>
  </r>
  <r>
    <n v="1542"/>
    <n v="42"/>
    <x v="0"/>
    <x v="1"/>
    <n v="0"/>
    <x v="0"/>
    <n v="1210"/>
    <x v="0"/>
    <x v="1"/>
    <n v="2"/>
    <x v="0"/>
    <n v="3"/>
    <x v="3"/>
    <x v="2"/>
    <n v="1"/>
    <n v="3"/>
    <x v="1"/>
    <x v="1"/>
    <n v="68"/>
    <x v="1"/>
    <n v="2"/>
    <x v="1"/>
    <n v="1"/>
    <x v="2"/>
    <n v="2"/>
    <x v="1"/>
    <x v="1"/>
    <n v="4841"/>
    <x v="1"/>
    <n v="24052"/>
    <x v="1"/>
    <n v="4"/>
    <x v="2"/>
    <s v="Y"/>
    <x v="1"/>
    <n v="14"/>
    <x v="2"/>
    <n v="3"/>
    <x v="0"/>
    <n v="2"/>
    <x v="4"/>
    <n v="80"/>
    <n v="1"/>
    <n v="4"/>
    <x v="3"/>
    <n v="3"/>
    <x v="1"/>
    <n v="3"/>
    <x v="1"/>
    <n v="1"/>
    <x v="1"/>
    <n v="0"/>
    <x v="2"/>
    <n v="0"/>
    <x v="0"/>
    <n v="0"/>
    <x v="2"/>
  </r>
  <r>
    <n v="1543"/>
    <n v="37"/>
    <x v="0"/>
    <x v="1"/>
    <n v="0"/>
    <x v="0"/>
    <n v="674"/>
    <x v="2"/>
    <x v="1"/>
    <n v="13"/>
    <x v="3"/>
    <n v="3"/>
    <x v="3"/>
    <x v="2"/>
    <n v="1"/>
    <n v="1"/>
    <x v="3"/>
    <x v="1"/>
    <n v="47"/>
    <x v="2"/>
    <n v="3"/>
    <x v="0"/>
    <n v="2"/>
    <x v="1"/>
    <n v="4"/>
    <x v="0"/>
    <x v="1"/>
    <n v="4285"/>
    <x v="1"/>
    <n v="3031"/>
    <x v="2"/>
    <n v="1"/>
    <x v="1"/>
    <s v="Y"/>
    <x v="1"/>
    <n v="17"/>
    <x v="3"/>
    <n v="3"/>
    <x v="0"/>
    <n v="1"/>
    <x v="0"/>
    <n v="80"/>
    <n v="0"/>
    <n v="10"/>
    <x v="0"/>
    <n v="2"/>
    <x v="0"/>
    <n v="3"/>
    <x v="1"/>
    <n v="10"/>
    <x v="0"/>
    <n v="8"/>
    <x v="1"/>
    <n v="3"/>
    <x v="1"/>
    <n v="7"/>
    <x v="1"/>
  </r>
  <r>
    <n v="1544"/>
    <n v="29"/>
    <x v="2"/>
    <x v="1"/>
    <n v="0"/>
    <x v="0"/>
    <n v="441"/>
    <x v="1"/>
    <x v="1"/>
    <n v="8"/>
    <x v="1"/>
    <n v="1"/>
    <x v="1"/>
    <x v="1"/>
    <n v="1"/>
    <n v="3"/>
    <x v="1"/>
    <x v="0"/>
    <n v="39"/>
    <x v="2"/>
    <n v="1"/>
    <x v="3"/>
    <n v="2"/>
    <x v="4"/>
    <n v="1"/>
    <x v="3"/>
    <x v="1"/>
    <n v="9715"/>
    <x v="4"/>
    <n v="7288"/>
    <x v="2"/>
    <n v="3"/>
    <x v="3"/>
    <s v="Y"/>
    <x v="1"/>
    <n v="13"/>
    <x v="2"/>
    <n v="3"/>
    <x v="0"/>
    <n v="3"/>
    <x v="3"/>
    <n v="80"/>
    <n v="1"/>
    <n v="9"/>
    <x v="0"/>
    <n v="3"/>
    <x v="1"/>
    <n v="3"/>
    <x v="1"/>
    <n v="7"/>
    <x v="0"/>
    <n v="7"/>
    <x v="1"/>
    <n v="0"/>
    <x v="0"/>
    <n v="7"/>
    <x v="1"/>
  </r>
  <r>
    <n v="1545"/>
    <n v="33"/>
    <x v="2"/>
    <x v="1"/>
    <n v="0"/>
    <x v="0"/>
    <n v="575"/>
    <x v="2"/>
    <x v="1"/>
    <n v="25"/>
    <x v="2"/>
    <n v="3"/>
    <x v="3"/>
    <x v="0"/>
    <n v="1"/>
    <n v="4"/>
    <x v="2"/>
    <x v="1"/>
    <n v="44"/>
    <x v="2"/>
    <n v="2"/>
    <x v="1"/>
    <n v="2"/>
    <x v="3"/>
    <n v="2"/>
    <x v="1"/>
    <x v="0"/>
    <n v="4320"/>
    <x v="1"/>
    <n v="24152"/>
    <x v="1"/>
    <n v="1"/>
    <x v="1"/>
    <s v="Y"/>
    <x v="1"/>
    <n v="13"/>
    <x v="2"/>
    <n v="3"/>
    <x v="0"/>
    <n v="4"/>
    <x v="1"/>
    <n v="80"/>
    <n v="0"/>
    <n v="5"/>
    <x v="3"/>
    <n v="2"/>
    <x v="0"/>
    <n v="3"/>
    <x v="1"/>
    <n v="5"/>
    <x v="2"/>
    <n v="3"/>
    <x v="0"/>
    <n v="0"/>
    <x v="0"/>
    <n v="2"/>
    <x v="0"/>
  </r>
  <r>
    <n v="1546"/>
    <n v="45"/>
    <x v="0"/>
    <x v="1"/>
    <n v="0"/>
    <x v="0"/>
    <n v="950"/>
    <x v="2"/>
    <x v="1"/>
    <n v="28"/>
    <x v="2"/>
    <n v="3"/>
    <x v="3"/>
    <x v="4"/>
    <n v="1"/>
    <n v="4"/>
    <x v="2"/>
    <x v="1"/>
    <n v="97"/>
    <x v="0"/>
    <n v="3"/>
    <x v="0"/>
    <n v="1"/>
    <x v="1"/>
    <n v="4"/>
    <x v="0"/>
    <x v="1"/>
    <n v="2132"/>
    <x v="2"/>
    <n v="4585"/>
    <x v="2"/>
    <n v="4"/>
    <x v="2"/>
    <s v="Y"/>
    <x v="1"/>
    <n v="20"/>
    <x v="1"/>
    <n v="4"/>
    <x v="1"/>
    <n v="4"/>
    <x v="1"/>
    <n v="80"/>
    <n v="1"/>
    <n v="8"/>
    <x v="0"/>
    <n v="3"/>
    <x v="1"/>
    <n v="3"/>
    <x v="1"/>
    <n v="5"/>
    <x v="2"/>
    <n v="4"/>
    <x v="0"/>
    <n v="0"/>
    <x v="0"/>
    <n v="3"/>
    <x v="0"/>
  </r>
  <r>
    <n v="1547"/>
    <n v="42"/>
    <x v="0"/>
    <x v="1"/>
    <n v="0"/>
    <x v="1"/>
    <n v="288"/>
    <x v="1"/>
    <x v="1"/>
    <n v="2"/>
    <x v="0"/>
    <n v="3"/>
    <x v="3"/>
    <x v="0"/>
    <n v="1"/>
    <n v="4"/>
    <x v="2"/>
    <x v="1"/>
    <n v="40"/>
    <x v="2"/>
    <n v="3"/>
    <x v="0"/>
    <n v="3"/>
    <x v="4"/>
    <n v="4"/>
    <x v="0"/>
    <x v="1"/>
    <n v="10124"/>
    <x v="8"/>
    <n v="18611"/>
    <x v="0"/>
    <n v="2"/>
    <x v="3"/>
    <s v="Y"/>
    <x v="0"/>
    <n v="14"/>
    <x v="2"/>
    <n v="3"/>
    <x v="0"/>
    <n v="3"/>
    <x v="3"/>
    <n v="80"/>
    <n v="1"/>
    <n v="24"/>
    <x v="4"/>
    <n v="3"/>
    <x v="1"/>
    <n v="1"/>
    <x v="0"/>
    <n v="20"/>
    <x v="4"/>
    <n v="8"/>
    <x v="1"/>
    <n v="13"/>
    <x v="3"/>
    <n v="9"/>
    <x v="1"/>
  </r>
  <r>
    <n v="1548"/>
    <n v="40"/>
    <x v="0"/>
    <x v="1"/>
    <n v="0"/>
    <x v="0"/>
    <n v="1342"/>
    <x v="0"/>
    <x v="0"/>
    <n v="9"/>
    <x v="1"/>
    <n v="2"/>
    <x v="0"/>
    <x v="2"/>
    <n v="1"/>
    <n v="1"/>
    <x v="3"/>
    <x v="1"/>
    <n v="47"/>
    <x v="2"/>
    <n v="3"/>
    <x v="0"/>
    <n v="2"/>
    <x v="0"/>
    <n v="1"/>
    <x v="3"/>
    <x v="1"/>
    <n v="5473"/>
    <x v="1"/>
    <n v="19345"/>
    <x v="0"/>
    <n v="0"/>
    <x v="1"/>
    <s v="Y"/>
    <x v="1"/>
    <n v="12"/>
    <x v="0"/>
    <n v="3"/>
    <x v="0"/>
    <n v="4"/>
    <x v="1"/>
    <n v="80"/>
    <n v="0"/>
    <n v="9"/>
    <x v="0"/>
    <n v="5"/>
    <x v="2"/>
    <n v="4"/>
    <x v="3"/>
    <n v="8"/>
    <x v="0"/>
    <n v="4"/>
    <x v="0"/>
    <n v="7"/>
    <x v="2"/>
    <n v="1"/>
    <x v="2"/>
  </r>
  <r>
    <n v="1549"/>
    <n v="33"/>
    <x v="2"/>
    <x v="1"/>
    <n v="0"/>
    <x v="0"/>
    <n v="589"/>
    <x v="2"/>
    <x v="1"/>
    <n v="28"/>
    <x v="2"/>
    <n v="4"/>
    <x v="2"/>
    <x v="0"/>
    <n v="1"/>
    <n v="2"/>
    <x v="0"/>
    <x v="1"/>
    <n v="79"/>
    <x v="0"/>
    <n v="3"/>
    <x v="0"/>
    <n v="2"/>
    <x v="2"/>
    <n v="3"/>
    <x v="2"/>
    <x v="1"/>
    <n v="5207"/>
    <x v="1"/>
    <n v="22949"/>
    <x v="1"/>
    <n v="1"/>
    <x v="1"/>
    <s v="Y"/>
    <x v="0"/>
    <n v="12"/>
    <x v="0"/>
    <n v="3"/>
    <x v="0"/>
    <n v="2"/>
    <x v="4"/>
    <n v="80"/>
    <n v="1"/>
    <n v="15"/>
    <x v="1"/>
    <n v="3"/>
    <x v="1"/>
    <n v="3"/>
    <x v="1"/>
    <n v="15"/>
    <x v="4"/>
    <n v="14"/>
    <x v="3"/>
    <n v="5"/>
    <x v="1"/>
    <n v="7"/>
    <x v="1"/>
  </r>
  <r>
    <n v="1550"/>
    <n v="40"/>
    <x v="0"/>
    <x v="1"/>
    <n v="0"/>
    <x v="0"/>
    <n v="898"/>
    <x v="2"/>
    <x v="2"/>
    <n v="6"/>
    <x v="1"/>
    <n v="2"/>
    <x v="0"/>
    <x v="2"/>
    <n v="1"/>
    <n v="3"/>
    <x v="1"/>
    <x v="1"/>
    <n v="38"/>
    <x v="2"/>
    <n v="3"/>
    <x v="0"/>
    <n v="4"/>
    <x v="5"/>
    <n v="4"/>
    <x v="0"/>
    <x v="0"/>
    <n v="16437"/>
    <x v="12"/>
    <n v="17381"/>
    <x v="0"/>
    <n v="1"/>
    <x v="1"/>
    <s v="Y"/>
    <x v="0"/>
    <n v="21"/>
    <x v="1"/>
    <n v="4"/>
    <x v="1"/>
    <n v="4"/>
    <x v="1"/>
    <n v="80"/>
    <n v="0"/>
    <n v="21"/>
    <x v="4"/>
    <n v="2"/>
    <x v="0"/>
    <n v="3"/>
    <x v="1"/>
    <n v="21"/>
    <x v="3"/>
    <n v="7"/>
    <x v="1"/>
    <n v="7"/>
    <x v="2"/>
    <n v="7"/>
    <x v="1"/>
  </r>
  <r>
    <n v="1551"/>
    <n v="24"/>
    <x v="4"/>
    <x v="1"/>
    <n v="0"/>
    <x v="0"/>
    <n v="350"/>
    <x v="1"/>
    <x v="1"/>
    <n v="21"/>
    <x v="2"/>
    <n v="2"/>
    <x v="0"/>
    <x v="4"/>
    <n v="1"/>
    <n v="3"/>
    <x v="1"/>
    <x v="1"/>
    <n v="57"/>
    <x v="1"/>
    <n v="2"/>
    <x v="1"/>
    <n v="1"/>
    <x v="2"/>
    <n v="1"/>
    <x v="3"/>
    <x v="2"/>
    <n v="2296"/>
    <x v="2"/>
    <n v="10036"/>
    <x v="3"/>
    <n v="0"/>
    <x v="1"/>
    <s v="Y"/>
    <x v="1"/>
    <n v="14"/>
    <x v="2"/>
    <n v="3"/>
    <x v="0"/>
    <n v="2"/>
    <x v="4"/>
    <n v="80"/>
    <n v="3"/>
    <n v="2"/>
    <x v="2"/>
    <n v="3"/>
    <x v="1"/>
    <n v="3"/>
    <x v="1"/>
    <n v="1"/>
    <x v="1"/>
    <n v="1"/>
    <x v="2"/>
    <n v="0"/>
    <x v="0"/>
    <n v="0"/>
    <x v="2"/>
  </r>
  <r>
    <n v="1552"/>
    <n v="40"/>
    <x v="0"/>
    <x v="1"/>
    <n v="0"/>
    <x v="2"/>
    <n v="1142"/>
    <x v="0"/>
    <x v="1"/>
    <n v="8"/>
    <x v="1"/>
    <n v="2"/>
    <x v="0"/>
    <x v="0"/>
    <n v="1"/>
    <n v="4"/>
    <x v="2"/>
    <x v="1"/>
    <n v="72"/>
    <x v="1"/>
    <n v="3"/>
    <x v="0"/>
    <n v="2"/>
    <x v="4"/>
    <n v="4"/>
    <x v="0"/>
    <x v="2"/>
    <n v="4069"/>
    <x v="1"/>
    <n v="8841"/>
    <x v="3"/>
    <n v="3"/>
    <x v="3"/>
    <s v="Y"/>
    <x v="0"/>
    <n v="18"/>
    <x v="1"/>
    <n v="3"/>
    <x v="0"/>
    <n v="3"/>
    <x v="3"/>
    <n v="80"/>
    <n v="0"/>
    <n v="8"/>
    <x v="0"/>
    <n v="2"/>
    <x v="0"/>
    <n v="3"/>
    <x v="1"/>
    <n v="2"/>
    <x v="2"/>
    <n v="2"/>
    <x v="0"/>
    <n v="2"/>
    <x v="1"/>
    <n v="2"/>
    <x v="0"/>
  </r>
  <r>
    <n v="1553"/>
    <n v="45"/>
    <x v="0"/>
    <x v="1"/>
    <n v="0"/>
    <x v="0"/>
    <n v="538"/>
    <x v="2"/>
    <x v="1"/>
    <n v="1"/>
    <x v="0"/>
    <n v="4"/>
    <x v="2"/>
    <x v="4"/>
    <n v="1"/>
    <n v="1"/>
    <x v="3"/>
    <x v="1"/>
    <n v="66"/>
    <x v="1"/>
    <n v="3"/>
    <x v="0"/>
    <n v="3"/>
    <x v="4"/>
    <n v="2"/>
    <x v="1"/>
    <x v="2"/>
    <n v="7441"/>
    <x v="11"/>
    <n v="20933"/>
    <x v="0"/>
    <n v="1"/>
    <x v="1"/>
    <s v="Y"/>
    <x v="1"/>
    <n v="12"/>
    <x v="0"/>
    <n v="3"/>
    <x v="0"/>
    <n v="1"/>
    <x v="0"/>
    <n v="80"/>
    <n v="3"/>
    <n v="10"/>
    <x v="0"/>
    <n v="4"/>
    <x v="1"/>
    <n v="3"/>
    <x v="1"/>
    <n v="10"/>
    <x v="0"/>
    <n v="8"/>
    <x v="1"/>
    <n v="7"/>
    <x v="2"/>
    <n v="7"/>
    <x v="1"/>
  </r>
  <r>
    <n v="1554"/>
    <n v="35"/>
    <x v="2"/>
    <x v="1"/>
    <n v="0"/>
    <x v="0"/>
    <n v="1402"/>
    <x v="0"/>
    <x v="0"/>
    <n v="28"/>
    <x v="2"/>
    <n v="4"/>
    <x v="2"/>
    <x v="0"/>
    <n v="1"/>
    <n v="2"/>
    <x v="0"/>
    <x v="0"/>
    <n v="98"/>
    <x v="0"/>
    <n v="2"/>
    <x v="1"/>
    <n v="1"/>
    <x v="6"/>
    <n v="3"/>
    <x v="2"/>
    <x v="1"/>
    <n v="2430"/>
    <x v="2"/>
    <n v="26204"/>
    <x v="1"/>
    <n v="0"/>
    <x v="1"/>
    <s v="Y"/>
    <x v="1"/>
    <n v="23"/>
    <x v="1"/>
    <n v="4"/>
    <x v="1"/>
    <n v="1"/>
    <x v="0"/>
    <n v="80"/>
    <n v="2"/>
    <n v="6"/>
    <x v="0"/>
    <n v="5"/>
    <x v="2"/>
    <n v="3"/>
    <x v="1"/>
    <n v="5"/>
    <x v="2"/>
    <n v="3"/>
    <x v="0"/>
    <n v="4"/>
    <x v="1"/>
    <n v="2"/>
    <x v="0"/>
  </r>
  <r>
    <n v="1555"/>
    <n v="32"/>
    <x v="2"/>
    <x v="1"/>
    <n v="0"/>
    <x v="0"/>
    <n v="824"/>
    <x v="2"/>
    <x v="1"/>
    <n v="5"/>
    <x v="0"/>
    <n v="2"/>
    <x v="0"/>
    <x v="0"/>
    <n v="1"/>
    <n v="4"/>
    <x v="2"/>
    <x v="0"/>
    <n v="67"/>
    <x v="1"/>
    <n v="2"/>
    <x v="1"/>
    <n v="2"/>
    <x v="1"/>
    <n v="2"/>
    <x v="1"/>
    <x v="1"/>
    <n v="5878"/>
    <x v="0"/>
    <n v="15624"/>
    <x v="3"/>
    <n v="3"/>
    <x v="3"/>
    <s v="Y"/>
    <x v="1"/>
    <n v="12"/>
    <x v="0"/>
    <n v="3"/>
    <x v="0"/>
    <n v="1"/>
    <x v="0"/>
    <n v="80"/>
    <n v="1"/>
    <n v="12"/>
    <x v="1"/>
    <n v="2"/>
    <x v="0"/>
    <n v="3"/>
    <x v="1"/>
    <n v="7"/>
    <x v="0"/>
    <n v="1"/>
    <x v="2"/>
    <n v="2"/>
    <x v="1"/>
    <n v="5"/>
    <x v="0"/>
  </r>
  <r>
    <n v="1556"/>
    <n v="36"/>
    <x v="0"/>
    <x v="1"/>
    <n v="0"/>
    <x v="0"/>
    <n v="1157"/>
    <x v="0"/>
    <x v="0"/>
    <n v="2"/>
    <x v="0"/>
    <n v="4"/>
    <x v="2"/>
    <x v="0"/>
    <n v="1"/>
    <n v="3"/>
    <x v="1"/>
    <x v="1"/>
    <n v="70"/>
    <x v="1"/>
    <n v="3"/>
    <x v="0"/>
    <n v="1"/>
    <x v="6"/>
    <n v="4"/>
    <x v="0"/>
    <x v="0"/>
    <n v="2644"/>
    <x v="3"/>
    <n v="17001"/>
    <x v="0"/>
    <n v="3"/>
    <x v="3"/>
    <s v="Y"/>
    <x v="0"/>
    <n v="21"/>
    <x v="1"/>
    <n v="4"/>
    <x v="1"/>
    <n v="4"/>
    <x v="1"/>
    <n v="80"/>
    <n v="0"/>
    <n v="7"/>
    <x v="0"/>
    <n v="3"/>
    <x v="1"/>
    <n v="2"/>
    <x v="2"/>
    <n v="3"/>
    <x v="2"/>
    <n v="2"/>
    <x v="0"/>
    <n v="1"/>
    <x v="0"/>
    <n v="2"/>
    <x v="0"/>
  </r>
  <r>
    <n v="1557"/>
    <n v="48"/>
    <x v="1"/>
    <x v="1"/>
    <n v="0"/>
    <x v="0"/>
    <n v="492"/>
    <x v="1"/>
    <x v="0"/>
    <n v="16"/>
    <x v="3"/>
    <n v="4"/>
    <x v="2"/>
    <x v="0"/>
    <n v="1"/>
    <n v="3"/>
    <x v="1"/>
    <x v="0"/>
    <n v="96"/>
    <x v="0"/>
    <n v="3"/>
    <x v="0"/>
    <n v="2"/>
    <x v="0"/>
    <n v="3"/>
    <x v="2"/>
    <x v="2"/>
    <n v="6439"/>
    <x v="0"/>
    <n v="13693"/>
    <x v="3"/>
    <n v="8"/>
    <x v="0"/>
    <s v="Y"/>
    <x v="1"/>
    <n v="14"/>
    <x v="2"/>
    <n v="3"/>
    <x v="0"/>
    <n v="3"/>
    <x v="3"/>
    <n v="80"/>
    <n v="1"/>
    <n v="18"/>
    <x v="1"/>
    <n v="2"/>
    <x v="0"/>
    <n v="3"/>
    <x v="1"/>
    <n v="8"/>
    <x v="0"/>
    <n v="7"/>
    <x v="1"/>
    <n v="7"/>
    <x v="2"/>
    <n v="7"/>
    <x v="1"/>
  </r>
  <r>
    <n v="1558"/>
    <n v="29"/>
    <x v="2"/>
    <x v="1"/>
    <n v="0"/>
    <x v="0"/>
    <n v="598"/>
    <x v="2"/>
    <x v="1"/>
    <n v="9"/>
    <x v="1"/>
    <n v="3"/>
    <x v="3"/>
    <x v="0"/>
    <n v="1"/>
    <n v="3"/>
    <x v="1"/>
    <x v="1"/>
    <n v="91"/>
    <x v="0"/>
    <n v="4"/>
    <x v="2"/>
    <n v="1"/>
    <x v="1"/>
    <n v="3"/>
    <x v="2"/>
    <x v="1"/>
    <n v="2451"/>
    <x v="2"/>
    <n v="22376"/>
    <x v="1"/>
    <n v="6"/>
    <x v="2"/>
    <s v="Y"/>
    <x v="1"/>
    <n v="18"/>
    <x v="1"/>
    <n v="3"/>
    <x v="0"/>
    <n v="1"/>
    <x v="0"/>
    <n v="80"/>
    <n v="2"/>
    <n v="5"/>
    <x v="3"/>
    <n v="2"/>
    <x v="0"/>
    <n v="2"/>
    <x v="2"/>
    <n v="1"/>
    <x v="1"/>
    <n v="0"/>
    <x v="2"/>
    <n v="0"/>
    <x v="0"/>
    <n v="0"/>
    <x v="2"/>
  </r>
  <r>
    <n v="1560"/>
    <n v="33"/>
    <x v="2"/>
    <x v="1"/>
    <n v="0"/>
    <x v="0"/>
    <n v="1242"/>
    <x v="0"/>
    <x v="0"/>
    <n v="8"/>
    <x v="1"/>
    <n v="4"/>
    <x v="2"/>
    <x v="0"/>
    <n v="1"/>
    <n v="1"/>
    <x v="3"/>
    <x v="1"/>
    <n v="46"/>
    <x v="2"/>
    <n v="3"/>
    <x v="0"/>
    <n v="2"/>
    <x v="0"/>
    <n v="1"/>
    <x v="3"/>
    <x v="1"/>
    <n v="6392"/>
    <x v="0"/>
    <n v="10589"/>
    <x v="3"/>
    <n v="2"/>
    <x v="3"/>
    <s v="Y"/>
    <x v="1"/>
    <n v="13"/>
    <x v="2"/>
    <n v="3"/>
    <x v="0"/>
    <n v="4"/>
    <x v="1"/>
    <n v="80"/>
    <n v="1"/>
    <n v="8"/>
    <x v="0"/>
    <n v="6"/>
    <x v="2"/>
    <n v="1"/>
    <x v="0"/>
    <n v="2"/>
    <x v="2"/>
    <n v="2"/>
    <x v="0"/>
    <n v="2"/>
    <x v="1"/>
    <n v="2"/>
    <x v="0"/>
  </r>
  <r>
    <n v="1562"/>
    <n v="30"/>
    <x v="2"/>
    <x v="0"/>
    <n v="1"/>
    <x v="0"/>
    <n v="740"/>
    <x v="2"/>
    <x v="0"/>
    <n v="1"/>
    <x v="0"/>
    <n v="3"/>
    <x v="3"/>
    <x v="0"/>
    <n v="1"/>
    <n v="2"/>
    <x v="0"/>
    <x v="1"/>
    <n v="64"/>
    <x v="1"/>
    <n v="2"/>
    <x v="1"/>
    <n v="2"/>
    <x v="0"/>
    <n v="1"/>
    <x v="3"/>
    <x v="1"/>
    <n v="9714"/>
    <x v="4"/>
    <n v="5323"/>
    <x v="2"/>
    <n v="1"/>
    <x v="1"/>
    <s v="Y"/>
    <x v="1"/>
    <n v="11"/>
    <x v="0"/>
    <n v="3"/>
    <x v="0"/>
    <n v="4"/>
    <x v="1"/>
    <n v="80"/>
    <n v="1"/>
    <n v="10"/>
    <x v="0"/>
    <n v="4"/>
    <x v="1"/>
    <n v="3"/>
    <x v="1"/>
    <n v="10"/>
    <x v="0"/>
    <n v="8"/>
    <x v="1"/>
    <n v="6"/>
    <x v="2"/>
    <n v="7"/>
    <x v="1"/>
  </r>
  <r>
    <n v="1563"/>
    <n v="38"/>
    <x v="0"/>
    <x v="1"/>
    <n v="0"/>
    <x v="1"/>
    <n v="888"/>
    <x v="2"/>
    <x v="2"/>
    <n v="10"/>
    <x v="1"/>
    <n v="4"/>
    <x v="2"/>
    <x v="5"/>
    <n v="1"/>
    <n v="3"/>
    <x v="1"/>
    <x v="1"/>
    <n v="71"/>
    <x v="1"/>
    <n v="3"/>
    <x v="0"/>
    <n v="2"/>
    <x v="8"/>
    <n v="3"/>
    <x v="2"/>
    <x v="1"/>
    <n v="6077"/>
    <x v="0"/>
    <n v="14814"/>
    <x v="3"/>
    <n v="3"/>
    <x v="3"/>
    <s v="Y"/>
    <x v="1"/>
    <n v="11"/>
    <x v="0"/>
    <n v="3"/>
    <x v="0"/>
    <n v="3"/>
    <x v="3"/>
    <n v="80"/>
    <n v="0"/>
    <n v="10"/>
    <x v="0"/>
    <n v="2"/>
    <x v="0"/>
    <n v="3"/>
    <x v="1"/>
    <n v="6"/>
    <x v="0"/>
    <n v="3"/>
    <x v="0"/>
    <n v="1"/>
    <x v="0"/>
    <n v="2"/>
    <x v="0"/>
  </r>
  <r>
    <n v="1564"/>
    <n v="35"/>
    <x v="2"/>
    <x v="1"/>
    <n v="0"/>
    <x v="0"/>
    <n v="992"/>
    <x v="2"/>
    <x v="1"/>
    <n v="1"/>
    <x v="0"/>
    <n v="3"/>
    <x v="3"/>
    <x v="2"/>
    <n v="1"/>
    <n v="4"/>
    <x v="2"/>
    <x v="1"/>
    <n v="68"/>
    <x v="1"/>
    <n v="2"/>
    <x v="1"/>
    <n v="1"/>
    <x v="2"/>
    <n v="1"/>
    <x v="3"/>
    <x v="0"/>
    <n v="2450"/>
    <x v="2"/>
    <n v="21731"/>
    <x v="0"/>
    <n v="1"/>
    <x v="1"/>
    <s v="Y"/>
    <x v="1"/>
    <n v="19"/>
    <x v="1"/>
    <n v="3"/>
    <x v="0"/>
    <n v="2"/>
    <x v="4"/>
    <n v="80"/>
    <n v="0"/>
    <n v="3"/>
    <x v="3"/>
    <n v="3"/>
    <x v="1"/>
    <n v="3"/>
    <x v="1"/>
    <n v="3"/>
    <x v="2"/>
    <n v="0"/>
    <x v="2"/>
    <n v="1"/>
    <x v="0"/>
    <n v="2"/>
    <x v="0"/>
  </r>
  <r>
    <n v="1568"/>
    <n v="30"/>
    <x v="2"/>
    <x v="1"/>
    <n v="0"/>
    <x v="0"/>
    <n v="1288"/>
    <x v="0"/>
    <x v="0"/>
    <n v="29"/>
    <x v="2"/>
    <n v="4"/>
    <x v="2"/>
    <x v="4"/>
    <n v="1"/>
    <n v="3"/>
    <x v="1"/>
    <x v="1"/>
    <n v="33"/>
    <x v="2"/>
    <n v="3"/>
    <x v="0"/>
    <n v="3"/>
    <x v="0"/>
    <n v="2"/>
    <x v="1"/>
    <x v="1"/>
    <n v="9250"/>
    <x v="4"/>
    <n v="17799"/>
    <x v="0"/>
    <n v="3"/>
    <x v="3"/>
    <s v="Y"/>
    <x v="1"/>
    <n v="12"/>
    <x v="0"/>
    <n v="3"/>
    <x v="0"/>
    <n v="2"/>
    <x v="4"/>
    <n v="80"/>
    <n v="1"/>
    <n v="9"/>
    <x v="0"/>
    <n v="3"/>
    <x v="1"/>
    <n v="3"/>
    <x v="1"/>
    <n v="4"/>
    <x v="2"/>
    <n v="2"/>
    <x v="0"/>
    <n v="1"/>
    <x v="0"/>
    <n v="3"/>
    <x v="0"/>
  </r>
  <r>
    <n v="1569"/>
    <n v="35"/>
    <x v="2"/>
    <x v="0"/>
    <n v="1"/>
    <x v="0"/>
    <n v="104"/>
    <x v="1"/>
    <x v="1"/>
    <n v="2"/>
    <x v="0"/>
    <n v="3"/>
    <x v="3"/>
    <x v="0"/>
    <n v="1"/>
    <n v="1"/>
    <x v="3"/>
    <x v="0"/>
    <n v="69"/>
    <x v="1"/>
    <n v="3"/>
    <x v="0"/>
    <n v="1"/>
    <x v="2"/>
    <n v="1"/>
    <x v="3"/>
    <x v="2"/>
    <n v="2074"/>
    <x v="2"/>
    <n v="26619"/>
    <x v="1"/>
    <n v="1"/>
    <x v="1"/>
    <s v="Y"/>
    <x v="0"/>
    <n v="12"/>
    <x v="0"/>
    <n v="3"/>
    <x v="0"/>
    <n v="4"/>
    <x v="1"/>
    <n v="80"/>
    <n v="1"/>
    <n v="1"/>
    <x v="2"/>
    <n v="2"/>
    <x v="0"/>
    <n v="3"/>
    <x v="1"/>
    <n v="1"/>
    <x v="1"/>
    <n v="0"/>
    <x v="2"/>
    <n v="0"/>
    <x v="0"/>
    <n v="0"/>
    <x v="2"/>
  </r>
  <r>
    <n v="1572"/>
    <n v="53"/>
    <x v="1"/>
    <x v="0"/>
    <n v="1"/>
    <x v="0"/>
    <n v="607"/>
    <x v="2"/>
    <x v="1"/>
    <n v="2"/>
    <x v="0"/>
    <n v="5"/>
    <x v="4"/>
    <x v="4"/>
    <n v="1"/>
    <n v="3"/>
    <x v="1"/>
    <x v="0"/>
    <n v="78"/>
    <x v="0"/>
    <n v="2"/>
    <x v="1"/>
    <n v="3"/>
    <x v="3"/>
    <n v="4"/>
    <x v="0"/>
    <x v="1"/>
    <n v="10169"/>
    <x v="8"/>
    <n v="14618"/>
    <x v="3"/>
    <n v="0"/>
    <x v="1"/>
    <s v="Y"/>
    <x v="1"/>
    <n v="16"/>
    <x v="3"/>
    <n v="3"/>
    <x v="0"/>
    <n v="2"/>
    <x v="4"/>
    <n v="80"/>
    <n v="1"/>
    <n v="34"/>
    <x v="4"/>
    <n v="4"/>
    <x v="1"/>
    <n v="3"/>
    <x v="1"/>
    <n v="33"/>
    <x v="3"/>
    <n v="7"/>
    <x v="1"/>
    <n v="1"/>
    <x v="0"/>
    <n v="9"/>
    <x v="1"/>
  </r>
  <r>
    <n v="1573"/>
    <n v="38"/>
    <x v="0"/>
    <x v="0"/>
    <n v="1"/>
    <x v="0"/>
    <n v="903"/>
    <x v="2"/>
    <x v="1"/>
    <n v="2"/>
    <x v="0"/>
    <n v="3"/>
    <x v="3"/>
    <x v="2"/>
    <n v="1"/>
    <n v="3"/>
    <x v="1"/>
    <x v="1"/>
    <n v="81"/>
    <x v="0"/>
    <n v="3"/>
    <x v="0"/>
    <n v="2"/>
    <x v="3"/>
    <n v="2"/>
    <x v="1"/>
    <x v="1"/>
    <n v="4855"/>
    <x v="1"/>
    <n v="7653"/>
    <x v="2"/>
    <n v="4"/>
    <x v="2"/>
    <s v="Y"/>
    <x v="1"/>
    <n v="11"/>
    <x v="0"/>
    <n v="3"/>
    <x v="0"/>
    <n v="1"/>
    <x v="0"/>
    <n v="80"/>
    <n v="2"/>
    <n v="7"/>
    <x v="0"/>
    <n v="2"/>
    <x v="0"/>
    <n v="3"/>
    <x v="1"/>
    <n v="5"/>
    <x v="2"/>
    <n v="2"/>
    <x v="0"/>
    <n v="1"/>
    <x v="0"/>
    <n v="4"/>
    <x v="0"/>
  </r>
  <r>
    <n v="1574"/>
    <n v="32"/>
    <x v="2"/>
    <x v="1"/>
    <n v="0"/>
    <x v="2"/>
    <n v="1200"/>
    <x v="0"/>
    <x v="1"/>
    <n v="1"/>
    <x v="0"/>
    <n v="4"/>
    <x v="2"/>
    <x v="4"/>
    <n v="1"/>
    <n v="4"/>
    <x v="2"/>
    <x v="1"/>
    <n v="62"/>
    <x v="1"/>
    <n v="3"/>
    <x v="0"/>
    <n v="2"/>
    <x v="1"/>
    <n v="1"/>
    <x v="3"/>
    <x v="1"/>
    <n v="4087"/>
    <x v="1"/>
    <n v="25174"/>
    <x v="1"/>
    <n v="4"/>
    <x v="2"/>
    <s v="Y"/>
    <x v="1"/>
    <n v="14"/>
    <x v="2"/>
    <n v="3"/>
    <x v="0"/>
    <n v="2"/>
    <x v="4"/>
    <n v="80"/>
    <n v="1"/>
    <n v="9"/>
    <x v="0"/>
    <n v="3"/>
    <x v="1"/>
    <n v="2"/>
    <x v="2"/>
    <n v="6"/>
    <x v="0"/>
    <n v="5"/>
    <x v="0"/>
    <n v="1"/>
    <x v="0"/>
    <n v="2"/>
    <x v="0"/>
  </r>
  <r>
    <n v="1576"/>
    <n v="48"/>
    <x v="1"/>
    <x v="1"/>
    <n v="0"/>
    <x v="0"/>
    <n v="1108"/>
    <x v="0"/>
    <x v="1"/>
    <n v="15"/>
    <x v="3"/>
    <n v="4"/>
    <x v="2"/>
    <x v="1"/>
    <n v="1"/>
    <n v="3"/>
    <x v="1"/>
    <x v="0"/>
    <n v="65"/>
    <x v="1"/>
    <n v="3"/>
    <x v="0"/>
    <n v="1"/>
    <x v="1"/>
    <n v="1"/>
    <x v="3"/>
    <x v="1"/>
    <n v="2367"/>
    <x v="2"/>
    <n v="16530"/>
    <x v="0"/>
    <n v="8"/>
    <x v="0"/>
    <s v="Y"/>
    <x v="1"/>
    <n v="12"/>
    <x v="0"/>
    <n v="3"/>
    <x v="0"/>
    <n v="4"/>
    <x v="1"/>
    <n v="80"/>
    <n v="1"/>
    <n v="10"/>
    <x v="0"/>
    <n v="3"/>
    <x v="1"/>
    <n v="2"/>
    <x v="2"/>
    <n v="8"/>
    <x v="0"/>
    <n v="2"/>
    <x v="0"/>
    <n v="7"/>
    <x v="2"/>
    <n v="6"/>
    <x v="1"/>
  </r>
  <r>
    <n v="1577"/>
    <n v="34"/>
    <x v="2"/>
    <x v="1"/>
    <n v="0"/>
    <x v="0"/>
    <n v="479"/>
    <x v="1"/>
    <x v="1"/>
    <n v="7"/>
    <x v="1"/>
    <n v="4"/>
    <x v="2"/>
    <x v="2"/>
    <n v="1"/>
    <n v="1"/>
    <x v="3"/>
    <x v="1"/>
    <n v="35"/>
    <x v="2"/>
    <n v="3"/>
    <x v="0"/>
    <n v="1"/>
    <x v="1"/>
    <n v="4"/>
    <x v="0"/>
    <x v="0"/>
    <n v="2972"/>
    <x v="3"/>
    <n v="22061"/>
    <x v="1"/>
    <n v="1"/>
    <x v="1"/>
    <s v="Y"/>
    <x v="1"/>
    <n v="13"/>
    <x v="2"/>
    <n v="3"/>
    <x v="0"/>
    <n v="3"/>
    <x v="3"/>
    <n v="80"/>
    <n v="0"/>
    <n v="1"/>
    <x v="2"/>
    <n v="4"/>
    <x v="1"/>
    <n v="1"/>
    <x v="0"/>
    <n v="1"/>
    <x v="1"/>
    <n v="0"/>
    <x v="2"/>
    <n v="0"/>
    <x v="0"/>
    <n v="0"/>
    <x v="2"/>
  </r>
  <r>
    <n v="1578"/>
    <n v="55"/>
    <x v="1"/>
    <x v="1"/>
    <n v="0"/>
    <x v="0"/>
    <n v="685"/>
    <x v="2"/>
    <x v="0"/>
    <n v="26"/>
    <x v="2"/>
    <n v="5"/>
    <x v="4"/>
    <x v="3"/>
    <n v="1"/>
    <n v="3"/>
    <x v="1"/>
    <x v="1"/>
    <n v="60"/>
    <x v="1"/>
    <n v="2"/>
    <x v="1"/>
    <n v="5"/>
    <x v="5"/>
    <n v="4"/>
    <x v="0"/>
    <x v="1"/>
    <n v="19586"/>
    <x v="7"/>
    <n v="23037"/>
    <x v="1"/>
    <n v="1"/>
    <x v="1"/>
    <s v="Y"/>
    <x v="1"/>
    <n v="21"/>
    <x v="1"/>
    <n v="4"/>
    <x v="1"/>
    <n v="3"/>
    <x v="3"/>
    <n v="80"/>
    <n v="1"/>
    <n v="36"/>
    <x v="4"/>
    <n v="3"/>
    <x v="1"/>
    <n v="3"/>
    <x v="1"/>
    <n v="36"/>
    <x v="3"/>
    <n v="6"/>
    <x v="1"/>
    <n v="2"/>
    <x v="1"/>
    <n v="13"/>
    <x v="3"/>
  </r>
  <r>
    <n v="1580"/>
    <n v="34"/>
    <x v="2"/>
    <x v="1"/>
    <n v="0"/>
    <x v="0"/>
    <n v="1351"/>
    <x v="0"/>
    <x v="1"/>
    <n v="1"/>
    <x v="0"/>
    <n v="4"/>
    <x v="2"/>
    <x v="0"/>
    <n v="1"/>
    <n v="2"/>
    <x v="0"/>
    <x v="1"/>
    <n v="45"/>
    <x v="2"/>
    <n v="3"/>
    <x v="0"/>
    <n v="2"/>
    <x v="1"/>
    <n v="4"/>
    <x v="0"/>
    <x v="1"/>
    <n v="5484"/>
    <x v="1"/>
    <n v="13008"/>
    <x v="3"/>
    <n v="9"/>
    <x v="0"/>
    <s v="Y"/>
    <x v="1"/>
    <n v="17"/>
    <x v="3"/>
    <n v="3"/>
    <x v="0"/>
    <n v="2"/>
    <x v="4"/>
    <n v="80"/>
    <n v="1"/>
    <n v="9"/>
    <x v="0"/>
    <n v="3"/>
    <x v="1"/>
    <n v="2"/>
    <x v="2"/>
    <n v="2"/>
    <x v="2"/>
    <n v="2"/>
    <x v="0"/>
    <n v="2"/>
    <x v="1"/>
    <n v="1"/>
    <x v="2"/>
  </r>
  <r>
    <n v="1581"/>
    <n v="26"/>
    <x v="2"/>
    <x v="1"/>
    <n v="0"/>
    <x v="0"/>
    <n v="474"/>
    <x v="1"/>
    <x v="1"/>
    <n v="3"/>
    <x v="0"/>
    <n v="3"/>
    <x v="3"/>
    <x v="0"/>
    <n v="1"/>
    <n v="1"/>
    <x v="3"/>
    <x v="0"/>
    <n v="89"/>
    <x v="0"/>
    <n v="3"/>
    <x v="0"/>
    <n v="1"/>
    <x v="1"/>
    <n v="4"/>
    <x v="0"/>
    <x v="1"/>
    <n v="2061"/>
    <x v="2"/>
    <n v="11133"/>
    <x v="3"/>
    <n v="1"/>
    <x v="1"/>
    <s v="Y"/>
    <x v="1"/>
    <n v="21"/>
    <x v="1"/>
    <n v="4"/>
    <x v="1"/>
    <n v="1"/>
    <x v="0"/>
    <n v="80"/>
    <n v="0"/>
    <n v="1"/>
    <x v="2"/>
    <n v="5"/>
    <x v="2"/>
    <n v="3"/>
    <x v="1"/>
    <n v="1"/>
    <x v="1"/>
    <n v="0"/>
    <x v="2"/>
    <n v="0"/>
    <x v="0"/>
    <n v="0"/>
    <x v="2"/>
  </r>
  <r>
    <n v="1582"/>
    <n v="38"/>
    <x v="0"/>
    <x v="1"/>
    <n v="0"/>
    <x v="0"/>
    <n v="1245"/>
    <x v="0"/>
    <x v="0"/>
    <n v="14"/>
    <x v="3"/>
    <n v="3"/>
    <x v="3"/>
    <x v="0"/>
    <n v="1"/>
    <n v="3"/>
    <x v="1"/>
    <x v="1"/>
    <n v="80"/>
    <x v="0"/>
    <n v="3"/>
    <x v="0"/>
    <n v="2"/>
    <x v="0"/>
    <n v="2"/>
    <x v="1"/>
    <x v="1"/>
    <n v="9924"/>
    <x v="4"/>
    <n v="12355"/>
    <x v="3"/>
    <n v="0"/>
    <x v="1"/>
    <s v="Y"/>
    <x v="1"/>
    <n v="11"/>
    <x v="0"/>
    <n v="3"/>
    <x v="0"/>
    <n v="4"/>
    <x v="1"/>
    <n v="80"/>
    <n v="1"/>
    <n v="10"/>
    <x v="0"/>
    <n v="3"/>
    <x v="1"/>
    <n v="3"/>
    <x v="1"/>
    <n v="9"/>
    <x v="0"/>
    <n v="8"/>
    <x v="1"/>
    <n v="7"/>
    <x v="2"/>
    <n v="7"/>
    <x v="1"/>
  </r>
  <r>
    <n v="1583"/>
    <n v="38"/>
    <x v="0"/>
    <x v="1"/>
    <n v="0"/>
    <x v="0"/>
    <n v="437"/>
    <x v="1"/>
    <x v="0"/>
    <n v="16"/>
    <x v="3"/>
    <n v="3"/>
    <x v="3"/>
    <x v="0"/>
    <n v="1"/>
    <n v="2"/>
    <x v="0"/>
    <x v="0"/>
    <n v="90"/>
    <x v="0"/>
    <n v="3"/>
    <x v="0"/>
    <n v="2"/>
    <x v="0"/>
    <n v="2"/>
    <x v="1"/>
    <x v="0"/>
    <n v="4198"/>
    <x v="1"/>
    <n v="16379"/>
    <x v="0"/>
    <n v="2"/>
    <x v="3"/>
    <s v="Y"/>
    <x v="1"/>
    <n v="12"/>
    <x v="0"/>
    <n v="3"/>
    <x v="0"/>
    <n v="2"/>
    <x v="4"/>
    <n v="80"/>
    <n v="0"/>
    <n v="8"/>
    <x v="0"/>
    <n v="5"/>
    <x v="2"/>
    <n v="4"/>
    <x v="3"/>
    <n v="3"/>
    <x v="2"/>
    <n v="2"/>
    <x v="0"/>
    <n v="1"/>
    <x v="0"/>
    <n v="2"/>
    <x v="0"/>
  </r>
  <r>
    <n v="1585"/>
    <n v="36"/>
    <x v="0"/>
    <x v="1"/>
    <n v="0"/>
    <x v="0"/>
    <n v="884"/>
    <x v="2"/>
    <x v="0"/>
    <n v="1"/>
    <x v="0"/>
    <n v="4"/>
    <x v="2"/>
    <x v="0"/>
    <n v="1"/>
    <n v="2"/>
    <x v="0"/>
    <x v="0"/>
    <n v="73"/>
    <x v="1"/>
    <n v="3"/>
    <x v="0"/>
    <n v="2"/>
    <x v="0"/>
    <n v="3"/>
    <x v="2"/>
    <x v="0"/>
    <n v="6815"/>
    <x v="0"/>
    <n v="21447"/>
    <x v="0"/>
    <n v="6"/>
    <x v="2"/>
    <s v="Y"/>
    <x v="1"/>
    <n v="13"/>
    <x v="2"/>
    <n v="3"/>
    <x v="0"/>
    <n v="1"/>
    <x v="0"/>
    <n v="80"/>
    <n v="0"/>
    <n v="15"/>
    <x v="1"/>
    <n v="5"/>
    <x v="2"/>
    <n v="3"/>
    <x v="1"/>
    <n v="1"/>
    <x v="1"/>
    <n v="0"/>
    <x v="2"/>
    <n v="0"/>
    <x v="0"/>
    <n v="0"/>
    <x v="2"/>
  </r>
  <r>
    <n v="1586"/>
    <n v="29"/>
    <x v="2"/>
    <x v="1"/>
    <n v="0"/>
    <x v="0"/>
    <n v="1370"/>
    <x v="0"/>
    <x v="1"/>
    <n v="3"/>
    <x v="0"/>
    <n v="1"/>
    <x v="1"/>
    <x v="2"/>
    <n v="1"/>
    <n v="2"/>
    <x v="0"/>
    <x v="1"/>
    <n v="87"/>
    <x v="0"/>
    <n v="3"/>
    <x v="0"/>
    <n v="1"/>
    <x v="2"/>
    <n v="1"/>
    <x v="3"/>
    <x v="0"/>
    <n v="4723"/>
    <x v="1"/>
    <n v="16213"/>
    <x v="0"/>
    <n v="1"/>
    <x v="1"/>
    <s v="Y"/>
    <x v="0"/>
    <n v="18"/>
    <x v="1"/>
    <n v="3"/>
    <x v="0"/>
    <n v="4"/>
    <x v="1"/>
    <n v="80"/>
    <n v="0"/>
    <n v="10"/>
    <x v="0"/>
    <n v="3"/>
    <x v="1"/>
    <n v="3"/>
    <x v="1"/>
    <n v="10"/>
    <x v="0"/>
    <n v="9"/>
    <x v="1"/>
    <n v="1"/>
    <x v="0"/>
    <n v="5"/>
    <x v="0"/>
  </r>
  <r>
    <n v="1587"/>
    <n v="35"/>
    <x v="2"/>
    <x v="1"/>
    <n v="0"/>
    <x v="0"/>
    <n v="670"/>
    <x v="2"/>
    <x v="1"/>
    <n v="10"/>
    <x v="1"/>
    <n v="4"/>
    <x v="2"/>
    <x v="2"/>
    <n v="1"/>
    <n v="1"/>
    <x v="3"/>
    <x v="0"/>
    <n v="51"/>
    <x v="1"/>
    <n v="3"/>
    <x v="0"/>
    <n v="2"/>
    <x v="4"/>
    <n v="3"/>
    <x v="2"/>
    <x v="0"/>
    <n v="6142"/>
    <x v="0"/>
    <n v="4223"/>
    <x v="2"/>
    <n v="3"/>
    <x v="3"/>
    <s v="Y"/>
    <x v="0"/>
    <n v="16"/>
    <x v="3"/>
    <n v="3"/>
    <x v="0"/>
    <n v="3"/>
    <x v="3"/>
    <n v="80"/>
    <n v="0"/>
    <n v="10"/>
    <x v="0"/>
    <n v="4"/>
    <x v="1"/>
    <n v="3"/>
    <x v="1"/>
    <n v="5"/>
    <x v="2"/>
    <n v="2"/>
    <x v="0"/>
    <n v="0"/>
    <x v="0"/>
    <n v="4"/>
    <x v="0"/>
  </r>
  <r>
    <n v="1588"/>
    <n v="39"/>
    <x v="0"/>
    <x v="1"/>
    <n v="0"/>
    <x v="0"/>
    <n v="1462"/>
    <x v="0"/>
    <x v="0"/>
    <n v="6"/>
    <x v="1"/>
    <n v="3"/>
    <x v="3"/>
    <x v="2"/>
    <n v="1"/>
    <n v="4"/>
    <x v="2"/>
    <x v="1"/>
    <n v="38"/>
    <x v="2"/>
    <n v="4"/>
    <x v="2"/>
    <n v="3"/>
    <x v="0"/>
    <n v="3"/>
    <x v="2"/>
    <x v="1"/>
    <n v="8237"/>
    <x v="11"/>
    <n v="4658"/>
    <x v="2"/>
    <n v="2"/>
    <x v="3"/>
    <s v="Y"/>
    <x v="1"/>
    <n v="11"/>
    <x v="0"/>
    <n v="3"/>
    <x v="0"/>
    <n v="1"/>
    <x v="0"/>
    <n v="80"/>
    <n v="1"/>
    <n v="11"/>
    <x v="1"/>
    <n v="3"/>
    <x v="1"/>
    <n v="3"/>
    <x v="1"/>
    <n v="7"/>
    <x v="0"/>
    <n v="6"/>
    <x v="1"/>
    <n v="7"/>
    <x v="2"/>
    <n v="6"/>
    <x v="1"/>
  </r>
  <r>
    <n v="1590"/>
    <n v="29"/>
    <x v="2"/>
    <x v="1"/>
    <n v="0"/>
    <x v="1"/>
    <n v="995"/>
    <x v="2"/>
    <x v="1"/>
    <n v="2"/>
    <x v="0"/>
    <n v="1"/>
    <x v="1"/>
    <x v="0"/>
    <n v="1"/>
    <n v="1"/>
    <x v="3"/>
    <x v="1"/>
    <n v="87"/>
    <x v="0"/>
    <n v="3"/>
    <x v="0"/>
    <n v="2"/>
    <x v="4"/>
    <n v="4"/>
    <x v="0"/>
    <x v="2"/>
    <n v="8853"/>
    <x v="4"/>
    <n v="24483"/>
    <x v="1"/>
    <n v="1"/>
    <x v="1"/>
    <s v="Y"/>
    <x v="1"/>
    <n v="19"/>
    <x v="1"/>
    <n v="3"/>
    <x v="0"/>
    <n v="4"/>
    <x v="1"/>
    <n v="80"/>
    <n v="1"/>
    <n v="6"/>
    <x v="0"/>
    <n v="0"/>
    <x v="0"/>
    <n v="4"/>
    <x v="3"/>
    <n v="6"/>
    <x v="0"/>
    <n v="4"/>
    <x v="0"/>
    <n v="1"/>
    <x v="0"/>
    <n v="3"/>
    <x v="0"/>
  </r>
  <r>
    <n v="1591"/>
    <n v="50"/>
    <x v="1"/>
    <x v="1"/>
    <n v="0"/>
    <x v="0"/>
    <n v="264"/>
    <x v="1"/>
    <x v="0"/>
    <n v="9"/>
    <x v="1"/>
    <n v="3"/>
    <x v="3"/>
    <x v="3"/>
    <n v="1"/>
    <n v="3"/>
    <x v="1"/>
    <x v="1"/>
    <n v="59"/>
    <x v="1"/>
    <n v="3"/>
    <x v="0"/>
    <n v="5"/>
    <x v="5"/>
    <n v="3"/>
    <x v="2"/>
    <x v="1"/>
    <n v="19331"/>
    <x v="7"/>
    <n v="19519"/>
    <x v="0"/>
    <n v="4"/>
    <x v="2"/>
    <s v="Y"/>
    <x v="0"/>
    <n v="16"/>
    <x v="3"/>
    <n v="3"/>
    <x v="0"/>
    <n v="3"/>
    <x v="3"/>
    <n v="80"/>
    <n v="1"/>
    <n v="27"/>
    <x v="4"/>
    <n v="2"/>
    <x v="0"/>
    <n v="3"/>
    <x v="1"/>
    <n v="1"/>
    <x v="1"/>
    <n v="0"/>
    <x v="2"/>
    <n v="0"/>
    <x v="0"/>
    <n v="0"/>
    <x v="2"/>
  </r>
  <r>
    <n v="1592"/>
    <n v="23"/>
    <x v="4"/>
    <x v="1"/>
    <n v="0"/>
    <x v="0"/>
    <n v="977"/>
    <x v="2"/>
    <x v="1"/>
    <n v="10"/>
    <x v="1"/>
    <n v="3"/>
    <x v="3"/>
    <x v="4"/>
    <n v="1"/>
    <n v="4"/>
    <x v="2"/>
    <x v="1"/>
    <n v="45"/>
    <x v="2"/>
    <n v="4"/>
    <x v="2"/>
    <n v="1"/>
    <x v="1"/>
    <n v="3"/>
    <x v="2"/>
    <x v="1"/>
    <n v="2073"/>
    <x v="2"/>
    <n v="12826"/>
    <x v="3"/>
    <n v="2"/>
    <x v="3"/>
    <s v="Y"/>
    <x v="1"/>
    <n v="16"/>
    <x v="3"/>
    <n v="3"/>
    <x v="0"/>
    <n v="4"/>
    <x v="1"/>
    <n v="80"/>
    <n v="1"/>
    <n v="4"/>
    <x v="3"/>
    <n v="2"/>
    <x v="0"/>
    <n v="3"/>
    <x v="1"/>
    <n v="2"/>
    <x v="2"/>
    <n v="2"/>
    <x v="0"/>
    <n v="2"/>
    <x v="1"/>
    <n v="2"/>
    <x v="0"/>
  </r>
  <r>
    <n v="1594"/>
    <n v="36"/>
    <x v="0"/>
    <x v="1"/>
    <n v="0"/>
    <x v="1"/>
    <n v="1302"/>
    <x v="0"/>
    <x v="1"/>
    <n v="6"/>
    <x v="1"/>
    <n v="4"/>
    <x v="2"/>
    <x v="0"/>
    <n v="1"/>
    <n v="1"/>
    <x v="3"/>
    <x v="1"/>
    <n v="80"/>
    <x v="0"/>
    <n v="4"/>
    <x v="2"/>
    <n v="2"/>
    <x v="2"/>
    <n v="1"/>
    <x v="3"/>
    <x v="1"/>
    <n v="5562"/>
    <x v="0"/>
    <n v="19711"/>
    <x v="0"/>
    <n v="3"/>
    <x v="3"/>
    <s v="Y"/>
    <x v="0"/>
    <n v="13"/>
    <x v="2"/>
    <n v="3"/>
    <x v="0"/>
    <n v="4"/>
    <x v="1"/>
    <n v="80"/>
    <n v="1"/>
    <n v="9"/>
    <x v="0"/>
    <n v="3"/>
    <x v="1"/>
    <n v="3"/>
    <x v="1"/>
    <n v="3"/>
    <x v="2"/>
    <n v="2"/>
    <x v="0"/>
    <n v="0"/>
    <x v="0"/>
    <n v="2"/>
    <x v="0"/>
  </r>
  <r>
    <n v="1595"/>
    <n v="42"/>
    <x v="0"/>
    <x v="1"/>
    <n v="0"/>
    <x v="0"/>
    <n v="1059"/>
    <x v="0"/>
    <x v="1"/>
    <n v="9"/>
    <x v="1"/>
    <n v="2"/>
    <x v="0"/>
    <x v="1"/>
    <n v="1"/>
    <n v="4"/>
    <x v="2"/>
    <x v="1"/>
    <n v="93"/>
    <x v="0"/>
    <n v="2"/>
    <x v="1"/>
    <n v="5"/>
    <x v="5"/>
    <n v="4"/>
    <x v="0"/>
    <x v="0"/>
    <n v="19613"/>
    <x v="7"/>
    <n v="26362"/>
    <x v="1"/>
    <n v="8"/>
    <x v="0"/>
    <s v="Y"/>
    <x v="1"/>
    <n v="22"/>
    <x v="1"/>
    <n v="4"/>
    <x v="1"/>
    <n v="4"/>
    <x v="1"/>
    <n v="80"/>
    <n v="0"/>
    <n v="24"/>
    <x v="4"/>
    <n v="2"/>
    <x v="0"/>
    <n v="3"/>
    <x v="1"/>
    <n v="1"/>
    <x v="1"/>
    <n v="0"/>
    <x v="2"/>
    <n v="0"/>
    <x v="0"/>
    <n v="1"/>
    <x v="2"/>
  </r>
  <r>
    <n v="1596"/>
    <n v="35"/>
    <x v="2"/>
    <x v="1"/>
    <n v="0"/>
    <x v="0"/>
    <n v="750"/>
    <x v="2"/>
    <x v="1"/>
    <n v="28"/>
    <x v="2"/>
    <n v="3"/>
    <x v="3"/>
    <x v="0"/>
    <n v="1"/>
    <n v="2"/>
    <x v="0"/>
    <x v="1"/>
    <n v="46"/>
    <x v="2"/>
    <n v="4"/>
    <x v="2"/>
    <n v="2"/>
    <x v="2"/>
    <n v="3"/>
    <x v="2"/>
    <x v="1"/>
    <n v="3407"/>
    <x v="3"/>
    <n v="25348"/>
    <x v="1"/>
    <n v="1"/>
    <x v="1"/>
    <s v="Y"/>
    <x v="1"/>
    <n v="17"/>
    <x v="3"/>
    <n v="3"/>
    <x v="0"/>
    <n v="4"/>
    <x v="1"/>
    <n v="80"/>
    <n v="2"/>
    <n v="10"/>
    <x v="0"/>
    <n v="3"/>
    <x v="1"/>
    <n v="2"/>
    <x v="2"/>
    <n v="10"/>
    <x v="0"/>
    <n v="9"/>
    <x v="1"/>
    <n v="6"/>
    <x v="2"/>
    <n v="8"/>
    <x v="1"/>
  </r>
  <r>
    <n v="1597"/>
    <n v="34"/>
    <x v="2"/>
    <x v="1"/>
    <n v="0"/>
    <x v="1"/>
    <n v="653"/>
    <x v="2"/>
    <x v="1"/>
    <n v="10"/>
    <x v="1"/>
    <n v="4"/>
    <x v="2"/>
    <x v="4"/>
    <n v="1"/>
    <n v="4"/>
    <x v="2"/>
    <x v="1"/>
    <n v="92"/>
    <x v="0"/>
    <n v="2"/>
    <x v="1"/>
    <n v="2"/>
    <x v="4"/>
    <n v="3"/>
    <x v="2"/>
    <x v="1"/>
    <n v="5063"/>
    <x v="1"/>
    <n v="15332"/>
    <x v="3"/>
    <n v="1"/>
    <x v="1"/>
    <s v="Y"/>
    <x v="1"/>
    <n v="14"/>
    <x v="2"/>
    <n v="3"/>
    <x v="0"/>
    <n v="2"/>
    <x v="4"/>
    <n v="80"/>
    <n v="1"/>
    <n v="8"/>
    <x v="0"/>
    <n v="3"/>
    <x v="1"/>
    <n v="2"/>
    <x v="2"/>
    <n v="8"/>
    <x v="0"/>
    <n v="2"/>
    <x v="0"/>
    <n v="7"/>
    <x v="2"/>
    <n v="7"/>
    <x v="1"/>
  </r>
  <r>
    <n v="1598"/>
    <n v="40"/>
    <x v="0"/>
    <x v="1"/>
    <n v="0"/>
    <x v="0"/>
    <n v="118"/>
    <x v="1"/>
    <x v="0"/>
    <n v="14"/>
    <x v="3"/>
    <n v="2"/>
    <x v="0"/>
    <x v="0"/>
    <n v="1"/>
    <n v="4"/>
    <x v="2"/>
    <x v="0"/>
    <n v="84"/>
    <x v="0"/>
    <n v="3"/>
    <x v="0"/>
    <n v="2"/>
    <x v="0"/>
    <n v="1"/>
    <x v="3"/>
    <x v="1"/>
    <n v="4639"/>
    <x v="1"/>
    <n v="11262"/>
    <x v="3"/>
    <n v="1"/>
    <x v="1"/>
    <s v="Y"/>
    <x v="1"/>
    <n v="15"/>
    <x v="2"/>
    <n v="3"/>
    <x v="0"/>
    <n v="3"/>
    <x v="3"/>
    <n v="80"/>
    <n v="1"/>
    <n v="5"/>
    <x v="3"/>
    <n v="2"/>
    <x v="0"/>
    <n v="3"/>
    <x v="1"/>
    <n v="5"/>
    <x v="2"/>
    <n v="4"/>
    <x v="0"/>
    <n v="1"/>
    <x v="0"/>
    <n v="2"/>
    <x v="0"/>
  </r>
  <r>
    <n v="1599"/>
    <n v="43"/>
    <x v="0"/>
    <x v="1"/>
    <n v="0"/>
    <x v="0"/>
    <n v="990"/>
    <x v="2"/>
    <x v="1"/>
    <n v="27"/>
    <x v="2"/>
    <n v="3"/>
    <x v="3"/>
    <x v="4"/>
    <n v="1"/>
    <n v="4"/>
    <x v="2"/>
    <x v="1"/>
    <n v="87"/>
    <x v="0"/>
    <n v="4"/>
    <x v="2"/>
    <n v="1"/>
    <x v="2"/>
    <n v="2"/>
    <x v="1"/>
    <x v="2"/>
    <n v="4876"/>
    <x v="1"/>
    <n v="5855"/>
    <x v="2"/>
    <n v="5"/>
    <x v="2"/>
    <s v="Y"/>
    <x v="1"/>
    <n v="12"/>
    <x v="0"/>
    <n v="3"/>
    <x v="0"/>
    <n v="3"/>
    <x v="3"/>
    <n v="80"/>
    <n v="1"/>
    <n v="8"/>
    <x v="0"/>
    <n v="0"/>
    <x v="0"/>
    <n v="3"/>
    <x v="1"/>
    <n v="6"/>
    <x v="0"/>
    <n v="4"/>
    <x v="0"/>
    <n v="0"/>
    <x v="0"/>
    <n v="2"/>
    <x v="0"/>
  </r>
  <r>
    <n v="1601"/>
    <n v="35"/>
    <x v="2"/>
    <x v="1"/>
    <n v="0"/>
    <x v="0"/>
    <n v="1349"/>
    <x v="0"/>
    <x v="1"/>
    <n v="7"/>
    <x v="1"/>
    <n v="2"/>
    <x v="0"/>
    <x v="0"/>
    <n v="1"/>
    <n v="3"/>
    <x v="1"/>
    <x v="1"/>
    <n v="63"/>
    <x v="1"/>
    <n v="2"/>
    <x v="1"/>
    <n v="1"/>
    <x v="2"/>
    <n v="4"/>
    <x v="0"/>
    <x v="1"/>
    <n v="2690"/>
    <x v="3"/>
    <n v="7713"/>
    <x v="2"/>
    <n v="1"/>
    <x v="1"/>
    <s v="Y"/>
    <x v="1"/>
    <n v="18"/>
    <x v="1"/>
    <n v="3"/>
    <x v="0"/>
    <n v="4"/>
    <x v="1"/>
    <n v="80"/>
    <n v="1"/>
    <n v="1"/>
    <x v="2"/>
    <n v="5"/>
    <x v="2"/>
    <n v="2"/>
    <x v="2"/>
    <n v="1"/>
    <x v="1"/>
    <n v="0"/>
    <x v="2"/>
    <n v="0"/>
    <x v="0"/>
    <n v="1"/>
    <x v="2"/>
  </r>
  <r>
    <n v="1602"/>
    <n v="46"/>
    <x v="1"/>
    <x v="1"/>
    <n v="0"/>
    <x v="0"/>
    <n v="563"/>
    <x v="2"/>
    <x v="0"/>
    <n v="1"/>
    <x v="0"/>
    <n v="4"/>
    <x v="2"/>
    <x v="0"/>
    <n v="1"/>
    <n v="4"/>
    <x v="2"/>
    <x v="1"/>
    <n v="56"/>
    <x v="1"/>
    <n v="4"/>
    <x v="2"/>
    <n v="4"/>
    <x v="5"/>
    <n v="1"/>
    <x v="3"/>
    <x v="0"/>
    <n v="17567"/>
    <x v="9"/>
    <n v="3156"/>
    <x v="2"/>
    <n v="1"/>
    <x v="1"/>
    <s v="Y"/>
    <x v="1"/>
    <n v="15"/>
    <x v="2"/>
    <n v="3"/>
    <x v="0"/>
    <n v="2"/>
    <x v="4"/>
    <n v="80"/>
    <n v="0"/>
    <n v="27"/>
    <x v="4"/>
    <n v="5"/>
    <x v="2"/>
    <n v="1"/>
    <x v="0"/>
    <n v="26"/>
    <x v="3"/>
    <n v="0"/>
    <x v="2"/>
    <n v="0"/>
    <x v="0"/>
    <n v="12"/>
    <x v="3"/>
  </r>
  <r>
    <n v="1604"/>
    <n v="28"/>
    <x v="2"/>
    <x v="0"/>
    <n v="1"/>
    <x v="0"/>
    <n v="329"/>
    <x v="1"/>
    <x v="1"/>
    <n v="24"/>
    <x v="2"/>
    <n v="3"/>
    <x v="3"/>
    <x v="2"/>
    <n v="1"/>
    <n v="3"/>
    <x v="1"/>
    <x v="1"/>
    <n v="51"/>
    <x v="1"/>
    <n v="3"/>
    <x v="0"/>
    <n v="1"/>
    <x v="2"/>
    <n v="2"/>
    <x v="1"/>
    <x v="1"/>
    <n v="2408"/>
    <x v="2"/>
    <n v="7324"/>
    <x v="2"/>
    <n v="1"/>
    <x v="1"/>
    <s v="Y"/>
    <x v="0"/>
    <n v="17"/>
    <x v="3"/>
    <n v="3"/>
    <x v="0"/>
    <n v="3"/>
    <x v="3"/>
    <n v="80"/>
    <n v="3"/>
    <n v="1"/>
    <x v="2"/>
    <n v="3"/>
    <x v="1"/>
    <n v="3"/>
    <x v="1"/>
    <n v="1"/>
    <x v="1"/>
    <n v="1"/>
    <x v="2"/>
    <n v="0"/>
    <x v="0"/>
    <n v="0"/>
    <x v="2"/>
  </r>
  <r>
    <n v="1605"/>
    <n v="22"/>
    <x v="4"/>
    <x v="1"/>
    <n v="0"/>
    <x v="2"/>
    <n v="457"/>
    <x v="1"/>
    <x v="1"/>
    <n v="26"/>
    <x v="2"/>
    <n v="2"/>
    <x v="0"/>
    <x v="1"/>
    <n v="1"/>
    <n v="2"/>
    <x v="0"/>
    <x v="0"/>
    <n v="85"/>
    <x v="0"/>
    <n v="2"/>
    <x v="1"/>
    <n v="1"/>
    <x v="1"/>
    <n v="3"/>
    <x v="2"/>
    <x v="1"/>
    <n v="2814"/>
    <x v="3"/>
    <n v="10293"/>
    <x v="3"/>
    <n v="1"/>
    <x v="1"/>
    <s v="Y"/>
    <x v="0"/>
    <n v="14"/>
    <x v="2"/>
    <n v="3"/>
    <x v="0"/>
    <n v="2"/>
    <x v="4"/>
    <n v="80"/>
    <n v="0"/>
    <n v="4"/>
    <x v="3"/>
    <n v="2"/>
    <x v="0"/>
    <n v="2"/>
    <x v="2"/>
    <n v="4"/>
    <x v="2"/>
    <n v="2"/>
    <x v="0"/>
    <n v="1"/>
    <x v="0"/>
    <n v="3"/>
    <x v="0"/>
  </r>
  <r>
    <n v="1606"/>
    <n v="50"/>
    <x v="1"/>
    <x v="1"/>
    <n v="0"/>
    <x v="1"/>
    <n v="1234"/>
    <x v="0"/>
    <x v="1"/>
    <n v="20"/>
    <x v="3"/>
    <n v="5"/>
    <x v="4"/>
    <x v="2"/>
    <n v="1"/>
    <n v="2"/>
    <x v="0"/>
    <x v="1"/>
    <n v="41"/>
    <x v="2"/>
    <n v="3"/>
    <x v="0"/>
    <n v="4"/>
    <x v="4"/>
    <n v="3"/>
    <x v="2"/>
    <x v="1"/>
    <n v="11245"/>
    <x v="8"/>
    <n v="20689"/>
    <x v="0"/>
    <n v="2"/>
    <x v="3"/>
    <s v="Y"/>
    <x v="0"/>
    <n v="15"/>
    <x v="2"/>
    <n v="3"/>
    <x v="0"/>
    <n v="3"/>
    <x v="3"/>
    <n v="80"/>
    <n v="1"/>
    <n v="32"/>
    <x v="4"/>
    <n v="3"/>
    <x v="1"/>
    <n v="3"/>
    <x v="1"/>
    <n v="30"/>
    <x v="3"/>
    <n v="8"/>
    <x v="1"/>
    <n v="12"/>
    <x v="3"/>
    <n v="13"/>
    <x v="3"/>
  </r>
  <r>
    <n v="1607"/>
    <n v="32"/>
    <x v="2"/>
    <x v="1"/>
    <n v="0"/>
    <x v="0"/>
    <n v="634"/>
    <x v="2"/>
    <x v="1"/>
    <n v="5"/>
    <x v="0"/>
    <n v="4"/>
    <x v="2"/>
    <x v="1"/>
    <n v="1"/>
    <n v="2"/>
    <x v="0"/>
    <x v="0"/>
    <n v="35"/>
    <x v="2"/>
    <n v="4"/>
    <x v="2"/>
    <n v="1"/>
    <x v="1"/>
    <n v="4"/>
    <x v="0"/>
    <x v="1"/>
    <n v="3312"/>
    <x v="3"/>
    <n v="18783"/>
    <x v="0"/>
    <n v="3"/>
    <x v="3"/>
    <s v="Y"/>
    <x v="1"/>
    <n v="17"/>
    <x v="3"/>
    <n v="3"/>
    <x v="0"/>
    <n v="4"/>
    <x v="1"/>
    <n v="80"/>
    <n v="2"/>
    <n v="6"/>
    <x v="0"/>
    <n v="3"/>
    <x v="1"/>
    <n v="3"/>
    <x v="1"/>
    <n v="3"/>
    <x v="2"/>
    <n v="2"/>
    <x v="0"/>
    <n v="0"/>
    <x v="0"/>
    <n v="2"/>
    <x v="0"/>
  </r>
  <r>
    <n v="1608"/>
    <n v="44"/>
    <x v="0"/>
    <x v="1"/>
    <n v="0"/>
    <x v="0"/>
    <n v="1313"/>
    <x v="0"/>
    <x v="1"/>
    <n v="7"/>
    <x v="1"/>
    <n v="3"/>
    <x v="3"/>
    <x v="2"/>
    <n v="1"/>
    <n v="2"/>
    <x v="0"/>
    <x v="0"/>
    <n v="31"/>
    <x v="2"/>
    <n v="3"/>
    <x v="0"/>
    <n v="5"/>
    <x v="7"/>
    <n v="4"/>
    <x v="0"/>
    <x v="2"/>
    <n v="19049"/>
    <x v="7"/>
    <n v="3549"/>
    <x v="2"/>
    <n v="0"/>
    <x v="1"/>
    <s v="Y"/>
    <x v="0"/>
    <n v="14"/>
    <x v="2"/>
    <n v="3"/>
    <x v="0"/>
    <n v="4"/>
    <x v="1"/>
    <n v="80"/>
    <n v="1"/>
    <n v="23"/>
    <x v="4"/>
    <n v="4"/>
    <x v="1"/>
    <n v="2"/>
    <x v="2"/>
    <n v="22"/>
    <x v="3"/>
    <n v="7"/>
    <x v="1"/>
    <n v="1"/>
    <x v="0"/>
    <n v="10"/>
    <x v="1"/>
  </r>
  <r>
    <n v="1609"/>
    <n v="30"/>
    <x v="2"/>
    <x v="1"/>
    <n v="0"/>
    <x v="0"/>
    <n v="241"/>
    <x v="1"/>
    <x v="1"/>
    <n v="7"/>
    <x v="1"/>
    <n v="3"/>
    <x v="3"/>
    <x v="2"/>
    <n v="1"/>
    <n v="2"/>
    <x v="0"/>
    <x v="1"/>
    <n v="48"/>
    <x v="2"/>
    <n v="2"/>
    <x v="1"/>
    <n v="1"/>
    <x v="1"/>
    <n v="2"/>
    <x v="1"/>
    <x v="1"/>
    <n v="2141"/>
    <x v="2"/>
    <n v="5348"/>
    <x v="2"/>
    <n v="1"/>
    <x v="1"/>
    <s v="Y"/>
    <x v="1"/>
    <n v="12"/>
    <x v="0"/>
    <n v="3"/>
    <x v="0"/>
    <n v="2"/>
    <x v="4"/>
    <n v="80"/>
    <n v="1"/>
    <n v="6"/>
    <x v="0"/>
    <n v="3"/>
    <x v="1"/>
    <n v="2"/>
    <x v="2"/>
    <n v="6"/>
    <x v="0"/>
    <n v="4"/>
    <x v="0"/>
    <n v="1"/>
    <x v="0"/>
    <n v="1"/>
    <x v="2"/>
  </r>
  <r>
    <n v="1611"/>
    <n v="45"/>
    <x v="0"/>
    <x v="1"/>
    <n v="0"/>
    <x v="0"/>
    <n v="1015"/>
    <x v="0"/>
    <x v="1"/>
    <n v="5"/>
    <x v="0"/>
    <n v="5"/>
    <x v="4"/>
    <x v="2"/>
    <n v="1"/>
    <n v="3"/>
    <x v="1"/>
    <x v="0"/>
    <n v="50"/>
    <x v="2"/>
    <n v="1"/>
    <x v="3"/>
    <n v="2"/>
    <x v="2"/>
    <n v="1"/>
    <x v="3"/>
    <x v="0"/>
    <n v="5769"/>
    <x v="0"/>
    <n v="23447"/>
    <x v="1"/>
    <n v="1"/>
    <x v="1"/>
    <s v="Y"/>
    <x v="0"/>
    <n v="14"/>
    <x v="2"/>
    <n v="3"/>
    <x v="0"/>
    <n v="1"/>
    <x v="0"/>
    <n v="80"/>
    <n v="0"/>
    <n v="10"/>
    <x v="0"/>
    <n v="3"/>
    <x v="1"/>
    <n v="3"/>
    <x v="1"/>
    <n v="10"/>
    <x v="0"/>
    <n v="7"/>
    <x v="1"/>
    <n v="1"/>
    <x v="0"/>
    <n v="4"/>
    <x v="0"/>
  </r>
  <r>
    <n v="1612"/>
    <n v="45"/>
    <x v="0"/>
    <x v="1"/>
    <n v="0"/>
    <x v="2"/>
    <n v="336"/>
    <x v="1"/>
    <x v="0"/>
    <n v="26"/>
    <x v="2"/>
    <n v="3"/>
    <x v="3"/>
    <x v="3"/>
    <n v="1"/>
    <n v="1"/>
    <x v="3"/>
    <x v="1"/>
    <n v="52"/>
    <x v="1"/>
    <n v="2"/>
    <x v="1"/>
    <n v="2"/>
    <x v="0"/>
    <n v="1"/>
    <x v="3"/>
    <x v="1"/>
    <n v="4385"/>
    <x v="1"/>
    <n v="24162"/>
    <x v="1"/>
    <n v="1"/>
    <x v="1"/>
    <s v="Y"/>
    <x v="1"/>
    <n v="15"/>
    <x v="2"/>
    <n v="3"/>
    <x v="0"/>
    <n v="1"/>
    <x v="0"/>
    <n v="80"/>
    <n v="1"/>
    <n v="10"/>
    <x v="0"/>
    <n v="2"/>
    <x v="0"/>
    <n v="3"/>
    <x v="1"/>
    <n v="10"/>
    <x v="0"/>
    <n v="7"/>
    <x v="1"/>
    <n v="4"/>
    <x v="1"/>
    <n v="5"/>
    <x v="0"/>
  </r>
  <r>
    <n v="1613"/>
    <n v="31"/>
    <x v="2"/>
    <x v="1"/>
    <n v="0"/>
    <x v="1"/>
    <n v="715"/>
    <x v="2"/>
    <x v="0"/>
    <n v="2"/>
    <x v="0"/>
    <n v="4"/>
    <x v="2"/>
    <x v="1"/>
    <n v="1"/>
    <n v="4"/>
    <x v="2"/>
    <x v="1"/>
    <n v="54"/>
    <x v="1"/>
    <n v="3"/>
    <x v="0"/>
    <n v="2"/>
    <x v="0"/>
    <n v="1"/>
    <x v="3"/>
    <x v="0"/>
    <n v="5332"/>
    <x v="1"/>
    <n v="21602"/>
    <x v="0"/>
    <n v="7"/>
    <x v="0"/>
    <s v="Y"/>
    <x v="1"/>
    <n v="13"/>
    <x v="2"/>
    <n v="3"/>
    <x v="0"/>
    <n v="4"/>
    <x v="1"/>
    <n v="80"/>
    <n v="0"/>
    <n v="10"/>
    <x v="0"/>
    <n v="3"/>
    <x v="1"/>
    <n v="3"/>
    <x v="1"/>
    <n v="5"/>
    <x v="2"/>
    <n v="2"/>
    <x v="0"/>
    <n v="0"/>
    <x v="0"/>
    <n v="3"/>
    <x v="0"/>
  </r>
  <r>
    <n v="1614"/>
    <n v="36"/>
    <x v="0"/>
    <x v="1"/>
    <n v="0"/>
    <x v="0"/>
    <n v="559"/>
    <x v="2"/>
    <x v="1"/>
    <n v="12"/>
    <x v="3"/>
    <n v="4"/>
    <x v="2"/>
    <x v="0"/>
    <n v="1"/>
    <n v="3"/>
    <x v="1"/>
    <x v="0"/>
    <n v="76"/>
    <x v="0"/>
    <n v="3"/>
    <x v="0"/>
    <n v="2"/>
    <x v="3"/>
    <n v="3"/>
    <x v="2"/>
    <x v="1"/>
    <n v="4663"/>
    <x v="1"/>
    <n v="12421"/>
    <x v="3"/>
    <n v="9"/>
    <x v="0"/>
    <s v="Y"/>
    <x v="0"/>
    <n v="12"/>
    <x v="0"/>
    <n v="3"/>
    <x v="0"/>
    <n v="2"/>
    <x v="4"/>
    <n v="80"/>
    <n v="2"/>
    <n v="7"/>
    <x v="0"/>
    <n v="2"/>
    <x v="0"/>
    <n v="3"/>
    <x v="1"/>
    <n v="3"/>
    <x v="2"/>
    <n v="2"/>
    <x v="0"/>
    <n v="1"/>
    <x v="0"/>
    <n v="1"/>
    <x v="2"/>
  </r>
  <r>
    <n v="1615"/>
    <n v="34"/>
    <x v="2"/>
    <x v="1"/>
    <n v="0"/>
    <x v="1"/>
    <n v="426"/>
    <x v="1"/>
    <x v="1"/>
    <n v="10"/>
    <x v="1"/>
    <n v="4"/>
    <x v="2"/>
    <x v="0"/>
    <n v="1"/>
    <n v="3"/>
    <x v="1"/>
    <x v="1"/>
    <n v="42"/>
    <x v="2"/>
    <n v="4"/>
    <x v="2"/>
    <n v="2"/>
    <x v="3"/>
    <n v="4"/>
    <x v="0"/>
    <x v="2"/>
    <n v="4724"/>
    <x v="1"/>
    <n v="17000"/>
    <x v="0"/>
    <n v="1"/>
    <x v="1"/>
    <s v="Y"/>
    <x v="1"/>
    <n v="13"/>
    <x v="2"/>
    <n v="3"/>
    <x v="0"/>
    <n v="1"/>
    <x v="0"/>
    <n v="80"/>
    <n v="1"/>
    <n v="9"/>
    <x v="0"/>
    <n v="3"/>
    <x v="1"/>
    <n v="3"/>
    <x v="1"/>
    <n v="9"/>
    <x v="0"/>
    <n v="7"/>
    <x v="1"/>
    <n v="7"/>
    <x v="2"/>
    <n v="2"/>
    <x v="0"/>
  </r>
  <r>
    <n v="1617"/>
    <n v="49"/>
    <x v="1"/>
    <x v="1"/>
    <n v="0"/>
    <x v="0"/>
    <n v="722"/>
    <x v="2"/>
    <x v="1"/>
    <n v="25"/>
    <x v="2"/>
    <n v="4"/>
    <x v="2"/>
    <x v="0"/>
    <n v="1"/>
    <n v="3"/>
    <x v="1"/>
    <x v="0"/>
    <n v="84"/>
    <x v="0"/>
    <n v="3"/>
    <x v="0"/>
    <n v="1"/>
    <x v="2"/>
    <n v="1"/>
    <x v="3"/>
    <x v="1"/>
    <n v="3211"/>
    <x v="3"/>
    <n v="22102"/>
    <x v="1"/>
    <n v="1"/>
    <x v="1"/>
    <s v="Y"/>
    <x v="1"/>
    <n v="14"/>
    <x v="2"/>
    <n v="3"/>
    <x v="0"/>
    <n v="4"/>
    <x v="1"/>
    <n v="80"/>
    <n v="1"/>
    <n v="10"/>
    <x v="0"/>
    <n v="3"/>
    <x v="1"/>
    <n v="2"/>
    <x v="2"/>
    <n v="9"/>
    <x v="0"/>
    <n v="6"/>
    <x v="1"/>
    <n v="1"/>
    <x v="0"/>
    <n v="4"/>
    <x v="0"/>
  </r>
  <r>
    <n v="1618"/>
    <n v="39"/>
    <x v="0"/>
    <x v="1"/>
    <n v="0"/>
    <x v="0"/>
    <n v="1387"/>
    <x v="0"/>
    <x v="1"/>
    <n v="10"/>
    <x v="1"/>
    <n v="5"/>
    <x v="4"/>
    <x v="2"/>
    <n v="1"/>
    <n v="2"/>
    <x v="0"/>
    <x v="1"/>
    <n v="76"/>
    <x v="0"/>
    <n v="3"/>
    <x v="0"/>
    <n v="2"/>
    <x v="3"/>
    <n v="1"/>
    <x v="3"/>
    <x v="1"/>
    <n v="5377"/>
    <x v="1"/>
    <n v="3835"/>
    <x v="2"/>
    <n v="2"/>
    <x v="3"/>
    <s v="Y"/>
    <x v="1"/>
    <n v="13"/>
    <x v="2"/>
    <n v="3"/>
    <x v="0"/>
    <n v="4"/>
    <x v="1"/>
    <n v="80"/>
    <n v="3"/>
    <n v="10"/>
    <x v="0"/>
    <n v="3"/>
    <x v="1"/>
    <n v="3"/>
    <x v="1"/>
    <n v="7"/>
    <x v="0"/>
    <n v="7"/>
    <x v="1"/>
    <n v="7"/>
    <x v="2"/>
    <n v="7"/>
    <x v="1"/>
  </r>
  <r>
    <n v="1619"/>
    <n v="27"/>
    <x v="2"/>
    <x v="1"/>
    <n v="0"/>
    <x v="0"/>
    <n v="1302"/>
    <x v="0"/>
    <x v="1"/>
    <n v="19"/>
    <x v="3"/>
    <n v="3"/>
    <x v="3"/>
    <x v="1"/>
    <n v="1"/>
    <n v="4"/>
    <x v="2"/>
    <x v="1"/>
    <n v="67"/>
    <x v="1"/>
    <n v="2"/>
    <x v="1"/>
    <n v="1"/>
    <x v="2"/>
    <n v="1"/>
    <x v="3"/>
    <x v="2"/>
    <n v="4066"/>
    <x v="1"/>
    <n v="16290"/>
    <x v="0"/>
    <n v="1"/>
    <x v="1"/>
    <s v="Y"/>
    <x v="1"/>
    <n v="11"/>
    <x v="0"/>
    <n v="3"/>
    <x v="0"/>
    <n v="1"/>
    <x v="0"/>
    <n v="80"/>
    <n v="2"/>
    <n v="7"/>
    <x v="0"/>
    <n v="3"/>
    <x v="1"/>
    <n v="3"/>
    <x v="1"/>
    <n v="7"/>
    <x v="0"/>
    <n v="7"/>
    <x v="1"/>
    <n v="0"/>
    <x v="0"/>
    <n v="7"/>
    <x v="1"/>
  </r>
  <r>
    <n v="1621"/>
    <n v="35"/>
    <x v="2"/>
    <x v="1"/>
    <n v="0"/>
    <x v="0"/>
    <n v="819"/>
    <x v="2"/>
    <x v="1"/>
    <n v="18"/>
    <x v="3"/>
    <n v="5"/>
    <x v="4"/>
    <x v="0"/>
    <n v="1"/>
    <n v="2"/>
    <x v="0"/>
    <x v="1"/>
    <n v="48"/>
    <x v="2"/>
    <n v="4"/>
    <x v="2"/>
    <n v="2"/>
    <x v="1"/>
    <n v="1"/>
    <x v="3"/>
    <x v="1"/>
    <n v="5208"/>
    <x v="1"/>
    <n v="26312"/>
    <x v="1"/>
    <n v="1"/>
    <x v="1"/>
    <s v="Y"/>
    <x v="1"/>
    <n v="11"/>
    <x v="0"/>
    <n v="3"/>
    <x v="0"/>
    <n v="4"/>
    <x v="1"/>
    <n v="80"/>
    <n v="0"/>
    <n v="16"/>
    <x v="1"/>
    <n v="2"/>
    <x v="0"/>
    <n v="3"/>
    <x v="1"/>
    <n v="16"/>
    <x v="4"/>
    <n v="15"/>
    <x v="3"/>
    <n v="1"/>
    <x v="0"/>
    <n v="10"/>
    <x v="1"/>
  </r>
  <r>
    <n v="1622"/>
    <n v="28"/>
    <x v="2"/>
    <x v="1"/>
    <n v="0"/>
    <x v="0"/>
    <n v="580"/>
    <x v="2"/>
    <x v="1"/>
    <n v="27"/>
    <x v="2"/>
    <n v="3"/>
    <x v="3"/>
    <x v="2"/>
    <n v="1"/>
    <n v="2"/>
    <x v="0"/>
    <x v="0"/>
    <n v="39"/>
    <x v="2"/>
    <n v="1"/>
    <x v="3"/>
    <n v="2"/>
    <x v="3"/>
    <n v="1"/>
    <x v="3"/>
    <x v="2"/>
    <n v="4877"/>
    <x v="1"/>
    <n v="20460"/>
    <x v="0"/>
    <n v="0"/>
    <x v="1"/>
    <s v="Y"/>
    <x v="1"/>
    <n v="21"/>
    <x v="1"/>
    <n v="4"/>
    <x v="1"/>
    <n v="2"/>
    <x v="4"/>
    <n v="80"/>
    <n v="1"/>
    <n v="6"/>
    <x v="0"/>
    <n v="5"/>
    <x v="2"/>
    <n v="2"/>
    <x v="2"/>
    <n v="5"/>
    <x v="2"/>
    <n v="3"/>
    <x v="0"/>
    <n v="0"/>
    <x v="0"/>
    <n v="0"/>
    <x v="2"/>
  </r>
  <r>
    <n v="1623"/>
    <n v="21"/>
    <x v="4"/>
    <x v="1"/>
    <n v="0"/>
    <x v="0"/>
    <n v="546"/>
    <x v="2"/>
    <x v="1"/>
    <n v="5"/>
    <x v="0"/>
    <n v="1"/>
    <x v="1"/>
    <x v="2"/>
    <n v="1"/>
    <n v="3"/>
    <x v="1"/>
    <x v="1"/>
    <n v="97"/>
    <x v="0"/>
    <n v="3"/>
    <x v="0"/>
    <n v="1"/>
    <x v="1"/>
    <n v="4"/>
    <x v="0"/>
    <x v="0"/>
    <n v="3117"/>
    <x v="3"/>
    <n v="26009"/>
    <x v="1"/>
    <n v="1"/>
    <x v="1"/>
    <s v="Y"/>
    <x v="1"/>
    <n v="18"/>
    <x v="1"/>
    <n v="3"/>
    <x v="0"/>
    <n v="3"/>
    <x v="3"/>
    <n v="80"/>
    <n v="0"/>
    <n v="3"/>
    <x v="3"/>
    <n v="2"/>
    <x v="0"/>
    <n v="3"/>
    <x v="1"/>
    <n v="2"/>
    <x v="2"/>
    <n v="2"/>
    <x v="0"/>
    <n v="2"/>
    <x v="1"/>
    <n v="2"/>
    <x v="0"/>
  </r>
  <r>
    <n v="1624"/>
    <n v="18"/>
    <x v="4"/>
    <x v="0"/>
    <n v="1"/>
    <x v="1"/>
    <n v="544"/>
    <x v="2"/>
    <x v="0"/>
    <n v="3"/>
    <x v="0"/>
    <n v="2"/>
    <x v="0"/>
    <x v="2"/>
    <n v="1"/>
    <n v="2"/>
    <x v="0"/>
    <x v="0"/>
    <n v="70"/>
    <x v="1"/>
    <n v="3"/>
    <x v="0"/>
    <n v="1"/>
    <x v="6"/>
    <n v="4"/>
    <x v="0"/>
    <x v="0"/>
    <n v="1569"/>
    <x v="2"/>
    <n v="18420"/>
    <x v="0"/>
    <n v="1"/>
    <x v="1"/>
    <s v="Y"/>
    <x v="0"/>
    <n v="12"/>
    <x v="0"/>
    <n v="3"/>
    <x v="0"/>
    <n v="3"/>
    <x v="3"/>
    <n v="80"/>
    <n v="0"/>
    <n v="0"/>
    <x v="2"/>
    <n v="2"/>
    <x v="0"/>
    <n v="4"/>
    <x v="3"/>
    <n v="0"/>
    <x v="1"/>
    <n v="0"/>
    <x v="2"/>
    <n v="0"/>
    <x v="0"/>
    <n v="0"/>
    <x v="2"/>
  </r>
  <r>
    <n v="1625"/>
    <n v="47"/>
    <x v="1"/>
    <x v="1"/>
    <n v="0"/>
    <x v="0"/>
    <n v="1176"/>
    <x v="0"/>
    <x v="2"/>
    <n v="26"/>
    <x v="2"/>
    <n v="4"/>
    <x v="2"/>
    <x v="0"/>
    <n v="1"/>
    <n v="4"/>
    <x v="2"/>
    <x v="0"/>
    <n v="98"/>
    <x v="0"/>
    <n v="3"/>
    <x v="0"/>
    <n v="5"/>
    <x v="5"/>
    <n v="3"/>
    <x v="2"/>
    <x v="1"/>
    <n v="19658"/>
    <x v="7"/>
    <n v="5220"/>
    <x v="2"/>
    <n v="3"/>
    <x v="3"/>
    <s v="Y"/>
    <x v="1"/>
    <n v="11"/>
    <x v="0"/>
    <n v="3"/>
    <x v="0"/>
    <n v="3"/>
    <x v="3"/>
    <n v="80"/>
    <n v="1"/>
    <n v="27"/>
    <x v="4"/>
    <n v="2"/>
    <x v="0"/>
    <n v="3"/>
    <x v="1"/>
    <n v="5"/>
    <x v="2"/>
    <n v="2"/>
    <x v="0"/>
    <n v="1"/>
    <x v="0"/>
    <n v="0"/>
    <x v="2"/>
  </r>
  <r>
    <n v="1627"/>
    <n v="39"/>
    <x v="0"/>
    <x v="1"/>
    <n v="0"/>
    <x v="0"/>
    <n v="170"/>
    <x v="1"/>
    <x v="1"/>
    <n v="3"/>
    <x v="0"/>
    <n v="2"/>
    <x v="0"/>
    <x v="2"/>
    <n v="1"/>
    <n v="3"/>
    <x v="1"/>
    <x v="1"/>
    <n v="76"/>
    <x v="0"/>
    <n v="2"/>
    <x v="1"/>
    <n v="2"/>
    <x v="2"/>
    <n v="3"/>
    <x v="2"/>
    <x v="2"/>
    <n v="3069"/>
    <x v="3"/>
    <n v="10302"/>
    <x v="3"/>
    <n v="0"/>
    <x v="1"/>
    <s v="Y"/>
    <x v="1"/>
    <n v="15"/>
    <x v="2"/>
    <n v="3"/>
    <x v="0"/>
    <n v="4"/>
    <x v="1"/>
    <n v="80"/>
    <n v="1"/>
    <n v="11"/>
    <x v="1"/>
    <n v="3"/>
    <x v="1"/>
    <n v="3"/>
    <x v="1"/>
    <n v="10"/>
    <x v="0"/>
    <n v="8"/>
    <x v="1"/>
    <n v="0"/>
    <x v="0"/>
    <n v="7"/>
    <x v="1"/>
  </r>
  <r>
    <n v="1628"/>
    <n v="40"/>
    <x v="0"/>
    <x v="1"/>
    <n v="0"/>
    <x v="0"/>
    <n v="884"/>
    <x v="2"/>
    <x v="1"/>
    <n v="15"/>
    <x v="3"/>
    <n v="3"/>
    <x v="3"/>
    <x v="0"/>
    <n v="1"/>
    <n v="1"/>
    <x v="3"/>
    <x v="0"/>
    <n v="80"/>
    <x v="0"/>
    <n v="2"/>
    <x v="1"/>
    <n v="3"/>
    <x v="3"/>
    <n v="3"/>
    <x v="2"/>
    <x v="1"/>
    <n v="10435"/>
    <x v="8"/>
    <n v="25800"/>
    <x v="1"/>
    <n v="1"/>
    <x v="1"/>
    <s v="Y"/>
    <x v="1"/>
    <n v="13"/>
    <x v="2"/>
    <n v="3"/>
    <x v="0"/>
    <n v="4"/>
    <x v="1"/>
    <n v="80"/>
    <n v="2"/>
    <n v="18"/>
    <x v="1"/>
    <n v="2"/>
    <x v="0"/>
    <n v="3"/>
    <x v="1"/>
    <n v="18"/>
    <x v="4"/>
    <n v="15"/>
    <x v="3"/>
    <n v="14"/>
    <x v="3"/>
    <n v="12"/>
    <x v="3"/>
  </r>
  <r>
    <n v="1630"/>
    <n v="35"/>
    <x v="2"/>
    <x v="1"/>
    <n v="0"/>
    <x v="2"/>
    <n v="208"/>
    <x v="1"/>
    <x v="1"/>
    <n v="8"/>
    <x v="1"/>
    <n v="4"/>
    <x v="2"/>
    <x v="0"/>
    <n v="1"/>
    <n v="3"/>
    <x v="1"/>
    <x v="0"/>
    <n v="52"/>
    <x v="1"/>
    <n v="3"/>
    <x v="0"/>
    <n v="2"/>
    <x v="4"/>
    <n v="3"/>
    <x v="2"/>
    <x v="1"/>
    <n v="4148"/>
    <x v="1"/>
    <n v="12250"/>
    <x v="3"/>
    <n v="1"/>
    <x v="1"/>
    <s v="Y"/>
    <x v="1"/>
    <n v="12"/>
    <x v="0"/>
    <n v="3"/>
    <x v="0"/>
    <n v="4"/>
    <x v="1"/>
    <n v="80"/>
    <n v="1"/>
    <n v="15"/>
    <x v="1"/>
    <n v="5"/>
    <x v="2"/>
    <n v="3"/>
    <x v="1"/>
    <n v="14"/>
    <x v="4"/>
    <n v="11"/>
    <x v="3"/>
    <n v="2"/>
    <x v="1"/>
    <n v="9"/>
    <x v="1"/>
  </r>
  <r>
    <n v="1631"/>
    <n v="37"/>
    <x v="0"/>
    <x v="1"/>
    <n v="0"/>
    <x v="0"/>
    <n v="671"/>
    <x v="2"/>
    <x v="1"/>
    <n v="19"/>
    <x v="3"/>
    <n v="3"/>
    <x v="3"/>
    <x v="0"/>
    <n v="1"/>
    <n v="3"/>
    <x v="1"/>
    <x v="1"/>
    <n v="85"/>
    <x v="0"/>
    <n v="3"/>
    <x v="0"/>
    <n v="2"/>
    <x v="3"/>
    <n v="3"/>
    <x v="2"/>
    <x v="1"/>
    <n v="5768"/>
    <x v="0"/>
    <n v="26493"/>
    <x v="1"/>
    <n v="3"/>
    <x v="3"/>
    <s v="Y"/>
    <x v="1"/>
    <n v="17"/>
    <x v="3"/>
    <n v="3"/>
    <x v="0"/>
    <n v="1"/>
    <x v="0"/>
    <n v="80"/>
    <n v="3"/>
    <n v="9"/>
    <x v="0"/>
    <n v="2"/>
    <x v="0"/>
    <n v="2"/>
    <x v="2"/>
    <n v="4"/>
    <x v="2"/>
    <n v="3"/>
    <x v="0"/>
    <n v="0"/>
    <x v="0"/>
    <n v="2"/>
    <x v="0"/>
  </r>
  <r>
    <n v="1633"/>
    <n v="39"/>
    <x v="0"/>
    <x v="1"/>
    <n v="0"/>
    <x v="1"/>
    <n v="711"/>
    <x v="2"/>
    <x v="1"/>
    <n v="4"/>
    <x v="0"/>
    <n v="3"/>
    <x v="3"/>
    <x v="2"/>
    <n v="1"/>
    <n v="1"/>
    <x v="3"/>
    <x v="0"/>
    <n v="81"/>
    <x v="0"/>
    <n v="3"/>
    <x v="0"/>
    <n v="2"/>
    <x v="3"/>
    <n v="3"/>
    <x v="2"/>
    <x v="0"/>
    <n v="5042"/>
    <x v="1"/>
    <n v="3140"/>
    <x v="2"/>
    <n v="0"/>
    <x v="1"/>
    <s v="Y"/>
    <x v="1"/>
    <n v="13"/>
    <x v="2"/>
    <n v="3"/>
    <x v="0"/>
    <n v="4"/>
    <x v="1"/>
    <n v="80"/>
    <n v="0"/>
    <n v="10"/>
    <x v="0"/>
    <n v="2"/>
    <x v="0"/>
    <n v="1"/>
    <x v="0"/>
    <n v="9"/>
    <x v="0"/>
    <n v="2"/>
    <x v="0"/>
    <n v="3"/>
    <x v="1"/>
    <n v="8"/>
    <x v="1"/>
  </r>
  <r>
    <n v="1635"/>
    <n v="45"/>
    <x v="0"/>
    <x v="1"/>
    <n v="0"/>
    <x v="0"/>
    <n v="1329"/>
    <x v="0"/>
    <x v="1"/>
    <n v="2"/>
    <x v="0"/>
    <n v="2"/>
    <x v="0"/>
    <x v="1"/>
    <n v="1"/>
    <n v="4"/>
    <x v="2"/>
    <x v="0"/>
    <n v="59"/>
    <x v="1"/>
    <n v="2"/>
    <x v="1"/>
    <n v="2"/>
    <x v="3"/>
    <n v="4"/>
    <x v="0"/>
    <x v="2"/>
    <n v="5770"/>
    <x v="0"/>
    <n v="5388"/>
    <x v="2"/>
    <n v="1"/>
    <x v="1"/>
    <s v="Y"/>
    <x v="1"/>
    <n v="19"/>
    <x v="1"/>
    <n v="3"/>
    <x v="0"/>
    <n v="1"/>
    <x v="0"/>
    <n v="80"/>
    <n v="2"/>
    <n v="10"/>
    <x v="0"/>
    <n v="3"/>
    <x v="1"/>
    <n v="3"/>
    <x v="1"/>
    <n v="10"/>
    <x v="0"/>
    <n v="7"/>
    <x v="1"/>
    <n v="3"/>
    <x v="1"/>
    <n v="9"/>
    <x v="1"/>
  </r>
  <r>
    <n v="1638"/>
    <n v="38"/>
    <x v="0"/>
    <x v="1"/>
    <n v="0"/>
    <x v="0"/>
    <n v="397"/>
    <x v="1"/>
    <x v="1"/>
    <n v="2"/>
    <x v="0"/>
    <n v="2"/>
    <x v="0"/>
    <x v="2"/>
    <n v="1"/>
    <n v="4"/>
    <x v="2"/>
    <x v="0"/>
    <n v="54"/>
    <x v="1"/>
    <n v="2"/>
    <x v="1"/>
    <n v="3"/>
    <x v="3"/>
    <n v="3"/>
    <x v="2"/>
    <x v="1"/>
    <n v="7756"/>
    <x v="11"/>
    <n v="14199"/>
    <x v="3"/>
    <n v="3"/>
    <x v="3"/>
    <s v="Y"/>
    <x v="0"/>
    <n v="19"/>
    <x v="1"/>
    <n v="3"/>
    <x v="0"/>
    <n v="4"/>
    <x v="1"/>
    <n v="80"/>
    <n v="1"/>
    <n v="10"/>
    <x v="0"/>
    <n v="6"/>
    <x v="2"/>
    <n v="4"/>
    <x v="3"/>
    <n v="5"/>
    <x v="2"/>
    <n v="4"/>
    <x v="0"/>
    <n v="0"/>
    <x v="0"/>
    <n v="2"/>
    <x v="0"/>
  </r>
  <r>
    <n v="1639"/>
    <n v="35"/>
    <x v="2"/>
    <x v="0"/>
    <n v="1"/>
    <x v="0"/>
    <n v="737"/>
    <x v="2"/>
    <x v="0"/>
    <n v="10"/>
    <x v="1"/>
    <n v="3"/>
    <x v="3"/>
    <x v="2"/>
    <n v="1"/>
    <n v="4"/>
    <x v="2"/>
    <x v="1"/>
    <n v="55"/>
    <x v="1"/>
    <n v="2"/>
    <x v="1"/>
    <n v="3"/>
    <x v="0"/>
    <n v="1"/>
    <x v="3"/>
    <x v="1"/>
    <n v="10306"/>
    <x v="8"/>
    <n v="21530"/>
    <x v="0"/>
    <n v="9"/>
    <x v="0"/>
    <s v="Y"/>
    <x v="1"/>
    <n v="17"/>
    <x v="3"/>
    <n v="3"/>
    <x v="0"/>
    <n v="3"/>
    <x v="3"/>
    <n v="80"/>
    <n v="0"/>
    <n v="15"/>
    <x v="1"/>
    <n v="3"/>
    <x v="1"/>
    <n v="3"/>
    <x v="1"/>
    <n v="13"/>
    <x v="4"/>
    <n v="12"/>
    <x v="3"/>
    <n v="6"/>
    <x v="2"/>
    <n v="0"/>
    <x v="2"/>
  </r>
  <r>
    <n v="1640"/>
    <n v="37"/>
    <x v="0"/>
    <x v="1"/>
    <n v="0"/>
    <x v="0"/>
    <n v="1470"/>
    <x v="0"/>
    <x v="1"/>
    <n v="10"/>
    <x v="1"/>
    <n v="3"/>
    <x v="3"/>
    <x v="2"/>
    <n v="1"/>
    <n v="2"/>
    <x v="0"/>
    <x v="0"/>
    <n v="71"/>
    <x v="1"/>
    <n v="3"/>
    <x v="0"/>
    <n v="1"/>
    <x v="1"/>
    <n v="2"/>
    <x v="1"/>
    <x v="1"/>
    <n v="3936"/>
    <x v="3"/>
    <n v="9953"/>
    <x v="3"/>
    <n v="1"/>
    <x v="1"/>
    <s v="Y"/>
    <x v="1"/>
    <n v="11"/>
    <x v="0"/>
    <n v="3"/>
    <x v="0"/>
    <n v="1"/>
    <x v="0"/>
    <n v="80"/>
    <n v="1"/>
    <n v="8"/>
    <x v="0"/>
    <n v="2"/>
    <x v="0"/>
    <n v="1"/>
    <x v="0"/>
    <n v="8"/>
    <x v="0"/>
    <n v="4"/>
    <x v="0"/>
    <n v="7"/>
    <x v="2"/>
    <n v="7"/>
    <x v="1"/>
  </r>
  <r>
    <n v="1641"/>
    <n v="40"/>
    <x v="0"/>
    <x v="1"/>
    <n v="0"/>
    <x v="0"/>
    <n v="448"/>
    <x v="1"/>
    <x v="1"/>
    <n v="16"/>
    <x v="3"/>
    <n v="3"/>
    <x v="3"/>
    <x v="0"/>
    <n v="1"/>
    <n v="3"/>
    <x v="1"/>
    <x v="0"/>
    <n v="84"/>
    <x v="0"/>
    <n v="3"/>
    <x v="0"/>
    <n v="3"/>
    <x v="3"/>
    <n v="4"/>
    <x v="0"/>
    <x v="0"/>
    <n v="7945"/>
    <x v="11"/>
    <n v="19948"/>
    <x v="0"/>
    <n v="6"/>
    <x v="2"/>
    <s v="Y"/>
    <x v="0"/>
    <n v="15"/>
    <x v="2"/>
    <n v="3"/>
    <x v="0"/>
    <n v="4"/>
    <x v="1"/>
    <n v="80"/>
    <n v="0"/>
    <n v="18"/>
    <x v="1"/>
    <n v="2"/>
    <x v="0"/>
    <n v="2"/>
    <x v="2"/>
    <n v="4"/>
    <x v="2"/>
    <n v="2"/>
    <x v="0"/>
    <n v="3"/>
    <x v="1"/>
    <n v="3"/>
    <x v="0"/>
  </r>
  <r>
    <n v="1642"/>
    <n v="44"/>
    <x v="0"/>
    <x v="1"/>
    <n v="0"/>
    <x v="1"/>
    <n v="602"/>
    <x v="2"/>
    <x v="2"/>
    <n v="1"/>
    <x v="0"/>
    <n v="5"/>
    <x v="4"/>
    <x v="5"/>
    <n v="1"/>
    <n v="1"/>
    <x v="3"/>
    <x v="1"/>
    <n v="37"/>
    <x v="2"/>
    <n v="3"/>
    <x v="0"/>
    <n v="2"/>
    <x v="8"/>
    <n v="4"/>
    <x v="0"/>
    <x v="1"/>
    <n v="5743"/>
    <x v="0"/>
    <n v="10503"/>
    <x v="3"/>
    <n v="4"/>
    <x v="2"/>
    <s v="Y"/>
    <x v="0"/>
    <n v="11"/>
    <x v="0"/>
    <n v="3"/>
    <x v="0"/>
    <n v="3"/>
    <x v="3"/>
    <n v="80"/>
    <n v="0"/>
    <n v="14"/>
    <x v="1"/>
    <n v="3"/>
    <x v="1"/>
    <n v="3"/>
    <x v="1"/>
    <n v="10"/>
    <x v="0"/>
    <n v="7"/>
    <x v="1"/>
    <n v="0"/>
    <x v="0"/>
    <n v="2"/>
    <x v="0"/>
  </r>
  <r>
    <n v="1644"/>
    <n v="48"/>
    <x v="1"/>
    <x v="1"/>
    <n v="0"/>
    <x v="1"/>
    <n v="365"/>
    <x v="1"/>
    <x v="1"/>
    <n v="4"/>
    <x v="0"/>
    <n v="5"/>
    <x v="4"/>
    <x v="2"/>
    <n v="1"/>
    <n v="3"/>
    <x v="1"/>
    <x v="1"/>
    <n v="89"/>
    <x v="0"/>
    <n v="2"/>
    <x v="1"/>
    <n v="4"/>
    <x v="5"/>
    <n v="4"/>
    <x v="0"/>
    <x v="1"/>
    <n v="15202"/>
    <x v="5"/>
    <n v="5602"/>
    <x v="2"/>
    <n v="2"/>
    <x v="3"/>
    <s v="Y"/>
    <x v="1"/>
    <n v="25"/>
    <x v="1"/>
    <n v="4"/>
    <x v="1"/>
    <n v="2"/>
    <x v="4"/>
    <n v="80"/>
    <n v="1"/>
    <n v="23"/>
    <x v="4"/>
    <n v="3"/>
    <x v="1"/>
    <n v="3"/>
    <x v="1"/>
    <n v="2"/>
    <x v="2"/>
    <n v="2"/>
    <x v="0"/>
    <n v="2"/>
    <x v="1"/>
    <n v="2"/>
    <x v="0"/>
  </r>
  <r>
    <n v="1645"/>
    <n v="35"/>
    <x v="2"/>
    <x v="0"/>
    <n v="1"/>
    <x v="0"/>
    <n v="763"/>
    <x v="2"/>
    <x v="0"/>
    <n v="15"/>
    <x v="3"/>
    <n v="2"/>
    <x v="0"/>
    <x v="2"/>
    <n v="1"/>
    <n v="1"/>
    <x v="3"/>
    <x v="1"/>
    <n v="59"/>
    <x v="1"/>
    <n v="1"/>
    <x v="3"/>
    <n v="2"/>
    <x v="0"/>
    <n v="4"/>
    <x v="0"/>
    <x v="2"/>
    <n v="5440"/>
    <x v="1"/>
    <n v="22098"/>
    <x v="1"/>
    <n v="6"/>
    <x v="2"/>
    <s v="Y"/>
    <x v="0"/>
    <n v="14"/>
    <x v="2"/>
    <n v="3"/>
    <x v="0"/>
    <n v="4"/>
    <x v="1"/>
    <n v="80"/>
    <n v="2"/>
    <n v="7"/>
    <x v="0"/>
    <n v="2"/>
    <x v="0"/>
    <n v="2"/>
    <x v="2"/>
    <n v="2"/>
    <x v="2"/>
    <n v="2"/>
    <x v="0"/>
    <n v="2"/>
    <x v="1"/>
    <n v="2"/>
    <x v="0"/>
  </r>
  <r>
    <n v="1646"/>
    <n v="24"/>
    <x v="4"/>
    <x v="1"/>
    <n v="0"/>
    <x v="1"/>
    <n v="567"/>
    <x v="2"/>
    <x v="1"/>
    <n v="2"/>
    <x v="0"/>
    <n v="1"/>
    <x v="1"/>
    <x v="4"/>
    <n v="1"/>
    <n v="1"/>
    <x v="3"/>
    <x v="0"/>
    <n v="32"/>
    <x v="2"/>
    <n v="3"/>
    <x v="0"/>
    <n v="1"/>
    <x v="1"/>
    <n v="4"/>
    <x v="0"/>
    <x v="0"/>
    <n v="3760"/>
    <x v="3"/>
    <n v="17218"/>
    <x v="0"/>
    <n v="1"/>
    <x v="1"/>
    <s v="Y"/>
    <x v="0"/>
    <n v="13"/>
    <x v="2"/>
    <n v="3"/>
    <x v="0"/>
    <n v="3"/>
    <x v="3"/>
    <n v="80"/>
    <n v="0"/>
    <n v="6"/>
    <x v="0"/>
    <n v="2"/>
    <x v="0"/>
    <n v="3"/>
    <x v="1"/>
    <n v="6"/>
    <x v="0"/>
    <n v="3"/>
    <x v="0"/>
    <n v="1"/>
    <x v="0"/>
    <n v="3"/>
    <x v="0"/>
  </r>
  <r>
    <n v="1647"/>
    <n v="27"/>
    <x v="2"/>
    <x v="1"/>
    <n v="0"/>
    <x v="0"/>
    <n v="486"/>
    <x v="1"/>
    <x v="1"/>
    <n v="8"/>
    <x v="1"/>
    <n v="3"/>
    <x v="3"/>
    <x v="2"/>
    <n v="1"/>
    <n v="2"/>
    <x v="0"/>
    <x v="0"/>
    <n v="86"/>
    <x v="0"/>
    <n v="4"/>
    <x v="2"/>
    <n v="1"/>
    <x v="1"/>
    <n v="3"/>
    <x v="2"/>
    <x v="1"/>
    <n v="3517"/>
    <x v="3"/>
    <n v="22490"/>
    <x v="1"/>
    <n v="7"/>
    <x v="0"/>
    <s v="Y"/>
    <x v="1"/>
    <n v="17"/>
    <x v="3"/>
    <n v="3"/>
    <x v="0"/>
    <n v="1"/>
    <x v="0"/>
    <n v="80"/>
    <n v="0"/>
    <n v="5"/>
    <x v="3"/>
    <n v="0"/>
    <x v="0"/>
    <n v="3"/>
    <x v="1"/>
    <n v="3"/>
    <x v="2"/>
    <n v="2"/>
    <x v="0"/>
    <n v="0"/>
    <x v="0"/>
    <n v="2"/>
    <x v="0"/>
  </r>
  <r>
    <n v="1648"/>
    <n v="27"/>
    <x v="2"/>
    <x v="1"/>
    <n v="0"/>
    <x v="1"/>
    <n v="591"/>
    <x v="2"/>
    <x v="1"/>
    <n v="2"/>
    <x v="0"/>
    <n v="3"/>
    <x v="3"/>
    <x v="2"/>
    <n v="1"/>
    <n v="4"/>
    <x v="2"/>
    <x v="1"/>
    <n v="87"/>
    <x v="0"/>
    <n v="3"/>
    <x v="0"/>
    <n v="1"/>
    <x v="1"/>
    <n v="4"/>
    <x v="0"/>
    <x v="0"/>
    <n v="2580"/>
    <x v="3"/>
    <n v="6297"/>
    <x v="2"/>
    <n v="2"/>
    <x v="3"/>
    <s v="Y"/>
    <x v="1"/>
    <n v="13"/>
    <x v="2"/>
    <n v="3"/>
    <x v="0"/>
    <n v="3"/>
    <x v="3"/>
    <n v="80"/>
    <n v="0"/>
    <n v="6"/>
    <x v="0"/>
    <n v="0"/>
    <x v="0"/>
    <n v="2"/>
    <x v="2"/>
    <n v="4"/>
    <x v="2"/>
    <n v="2"/>
    <x v="0"/>
    <n v="1"/>
    <x v="0"/>
    <n v="2"/>
    <x v="0"/>
  </r>
  <r>
    <n v="1649"/>
    <n v="40"/>
    <x v="0"/>
    <x v="0"/>
    <n v="1"/>
    <x v="0"/>
    <n v="1329"/>
    <x v="0"/>
    <x v="1"/>
    <n v="7"/>
    <x v="1"/>
    <n v="3"/>
    <x v="3"/>
    <x v="0"/>
    <n v="1"/>
    <n v="1"/>
    <x v="3"/>
    <x v="1"/>
    <n v="73"/>
    <x v="1"/>
    <n v="3"/>
    <x v="0"/>
    <n v="1"/>
    <x v="2"/>
    <n v="1"/>
    <x v="3"/>
    <x v="0"/>
    <n v="2166"/>
    <x v="2"/>
    <n v="3339"/>
    <x v="2"/>
    <n v="3"/>
    <x v="3"/>
    <s v="Y"/>
    <x v="0"/>
    <n v="14"/>
    <x v="2"/>
    <n v="3"/>
    <x v="0"/>
    <n v="2"/>
    <x v="4"/>
    <n v="80"/>
    <n v="0"/>
    <n v="10"/>
    <x v="0"/>
    <n v="3"/>
    <x v="1"/>
    <n v="1"/>
    <x v="0"/>
    <n v="4"/>
    <x v="2"/>
    <n v="2"/>
    <x v="0"/>
    <n v="0"/>
    <x v="0"/>
    <n v="3"/>
    <x v="0"/>
  </r>
  <r>
    <n v="1650"/>
    <n v="29"/>
    <x v="2"/>
    <x v="1"/>
    <n v="0"/>
    <x v="0"/>
    <n v="469"/>
    <x v="1"/>
    <x v="0"/>
    <n v="10"/>
    <x v="1"/>
    <n v="3"/>
    <x v="3"/>
    <x v="2"/>
    <n v="1"/>
    <n v="3"/>
    <x v="1"/>
    <x v="1"/>
    <n v="42"/>
    <x v="2"/>
    <n v="2"/>
    <x v="1"/>
    <n v="2"/>
    <x v="0"/>
    <n v="3"/>
    <x v="2"/>
    <x v="0"/>
    <n v="5869"/>
    <x v="0"/>
    <n v="23413"/>
    <x v="1"/>
    <n v="9"/>
    <x v="0"/>
    <s v="Y"/>
    <x v="1"/>
    <n v="11"/>
    <x v="0"/>
    <n v="3"/>
    <x v="0"/>
    <n v="3"/>
    <x v="3"/>
    <n v="80"/>
    <n v="0"/>
    <n v="8"/>
    <x v="0"/>
    <n v="2"/>
    <x v="0"/>
    <n v="3"/>
    <x v="1"/>
    <n v="5"/>
    <x v="2"/>
    <n v="2"/>
    <x v="0"/>
    <n v="1"/>
    <x v="0"/>
    <n v="4"/>
    <x v="0"/>
  </r>
  <r>
    <n v="1651"/>
    <n v="36"/>
    <x v="0"/>
    <x v="1"/>
    <n v="0"/>
    <x v="0"/>
    <n v="711"/>
    <x v="2"/>
    <x v="1"/>
    <n v="5"/>
    <x v="0"/>
    <n v="4"/>
    <x v="2"/>
    <x v="0"/>
    <n v="1"/>
    <n v="2"/>
    <x v="0"/>
    <x v="0"/>
    <n v="42"/>
    <x v="2"/>
    <n v="3"/>
    <x v="0"/>
    <n v="3"/>
    <x v="4"/>
    <n v="1"/>
    <x v="3"/>
    <x v="1"/>
    <n v="8008"/>
    <x v="11"/>
    <n v="22792"/>
    <x v="1"/>
    <n v="4"/>
    <x v="2"/>
    <s v="Y"/>
    <x v="1"/>
    <n v="12"/>
    <x v="0"/>
    <n v="3"/>
    <x v="0"/>
    <n v="3"/>
    <x v="3"/>
    <n v="80"/>
    <n v="2"/>
    <n v="9"/>
    <x v="0"/>
    <n v="6"/>
    <x v="2"/>
    <n v="3"/>
    <x v="1"/>
    <n v="3"/>
    <x v="2"/>
    <n v="2"/>
    <x v="0"/>
    <n v="0"/>
    <x v="0"/>
    <n v="2"/>
    <x v="0"/>
  </r>
  <r>
    <n v="1653"/>
    <n v="25"/>
    <x v="4"/>
    <x v="1"/>
    <n v="0"/>
    <x v="1"/>
    <n v="772"/>
    <x v="2"/>
    <x v="1"/>
    <n v="2"/>
    <x v="0"/>
    <n v="1"/>
    <x v="1"/>
    <x v="0"/>
    <n v="1"/>
    <n v="4"/>
    <x v="2"/>
    <x v="1"/>
    <n v="77"/>
    <x v="0"/>
    <n v="4"/>
    <x v="2"/>
    <n v="2"/>
    <x v="3"/>
    <n v="3"/>
    <x v="2"/>
    <x v="2"/>
    <n v="5206"/>
    <x v="1"/>
    <n v="4973"/>
    <x v="2"/>
    <n v="1"/>
    <x v="1"/>
    <s v="Y"/>
    <x v="1"/>
    <n v="17"/>
    <x v="3"/>
    <n v="3"/>
    <x v="0"/>
    <n v="3"/>
    <x v="3"/>
    <n v="80"/>
    <n v="2"/>
    <n v="7"/>
    <x v="0"/>
    <n v="6"/>
    <x v="2"/>
    <n v="3"/>
    <x v="1"/>
    <n v="7"/>
    <x v="0"/>
    <n v="7"/>
    <x v="1"/>
    <n v="0"/>
    <x v="0"/>
    <n v="7"/>
    <x v="1"/>
  </r>
  <r>
    <n v="1654"/>
    <n v="39"/>
    <x v="0"/>
    <x v="1"/>
    <n v="0"/>
    <x v="0"/>
    <n v="492"/>
    <x v="1"/>
    <x v="1"/>
    <n v="12"/>
    <x v="3"/>
    <n v="3"/>
    <x v="3"/>
    <x v="2"/>
    <n v="1"/>
    <n v="4"/>
    <x v="2"/>
    <x v="1"/>
    <n v="66"/>
    <x v="1"/>
    <n v="3"/>
    <x v="0"/>
    <n v="2"/>
    <x v="3"/>
    <n v="2"/>
    <x v="1"/>
    <x v="1"/>
    <n v="5295"/>
    <x v="1"/>
    <n v="7693"/>
    <x v="2"/>
    <n v="4"/>
    <x v="2"/>
    <s v="Y"/>
    <x v="1"/>
    <n v="21"/>
    <x v="1"/>
    <n v="4"/>
    <x v="1"/>
    <n v="3"/>
    <x v="3"/>
    <n v="80"/>
    <n v="0"/>
    <n v="7"/>
    <x v="0"/>
    <n v="3"/>
    <x v="1"/>
    <n v="3"/>
    <x v="1"/>
    <n v="5"/>
    <x v="2"/>
    <n v="4"/>
    <x v="0"/>
    <n v="1"/>
    <x v="0"/>
    <n v="0"/>
    <x v="2"/>
  </r>
  <r>
    <n v="1655"/>
    <n v="49"/>
    <x v="1"/>
    <x v="1"/>
    <n v="0"/>
    <x v="0"/>
    <n v="301"/>
    <x v="1"/>
    <x v="1"/>
    <n v="22"/>
    <x v="2"/>
    <n v="4"/>
    <x v="2"/>
    <x v="1"/>
    <n v="1"/>
    <n v="1"/>
    <x v="3"/>
    <x v="0"/>
    <n v="72"/>
    <x v="1"/>
    <n v="3"/>
    <x v="0"/>
    <n v="4"/>
    <x v="7"/>
    <n v="2"/>
    <x v="1"/>
    <x v="1"/>
    <n v="16413"/>
    <x v="12"/>
    <n v="3498"/>
    <x v="2"/>
    <n v="3"/>
    <x v="3"/>
    <s v="Y"/>
    <x v="1"/>
    <n v="16"/>
    <x v="3"/>
    <n v="3"/>
    <x v="0"/>
    <n v="2"/>
    <x v="4"/>
    <n v="80"/>
    <n v="2"/>
    <n v="27"/>
    <x v="4"/>
    <n v="2"/>
    <x v="0"/>
    <n v="3"/>
    <x v="1"/>
    <n v="4"/>
    <x v="2"/>
    <n v="2"/>
    <x v="0"/>
    <n v="1"/>
    <x v="0"/>
    <n v="2"/>
    <x v="0"/>
  </r>
  <r>
    <n v="1656"/>
    <n v="50"/>
    <x v="1"/>
    <x v="1"/>
    <n v="0"/>
    <x v="0"/>
    <n v="813"/>
    <x v="2"/>
    <x v="1"/>
    <n v="17"/>
    <x v="3"/>
    <n v="5"/>
    <x v="4"/>
    <x v="0"/>
    <n v="1"/>
    <n v="4"/>
    <x v="2"/>
    <x v="0"/>
    <n v="50"/>
    <x v="2"/>
    <n v="2"/>
    <x v="1"/>
    <n v="3"/>
    <x v="7"/>
    <n v="1"/>
    <x v="3"/>
    <x v="2"/>
    <n v="13269"/>
    <x v="10"/>
    <n v="21981"/>
    <x v="0"/>
    <n v="5"/>
    <x v="2"/>
    <s v="Y"/>
    <x v="1"/>
    <n v="15"/>
    <x v="2"/>
    <n v="3"/>
    <x v="0"/>
    <n v="3"/>
    <x v="3"/>
    <n v="80"/>
    <n v="3"/>
    <n v="19"/>
    <x v="1"/>
    <n v="3"/>
    <x v="1"/>
    <n v="3"/>
    <x v="1"/>
    <n v="14"/>
    <x v="4"/>
    <n v="11"/>
    <x v="3"/>
    <n v="1"/>
    <x v="0"/>
    <n v="11"/>
    <x v="3"/>
  </r>
  <r>
    <n v="1657"/>
    <n v="20"/>
    <x v="4"/>
    <x v="1"/>
    <n v="0"/>
    <x v="0"/>
    <n v="1141"/>
    <x v="0"/>
    <x v="0"/>
    <n v="2"/>
    <x v="0"/>
    <n v="3"/>
    <x v="3"/>
    <x v="2"/>
    <n v="1"/>
    <n v="3"/>
    <x v="1"/>
    <x v="0"/>
    <n v="31"/>
    <x v="2"/>
    <n v="3"/>
    <x v="0"/>
    <n v="1"/>
    <x v="6"/>
    <n v="3"/>
    <x v="2"/>
    <x v="0"/>
    <n v="2783"/>
    <x v="3"/>
    <n v="13251"/>
    <x v="3"/>
    <n v="1"/>
    <x v="1"/>
    <s v="Y"/>
    <x v="1"/>
    <n v="19"/>
    <x v="1"/>
    <n v="3"/>
    <x v="0"/>
    <n v="1"/>
    <x v="0"/>
    <n v="80"/>
    <n v="0"/>
    <n v="2"/>
    <x v="2"/>
    <n v="3"/>
    <x v="1"/>
    <n v="3"/>
    <x v="1"/>
    <n v="2"/>
    <x v="2"/>
    <n v="2"/>
    <x v="0"/>
    <n v="2"/>
    <x v="1"/>
    <n v="2"/>
    <x v="0"/>
  </r>
  <r>
    <n v="1658"/>
    <n v="34"/>
    <x v="2"/>
    <x v="1"/>
    <n v="0"/>
    <x v="0"/>
    <n v="1130"/>
    <x v="0"/>
    <x v="1"/>
    <n v="3"/>
    <x v="0"/>
    <n v="3"/>
    <x v="3"/>
    <x v="0"/>
    <n v="1"/>
    <n v="4"/>
    <x v="2"/>
    <x v="0"/>
    <n v="66"/>
    <x v="1"/>
    <n v="3"/>
    <x v="0"/>
    <n v="2"/>
    <x v="1"/>
    <n v="2"/>
    <x v="1"/>
    <x v="2"/>
    <n v="5433"/>
    <x v="1"/>
    <n v="19332"/>
    <x v="0"/>
    <n v="1"/>
    <x v="1"/>
    <s v="Y"/>
    <x v="1"/>
    <n v="12"/>
    <x v="0"/>
    <n v="3"/>
    <x v="0"/>
    <n v="3"/>
    <x v="3"/>
    <n v="80"/>
    <n v="1"/>
    <n v="11"/>
    <x v="1"/>
    <n v="2"/>
    <x v="0"/>
    <n v="3"/>
    <x v="1"/>
    <n v="11"/>
    <x v="4"/>
    <n v="8"/>
    <x v="1"/>
    <n v="7"/>
    <x v="2"/>
    <n v="9"/>
    <x v="1"/>
  </r>
  <r>
    <n v="1659"/>
    <n v="36"/>
    <x v="0"/>
    <x v="1"/>
    <n v="0"/>
    <x v="0"/>
    <n v="311"/>
    <x v="1"/>
    <x v="1"/>
    <n v="7"/>
    <x v="1"/>
    <n v="3"/>
    <x v="3"/>
    <x v="0"/>
    <n v="1"/>
    <n v="1"/>
    <x v="3"/>
    <x v="1"/>
    <n v="77"/>
    <x v="0"/>
    <n v="3"/>
    <x v="0"/>
    <n v="1"/>
    <x v="2"/>
    <n v="2"/>
    <x v="1"/>
    <x v="0"/>
    <n v="2013"/>
    <x v="2"/>
    <n v="10950"/>
    <x v="3"/>
    <n v="2"/>
    <x v="3"/>
    <s v="Y"/>
    <x v="1"/>
    <n v="11"/>
    <x v="0"/>
    <n v="3"/>
    <x v="0"/>
    <n v="3"/>
    <x v="3"/>
    <n v="80"/>
    <n v="0"/>
    <n v="15"/>
    <x v="1"/>
    <n v="4"/>
    <x v="1"/>
    <n v="3"/>
    <x v="1"/>
    <n v="4"/>
    <x v="2"/>
    <n v="3"/>
    <x v="0"/>
    <n v="1"/>
    <x v="0"/>
    <n v="3"/>
    <x v="0"/>
  </r>
  <r>
    <n v="1661"/>
    <n v="49"/>
    <x v="1"/>
    <x v="1"/>
    <n v="0"/>
    <x v="0"/>
    <n v="465"/>
    <x v="1"/>
    <x v="1"/>
    <n v="6"/>
    <x v="1"/>
    <n v="1"/>
    <x v="1"/>
    <x v="0"/>
    <n v="1"/>
    <n v="3"/>
    <x v="1"/>
    <x v="0"/>
    <n v="41"/>
    <x v="2"/>
    <n v="2"/>
    <x v="1"/>
    <n v="4"/>
    <x v="4"/>
    <n v="3"/>
    <x v="2"/>
    <x v="1"/>
    <n v="13966"/>
    <x v="10"/>
    <n v="11652"/>
    <x v="3"/>
    <n v="2"/>
    <x v="3"/>
    <s v="Y"/>
    <x v="0"/>
    <n v="19"/>
    <x v="1"/>
    <n v="3"/>
    <x v="0"/>
    <n v="2"/>
    <x v="4"/>
    <n v="80"/>
    <n v="1"/>
    <n v="30"/>
    <x v="4"/>
    <n v="3"/>
    <x v="1"/>
    <n v="3"/>
    <x v="1"/>
    <n v="15"/>
    <x v="4"/>
    <n v="11"/>
    <x v="3"/>
    <n v="2"/>
    <x v="1"/>
    <n v="12"/>
    <x v="3"/>
  </r>
  <r>
    <n v="1662"/>
    <n v="36"/>
    <x v="0"/>
    <x v="1"/>
    <n v="0"/>
    <x v="2"/>
    <n v="894"/>
    <x v="2"/>
    <x v="1"/>
    <n v="1"/>
    <x v="0"/>
    <n v="4"/>
    <x v="2"/>
    <x v="2"/>
    <n v="1"/>
    <n v="4"/>
    <x v="2"/>
    <x v="0"/>
    <n v="33"/>
    <x v="2"/>
    <n v="2"/>
    <x v="1"/>
    <n v="2"/>
    <x v="3"/>
    <n v="3"/>
    <x v="2"/>
    <x v="1"/>
    <n v="4374"/>
    <x v="1"/>
    <n v="15411"/>
    <x v="3"/>
    <n v="0"/>
    <x v="1"/>
    <s v="Y"/>
    <x v="1"/>
    <n v="15"/>
    <x v="2"/>
    <n v="3"/>
    <x v="0"/>
    <n v="3"/>
    <x v="3"/>
    <n v="80"/>
    <n v="0"/>
    <n v="4"/>
    <x v="3"/>
    <n v="6"/>
    <x v="2"/>
    <n v="3"/>
    <x v="1"/>
    <n v="3"/>
    <x v="2"/>
    <n v="2"/>
    <x v="0"/>
    <n v="1"/>
    <x v="0"/>
    <n v="2"/>
    <x v="0"/>
  </r>
  <r>
    <n v="1664"/>
    <n v="36"/>
    <x v="0"/>
    <x v="1"/>
    <n v="0"/>
    <x v="0"/>
    <n v="1040"/>
    <x v="0"/>
    <x v="1"/>
    <n v="3"/>
    <x v="0"/>
    <n v="2"/>
    <x v="0"/>
    <x v="0"/>
    <n v="1"/>
    <n v="4"/>
    <x v="2"/>
    <x v="1"/>
    <n v="79"/>
    <x v="0"/>
    <n v="4"/>
    <x v="2"/>
    <n v="2"/>
    <x v="4"/>
    <n v="1"/>
    <x v="3"/>
    <x v="2"/>
    <n v="6842"/>
    <x v="0"/>
    <n v="26308"/>
    <x v="1"/>
    <n v="6"/>
    <x v="2"/>
    <s v="Y"/>
    <x v="1"/>
    <n v="20"/>
    <x v="1"/>
    <n v="4"/>
    <x v="1"/>
    <n v="1"/>
    <x v="0"/>
    <n v="80"/>
    <n v="1"/>
    <n v="13"/>
    <x v="1"/>
    <n v="3"/>
    <x v="1"/>
    <n v="3"/>
    <x v="1"/>
    <n v="5"/>
    <x v="2"/>
    <n v="4"/>
    <x v="0"/>
    <n v="0"/>
    <x v="0"/>
    <n v="4"/>
    <x v="0"/>
  </r>
  <r>
    <n v="1665"/>
    <n v="54"/>
    <x v="1"/>
    <x v="1"/>
    <n v="0"/>
    <x v="0"/>
    <n v="584"/>
    <x v="2"/>
    <x v="1"/>
    <n v="22"/>
    <x v="2"/>
    <n v="5"/>
    <x v="4"/>
    <x v="2"/>
    <n v="1"/>
    <n v="2"/>
    <x v="0"/>
    <x v="0"/>
    <n v="91"/>
    <x v="0"/>
    <n v="3"/>
    <x v="0"/>
    <n v="4"/>
    <x v="5"/>
    <n v="3"/>
    <x v="2"/>
    <x v="1"/>
    <n v="17426"/>
    <x v="12"/>
    <n v="18685"/>
    <x v="0"/>
    <n v="3"/>
    <x v="3"/>
    <s v="Y"/>
    <x v="1"/>
    <n v="25"/>
    <x v="1"/>
    <n v="4"/>
    <x v="1"/>
    <n v="3"/>
    <x v="3"/>
    <n v="80"/>
    <n v="1"/>
    <n v="36"/>
    <x v="4"/>
    <n v="6"/>
    <x v="2"/>
    <n v="3"/>
    <x v="1"/>
    <n v="10"/>
    <x v="0"/>
    <n v="8"/>
    <x v="1"/>
    <n v="4"/>
    <x v="1"/>
    <n v="7"/>
    <x v="1"/>
  </r>
  <r>
    <n v="1666"/>
    <n v="43"/>
    <x v="0"/>
    <x v="1"/>
    <n v="0"/>
    <x v="0"/>
    <n v="1291"/>
    <x v="0"/>
    <x v="1"/>
    <n v="15"/>
    <x v="3"/>
    <n v="2"/>
    <x v="0"/>
    <x v="0"/>
    <n v="1"/>
    <n v="3"/>
    <x v="1"/>
    <x v="1"/>
    <n v="65"/>
    <x v="1"/>
    <n v="2"/>
    <x v="1"/>
    <n v="4"/>
    <x v="7"/>
    <n v="3"/>
    <x v="2"/>
    <x v="1"/>
    <n v="17603"/>
    <x v="9"/>
    <n v="3525"/>
    <x v="2"/>
    <n v="1"/>
    <x v="1"/>
    <s v="Y"/>
    <x v="1"/>
    <n v="24"/>
    <x v="1"/>
    <n v="4"/>
    <x v="1"/>
    <n v="1"/>
    <x v="0"/>
    <n v="80"/>
    <n v="1"/>
    <n v="14"/>
    <x v="1"/>
    <n v="3"/>
    <x v="1"/>
    <n v="3"/>
    <x v="1"/>
    <n v="14"/>
    <x v="4"/>
    <n v="10"/>
    <x v="1"/>
    <n v="6"/>
    <x v="2"/>
    <n v="11"/>
    <x v="3"/>
  </r>
  <r>
    <n v="1667"/>
    <n v="35"/>
    <x v="2"/>
    <x v="0"/>
    <n v="1"/>
    <x v="1"/>
    <n v="880"/>
    <x v="2"/>
    <x v="0"/>
    <n v="12"/>
    <x v="3"/>
    <n v="4"/>
    <x v="2"/>
    <x v="1"/>
    <n v="1"/>
    <n v="4"/>
    <x v="2"/>
    <x v="1"/>
    <n v="36"/>
    <x v="2"/>
    <n v="3"/>
    <x v="0"/>
    <n v="2"/>
    <x v="0"/>
    <n v="4"/>
    <x v="0"/>
    <x v="0"/>
    <n v="4581"/>
    <x v="1"/>
    <n v="10414"/>
    <x v="3"/>
    <n v="3"/>
    <x v="3"/>
    <s v="Y"/>
    <x v="0"/>
    <n v="24"/>
    <x v="1"/>
    <n v="4"/>
    <x v="1"/>
    <n v="1"/>
    <x v="0"/>
    <n v="80"/>
    <n v="0"/>
    <n v="13"/>
    <x v="1"/>
    <n v="2"/>
    <x v="0"/>
    <n v="4"/>
    <x v="3"/>
    <n v="11"/>
    <x v="4"/>
    <n v="9"/>
    <x v="1"/>
    <n v="6"/>
    <x v="2"/>
    <n v="7"/>
    <x v="1"/>
  </r>
  <r>
    <n v="1668"/>
    <n v="38"/>
    <x v="0"/>
    <x v="1"/>
    <n v="0"/>
    <x v="1"/>
    <n v="1189"/>
    <x v="0"/>
    <x v="1"/>
    <n v="1"/>
    <x v="0"/>
    <n v="3"/>
    <x v="3"/>
    <x v="0"/>
    <n v="1"/>
    <n v="4"/>
    <x v="2"/>
    <x v="1"/>
    <n v="90"/>
    <x v="0"/>
    <n v="3"/>
    <x v="0"/>
    <n v="2"/>
    <x v="1"/>
    <n v="4"/>
    <x v="0"/>
    <x v="1"/>
    <n v="4735"/>
    <x v="1"/>
    <n v="9867"/>
    <x v="3"/>
    <n v="7"/>
    <x v="0"/>
    <s v="Y"/>
    <x v="1"/>
    <n v="15"/>
    <x v="2"/>
    <n v="3"/>
    <x v="0"/>
    <n v="4"/>
    <x v="1"/>
    <n v="80"/>
    <n v="2"/>
    <n v="19"/>
    <x v="1"/>
    <n v="4"/>
    <x v="1"/>
    <n v="4"/>
    <x v="3"/>
    <n v="13"/>
    <x v="4"/>
    <n v="11"/>
    <x v="3"/>
    <n v="2"/>
    <x v="1"/>
    <n v="9"/>
    <x v="1"/>
  </r>
  <r>
    <n v="1669"/>
    <n v="29"/>
    <x v="2"/>
    <x v="1"/>
    <n v="0"/>
    <x v="0"/>
    <n v="991"/>
    <x v="2"/>
    <x v="0"/>
    <n v="5"/>
    <x v="0"/>
    <n v="3"/>
    <x v="3"/>
    <x v="2"/>
    <n v="1"/>
    <n v="1"/>
    <x v="3"/>
    <x v="1"/>
    <n v="43"/>
    <x v="2"/>
    <n v="2"/>
    <x v="1"/>
    <n v="2"/>
    <x v="0"/>
    <n v="2"/>
    <x v="1"/>
    <x v="2"/>
    <n v="4187"/>
    <x v="1"/>
    <n v="3356"/>
    <x v="2"/>
    <n v="1"/>
    <x v="1"/>
    <s v="Y"/>
    <x v="0"/>
    <n v="13"/>
    <x v="2"/>
    <n v="3"/>
    <x v="0"/>
    <n v="2"/>
    <x v="4"/>
    <n v="80"/>
    <n v="1"/>
    <n v="10"/>
    <x v="0"/>
    <n v="3"/>
    <x v="1"/>
    <n v="2"/>
    <x v="2"/>
    <n v="10"/>
    <x v="0"/>
    <n v="0"/>
    <x v="2"/>
    <n v="0"/>
    <x v="0"/>
    <n v="9"/>
    <x v="1"/>
  </r>
  <r>
    <n v="1670"/>
    <n v="33"/>
    <x v="2"/>
    <x v="1"/>
    <n v="0"/>
    <x v="0"/>
    <n v="392"/>
    <x v="1"/>
    <x v="0"/>
    <n v="2"/>
    <x v="0"/>
    <n v="4"/>
    <x v="2"/>
    <x v="2"/>
    <n v="1"/>
    <n v="4"/>
    <x v="2"/>
    <x v="1"/>
    <n v="93"/>
    <x v="0"/>
    <n v="3"/>
    <x v="0"/>
    <n v="2"/>
    <x v="0"/>
    <n v="4"/>
    <x v="0"/>
    <x v="2"/>
    <n v="5505"/>
    <x v="0"/>
    <n v="3921"/>
    <x v="2"/>
    <n v="1"/>
    <x v="1"/>
    <s v="Y"/>
    <x v="1"/>
    <n v="14"/>
    <x v="2"/>
    <n v="3"/>
    <x v="0"/>
    <n v="3"/>
    <x v="3"/>
    <n v="80"/>
    <n v="2"/>
    <n v="6"/>
    <x v="0"/>
    <n v="5"/>
    <x v="2"/>
    <n v="3"/>
    <x v="1"/>
    <n v="6"/>
    <x v="0"/>
    <n v="2"/>
    <x v="0"/>
    <n v="0"/>
    <x v="0"/>
    <n v="4"/>
    <x v="0"/>
  </r>
  <r>
    <n v="1671"/>
    <n v="32"/>
    <x v="2"/>
    <x v="1"/>
    <n v="0"/>
    <x v="0"/>
    <n v="977"/>
    <x v="2"/>
    <x v="1"/>
    <n v="2"/>
    <x v="0"/>
    <n v="3"/>
    <x v="3"/>
    <x v="2"/>
    <n v="1"/>
    <n v="4"/>
    <x v="2"/>
    <x v="1"/>
    <n v="45"/>
    <x v="2"/>
    <n v="3"/>
    <x v="0"/>
    <n v="2"/>
    <x v="1"/>
    <n v="2"/>
    <x v="1"/>
    <x v="2"/>
    <n v="5470"/>
    <x v="1"/>
    <n v="25518"/>
    <x v="1"/>
    <n v="0"/>
    <x v="1"/>
    <s v="Y"/>
    <x v="1"/>
    <n v="13"/>
    <x v="2"/>
    <n v="3"/>
    <x v="0"/>
    <n v="3"/>
    <x v="3"/>
    <n v="80"/>
    <n v="2"/>
    <n v="10"/>
    <x v="0"/>
    <n v="4"/>
    <x v="1"/>
    <n v="2"/>
    <x v="2"/>
    <n v="9"/>
    <x v="0"/>
    <n v="5"/>
    <x v="0"/>
    <n v="1"/>
    <x v="0"/>
    <n v="6"/>
    <x v="1"/>
  </r>
  <r>
    <n v="1673"/>
    <n v="31"/>
    <x v="2"/>
    <x v="1"/>
    <n v="0"/>
    <x v="0"/>
    <n v="1112"/>
    <x v="0"/>
    <x v="0"/>
    <n v="5"/>
    <x v="0"/>
    <n v="4"/>
    <x v="2"/>
    <x v="0"/>
    <n v="1"/>
    <n v="1"/>
    <x v="3"/>
    <x v="0"/>
    <n v="67"/>
    <x v="1"/>
    <n v="3"/>
    <x v="0"/>
    <n v="2"/>
    <x v="0"/>
    <n v="4"/>
    <x v="0"/>
    <x v="1"/>
    <n v="5476"/>
    <x v="1"/>
    <n v="22589"/>
    <x v="1"/>
    <n v="1"/>
    <x v="1"/>
    <s v="Y"/>
    <x v="1"/>
    <n v="11"/>
    <x v="0"/>
    <n v="3"/>
    <x v="0"/>
    <n v="1"/>
    <x v="0"/>
    <n v="80"/>
    <n v="2"/>
    <n v="10"/>
    <x v="0"/>
    <n v="2"/>
    <x v="0"/>
    <n v="3"/>
    <x v="1"/>
    <n v="10"/>
    <x v="0"/>
    <n v="0"/>
    <x v="2"/>
    <n v="0"/>
    <x v="0"/>
    <n v="2"/>
    <x v="0"/>
  </r>
  <r>
    <n v="1674"/>
    <n v="49"/>
    <x v="1"/>
    <x v="1"/>
    <n v="0"/>
    <x v="0"/>
    <n v="464"/>
    <x v="1"/>
    <x v="1"/>
    <n v="16"/>
    <x v="3"/>
    <n v="3"/>
    <x v="3"/>
    <x v="2"/>
    <n v="1"/>
    <n v="4"/>
    <x v="2"/>
    <x v="0"/>
    <n v="74"/>
    <x v="1"/>
    <n v="3"/>
    <x v="0"/>
    <n v="1"/>
    <x v="2"/>
    <n v="1"/>
    <x v="3"/>
    <x v="2"/>
    <n v="2587"/>
    <x v="3"/>
    <n v="24941"/>
    <x v="1"/>
    <n v="4"/>
    <x v="2"/>
    <s v="Y"/>
    <x v="0"/>
    <n v="16"/>
    <x v="3"/>
    <n v="3"/>
    <x v="0"/>
    <n v="2"/>
    <x v="4"/>
    <n v="80"/>
    <n v="1"/>
    <n v="17"/>
    <x v="1"/>
    <n v="2"/>
    <x v="0"/>
    <n v="2"/>
    <x v="2"/>
    <n v="2"/>
    <x v="2"/>
    <n v="2"/>
    <x v="0"/>
    <n v="2"/>
    <x v="1"/>
    <n v="2"/>
    <x v="0"/>
  </r>
  <r>
    <n v="1675"/>
    <n v="38"/>
    <x v="0"/>
    <x v="1"/>
    <n v="0"/>
    <x v="1"/>
    <n v="148"/>
    <x v="1"/>
    <x v="1"/>
    <n v="2"/>
    <x v="0"/>
    <n v="3"/>
    <x v="3"/>
    <x v="2"/>
    <n v="1"/>
    <n v="4"/>
    <x v="2"/>
    <x v="0"/>
    <n v="42"/>
    <x v="2"/>
    <n v="2"/>
    <x v="1"/>
    <n v="1"/>
    <x v="2"/>
    <n v="2"/>
    <x v="1"/>
    <x v="0"/>
    <n v="2440"/>
    <x v="2"/>
    <n v="23826"/>
    <x v="1"/>
    <n v="1"/>
    <x v="1"/>
    <s v="Y"/>
    <x v="1"/>
    <n v="22"/>
    <x v="1"/>
    <n v="4"/>
    <x v="1"/>
    <n v="2"/>
    <x v="4"/>
    <n v="80"/>
    <n v="0"/>
    <n v="4"/>
    <x v="3"/>
    <n v="3"/>
    <x v="1"/>
    <n v="3"/>
    <x v="1"/>
    <n v="4"/>
    <x v="2"/>
    <n v="3"/>
    <x v="0"/>
    <n v="3"/>
    <x v="1"/>
    <n v="3"/>
    <x v="0"/>
  </r>
  <r>
    <n v="1676"/>
    <n v="47"/>
    <x v="1"/>
    <x v="1"/>
    <n v="0"/>
    <x v="0"/>
    <n v="1225"/>
    <x v="0"/>
    <x v="0"/>
    <n v="2"/>
    <x v="0"/>
    <n v="4"/>
    <x v="2"/>
    <x v="0"/>
    <n v="1"/>
    <n v="2"/>
    <x v="0"/>
    <x v="0"/>
    <n v="47"/>
    <x v="2"/>
    <n v="4"/>
    <x v="2"/>
    <n v="4"/>
    <x v="5"/>
    <n v="2"/>
    <x v="1"/>
    <x v="2"/>
    <n v="15972"/>
    <x v="5"/>
    <n v="21086"/>
    <x v="0"/>
    <n v="6"/>
    <x v="2"/>
    <s v="Y"/>
    <x v="1"/>
    <n v="14"/>
    <x v="2"/>
    <n v="3"/>
    <x v="0"/>
    <n v="3"/>
    <x v="3"/>
    <n v="80"/>
    <n v="3"/>
    <n v="29"/>
    <x v="4"/>
    <n v="2"/>
    <x v="0"/>
    <n v="3"/>
    <x v="1"/>
    <n v="3"/>
    <x v="2"/>
    <n v="2"/>
    <x v="0"/>
    <n v="1"/>
    <x v="0"/>
    <n v="2"/>
    <x v="0"/>
  </r>
  <r>
    <n v="1677"/>
    <n v="49"/>
    <x v="1"/>
    <x v="1"/>
    <n v="0"/>
    <x v="0"/>
    <n v="809"/>
    <x v="2"/>
    <x v="1"/>
    <n v="1"/>
    <x v="0"/>
    <n v="3"/>
    <x v="3"/>
    <x v="0"/>
    <n v="1"/>
    <n v="3"/>
    <x v="1"/>
    <x v="1"/>
    <n v="36"/>
    <x v="2"/>
    <n v="3"/>
    <x v="0"/>
    <n v="4"/>
    <x v="5"/>
    <n v="3"/>
    <x v="2"/>
    <x v="0"/>
    <n v="15379"/>
    <x v="5"/>
    <n v="22384"/>
    <x v="1"/>
    <n v="4"/>
    <x v="2"/>
    <s v="Y"/>
    <x v="1"/>
    <n v="14"/>
    <x v="2"/>
    <n v="3"/>
    <x v="0"/>
    <n v="1"/>
    <x v="0"/>
    <n v="80"/>
    <n v="0"/>
    <n v="23"/>
    <x v="4"/>
    <n v="2"/>
    <x v="0"/>
    <n v="3"/>
    <x v="1"/>
    <n v="8"/>
    <x v="0"/>
    <n v="7"/>
    <x v="1"/>
    <n v="0"/>
    <x v="0"/>
    <n v="0"/>
    <x v="2"/>
  </r>
  <r>
    <n v="1678"/>
    <n v="41"/>
    <x v="0"/>
    <x v="1"/>
    <n v="0"/>
    <x v="0"/>
    <n v="1206"/>
    <x v="0"/>
    <x v="0"/>
    <n v="23"/>
    <x v="2"/>
    <n v="2"/>
    <x v="0"/>
    <x v="0"/>
    <n v="1"/>
    <n v="4"/>
    <x v="2"/>
    <x v="1"/>
    <n v="80"/>
    <x v="0"/>
    <n v="3"/>
    <x v="0"/>
    <n v="3"/>
    <x v="0"/>
    <n v="3"/>
    <x v="2"/>
    <x v="0"/>
    <n v="7082"/>
    <x v="11"/>
    <n v="11591"/>
    <x v="3"/>
    <n v="3"/>
    <x v="3"/>
    <s v="Y"/>
    <x v="0"/>
    <n v="16"/>
    <x v="3"/>
    <n v="3"/>
    <x v="0"/>
    <n v="4"/>
    <x v="1"/>
    <n v="80"/>
    <n v="0"/>
    <n v="21"/>
    <x v="4"/>
    <n v="2"/>
    <x v="0"/>
    <n v="3"/>
    <x v="1"/>
    <n v="2"/>
    <x v="2"/>
    <n v="0"/>
    <x v="2"/>
    <n v="0"/>
    <x v="0"/>
    <n v="2"/>
    <x v="0"/>
  </r>
  <r>
    <n v="1680"/>
    <n v="20"/>
    <x v="4"/>
    <x v="1"/>
    <n v="0"/>
    <x v="0"/>
    <n v="727"/>
    <x v="2"/>
    <x v="0"/>
    <n v="9"/>
    <x v="1"/>
    <n v="1"/>
    <x v="1"/>
    <x v="0"/>
    <n v="1"/>
    <n v="4"/>
    <x v="2"/>
    <x v="1"/>
    <n v="54"/>
    <x v="1"/>
    <n v="3"/>
    <x v="0"/>
    <n v="1"/>
    <x v="6"/>
    <n v="1"/>
    <x v="3"/>
    <x v="0"/>
    <n v="2728"/>
    <x v="3"/>
    <n v="21082"/>
    <x v="0"/>
    <n v="1"/>
    <x v="1"/>
    <s v="Y"/>
    <x v="1"/>
    <n v="11"/>
    <x v="0"/>
    <n v="3"/>
    <x v="0"/>
    <n v="1"/>
    <x v="0"/>
    <n v="80"/>
    <n v="0"/>
    <n v="2"/>
    <x v="2"/>
    <n v="3"/>
    <x v="1"/>
    <n v="3"/>
    <x v="1"/>
    <n v="2"/>
    <x v="2"/>
    <n v="2"/>
    <x v="0"/>
    <n v="0"/>
    <x v="0"/>
    <n v="2"/>
    <x v="0"/>
  </r>
  <r>
    <n v="1681"/>
    <n v="33"/>
    <x v="2"/>
    <x v="1"/>
    <n v="0"/>
    <x v="2"/>
    <n v="530"/>
    <x v="2"/>
    <x v="0"/>
    <n v="16"/>
    <x v="3"/>
    <n v="3"/>
    <x v="3"/>
    <x v="0"/>
    <n v="1"/>
    <n v="3"/>
    <x v="1"/>
    <x v="0"/>
    <n v="36"/>
    <x v="2"/>
    <n v="3"/>
    <x v="0"/>
    <n v="2"/>
    <x v="0"/>
    <n v="4"/>
    <x v="0"/>
    <x v="2"/>
    <n v="5368"/>
    <x v="1"/>
    <n v="16130"/>
    <x v="0"/>
    <n v="1"/>
    <x v="1"/>
    <s v="Y"/>
    <x v="0"/>
    <n v="25"/>
    <x v="1"/>
    <n v="4"/>
    <x v="1"/>
    <n v="3"/>
    <x v="3"/>
    <n v="80"/>
    <n v="1"/>
    <n v="7"/>
    <x v="0"/>
    <n v="2"/>
    <x v="0"/>
    <n v="3"/>
    <x v="1"/>
    <n v="6"/>
    <x v="0"/>
    <n v="5"/>
    <x v="0"/>
    <n v="1"/>
    <x v="0"/>
    <n v="2"/>
    <x v="0"/>
  </r>
  <r>
    <n v="1682"/>
    <n v="36"/>
    <x v="0"/>
    <x v="1"/>
    <n v="0"/>
    <x v="0"/>
    <n v="1351"/>
    <x v="0"/>
    <x v="1"/>
    <n v="26"/>
    <x v="2"/>
    <n v="4"/>
    <x v="2"/>
    <x v="0"/>
    <n v="1"/>
    <n v="1"/>
    <x v="3"/>
    <x v="1"/>
    <n v="80"/>
    <x v="0"/>
    <n v="3"/>
    <x v="0"/>
    <n v="2"/>
    <x v="4"/>
    <n v="3"/>
    <x v="2"/>
    <x v="1"/>
    <n v="5347"/>
    <x v="1"/>
    <n v="7419"/>
    <x v="2"/>
    <n v="6"/>
    <x v="2"/>
    <s v="Y"/>
    <x v="1"/>
    <n v="14"/>
    <x v="2"/>
    <n v="3"/>
    <x v="0"/>
    <n v="2"/>
    <x v="4"/>
    <n v="80"/>
    <n v="2"/>
    <n v="10"/>
    <x v="0"/>
    <n v="2"/>
    <x v="0"/>
    <n v="2"/>
    <x v="2"/>
    <n v="3"/>
    <x v="2"/>
    <n v="2"/>
    <x v="0"/>
    <n v="0"/>
    <x v="0"/>
    <n v="2"/>
    <x v="0"/>
  </r>
  <r>
    <n v="1683"/>
    <n v="44"/>
    <x v="0"/>
    <x v="1"/>
    <n v="0"/>
    <x v="0"/>
    <n v="528"/>
    <x v="2"/>
    <x v="2"/>
    <n v="1"/>
    <x v="0"/>
    <n v="3"/>
    <x v="3"/>
    <x v="0"/>
    <n v="1"/>
    <n v="3"/>
    <x v="1"/>
    <x v="0"/>
    <n v="44"/>
    <x v="2"/>
    <n v="3"/>
    <x v="0"/>
    <n v="1"/>
    <x v="8"/>
    <n v="4"/>
    <x v="0"/>
    <x v="2"/>
    <n v="3195"/>
    <x v="3"/>
    <n v="4167"/>
    <x v="2"/>
    <n v="4"/>
    <x v="2"/>
    <s v="Y"/>
    <x v="0"/>
    <n v="18"/>
    <x v="1"/>
    <n v="3"/>
    <x v="0"/>
    <n v="1"/>
    <x v="0"/>
    <n v="80"/>
    <n v="3"/>
    <n v="8"/>
    <x v="0"/>
    <n v="2"/>
    <x v="0"/>
    <n v="3"/>
    <x v="1"/>
    <n v="2"/>
    <x v="2"/>
    <n v="2"/>
    <x v="0"/>
    <n v="2"/>
    <x v="1"/>
    <n v="2"/>
    <x v="0"/>
  </r>
  <r>
    <n v="1684"/>
    <n v="23"/>
    <x v="4"/>
    <x v="0"/>
    <n v="1"/>
    <x v="0"/>
    <n v="1320"/>
    <x v="0"/>
    <x v="1"/>
    <n v="8"/>
    <x v="1"/>
    <n v="1"/>
    <x v="1"/>
    <x v="2"/>
    <n v="1"/>
    <n v="4"/>
    <x v="2"/>
    <x v="1"/>
    <n v="93"/>
    <x v="0"/>
    <n v="2"/>
    <x v="1"/>
    <n v="1"/>
    <x v="2"/>
    <n v="3"/>
    <x v="2"/>
    <x v="0"/>
    <n v="3989"/>
    <x v="3"/>
    <n v="20586"/>
    <x v="0"/>
    <n v="1"/>
    <x v="1"/>
    <s v="Y"/>
    <x v="0"/>
    <n v="11"/>
    <x v="0"/>
    <n v="3"/>
    <x v="0"/>
    <n v="1"/>
    <x v="0"/>
    <n v="80"/>
    <n v="0"/>
    <n v="5"/>
    <x v="3"/>
    <n v="2"/>
    <x v="0"/>
    <n v="3"/>
    <x v="1"/>
    <n v="5"/>
    <x v="2"/>
    <n v="4"/>
    <x v="0"/>
    <n v="1"/>
    <x v="0"/>
    <n v="2"/>
    <x v="0"/>
  </r>
  <r>
    <n v="1687"/>
    <n v="38"/>
    <x v="0"/>
    <x v="1"/>
    <n v="0"/>
    <x v="0"/>
    <n v="1495"/>
    <x v="0"/>
    <x v="1"/>
    <n v="4"/>
    <x v="0"/>
    <n v="2"/>
    <x v="0"/>
    <x v="2"/>
    <n v="1"/>
    <n v="4"/>
    <x v="2"/>
    <x v="0"/>
    <n v="87"/>
    <x v="0"/>
    <n v="3"/>
    <x v="0"/>
    <n v="1"/>
    <x v="2"/>
    <n v="3"/>
    <x v="2"/>
    <x v="1"/>
    <n v="3306"/>
    <x v="3"/>
    <n v="26176"/>
    <x v="1"/>
    <n v="7"/>
    <x v="0"/>
    <s v="Y"/>
    <x v="1"/>
    <n v="19"/>
    <x v="1"/>
    <n v="3"/>
    <x v="0"/>
    <n v="4"/>
    <x v="1"/>
    <n v="80"/>
    <n v="1"/>
    <n v="7"/>
    <x v="0"/>
    <n v="5"/>
    <x v="2"/>
    <n v="2"/>
    <x v="2"/>
    <n v="0"/>
    <x v="1"/>
    <n v="0"/>
    <x v="2"/>
    <n v="0"/>
    <x v="0"/>
    <n v="0"/>
    <x v="2"/>
  </r>
  <r>
    <n v="1689"/>
    <n v="53"/>
    <x v="1"/>
    <x v="1"/>
    <n v="0"/>
    <x v="0"/>
    <n v="1395"/>
    <x v="0"/>
    <x v="1"/>
    <n v="24"/>
    <x v="2"/>
    <n v="4"/>
    <x v="2"/>
    <x v="2"/>
    <n v="1"/>
    <n v="2"/>
    <x v="0"/>
    <x v="1"/>
    <n v="48"/>
    <x v="2"/>
    <n v="4"/>
    <x v="2"/>
    <n v="3"/>
    <x v="4"/>
    <n v="4"/>
    <x v="0"/>
    <x v="1"/>
    <n v="7005"/>
    <x v="11"/>
    <n v="3458"/>
    <x v="2"/>
    <n v="3"/>
    <x v="3"/>
    <s v="Y"/>
    <x v="1"/>
    <n v="15"/>
    <x v="2"/>
    <n v="3"/>
    <x v="0"/>
    <n v="3"/>
    <x v="3"/>
    <n v="80"/>
    <n v="0"/>
    <n v="11"/>
    <x v="1"/>
    <n v="2"/>
    <x v="0"/>
    <n v="3"/>
    <x v="1"/>
    <n v="4"/>
    <x v="2"/>
    <n v="3"/>
    <x v="0"/>
    <n v="1"/>
    <x v="0"/>
    <n v="2"/>
    <x v="0"/>
  </r>
  <r>
    <n v="1691"/>
    <n v="48"/>
    <x v="1"/>
    <x v="0"/>
    <n v="1"/>
    <x v="1"/>
    <n v="708"/>
    <x v="2"/>
    <x v="0"/>
    <n v="7"/>
    <x v="1"/>
    <n v="2"/>
    <x v="0"/>
    <x v="2"/>
    <n v="1"/>
    <n v="4"/>
    <x v="2"/>
    <x v="0"/>
    <n v="95"/>
    <x v="0"/>
    <n v="3"/>
    <x v="0"/>
    <n v="1"/>
    <x v="6"/>
    <n v="3"/>
    <x v="2"/>
    <x v="1"/>
    <n v="2655"/>
    <x v="3"/>
    <n v="11740"/>
    <x v="3"/>
    <n v="2"/>
    <x v="3"/>
    <s v="Y"/>
    <x v="0"/>
    <n v="11"/>
    <x v="0"/>
    <n v="3"/>
    <x v="0"/>
    <n v="3"/>
    <x v="3"/>
    <n v="80"/>
    <n v="2"/>
    <n v="19"/>
    <x v="1"/>
    <n v="3"/>
    <x v="1"/>
    <n v="3"/>
    <x v="1"/>
    <n v="9"/>
    <x v="0"/>
    <n v="7"/>
    <x v="1"/>
    <n v="7"/>
    <x v="2"/>
    <n v="7"/>
    <x v="1"/>
  </r>
  <r>
    <n v="1692"/>
    <n v="32"/>
    <x v="2"/>
    <x v="0"/>
    <n v="1"/>
    <x v="0"/>
    <n v="1259"/>
    <x v="0"/>
    <x v="1"/>
    <n v="2"/>
    <x v="0"/>
    <n v="4"/>
    <x v="2"/>
    <x v="0"/>
    <n v="1"/>
    <n v="4"/>
    <x v="2"/>
    <x v="1"/>
    <n v="95"/>
    <x v="0"/>
    <n v="3"/>
    <x v="0"/>
    <n v="1"/>
    <x v="2"/>
    <n v="2"/>
    <x v="1"/>
    <x v="0"/>
    <n v="1393"/>
    <x v="2"/>
    <n v="24852"/>
    <x v="1"/>
    <n v="1"/>
    <x v="1"/>
    <s v="Y"/>
    <x v="1"/>
    <n v="12"/>
    <x v="0"/>
    <n v="3"/>
    <x v="0"/>
    <n v="1"/>
    <x v="0"/>
    <n v="80"/>
    <n v="0"/>
    <n v="1"/>
    <x v="2"/>
    <n v="2"/>
    <x v="0"/>
    <n v="3"/>
    <x v="1"/>
    <n v="1"/>
    <x v="1"/>
    <n v="0"/>
    <x v="2"/>
    <n v="0"/>
    <x v="0"/>
    <n v="0"/>
    <x v="2"/>
  </r>
  <r>
    <n v="1693"/>
    <n v="26"/>
    <x v="2"/>
    <x v="1"/>
    <n v="0"/>
    <x v="2"/>
    <n v="786"/>
    <x v="2"/>
    <x v="1"/>
    <n v="7"/>
    <x v="1"/>
    <n v="3"/>
    <x v="3"/>
    <x v="2"/>
    <n v="1"/>
    <n v="4"/>
    <x v="2"/>
    <x v="1"/>
    <n v="76"/>
    <x v="0"/>
    <n v="3"/>
    <x v="0"/>
    <n v="1"/>
    <x v="2"/>
    <n v="4"/>
    <x v="0"/>
    <x v="0"/>
    <n v="2570"/>
    <x v="3"/>
    <n v="11925"/>
    <x v="3"/>
    <n v="1"/>
    <x v="1"/>
    <s v="Y"/>
    <x v="1"/>
    <n v="20"/>
    <x v="1"/>
    <n v="4"/>
    <x v="1"/>
    <n v="3"/>
    <x v="3"/>
    <n v="80"/>
    <n v="0"/>
    <n v="7"/>
    <x v="0"/>
    <n v="5"/>
    <x v="2"/>
    <n v="3"/>
    <x v="1"/>
    <n v="7"/>
    <x v="0"/>
    <n v="7"/>
    <x v="1"/>
    <n v="5"/>
    <x v="1"/>
    <n v="7"/>
    <x v="1"/>
  </r>
  <r>
    <n v="1694"/>
    <n v="55"/>
    <x v="1"/>
    <x v="1"/>
    <n v="0"/>
    <x v="0"/>
    <n v="1441"/>
    <x v="0"/>
    <x v="1"/>
    <n v="22"/>
    <x v="2"/>
    <n v="3"/>
    <x v="3"/>
    <x v="4"/>
    <n v="1"/>
    <n v="1"/>
    <x v="3"/>
    <x v="1"/>
    <n v="94"/>
    <x v="0"/>
    <n v="2"/>
    <x v="1"/>
    <n v="1"/>
    <x v="1"/>
    <n v="2"/>
    <x v="1"/>
    <x v="2"/>
    <n v="3537"/>
    <x v="3"/>
    <n v="23737"/>
    <x v="1"/>
    <n v="5"/>
    <x v="2"/>
    <s v="Y"/>
    <x v="1"/>
    <n v="12"/>
    <x v="0"/>
    <n v="3"/>
    <x v="0"/>
    <n v="4"/>
    <x v="1"/>
    <n v="80"/>
    <n v="1"/>
    <n v="8"/>
    <x v="0"/>
    <n v="1"/>
    <x v="0"/>
    <n v="3"/>
    <x v="1"/>
    <n v="4"/>
    <x v="2"/>
    <n v="2"/>
    <x v="0"/>
    <n v="1"/>
    <x v="0"/>
    <n v="2"/>
    <x v="0"/>
  </r>
  <r>
    <n v="1696"/>
    <n v="34"/>
    <x v="2"/>
    <x v="1"/>
    <n v="0"/>
    <x v="0"/>
    <n v="1157"/>
    <x v="0"/>
    <x v="1"/>
    <n v="5"/>
    <x v="0"/>
    <n v="2"/>
    <x v="0"/>
    <x v="2"/>
    <n v="1"/>
    <n v="2"/>
    <x v="0"/>
    <x v="1"/>
    <n v="57"/>
    <x v="1"/>
    <n v="2"/>
    <x v="1"/>
    <n v="2"/>
    <x v="2"/>
    <n v="4"/>
    <x v="0"/>
    <x v="1"/>
    <n v="3986"/>
    <x v="3"/>
    <n v="11912"/>
    <x v="3"/>
    <n v="1"/>
    <x v="1"/>
    <s v="Y"/>
    <x v="1"/>
    <n v="14"/>
    <x v="2"/>
    <n v="3"/>
    <x v="0"/>
    <n v="3"/>
    <x v="3"/>
    <n v="80"/>
    <n v="1"/>
    <n v="15"/>
    <x v="1"/>
    <n v="3"/>
    <x v="1"/>
    <n v="4"/>
    <x v="3"/>
    <n v="15"/>
    <x v="4"/>
    <n v="10"/>
    <x v="1"/>
    <n v="4"/>
    <x v="1"/>
    <n v="13"/>
    <x v="3"/>
  </r>
  <r>
    <n v="1697"/>
    <n v="60"/>
    <x v="3"/>
    <x v="1"/>
    <n v="0"/>
    <x v="0"/>
    <n v="370"/>
    <x v="1"/>
    <x v="1"/>
    <n v="1"/>
    <x v="0"/>
    <n v="4"/>
    <x v="2"/>
    <x v="2"/>
    <n v="1"/>
    <n v="3"/>
    <x v="1"/>
    <x v="1"/>
    <n v="92"/>
    <x v="0"/>
    <n v="1"/>
    <x v="3"/>
    <n v="3"/>
    <x v="4"/>
    <n v="4"/>
    <x v="0"/>
    <x v="2"/>
    <n v="10883"/>
    <x v="8"/>
    <n v="20467"/>
    <x v="0"/>
    <n v="3"/>
    <x v="3"/>
    <s v="Y"/>
    <x v="1"/>
    <n v="20"/>
    <x v="1"/>
    <n v="4"/>
    <x v="1"/>
    <n v="3"/>
    <x v="3"/>
    <n v="80"/>
    <n v="1"/>
    <n v="19"/>
    <x v="1"/>
    <n v="2"/>
    <x v="0"/>
    <n v="4"/>
    <x v="3"/>
    <n v="1"/>
    <x v="1"/>
    <n v="0"/>
    <x v="2"/>
    <n v="0"/>
    <x v="0"/>
    <n v="0"/>
    <x v="2"/>
  </r>
  <r>
    <n v="1698"/>
    <n v="33"/>
    <x v="2"/>
    <x v="1"/>
    <n v="0"/>
    <x v="0"/>
    <n v="267"/>
    <x v="1"/>
    <x v="1"/>
    <n v="21"/>
    <x v="2"/>
    <n v="3"/>
    <x v="3"/>
    <x v="2"/>
    <n v="1"/>
    <n v="2"/>
    <x v="0"/>
    <x v="1"/>
    <n v="79"/>
    <x v="0"/>
    <n v="4"/>
    <x v="2"/>
    <n v="1"/>
    <x v="2"/>
    <n v="2"/>
    <x v="1"/>
    <x v="1"/>
    <n v="2028"/>
    <x v="2"/>
    <n v="13637"/>
    <x v="3"/>
    <n v="1"/>
    <x v="1"/>
    <s v="Y"/>
    <x v="1"/>
    <n v="18"/>
    <x v="1"/>
    <n v="3"/>
    <x v="0"/>
    <n v="4"/>
    <x v="1"/>
    <n v="80"/>
    <n v="3"/>
    <n v="14"/>
    <x v="1"/>
    <n v="6"/>
    <x v="2"/>
    <n v="3"/>
    <x v="1"/>
    <n v="14"/>
    <x v="4"/>
    <n v="11"/>
    <x v="3"/>
    <n v="2"/>
    <x v="1"/>
    <n v="13"/>
    <x v="3"/>
  </r>
  <r>
    <n v="1700"/>
    <n v="37"/>
    <x v="0"/>
    <x v="1"/>
    <n v="0"/>
    <x v="1"/>
    <n v="1278"/>
    <x v="0"/>
    <x v="0"/>
    <n v="1"/>
    <x v="0"/>
    <n v="4"/>
    <x v="2"/>
    <x v="2"/>
    <n v="1"/>
    <n v="3"/>
    <x v="1"/>
    <x v="1"/>
    <n v="31"/>
    <x v="2"/>
    <n v="1"/>
    <x v="3"/>
    <n v="2"/>
    <x v="0"/>
    <n v="4"/>
    <x v="0"/>
    <x v="2"/>
    <n v="9525"/>
    <x v="4"/>
    <n v="7677"/>
    <x v="2"/>
    <n v="1"/>
    <x v="1"/>
    <s v="Y"/>
    <x v="1"/>
    <n v="14"/>
    <x v="2"/>
    <n v="3"/>
    <x v="0"/>
    <n v="3"/>
    <x v="3"/>
    <n v="80"/>
    <n v="2"/>
    <n v="6"/>
    <x v="0"/>
    <n v="2"/>
    <x v="0"/>
    <n v="2"/>
    <x v="2"/>
    <n v="6"/>
    <x v="0"/>
    <n v="3"/>
    <x v="0"/>
    <n v="1"/>
    <x v="0"/>
    <n v="3"/>
    <x v="0"/>
  </r>
  <r>
    <n v="1701"/>
    <n v="34"/>
    <x v="2"/>
    <x v="1"/>
    <n v="0"/>
    <x v="0"/>
    <n v="678"/>
    <x v="2"/>
    <x v="1"/>
    <n v="19"/>
    <x v="3"/>
    <n v="3"/>
    <x v="3"/>
    <x v="0"/>
    <n v="1"/>
    <n v="2"/>
    <x v="0"/>
    <x v="0"/>
    <n v="35"/>
    <x v="2"/>
    <n v="2"/>
    <x v="1"/>
    <n v="1"/>
    <x v="1"/>
    <n v="4"/>
    <x v="0"/>
    <x v="1"/>
    <n v="2929"/>
    <x v="3"/>
    <n v="20338"/>
    <x v="0"/>
    <n v="1"/>
    <x v="1"/>
    <s v="Y"/>
    <x v="1"/>
    <n v="12"/>
    <x v="0"/>
    <n v="3"/>
    <x v="0"/>
    <n v="2"/>
    <x v="4"/>
    <n v="80"/>
    <n v="0"/>
    <n v="10"/>
    <x v="0"/>
    <n v="3"/>
    <x v="1"/>
    <n v="3"/>
    <x v="1"/>
    <n v="10"/>
    <x v="0"/>
    <n v="9"/>
    <x v="1"/>
    <n v="8"/>
    <x v="2"/>
    <n v="7"/>
    <x v="1"/>
  </r>
  <r>
    <n v="1702"/>
    <n v="23"/>
    <x v="4"/>
    <x v="0"/>
    <n v="1"/>
    <x v="0"/>
    <n v="427"/>
    <x v="1"/>
    <x v="0"/>
    <n v="7"/>
    <x v="1"/>
    <n v="3"/>
    <x v="3"/>
    <x v="0"/>
    <n v="1"/>
    <n v="3"/>
    <x v="1"/>
    <x v="1"/>
    <n v="99"/>
    <x v="0"/>
    <n v="3"/>
    <x v="0"/>
    <n v="1"/>
    <x v="6"/>
    <n v="4"/>
    <x v="0"/>
    <x v="2"/>
    <n v="2275"/>
    <x v="2"/>
    <n v="25103"/>
    <x v="1"/>
    <n v="1"/>
    <x v="1"/>
    <s v="Y"/>
    <x v="0"/>
    <n v="21"/>
    <x v="1"/>
    <n v="4"/>
    <x v="1"/>
    <n v="2"/>
    <x v="4"/>
    <n v="80"/>
    <n v="1"/>
    <n v="3"/>
    <x v="3"/>
    <n v="2"/>
    <x v="0"/>
    <n v="3"/>
    <x v="1"/>
    <n v="3"/>
    <x v="2"/>
    <n v="2"/>
    <x v="0"/>
    <n v="0"/>
    <x v="0"/>
    <n v="2"/>
    <x v="0"/>
  </r>
  <r>
    <n v="1703"/>
    <n v="44"/>
    <x v="0"/>
    <x v="1"/>
    <n v="0"/>
    <x v="0"/>
    <n v="921"/>
    <x v="2"/>
    <x v="1"/>
    <n v="2"/>
    <x v="0"/>
    <n v="3"/>
    <x v="3"/>
    <x v="0"/>
    <n v="1"/>
    <n v="3"/>
    <x v="1"/>
    <x v="0"/>
    <n v="96"/>
    <x v="0"/>
    <n v="4"/>
    <x v="2"/>
    <n v="3"/>
    <x v="4"/>
    <n v="4"/>
    <x v="0"/>
    <x v="1"/>
    <n v="7879"/>
    <x v="11"/>
    <n v="14810"/>
    <x v="3"/>
    <n v="1"/>
    <x v="1"/>
    <s v="Y"/>
    <x v="0"/>
    <n v="19"/>
    <x v="1"/>
    <n v="3"/>
    <x v="0"/>
    <n v="2"/>
    <x v="4"/>
    <n v="80"/>
    <n v="1"/>
    <n v="9"/>
    <x v="0"/>
    <n v="2"/>
    <x v="0"/>
    <n v="3"/>
    <x v="1"/>
    <n v="8"/>
    <x v="0"/>
    <n v="7"/>
    <x v="1"/>
    <n v="6"/>
    <x v="2"/>
    <n v="7"/>
    <x v="1"/>
  </r>
  <r>
    <n v="1704"/>
    <n v="35"/>
    <x v="2"/>
    <x v="1"/>
    <n v="0"/>
    <x v="1"/>
    <n v="146"/>
    <x v="1"/>
    <x v="1"/>
    <n v="2"/>
    <x v="0"/>
    <n v="4"/>
    <x v="2"/>
    <x v="2"/>
    <n v="1"/>
    <n v="1"/>
    <x v="3"/>
    <x v="1"/>
    <n v="79"/>
    <x v="0"/>
    <n v="2"/>
    <x v="1"/>
    <n v="1"/>
    <x v="1"/>
    <n v="4"/>
    <x v="0"/>
    <x v="0"/>
    <n v="4930"/>
    <x v="1"/>
    <n v="13970"/>
    <x v="3"/>
    <n v="0"/>
    <x v="1"/>
    <s v="Y"/>
    <x v="0"/>
    <n v="14"/>
    <x v="2"/>
    <n v="3"/>
    <x v="0"/>
    <n v="3"/>
    <x v="3"/>
    <n v="80"/>
    <n v="0"/>
    <n v="6"/>
    <x v="0"/>
    <n v="2"/>
    <x v="0"/>
    <n v="4"/>
    <x v="3"/>
    <n v="5"/>
    <x v="2"/>
    <n v="4"/>
    <x v="0"/>
    <n v="1"/>
    <x v="0"/>
    <n v="4"/>
    <x v="0"/>
  </r>
  <r>
    <n v="1706"/>
    <n v="43"/>
    <x v="0"/>
    <x v="1"/>
    <n v="0"/>
    <x v="0"/>
    <n v="1179"/>
    <x v="0"/>
    <x v="0"/>
    <n v="2"/>
    <x v="0"/>
    <n v="3"/>
    <x v="3"/>
    <x v="2"/>
    <n v="1"/>
    <n v="4"/>
    <x v="2"/>
    <x v="1"/>
    <n v="73"/>
    <x v="1"/>
    <n v="3"/>
    <x v="0"/>
    <n v="2"/>
    <x v="0"/>
    <n v="4"/>
    <x v="0"/>
    <x v="1"/>
    <n v="7847"/>
    <x v="11"/>
    <n v="6069"/>
    <x v="2"/>
    <n v="1"/>
    <x v="1"/>
    <s v="Y"/>
    <x v="0"/>
    <n v="17"/>
    <x v="3"/>
    <n v="3"/>
    <x v="0"/>
    <n v="1"/>
    <x v="0"/>
    <n v="80"/>
    <n v="1"/>
    <n v="10"/>
    <x v="0"/>
    <n v="3"/>
    <x v="1"/>
    <n v="3"/>
    <x v="1"/>
    <n v="10"/>
    <x v="0"/>
    <n v="9"/>
    <x v="1"/>
    <n v="8"/>
    <x v="2"/>
    <n v="8"/>
    <x v="1"/>
  </r>
  <r>
    <n v="1707"/>
    <n v="24"/>
    <x v="4"/>
    <x v="1"/>
    <n v="0"/>
    <x v="0"/>
    <n v="581"/>
    <x v="2"/>
    <x v="1"/>
    <n v="9"/>
    <x v="1"/>
    <n v="3"/>
    <x v="3"/>
    <x v="2"/>
    <n v="1"/>
    <n v="3"/>
    <x v="1"/>
    <x v="1"/>
    <n v="62"/>
    <x v="1"/>
    <n v="4"/>
    <x v="2"/>
    <n v="1"/>
    <x v="1"/>
    <n v="3"/>
    <x v="2"/>
    <x v="1"/>
    <n v="4401"/>
    <x v="1"/>
    <n v="17616"/>
    <x v="0"/>
    <n v="1"/>
    <x v="1"/>
    <s v="Y"/>
    <x v="1"/>
    <n v="16"/>
    <x v="3"/>
    <n v="3"/>
    <x v="0"/>
    <n v="4"/>
    <x v="1"/>
    <n v="80"/>
    <n v="1"/>
    <n v="5"/>
    <x v="3"/>
    <n v="1"/>
    <x v="0"/>
    <n v="3"/>
    <x v="1"/>
    <n v="5"/>
    <x v="2"/>
    <n v="3"/>
    <x v="0"/>
    <n v="0"/>
    <x v="0"/>
    <n v="4"/>
    <x v="0"/>
  </r>
  <r>
    <n v="1708"/>
    <n v="41"/>
    <x v="0"/>
    <x v="1"/>
    <n v="0"/>
    <x v="0"/>
    <n v="918"/>
    <x v="2"/>
    <x v="0"/>
    <n v="6"/>
    <x v="1"/>
    <n v="3"/>
    <x v="3"/>
    <x v="3"/>
    <n v="1"/>
    <n v="4"/>
    <x v="2"/>
    <x v="1"/>
    <n v="35"/>
    <x v="2"/>
    <n v="3"/>
    <x v="0"/>
    <n v="3"/>
    <x v="0"/>
    <n v="3"/>
    <x v="2"/>
    <x v="0"/>
    <n v="9241"/>
    <x v="4"/>
    <n v="15869"/>
    <x v="3"/>
    <n v="1"/>
    <x v="1"/>
    <s v="Y"/>
    <x v="1"/>
    <n v="12"/>
    <x v="0"/>
    <n v="3"/>
    <x v="0"/>
    <n v="2"/>
    <x v="4"/>
    <n v="80"/>
    <n v="0"/>
    <n v="10"/>
    <x v="0"/>
    <n v="3"/>
    <x v="1"/>
    <n v="3"/>
    <x v="1"/>
    <n v="10"/>
    <x v="0"/>
    <n v="8"/>
    <x v="1"/>
    <n v="8"/>
    <x v="2"/>
    <n v="7"/>
    <x v="1"/>
  </r>
  <r>
    <n v="1709"/>
    <n v="29"/>
    <x v="2"/>
    <x v="1"/>
    <n v="0"/>
    <x v="0"/>
    <n v="1082"/>
    <x v="0"/>
    <x v="1"/>
    <n v="9"/>
    <x v="1"/>
    <n v="4"/>
    <x v="2"/>
    <x v="2"/>
    <n v="1"/>
    <n v="4"/>
    <x v="2"/>
    <x v="0"/>
    <n v="43"/>
    <x v="2"/>
    <n v="3"/>
    <x v="0"/>
    <n v="1"/>
    <x v="2"/>
    <n v="3"/>
    <x v="2"/>
    <x v="1"/>
    <n v="2974"/>
    <x v="3"/>
    <n v="25412"/>
    <x v="1"/>
    <n v="9"/>
    <x v="0"/>
    <s v="Y"/>
    <x v="1"/>
    <n v="17"/>
    <x v="3"/>
    <n v="3"/>
    <x v="0"/>
    <n v="3"/>
    <x v="3"/>
    <n v="80"/>
    <n v="1"/>
    <n v="9"/>
    <x v="0"/>
    <n v="2"/>
    <x v="0"/>
    <n v="3"/>
    <x v="1"/>
    <n v="5"/>
    <x v="2"/>
    <n v="3"/>
    <x v="0"/>
    <n v="1"/>
    <x v="0"/>
    <n v="2"/>
    <x v="0"/>
  </r>
  <r>
    <n v="1710"/>
    <n v="36"/>
    <x v="0"/>
    <x v="1"/>
    <n v="0"/>
    <x v="0"/>
    <n v="530"/>
    <x v="2"/>
    <x v="0"/>
    <n v="2"/>
    <x v="0"/>
    <n v="4"/>
    <x v="2"/>
    <x v="0"/>
    <n v="1"/>
    <n v="3"/>
    <x v="1"/>
    <x v="0"/>
    <n v="51"/>
    <x v="1"/>
    <n v="3"/>
    <x v="0"/>
    <n v="2"/>
    <x v="6"/>
    <n v="4"/>
    <x v="0"/>
    <x v="0"/>
    <n v="4502"/>
    <x v="1"/>
    <n v="7439"/>
    <x v="2"/>
    <n v="3"/>
    <x v="3"/>
    <s v="Y"/>
    <x v="1"/>
    <n v="15"/>
    <x v="2"/>
    <n v="3"/>
    <x v="0"/>
    <n v="3"/>
    <x v="3"/>
    <n v="80"/>
    <n v="0"/>
    <n v="17"/>
    <x v="1"/>
    <n v="2"/>
    <x v="0"/>
    <n v="2"/>
    <x v="2"/>
    <n v="13"/>
    <x v="4"/>
    <n v="7"/>
    <x v="1"/>
    <n v="6"/>
    <x v="2"/>
    <n v="7"/>
    <x v="1"/>
  </r>
  <r>
    <n v="1712"/>
    <n v="45"/>
    <x v="0"/>
    <x v="1"/>
    <n v="0"/>
    <x v="2"/>
    <n v="1238"/>
    <x v="0"/>
    <x v="1"/>
    <n v="1"/>
    <x v="0"/>
    <n v="1"/>
    <x v="1"/>
    <x v="0"/>
    <n v="1"/>
    <n v="3"/>
    <x v="1"/>
    <x v="1"/>
    <n v="74"/>
    <x v="1"/>
    <n v="2"/>
    <x v="1"/>
    <n v="3"/>
    <x v="4"/>
    <n v="3"/>
    <x v="2"/>
    <x v="1"/>
    <n v="10748"/>
    <x v="8"/>
    <n v="3395"/>
    <x v="2"/>
    <n v="3"/>
    <x v="3"/>
    <s v="Y"/>
    <x v="1"/>
    <n v="23"/>
    <x v="1"/>
    <n v="4"/>
    <x v="1"/>
    <n v="4"/>
    <x v="1"/>
    <n v="80"/>
    <n v="1"/>
    <n v="25"/>
    <x v="4"/>
    <n v="3"/>
    <x v="1"/>
    <n v="2"/>
    <x v="2"/>
    <n v="23"/>
    <x v="3"/>
    <n v="15"/>
    <x v="3"/>
    <n v="14"/>
    <x v="3"/>
    <n v="4"/>
    <x v="0"/>
  </r>
  <r>
    <n v="1714"/>
    <n v="24"/>
    <x v="4"/>
    <x v="0"/>
    <n v="1"/>
    <x v="0"/>
    <n v="240"/>
    <x v="1"/>
    <x v="2"/>
    <n v="22"/>
    <x v="2"/>
    <n v="1"/>
    <x v="1"/>
    <x v="5"/>
    <n v="1"/>
    <n v="4"/>
    <x v="2"/>
    <x v="1"/>
    <n v="58"/>
    <x v="1"/>
    <n v="1"/>
    <x v="3"/>
    <n v="1"/>
    <x v="8"/>
    <n v="3"/>
    <x v="2"/>
    <x v="1"/>
    <n v="1555"/>
    <x v="2"/>
    <n v="11585"/>
    <x v="3"/>
    <n v="1"/>
    <x v="1"/>
    <s v="Y"/>
    <x v="1"/>
    <n v="11"/>
    <x v="0"/>
    <n v="3"/>
    <x v="0"/>
    <n v="3"/>
    <x v="3"/>
    <n v="80"/>
    <n v="1"/>
    <n v="1"/>
    <x v="2"/>
    <n v="2"/>
    <x v="0"/>
    <n v="3"/>
    <x v="1"/>
    <n v="1"/>
    <x v="1"/>
    <n v="0"/>
    <x v="2"/>
    <n v="0"/>
    <x v="0"/>
    <n v="0"/>
    <x v="2"/>
  </r>
  <r>
    <n v="1716"/>
    <n v="47"/>
    <x v="1"/>
    <x v="0"/>
    <n v="1"/>
    <x v="1"/>
    <n v="1093"/>
    <x v="0"/>
    <x v="0"/>
    <n v="9"/>
    <x v="1"/>
    <n v="3"/>
    <x v="3"/>
    <x v="0"/>
    <n v="1"/>
    <n v="3"/>
    <x v="1"/>
    <x v="1"/>
    <n v="82"/>
    <x v="0"/>
    <n v="1"/>
    <x v="3"/>
    <n v="4"/>
    <x v="0"/>
    <n v="3"/>
    <x v="2"/>
    <x v="1"/>
    <n v="12936"/>
    <x v="6"/>
    <n v="24164"/>
    <x v="1"/>
    <n v="7"/>
    <x v="0"/>
    <s v="Y"/>
    <x v="1"/>
    <n v="11"/>
    <x v="0"/>
    <n v="3"/>
    <x v="0"/>
    <n v="3"/>
    <x v="3"/>
    <n v="80"/>
    <n v="0"/>
    <n v="25"/>
    <x v="4"/>
    <n v="3"/>
    <x v="1"/>
    <n v="1"/>
    <x v="0"/>
    <n v="23"/>
    <x v="3"/>
    <n v="5"/>
    <x v="0"/>
    <n v="14"/>
    <x v="3"/>
    <n v="10"/>
    <x v="1"/>
  </r>
  <r>
    <n v="1718"/>
    <n v="26"/>
    <x v="2"/>
    <x v="1"/>
    <n v="0"/>
    <x v="0"/>
    <n v="390"/>
    <x v="1"/>
    <x v="1"/>
    <n v="17"/>
    <x v="3"/>
    <n v="4"/>
    <x v="2"/>
    <x v="2"/>
    <n v="1"/>
    <n v="4"/>
    <x v="2"/>
    <x v="1"/>
    <n v="62"/>
    <x v="1"/>
    <n v="1"/>
    <x v="3"/>
    <n v="1"/>
    <x v="2"/>
    <n v="3"/>
    <x v="2"/>
    <x v="1"/>
    <n v="2305"/>
    <x v="2"/>
    <n v="6217"/>
    <x v="2"/>
    <n v="1"/>
    <x v="1"/>
    <s v="Y"/>
    <x v="1"/>
    <n v="15"/>
    <x v="2"/>
    <n v="3"/>
    <x v="0"/>
    <n v="3"/>
    <x v="3"/>
    <n v="80"/>
    <n v="3"/>
    <n v="3"/>
    <x v="3"/>
    <n v="3"/>
    <x v="1"/>
    <n v="4"/>
    <x v="3"/>
    <n v="3"/>
    <x v="2"/>
    <n v="2"/>
    <x v="0"/>
    <n v="0"/>
    <x v="0"/>
    <n v="2"/>
    <x v="0"/>
  </r>
  <r>
    <n v="1719"/>
    <n v="45"/>
    <x v="0"/>
    <x v="1"/>
    <n v="0"/>
    <x v="0"/>
    <n v="1005"/>
    <x v="0"/>
    <x v="1"/>
    <n v="28"/>
    <x v="2"/>
    <n v="2"/>
    <x v="0"/>
    <x v="4"/>
    <n v="1"/>
    <n v="4"/>
    <x v="2"/>
    <x v="0"/>
    <n v="48"/>
    <x v="2"/>
    <n v="2"/>
    <x v="1"/>
    <n v="4"/>
    <x v="7"/>
    <n v="2"/>
    <x v="1"/>
    <x v="0"/>
    <n v="16704"/>
    <x v="12"/>
    <n v="17119"/>
    <x v="0"/>
    <n v="1"/>
    <x v="1"/>
    <s v="Y"/>
    <x v="1"/>
    <n v="11"/>
    <x v="0"/>
    <n v="3"/>
    <x v="0"/>
    <n v="3"/>
    <x v="3"/>
    <n v="80"/>
    <n v="0"/>
    <n v="21"/>
    <x v="4"/>
    <n v="2"/>
    <x v="0"/>
    <n v="3"/>
    <x v="1"/>
    <n v="21"/>
    <x v="3"/>
    <n v="6"/>
    <x v="1"/>
    <n v="8"/>
    <x v="2"/>
    <n v="6"/>
    <x v="1"/>
  </r>
  <r>
    <n v="1720"/>
    <n v="32"/>
    <x v="2"/>
    <x v="1"/>
    <n v="0"/>
    <x v="1"/>
    <n v="585"/>
    <x v="2"/>
    <x v="1"/>
    <n v="10"/>
    <x v="1"/>
    <n v="3"/>
    <x v="3"/>
    <x v="0"/>
    <n v="1"/>
    <n v="1"/>
    <x v="3"/>
    <x v="1"/>
    <n v="56"/>
    <x v="1"/>
    <n v="3"/>
    <x v="0"/>
    <n v="1"/>
    <x v="1"/>
    <n v="3"/>
    <x v="2"/>
    <x v="1"/>
    <n v="3433"/>
    <x v="3"/>
    <n v="17360"/>
    <x v="0"/>
    <n v="6"/>
    <x v="2"/>
    <s v="Y"/>
    <x v="1"/>
    <n v="13"/>
    <x v="2"/>
    <n v="3"/>
    <x v="0"/>
    <n v="1"/>
    <x v="0"/>
    <n v="80"/>
    <n v="1"/>
    <n v="10"/>
    <x v="0"/>
    <n v="3"/>
    <x v="1"/>
    <n v="2"/>
    <x v="2"/>
    <n v="5"/>
    <x v="2"/>
    <n v="2"/>
    <x v="0"/>
    <n v="1"/>
    <x v="0"/>
    <n v="3"/>
    <x v="0"/>
  </r>
  <r>
    <n v="1721"/>
    <n v="31"/>
    <x v="2"/>
    <x v="1"/>
    <n v="0"/>
    <x v="0"/>
    <n v="741"/>
    <x v="2"/>
    <x v="1"/>
    <n v="2"/>
    <x v="0"/>
    <n v="4"/>
    <x v="2"/>
    <x v="0"/>
    <n v="1"/>
    <n v="2"/>
    <x v="0"/>
    <x v="1"/>
    <n v="69"/>
    <x v="1"/>
    <n v="3"/>
    <x v="0"/>
    <n v="1"/>
    <x v="2"/>
    <n v="3"/>
    <x v="2"/>
    <x v="1"/>
    <n v="3477"/>
    <x v="3"/>
    <n v="18103"/>
    <x v="0"/>
    <n v="1"/>
    <x v="1"/>
    <s v="Y"/>
    <x v="1"/>
    <n v="14"/>
    <x v="2"/>
    <n v="3"/>
    <x v="0"/>
    <n v="4"/>
    <x v="1"/>
    <n v="80"/>
    <n v="1"/>
    <n v="6"/>
    <x v="0"/>
    <n v="2"/>
    <x v="0"/>
    <n v="4"/>
    <x v="3"/>
    <n v="5"/>
    <x v="2"/>
    <n v="2"/>
    <x v="0"/>
    <n v="0"/>
    <x v="0"/>
    <n v="3"/>
    <x v="0"/>
  </r>
  <r>
    <n v="1722"/>
    <n v="41"/>
    <x v="0"/>
    <x v="1"/>
    <n v="0"/>
    <x v="2"/>
    <n v="552"/>
    <x v="2"/>
    <x v="2"/>
    <n v="4"/>
    <x v="0"/>
    <n v="3"/>
    <x v="3"/>
    <x v="5"/>
    <n v="1"/>
    <n v="3"/>
    <x v="1"/>
    <x v="1"/>
    <n v="60"/>
    <x v="1"/>
    <n v="1"/>
    <x v="3"/>
    <n v="2"/>
    <x v="8"/>
    <n v="2"/>
    <x v="1"/>
    <x v="1"/>
    <n v="6430"/>
    <x v="0"/>
    <n v="20794"/>
    <x v="0"/>
    <n v="6"/>
    <x v="2"/>
    <s v="Y"/>
    <x v="1"/>
    <n v="19"/>
    <x v="1"/>
    <n v="3"/>
    <x v="0"/>
    <n v="2"/>
    <x v="4"/>
    <n v="80"/>
    <n v="1"/>
    <n v="10"/>
    <x v="0"/>
    <n v="4"/>
    <x v="1"/>
    <n v="3"/>
    <x v="1"/>
    <n v="3"/>
    <x v="2"/>
    <n v="2"/>
    <x v="0"/>
    <n v="1"/>
    <x v="0"/>
    <n v="2"/>
    <x v="0"/>
  </r>
  <r>
    <n v="1724"/>
    <n v="40"/>
    <x v="0"/>
    <x v="1"/>
    <n v="0"/>
    <x v="0"/>
    <n v="369"/>
    <x v="1"/>
    <x v="1"/>
    <n v="8"/>
    <x v="1"/>
    <n v="2"/>
    <x v="0"/>
    <x v="0"/>
    <n v="1"/>
    <n v="2"/>
    <x v="0"/>
    <x v="0"/>
    <n v="92"/>
    <x v="0"/>
    <n v="3"/>
    <x v="0"/>
    <n v="2"/>
    <x v="3"/>
    <n v="1"/>
    <x v="3"/>
    <x v="1"/>
    <n v="6516"/>
    <x v="0"/>
    <n v="5041"/>
    <x v="2"/>
    <n v="2"/>
    <x v="3"/>
    <s v="Y"/>
    <x v="0"/>
    <n v="16"/>
    <x v="3"/>
    <n v="3"/>
    <x v="0"/>
    <n v="2"/>
    <x v="4"/>
    <n v="80"/>
    <n v="1"/>
    <n v="18"/>
    <x v="1"/>
    <n v="3"/>
    <x v="1"/>
    <n v="3"/>
    <x v="1"/>
    <n v="1"/>
    <x v="1"/>
    <n v="0"/>
    <x v="2"/>
    <n v="0"/>
    <x v="0"/>
    <n v="0"/>
    <x v="2"/>
  </r>
  <r>
    <n v="1725"/>
    <n v="24"/>
    <x v="4"/>
    <x v="1"/>
    <n v="0"/>
    <x v="0"/>
    <n v="506"/>
    <x v="2"/>
    <x v="1"/>
    <n v="29"/>
    <x v="2"/>
    <n v="1"/>
    <x v="1"/>
    <x v="2"/>
    <n v="1"/>
    <n v="2"/>
    <x v="0"/>
    <x v="1"/>
    <n v="91"/>
    <x v="0"/>
    <n v="3"/>
    <x v="0"/>
    <n v="1"/>
    <x v="2"/>
    <n v="1"/>
    <x v="3"/>
    <x v="2"/>
    <n v="3907"/>
    <x v="3"/>
    <n v="3622"/>
    <x v="2"/>
    <n v="1"/>
    <x v="1"/>
    <s v="Y"/>
    <x v="1"/>
    <n v="13"/>
    <x v="2"/>
    <n v="3"/>
    <x v="0"/>
    <n v="2"/>
    <x v="4"/>
    <n v="80"/>
    <n v="3"/>
    <n v="6"/>
    <x v="0"/>
    <n v="2"/>
    <x v="0"/>
    <n v="4"/>
    <x v="3"/>
    <n v="6"/>
    <x v="0"/>
    <n v="2"/>
    <x v="0"/>
    <n v="1"/>
    <x v="0"/>
    <n v="2"/>
    <x v="0"/>
  </r>
  <r>
    <n v="1727"/>
    <n v="46"/>
    <x v="1"/>
    <x v="1"/>
    <n v="0"/>
    <x v="0"/>
    <n v="717"/>
    <x v="2"/>
    <x v="1"/>
    <n v="13"/>
    <x v="3"/>
    <n v="4"/>
    <x v="2"/>
    <x v="0"/>
    <n v="1"/>
    <n v="3"/>
    <x v="1"/>
    <x v="1"/>
    <n v="34"/>
    <x v="2"/>
    <n v="3"/>
    <x v="0"/>
    <n v="2"/>
    <x v="4"/>
    <n v="2"/>
    <x v="1"/>
    <x v="0"/>
    <n v="5562"/>
    <x v="0"/>
    <n v="9697"/>
    <x v="3"/>
    <n v="6"/>
    <x v="2"/>
    <s v="Y"/>
    <x v="1"/>
    <n v="14"/>
    <x v="2"/>
    <n v="3"/>
    <x v="0"/>
    <n v="4"/>
    <x v="1"/>
    <n v="80"/>
    <n v="0"/>
    <n v="19"/>
    <x v="1"/>
    <n v="3"/>
    <x v="1"/>
    <n v="3"/>
    <x v="1"/>
    <n v="10"/>
    <x v="0"/>
    <n v="7"/>
    <x v="1"/>
    <n v="0"/>
    <x v="0"/>
    <n v="9"/>
    <x v="1"/>
  </r>
  <r>
    <n v="1728"/>
    <n v="35"/>
    <x v="2"/>
    <x v="1"/>
    <n v="0"/>
    <x v="0"/>
    <n v="1370"/>
    <x v="0"/>
    <x v="1"/>
    <n v="27"/>
    <x v="2"/>
    <n v="4"/>
    <x v="2"/>
    <x v="0"/>
    <n v="1"/>
    <n v="4"/>
    <x v="2"/>
    <x v="1"/>
    <n v="49"/>
    <x v="2"/>
    <n v="3"/>
    <x v="0"/>
    <n v="2"/>
    <x v="3"/>
    <n v="3"/>
    <x v="2"/>
    <x v="1"/>
    <n v="6883"/>
    <x v="0"/>
    <n v="5151"/>
    <x v="2"/>
    <n v="2"/>
    <x v="3"/>
    <s v="Y"/>
    <x v="1"/>
    <n v="16"/>
    <x v="3"/>
    <n v="3"/>
    <x v="0"/>
    <n v="2"/>
    <x v="4"/>
    <n v="80"/>
    <n v="1"/>
    <n v="17"/>
    <x v="1"/>
    <n v="3"/>
    <x v="1"/>
    <n v="3"/>
    <x v="1"/>
    <n v="7"/>
    <x v="0"/>
    <n v="7"/>
    <x v="1"/>
    <n v="0"/>
    <x v="0"/>
    <n v="7"/>
    <x v="1"/>
  </r>
  <r>
    <n v="1729"/>
    <n v="30"/>
    <x v="2"/>
    <x v="1"/>
    <n v="0"/>
    <x v="0"/>
    <n v="793"/>
    <x v="2"/>
    <x v="1"/>
    <n v="16"/>
    <x v="3"/>
    <n v="1"/>
    <x v="1"/>
    <x v="0"/>
    <n v="1"/>
    <n v="2"/>
    <x v="0"/>
    <x v="1"/>
    <n v="33"/>
    <x v="2"/>
    <n v="3"/>
    <x v="0"/>
    <n v="1"/>
    <x v="1"/>
    <n v="4"/>
    <x v="0"/>
    <x v="1"/>
    <n v="2862"/>
    <x v="3"/>
    <n v="3811"/>
    <x v="2"/>
    <n v="1"/>
    <x v="1"/>
    <s v="Y"/>
    <x v="1"/>
    <n v="12"/>
    <x v="0"/>
    <n v="3"/>
    <x v="0"/>
    <n v="2"/>
    <x v="4"/>
    <n v="80"/>
    <n v="1"/>
    <n v="10"/>
    <x v="0"/>
    <n v="2"/>
    <x v="0"/>
    <n v="2"/>
    <x v="2"/>
    <n v="10"/>
    <x v="0"/>
    <n v="0"/>
    <x v="2"/>
    <n v="0"/>
    <x v="0"/>
    <n v="8"/>
    <x v="1"/>
  </r>
  <r>
    <n v="1731"/>
    <n v="47"/>
    <x v="1"/>
    <x v="1"/>
    <n v="0"/>
    <x v="2"/>
    <n v="543"/>
    <x v="2"/>
    <x v="0"/>
    <n v="2"/>
    <x v="0"/>
    <n v="4"/>
    <x v="2"/>
    <x v="3"/>
    <n v="1"/>
    <n v="3"/>
    <x v="1"/>
    <x v="1"/>
    <n v="87"/>
    <x v="0"/>
    <n v="3"/>
    <x v="0"/>
    <n v="2"/>
    <x v="0"/>
    <n v="2"/>
    <x v="1"/>
    <x v="1"/>
    <n v="4978"/>
    <x v="1"/>
    <n v="3536"/>
    <x v="2"/>
    <n v="7"/>
    <x v="0"/>
    <s v="Y"/>
    <x v="1"/>
    <n v="11"/>
    <x v="0"/>
    <n v="3"/>
    <x v="0"/>
    <n v="4"/>
    <x v="1"/>
    <n v="80"/>
    <n v="1"/>
    <n v="4"/>
    <x v="3"/>
    <n v="3"/>
    <x v="1"/>
    <n v="1"/>
    <x v="0"/>
    <n v="1"/>
    <x v="1"/>
    <n v="0"/>
    <x v="2"/>
    <n v="0"/>
    <x v="0"/>
    <n v="0"/>
    <x v="2"/>
  </r>
  <r>
    <n v="1732"/>
    <n v="46"/>
    <x v="1"/>
    <x v="1"/>
    <n v="0"/>
    <x v="0"/>
    <n v="1277"/>
    <x v="0"/>
    <x v="0"/>
    <n v="2"/>
    <x v="0"/>
    <n v="3"/>
    <x v="3"/>
    <x v="0"/>
    <n v="1"/>
    <n v="3"/>
    <x v="1"/>
    <x v="1"/>
    <n v="74"/>
    <x v="1"/>
    <n v="3"/>
    <x v="0"/>
    <n v="3"/>
    <x v="0"/>
    <n v="4"/>
    <x v="0"/>
    <x v="2"/>
    <n v="10368"/>
    <x v="8"/>
    <n v="5596"/>
    <x v="2"/>
    <n v="4"/>
    <x v="2"/>
    <s v="Y"/>
    <x v="0"/>
    <n v="12"/>
    <x v="0"/>
    <n v="3"/>
    <x v="0"/>
    <n v="2"/>
    <x v="4"/>
    <n v="80"/>
    <n v="1"/>
    <n v="13"/>
    <x v="1"/>
    <n v="5"/>
    <x v="2"/>
    <n v="2"/>
    <x v="2"/>
    <n v="10"/>
    <x v="0"/>
    <n v="6"/>
    <x v="1"/>
    <n v="0"/>
    <x v="0"/>
    <n v="3"/>
    <x v="0"/>
  </r>
  <r>
    <n v="1733"/>
    <n v="36"/>
    <x v="0"/>
    <x v="0"/>
    <n v="1"/>
    <x v="0"/>
    <n v="1456"/>
    <x v="0"/>
    <x v="0"/>
    <n v="13"/>
    <x v="3"/>
    <n v="5"/>
    <x v="4"/>
    <x v="3"/>
    <n v="1"/>
    <n v="2"/>
    <x v="0"/>
    <x v="1"/>
    <n v="96"/>
    <x v="0"/>
    <n v="2"/>
    <x v="1"/>
    <n v="2"/>
    <x v="0"/>
    <n v="1"/>
    <x v="3"/>
    <x v="2"/>
    <n v="6134"/>
    <x v="0"/>
    <n v="8658"/>
    <x v="3"/>
    <n v="5"/>
    <x v="2"/>
    <s v="Y"/>
    <x v="0"/>
    <n v="13"/>
    <x v="2"/>
    <n v="3"/>
    <x v="0"/>
    <n v="2"/>
    <x v="4"/>
    <n v="80"/>
    <n v="3"/>
    <n v="16"/>
    <x v="1"/>
    <n v="3"/>
    <x v="1"/>
    <n v="3"/>
    <x v="1"/>
    <n v="2"/>
    <x v="2"/>
    <n v="2"/>
    <x v="0"/>
    <n v="2"/>
    <x v="1"/>
    <n v="2"/>
    <x v="0"/>
  </r>
  <r>
    <n v="1734"/>
    <n v="32"/>
    <x v="2"/>
    <x v="0"/>
    <n v="1"/>
    <x v="0"/>
    <n v="964"/>
    <x v="2"/>
    <x v="0"/>
    <n v="1"/>
    <x v="0"/>
    <n v="2"/>
    <x v="0"/>
    <x v="0"/>
    <n v="1"/>
    <n v="1"/>
    <x v="3"/>
    <x v="1"/>
    <n v="34"/>
    <x v="2"/>
    <n v="1"/>
    <x v="3"/>
    <n v="2"/>
    <x v="0"/>
    <n v="2"/>
    <x v="1"/>
    <x v="0"/>
    <n v="6735"/>
    <x v="0"/>
    <n v="12147"/>
    <x v="3"/>
    <n v="6"/>
    <x v="2"/>
    <s v="Y"/>
    <x v="1"/>
    <n v="15"/>
    <x v="2"/>
    <n v="3"/>
    <x v="0"/>
    <n v="2"/>
    <x v="4"/>
    <n v="80"/>
    <n v="0"/>
    <n v="10"/>
    <x v="0"/>
    <n v="2"/>
    <x v="0"/>
    <n v="3"/>
    <x v="1"/>
    <n v="0"/>
    <x v="1"/>
    <n v="0"/>
    <x v="2"/>
    <n v="0"/>
    <x v="0"/>
    <n v="0"/>
    <x v="2"/>
  </r>
  <r>
    <n v="1735"/>
    <n v="23"/>
    <x v="4"/>
    <x v="1"/>
    <n v="0"/>
    <x v="0"/>
    <n v="160"/>
    <x v="1"/>
    <x v="1"/>
    <n v="4"/>
    <x v="0"/>
    <n v="1"/>
    <x v="1"/>
    <x v="2"/>
    <n v="1"/>
    <n v="3"/>
    <x v="1"/>
    <x v="0"/>
    <n v="51"/>
    <x v="1"/>
    <n v="3"/>
    <x v="0"/>
    <n v="1"/>
    <x v="2"/>
    <n v="2"/>
    <x v="1"/>
    <x v="0"/>
    <n v="3295"/>
    <x v="3"/>
    <n v="12862"/>
    <x v="3"/>
    <n v="1"/>
    <x v="1"/>
    <s v="Y"/>
    <x v="1"/>
    <n v="13"/>
    <x v="2"/>
    <n v="3"/>
    <x v="0"/>
    <n v="3"/>
    <x v="3"/>
    <n v="80"/>
    <n v="0"/>
    <n v="3"/>
    <x v="3"/>
    <n v="3"/>
    <x v="1"/>
    <n v="1"/>
    <x v="0"/>
    <n v="3"/>
    <x v="2"/>
    <n v="2"/>
    <x v="0"/>
    <n v="1"/>
    <x v="0"/>
    <n v="2"/>
    <x v="0"/>
  </r>
  <r>
    <n v="1736"/>
    <n v="31"/>
    <x v="2"/>
    <x v="1"/>
    <n v="0"/>
    <x v="1"/>
    <n v="163"/>
    <x v="1"/>
    <x v="1"/>
    <n v="24"/>
    <x v="2"/>
    <n v="1"/>
    <x v="1"/>
    <x v="4"/>
    <n v="1"/>
    <n v="4"/>
    <x v="2"/>
    <x v="0"/>
    <n v="30"/>
    <x v="2"/>
    <n v="3"/>
    <x v="0"/>
    <n v="2"/>
    <x v="3"/>
    <n v="4"/>
    <x v="0"/>
    <x v="0"/>
    <n v="5238"/>
    <x v="1"/>
    <n v="6670"/>
    <x v="2"/>
    <n v="2"/>
    <x v="3"/>
    <s v="Y"/>
    <x v="1"/>
    <n v="20"/>
    <x v="1"/>
    <n v="4"/>
    <x v="1"/>
    <n v="4"/>
    <x v="1"/>
    <n v="80"/>
    <n v="0"/>
    <n v="9"/>
    <x v="0"/>
    <n v="3"/>
    <x v="1"/>
    <n v="2"/>
    <x v="2"/>
    <n v="5"/>
    <x v="2"/>
    <n v="4"/>
    <x v="0"/>
    <n v="1"/>
    <x v="0"/>
    <n v="4"/>
    <x v="0"/>
  </r>
  <r>
    <n v="1737"/>
    <n v="39"/>
    <x v="0"/>
    <x v="1"/>
    <n v="0"/>
    <x v="2"/>
    <n v="792"/>
    <x v="2"/>
    <x v="1"/>
    <n v="1"/>
    <x v="0"/>
    <n v="3"/>
    <x v="3"/>
    <x v="0"/>
    <n v="1"/>
    <n v="4"/>
    <x v="2"/>
    <x v="1"/>
    <n v="77"/>
    <x v="0"/>
    <n v="3"/>
    <x v="0"/>
    <n v="2"/>
    <x v="2"/>
    <n v="4"/>
    <x v="0"/>
    <x v="1"/>
    <n v="6472"/>
    <x v="0"/>
    <n v="8989"/>
    <x v="3"/>
    <n v="1"/>
    <x v="1"/>
    <s v="Y"/>
    <x v="0"/>
    <n v="15"/>
    <x v="2"/>
    <n v="3"/>
    <x v="0"/>
    <n v="4"/>
    <x v="1"/>
    <n v="80"/>
    <n v="1"/>
    <n v="9"/>
    <x v="0"/>
    <n v="2"/>
    <x v="0"/>
    <n v="3"/>
    <x v="1"/>
    <n v="9"/>
    <x v="0"/>
    <n v="8"/>
    <x v="1"/>
    <n v="5"/>
    <x v="1"/>
    <n v="8"/>
    <x v="1"/>
  </r>
  <r>
    <n v="1739"/>
    <n v="32"/>
    <x v="2"/>
    <x v="1"/>
    <n v="0"/>
    <x v="0"/>
    <n v="371"/>
    <x v="1"/>
    <x v="0"/>
    <n v="19"/>
    <x v="3"/>
    <n v="3"/>
    <x v="3"/>
    <x v="0"/>
    <n v="1"/>
    <n v="4"/>
    <x v="2"/>
    <x v="1"/>
    <n v="80"/>
    <x v="0"/>
    <n v="1"/>
    <x v="3"/>
    <n v="3"/>
    <x v="0"/>
    <n v="3"/>
    <x v="2"/>
    <x v="1"/>
    <n v="9610"/>
    <x v="4"/>
    <n v="3840"/>
    <x v="2"/>
    <n v="3"/>
    <x v="3"/>
    <s v="Y"/>
    <x v="1"/>
    <n v="13"/>
    <x v="2"/>
    <n v="3"/>
    <x v="0"/>
    <n v="3"/>
    <x v="3"/>
    <n v="80"/>
    <n v="1"/>
    <n v="10"/>
    <x v="0"/>
    <n v="2"/>
    <x v="0"/>
    <n v="1"/>
    <x v="0"/>
    <n v="4"/>
    <x v="2"/>
    <n v="3"/>
    <x v="0"/>
    <n v="0"/>
    <x v="0"/>
    <n v="2"/>
    <x v="0"/>
  </r>
  <r>
    <n v="1740"/>
    <n v="40"/>
    <x v="0"/>
    <x v="1"/>
    <n v="0"/>
    <x v="0"/>
    <n v="611"/>
    <x v="2"/>
    <x v="0"/>
    <n v="7"/>
    <x v="1"/>
    <n v="4"/>
    <x v="2"/>
    <x v="2"/>
    <n v="1"/>
    <n v="2"/>
    <x v="0"/>
    <x v="1"/>
    <n v="88"/>
    <x v="0"/>
    <n v="3"/>
    <x v="0"/>
    <n v="5"/>
    <x v="5"/>
    <n v="2"/>
    <x v="1"/>
    <x v="0"/>
    <n v="19833"/>
    <x v="7"/>
    <n v="4349"/>
    <x v="2"/>
    <n v="1"/>
    <x v="1"/>
    <s v="Y"/>
    <x v="1"/>
    <n v="14"/>
    <x v="2"/>
    <n v="3"/>
    <x v="0"/>
    <n v="2"/>
    <x v="4"/>
    <n v="80"/>
    <n v="0"/>
    <n v="21"/>
    <x v="4"/>
    <n v="3"/>
    <x v="1"/>
    <n v="2"/>
    <x v="2"/>
    <n v="21"/>
    <x v="3"/>
    <n v="8"/>
    <x v="1"/>
    <n v="12"/>
    <x v="3"/>
    <n v="8"/>
    <x v="1"/>
  </r>
  <r>
    <n v="1744"/>
    <n v="45"/>
    <x v="0"/>
    <x v="1"/>
    <n v="0"/>
    <x v="0"/>
    <n v="176"/>
    <x v="1"/>
    <x v="2"/>
    <n v="4"/>
    <x v="0"/>
    <n v="3"/>
    <x v="3"/>
    <x v="0"/>
    <n v="1"/>
    <n v="3"/>
    <x v="1"/>
    <x v="0"/>
    <n v="56"/>
    <x v="1"/>
    <n v="1"/>
    <x v="3"/>
    <n v="3"/>
    <x v="8"/>
    <n v="3"/>
    <x v="2"/>
    <x v="1"/>
    <n v="9756"/>
    <x v="4"/>
    <n v="6595"/>
    <x v="2"/>
    <n v="4"/>
    <x v="2"/>
    <s v="Y"/>
    <x v="1"/>
    <n v="21"/>
    <x v="1"/>
    <n v="4"/>
    <x v="1"/>
    <n v="3"/>
    <x v="3"/>
    <n v="80"/>
    <n v="2"/>
    <n v="9"/>
    <x v="0"/>
    <n v="2"/>
    <x v="0"/>
    <n v="4"/>
    <x v="3"/>
    <n v="5"/>
    <x v="2"/>
    <n v="0"/>
    <x v="2"/>
    <n v="0"/>
    <x v="0"/>
    <n v="3"/>
    <x v="0"/>
  </r>
  <r>
    <n v="1745"/>
    <n v="30"/>
    <x v="2"/>
    <x v="1"/>
    <n v="0"/>
    <x v="1"/>
    <n v="1312"/>
    <x v="0"/>
    <x v="1"/>
    <n v="2"/>
    <x v="0"/>
    <n v="4"/>
    <x v="2"/>
    <x v="4"/>
    <n v="1"/>
    <n v="4"/>
    <x v="2"/>
    <x v="0"/>
    <n v="78"/>
    <x v="0"/>
    <n v="2"/>
    <x v="1"/>
    <n v="1"/>
    <x v="1"/>
    <n v="1"/>
    <x v="3"/>
    <x v="0"/>
    <n v="4968"/>
    <x v="1"/>
    <n v="26427"/>
    <x v="1"/>
    <n v="0"/>
    <x v="1"/>
    <s v="Y"/>
    <x v="1"/>
    <n v="16"/>
    <x v="3"/>
    <n v="3"/>
    <x v="0"/>
    <n v="4"/>
    <x v="1"/>
    <n v="80"/>
    <n v="0"/>
    <n v="10"/>
    <x v="0"/>
    <n v="2"/>
    <x v="0"/>
    <n v="3"/>
    <x v="1"/>
    <n v="9"/>
    <x v="0"/>
    <n v="7"/>
    <x v="1"/>
    <n v="0"/>
    <x v="0"/>
    <n v="7"/>
    <x v="1"/>
  </r>
  <r>
    <n v="1746"/>
    <n v="24"/>
    <x v="4"/>
    <x v="1"/>
    <n v="0"/>
    <x v="1"/>
    <n v="897"/>
    <x v="2"/>
    <x v="2"/>
    <n v="10"/>
    <x v="1"/>
    <n v="3"/>
    <x v="3"/>
    <x v="2"/>
    <n v="1"/>
    <n v="1"/>
    <x v="3"/>
    <x v="1"/>
    <n v="59"/>
    <x v="1"/>
    <n v="3"/>
    <x v="0"/>
    <n v="1"/>
    <x v="8"/>
    <n v="4"/>
    <x v="0"/>
    <x v="1"/>
    <n v="2145"/>
    <x v="2"/>
    <n v="2097"/>
    <x v="2"/>
    <n v="0"/>
    <x v="1"/>
    <s v="Y"/>
    <x v="1"/>
    <n v="14"/>
    <x v="2"/>
    <n v="3"/>
    <x v="0"/>
    <n v="4"/>
    <x v="1"/>
    <n v="80"/>
    <n v="1"/>
    <n v="3"/>
    <x v="3"/>
    <n v="2"/>
    <x v="0"/>
    <n v="3"/>
    <x v="1"/>
    <n v="2"/>
    <x v="2"/>
    <n v="2"/>
    <x v="0"/>
    <n v="2"/>
    <x v="1"/>
    <n v="1"/>
    <x v="2"/>
  </r>
  <r>
    <n v="1747"/>
    <n v="30"/>
    <x v="2"/>
    <x v="0"/>
    <n v="1"/>
    <x v="1"/>
    <n v="600"/>
    <x v="2"/>
    <x v="2"/>
    <n v="8"/>
    <x v="1"/>
    <n v="3"/>
    <x v="3"/>
    <x v="5"/>
    <n v="1"/>
    <n v="3"/>
    <x v="1"/>
    <x v="0"/>
    <n v="66"/>
    <x v="1"/>
    <n v="2"/>
    <x v="1"/>
    <n v="1"/>
    <x v="8"/>
    <n v="4"/>
    <x v="0"/>
    <x v="2"/>
    <n v="2180"/>
    <x v="2"/>
    <n v="9732"/>
    <x v="3"/>
    <n v="6"/>
    <x v="2"/>
    <s v="Y"/>
    <x v="1"/>
    <n v="11"/>
    <x v="0"/>
    <n v="3"/>
    <x v="0"/>
    <n v="3"/>
    <x v="3"/>
    <n v="80"/>
    <n v="1"/>
    <n v="6"/>
    <x v="0"/>
    <n v="0"/>
    <x v="0"/>
    <n v="2"/>
    <x v="2"/>
    <n v="4"/>
    <x v="2"/>
    <n v="2"/>
    <x v="0"/>
    <n v="1"/>
    <x v="0"/>
    <n v="2"/>
    <x v="0"/>
  </r>
  <r>
    <n v="1749"/>
    <n v="31"/>
    <x v="2"/>
    <x v="1"/>
    <n v="0"/>
    <x v="0"/>
    <n v="1003"/>
    <x v="0"/>
    <x v="0"/>
    <n v="5"/>
    <x v="0"/>
    <n v="3"/>
    <x v="3"/>
    <x v="4"/>
    <n v="1"/>
    <n v="1"/>
    <x v="3"/>
    <x v="1"/>
    <n v="51"/>
    <x v="1"/>
    <n v="3"/>
    <x v="0"/>
    <n v="2"/>
    <x v="0"/>
    <n v="3"/>
    <x v="2"/>
    <x v="1"/>
    <n v="8346"/>
    <x v="11"/>
    <n v="20943"/>
    <x v="0"/>
    <n v="1"/>
    <x v="1"/>
    <s v="Y"/>
    <x v="1"/>
    <n v="19"/>
    <x v="1"/>
    <n v="3"/>
    <x v="0"/>
    <n v="3"/>
    <x v="3"/>
    <n v="80"/>
    <n v="1"/>
    <n v="6"/>
    <x v="0"/>
    <n v="3"/>
    <x v="1"/>
    <n v="3"/>
    <x v="1"/>
    <n v="5"/>
    <x v="2"/>
    <n v="2"/>
    <x v="0"/>
    <n v="0"/>
    <x v="0"/>
    <n v="2"/>
    <x v="0"/>
  </r>
  <r>
    <n v="1751"/>
    <n v="27"/>
    <x v="2"/>
    <x v="1"/>
    <n v="0"/>
    <x v="0"/>
    <n v="1054"/>
    <x v="0"/>
    <x v="1"/>
    <n v="8"/>
    <x v="1"/>
    <n v="3"/>
    <x v="3"/>
    <x v="2"/>
    <n v="1"/>
    <n v="3"/>
    <x v="1"/>
    <x v="0"/>
    <n v="67"/>
    <x v="1"/>
    <n v="3"/>
    <x v="0"/>
    <n v="1"/>
    <x v="1"/>
    <n v="4"/>
    <x v="0"/>
    <x v="0"/>
    <n v="3445"/>
    <x v="3"/>
    <n v="6152"/>
    <x v="2"/>
    <n v="1"/>
    <x v="1"/>
    <s v="Y"/>
    <x v="1"/>
    <n v="11"/>
    <x v="0"/>
    <n v="3"/>
    <x v="0"/>
    <n v="3"/>
    <x v="3"/>
    <n v="80"/>
    <n v="0"/>
    <n v="6"/>
    <x v="0"/>
    <n v="5"/>
    <x v="2"/>
    <n v="2"/>
    <x v="2"/>
    <n v="6"/>
    <x v="0"/>
    <n v="2"/>
    <x v="0"/>
    <n v="1"/>
    <x v="0"/>
    <n v="4"/>
    <x v="0"/>
  </r>
  <r>
    <n v="1752"/>
    <n v="29"/>
    <x v="2"/>
    <x v="0"/>
    <n v="1"/>
    <x v="0"/>
    <n v="428"/>
    <x v="1"/>
    <x v="0"/>
    <n v="9"/>
    <x v="1"/>
    <n v="3"/>
    <x v="3"/>
    <x v="3"/>
    <n v="1"/>
    <n v="2"/>
    <x v="0"/>
    <x v="0"/>
    <n v="52"/>
    <x v="1"/>
    <n v="1"/>
    <x v="3"/>
    <n v="1"/>
    <x v="6"/>
    <n v="2"/>
    <x v="1"/>
    <x v="0"/>
    <n v="2760"/>
    <x v="3"/>
    <n v="14630"/>
    <x v="3"/>
    <n v="1"/>
    <x v="1"/>
    <s v="Y"/>
    <x v="1"/>
    <n v="13"/>
    <x v="2"/>
    <n v="3"/>
    <x v="0"/>
    <n v="3"/>
    <x v="3"/>
    <n v="80"/>
    <n v="0"/>
    <n v="2"/>
    <x v="2"/>
    <n v="3"/>
    <x v="1"/>
    <n v="3"/>
    <x v="1"/>
    <n v="2"/>
    <x v="2"/>
    <n v="2"/>
    <x v="0"/>
    <n v="2"/>
    <x v="1"/>
    <n v="2"/>
    <x v="0"/>
  </r>
  <r>
    <n v="1753"/>
    <n v="29"/>
    <x v="2"/>
    <x v="1"/>
    <n v="0"/>
    <x v="1"/>
    <n v="461"/>
    <x v="1"/>
    <x v="1"/>
    <n v="1"/>
    <x v="0"/>
    <n v="3"/>
    <x v="3"/>
    <x v="0"/>
    <n v="1"/>
    <n v="4"/>
    <x v="2"/>
    <x v="1"/>
    <n v="70"/>
    <x v="1"/>
    <n v="4"/>
    <x v="2"/>
    <n v="2"/>
    <x v="4"/>
    <n v="3"/>
    <x v="2"/>
    <x v="0"/>
    <n v="6294"/>
    <x v="0"/>
    <n v="23060"/>
    <x v="1"/>
    <n v="8"/>
    <x v="0"/>
    <s v="Y"/>
    <x v="0"/>
    <n v="12"/>
    <x v="0"/>
    <n v="3"/>
    <x v="0"/>
    <n v="4"/>
    <x v="1"/>
    <n v="80"/>
    <n v="0"/>
    <n v="10"/>
    <x v="0"/>
    <n v="5"/>
    <x v="2"/>
    <n v="4"/>
    <x v="3"/>
    <n v="3"/>
    <x v="2"/>
    <n v="2"/>
    <x v="0"/>
    <n v="0"/>
    <x v="0"/>
    <n v="2"/>
    <x v="0"/>
  </r>
  <r>
    <n v="1754"/>
    <n v="30"/>
    <x v="2"/>
    <x v="1"/>
    <n v="0"/>
    <x v="0"/>
    <n v="979"/>
    <x v="2"/>
    <x v="0"/>
    <n v="15"/>
    <x v="3"/>
    <n v="2"/>
    <x v="0"/>
    <x v="3"/>
    <n v="1"/>
    <n v="3"/>
    <x v="1"/>
    <x v="1"/>
    <n v="94"/>
    <x v="0"/>
    <n v="2"/>
    <x v="1"/>
    <n v="3"/>
    <x v="0"/>
    <n v="1"/>
    <x v="3"/>
    <x v="2"/>
    <n v="7140"/>
    <x v="11"/>
    <n v="3088"/>
    <x v="2"/>
    <n v="2"/>
    <x v="3"/>
    <s v="Y"/>
    <x v="1"/>
    <n v="11"/>
    <x v="0"/>
    <n v="3"/>
    <x v="0"/>
    <n v="1"/>
    <x v="0"/>
    <n v="80"/>
    <n v="1"/>
    <n v="12"/>
    <x v="1"/>
    <n v="2"/>
    <x v="0"/>
    <n v="3"/>
    <x v="1"/>
    <n v="7"/>
    <x v="0"/>
    <n v="7"/>
    <x v="1"/>
    <n v="1"/>
    <x v="0"/>
    <n v="7"/>
    <x v="1"/>
  </r>
  <r>
    <n v="1755"/>
    <n v="34"/>
    <x v="2"/>
    <x v="1"/>
    <n v="0"/>
    <x v="0"/>
    <n v="181"/>
    <x v="1"/>
    <x v="1"/>
    <n v="2"/>
    <x v="0"/>
    <n v="4"/>
    <x v="2"/>
    <x v="2"/>
    <n v="1"/>
    <n v="4"/>
    <x v="2"/>
    <x v="1"/>
    <n v="97"/>
    <x v="0"/>
    <n v="4"/>
    <x v="2"/>
    <n v="1"/>
    <x v="1"/>
    <n v="4"/>
    <x v="0"/>
    <x v="1"/>
    <n v="2932"/>
    <x v="3"/>
    <n v="5586"/>
    <x v="2"/>
    <n v="0"/>
    <x v="1"/>
    <s v="Y"/>
    <x v="0"/>
    <n v="14"/>
    <x v="2"/>
    <n v="3"/>
    <x v="0"/>
    <n v="1"/>
    <x v="0"/>
    <n v="80"/>
    <n v="3"/>
    <n v="6"/>
    <x v="0"/>
    <n v="3"/>
    <x v="1"/>
    <n v="3"/>
    <x v="1"/>
    <n v="5"/>
    <x v="2"/>
    <n v="0"/>
    <x v="2"/>
    <n v="1"/>
    <x v="0"/>
    <n v="2"/>
    <x v="0"/>
  </r>
  <r>
    <n v="1756"/>
    <n v="33"/>
    <x v="2"/>
    <x v="1"/>
    <n v="0"/>
    <x v="2"/>
    <n v="1283"/>
    <x v="0"/>
    <x v="0"/>
    <n v="2"/>
    <x v="0"/>
    <n v="3"/>
    <x v="3"/>
    <x v="3"/>
    <n v="1"/>
    <n v="4"/>
    <x v="2"/>
    <x v="0"/>
    <n v="62"/>
    <x v="1"/>
    <n v="3"/>
    <x v="0"/>
    <n v="2"/>
    <x v="0"/>
    <n v="2"/>
    <x v="1"/>
    <x v="0"/>
    <n v="5147"/>
    <x v="1"/>
    <n v="10697"/>
    <x v="3"/>
    <n v="8"/>
    <x v="0"/>
    <s v="Y"/>
    <x v="1"/>
    <n v="15"/>
    <x v="2"/>
    <n v="3"/>
    <x v="0"/>
    <n v="4"/>
    <x v="1"/>
    <n v="80"/>
    <n v="0"/>
    <n v="13"/>
    <x v="1"/>
    <n v="2"/>
    <x v="0"/>
    <n v="2"/>
    <x v="2"/>
    <n v="11"/>
    <x v="4"/>
    <n v="7"/>
    <x v="1"/>
    <n v="1"/>
    <x v="0"/>
    <n v="7"/>
    <x v="1"/>
  </r>
  <r>
    <n v="1757"/>
    <n v="49"/>
    <x v="1"/>
    <x v="1"/>
    <n v="0"/>
    <x v="0"/>
    <n v="1313"/>
    <x v="0"/>
    <x v="0"/>
    <n v="11"/>
    <x v="3"/>
    <n v="4"/>
    <x v="2"/>
    <x v="3"/>
    <n v="1"/>
    <n v="4"/>
    <x v="2"/>
    <x v="0"/>
    <n v="80"/>
    <x v="0"/>
    <n v="3"/>
    <x v="0"/>
    <n v="2"/>
    <x v="0"/>
    <n v="4"/>
    <x v="0"/>
    <x v="0"/>
    <n v="4507"/>
    <x v="1"/>
    <n v="8191"/>
    <x v="3"/>
    <n v="3"/>
    <x v="3"/>
    <s v="Y"/>
    <x v="1"/>
    <n v="12"/>
    <x v="0"/>
    <n v="3"/>
    <x v="0"/>
    <n v="3"/>
    <x v="3"/>
    <n v="80"/>
    <n v="0"/>
    <n v="8"/>
    <x v="0"/>
    <n v="1"/>
    <x v="0"/>
    <n v="4"/>
    <x v="3"/>
    <n v="5"/>
    <x v="2"/>
    <n v="1"/>
    <x v="2"/>
    <n v="0"/>
    <x v="0"/>
    <n v="4"/>
    <x v="0"/>
  </r>
  <r>
    <n v="1758"/>
    <n v="33"/>
    <x v="2"/>
    <x v="0"/>
    <n v="1"/>
    <x v="0"/>
    <n v="211"/>
    <x v="1"/>
    <x v="0"/>
    <n v="16"/>
    <x v="3"/>
    <n v="3"/>
    <x v="3"/>
    <x v="0"/>
    <n v="1"/>
    <n v="1"/>
    <x v="3"/>
    <x v="0"/>
    <n v="74"/>
    <x v="1"/>
    <n v="3"/>
    <x v="0"/>
    <n v="3"/>
    <x v="0"/>
    <n v="1"/>
    <x v="3"/>
    <x v="0"/>
    <n v="8564"/>
    <x v="4"/>
    <n v="10092"/>
    <x v="3"/>
    <n v="2"/>
    <x v="3"/>
    <s v="Y"/>
    <x v="0"/>
    <n v="20"/>
    <x v="1"/>
    <n v="4"/>
    <x v="1"/>
    <n v="3"/>
    <x v="3"/>
    <n v="80"/>
    <n v="0"/>
    <n v="11"/>
    <x v="1"/>
    <n v="2"/>
    <x v="0"/>
    <n v="2"/>
    <x v="2"/>
    <n v="0"/>
    <x v="1"/>
    <n v="0"/>
    <x v="2"/>
    <n v="0"/>
    <x v="0"/>
    <n v="0"/>
    <x v="2"/>
  </r>
  <r>
    <n v="1760"/>
    <n v="38"/>
    <x v="0"/>
    <x v="1"/>
    <n v="0"/>
    <x v="1"/>
    <n v="594"/>
    <x v="2"/>
    <x v="1"/>
    <n v="2"/>
    <x v="0"/>
    <n v="2"/>
    <x v="0"/>
    <x v="2"/>
    <n v="1"/>
    <n v="3"/>
    <x v="1"/>
    <x v="0"/>
    <n v="75"/>
    <x v="1"/>
    <n v="2"/>
    <x v="1"/>
    <n v="1"/>
    <x v="2"/>
    <n v="2"/>
    <x v="1"/>
    <x v="1"/>
    <n v="2468"/>
    <x v="2"/>
    <n v="15963"/>
    <x v="3"/>
    <n v="4"/>
    <x v="2"/>
    <s v="Y"/>
    <x v="1"/>
    <n v="14"/>
    <x v="2"/>
    <n v="3"/>
    <x v="0"/>
    <n v="2"/>
    <x v="4"/>
    <n v="80"/>
    <n v="1"/>
    <n v="9"/>
    <x v="0"/>
    <n v="4"/>
    <x v="1"/>
    <n v="2"/>
    <x v="2"/>
    <n v="6"/>
    <x v="0"/>
    <n v="1"/>
    <x v="2"/>
    <n v="0"/>
    <x v="0"/>
    <n v="5"/>
    <x v="0"/>
  </r>
  <r>
    <n v="1761"/>
    <n v="31"/>
    <x v="2"/>
    <x v="0"/>
    <n v="1"/>
    <x v="0"/>
    <n v="1079"/>
    <x v="0"/>
    <x v="0"/>
    <n v="16"/>
    <x v="3"/>
    <n v="4"/>
    <x v="2"/>
    <x v="3"/>
    <n v="1"/>
    <n v="1"/>
    <x v="3"/>
    <x v="1"/>
    <n v="70"/>
    <x v="1"/>
    <n v="3"/>
    <x v="0"/>
    <n v="3"/>
    <x v="0"/>
    <n v="3"/>
    <x v="2"/>
    <x v="1"/>
    <n v="8161"/>
    <x v="11"/>
    <n v="19002"/>
    <x v="0"/>
    <n v="2"/>
    <x v="3"/>
    <s v="Y"/>
    <x v="1"/>
    <n v="13"/>
    <x v="2"/>
    <n v="3"/>
    <x v="0"/>
    <n v="1"/>
    <x v="0"/>
    <n v="80"/>
    <n v="3"/>
    <n v="10"/>
    <x v="0"/>
    <n v="2"/>
    <x v="0"/>
    <n v="3"/>
    <x v="1"/>
    <n v="1"/>
    <x v="1"/>
    <n v="0"/>
    <x v="2"/>
    <n v="0"/>
    <x v="0"/>
    <n v="0"/>
    <x v="2"/>
  </r>
  <r>
    <n v="1762"/>
    <n v="29"/>
    <x v="2"/>
    <x v="1"/>
    <n v="0"/>
    <x v="0"/>
    <n v="590"/>
    <x v="2"/>
    <x v="1"/>
    <n v="4"/>
    <x v="0"/>
    <n v="3"/>
    <x v="3"/>
    <x v="4"/>
    <n v="1"/>
    <n v="4"/>
    <x v="2"/>
    <x v="0"/>
    <n v="91"/>
    <x v="0"/>
    <n v="2"/>
    <x v="1"/>
    <n v="1"/>
    <x v="1"/>
    <n v="1"/>
    <x v="3"/>
    <x v="2"/>
    <n v="2109"/>
    <x v="2"/>
    <n v="10007"/>
    <x v="3"/>
    <n v="1"/>
    <x v="1"/>
    <s v="Y"/>
    <x v="1"/>
    <n v="13"/>
    <x v="2"/>
    <n v="3"/>
    <x v="0"/>
    <n v="3"/>
    <x v="3"/>
    <n v="80"/>
    <n v="1"/>
    <n v="1"/>
    <x v="2"/>
    <n v="2"/>
    <x v="0"/>
    <n v="3"/>
    <x v="1"/>
    <n v="1"/>
    <x v="1"/>
    <n v="0"/>
    <x v="2"/>
    <n v="0"/>
    <x v="0"/>
    <n v="0"/>
    <x v="2"/>
  </r>
  <r>
    <n v="1763"/>
    <n v="30"/>
    <x v="2"/>
    <x v="1"/>
    <n v="0"/>
    <x v="0"/>
    <n v="305"/>
    <x v="1"/>
    <x v="1"/>
    <n v="16"/>
    <x v="3"/>
    <n v="3"/>
    <x v="3"/>
    <x v="0"/>
    <n v="1"/>
    <n v="3"/>
    <x v="1"/>
    <x v="1"/>
    <n v="58"/>
    <x v="1"/>
    <n v="4"/>
    <x v="2"/>
    <n v="2"/>
    <x v="4"/>
    <n v="3"/>
    <x v="2"/>
    <x v="1"/>
    <n v="5294"/>
    <x v="1"/>
    <n v="9128"/>
    <x v="3"/>
    <n v="3"/>
    <x v="3"/>
    <s v="Y"/>
    <x v="1"/>
    <n v="16"/>
    <x v="3"/>
    <n v="3"/>
    <x v="0"/>
    <n v="3"/>
    <x v="3"/>
    <n v="80"/>
    <n v="1"/>
    <n v="10"/>
    <x v="0"/>
    <n v="3"/>
    <x v="1"/>
    <n v="3"/>
    <x v="1"/>
    <n v="7"/>
    <x v="0"/>
    <n v="0"/>
    <x v="2"/>
    <n v="1"/>
    <x v="0"/>
    <n v="7"/>
    <x v="1"/>
  </r>
  <r>
    <n v="1764"/>
    <n v="32"/>
    <x v="2"/>
    <x v="1"/>
    <n v="0"/>
    <x v="2"/>
    <n v="953"/>
    <x v="2"/>
    <x v="1"/>
    <n v="5"/>
    <x v="0"/>
    <n v="4"/>
    <x v="2"/>
    <x v="4"/>
    <n v="1"/>
    <n v="2"/>
    <x v="0"/>
    <x v="1"/>
    <n v="65"/>
    <x v="1"/>
    <n v="3"/>
    <x v="0"/>
    <n v="1"/>
    <x v="1"/>
    <n v="2"/>
    <x v="1"/>
    <x v="0"/>
    <n v="2718"/>
    <x v="3"/>
    <n v="17674"/>
    <x v="0"/>
    <n v="2"/>
    <x v="3"/>
    <s v="Y"/>
    <x v="1"/>
    <n v="14"/>
    <x v="2"/>
    <n v="3"/>
    <x v="0"/>
    <n v="2"/>
    <x v="4"/>
    <n v="80"/>
    <n v="0"/>
    <n v="12"/>
    <x v="1"/>
    <n v="3"/>
    <x v="1"/>
    <n v="3"/>
    <x v="1"/>
    <n v="7"/>
    <x v="0"/>
    <n v="7"/>
    <x v="1"/>
    <n v="0"/>
    <x v="0"/>
    <n v="7"/>
    <x v="1"/>
  </r>
  <r>
    <n v="1766"/>
    <n v="38"/>
    <x v="0"/>
    <x v="1"/>
    <n v="0"/>
    <x v="0"/>
    <n v="833"/>
    <x v="2"/>
    <x v="1"/>
    <n v="18"/>
    <x v="3"/>
    <n v="3"/>
    <x v="3"/>
    <x v="2"/>
    <n v="1"/>
    <n v="2"/>
    <x v="0"/>
    <x v="1"/>
    <n v="60"/>
    <x v="1"/>
    <n v="1"/>
    <x v="3"/>
    <n v="2"/>
    <x v="4"/>
    <n v="4"/>
    <x v="0"/>
    <x v="1"/>
    <n v="5811"/>
    <x v="0"/>
    <n v="24539"/>
    <x v="1"/>
    <n v="3"/>
    <x v="3"/>
    <s v="Y"/>
    <x v="0"/>
    <n v="16"/>
    <x v="3"/>
    <n v="3"/>
    <x v="0"/>
    <n v="3"/>
    <x v="3"/>
    <n v="80"/>
    <n v="1"/>
    <n v="15"/>
    <x v="1"/>
    <n v="2"/>
    <x v="0"/>
    <n v="3"/>
    <x v="1"/>
    <n v="1"/>
    <x v="1"/>
    <n v="0"/>
    <x v="2"/>
    <n v="1"/>
    <x v="0"/>
    <n v="0"/>
    <x v="2"/>
  </r>
  <r>
    <n v="1767"/>
    <n v="43"/>
    <x v="0"/>
    <x v="0"/>
    <n v="1"/>
    <x v="1"/>
    <n v="807"/>
    <x v="2"/>
    <x v="1"/>
    <n v="17"/>
    <x v="3"/>
    <n v="3"/>
    <x v="3"/>
    <x v="4"/>
    <n v="1"/>
    <n v="3"/>
    <x v="1"/>
    <x v="1"/>
    <n v="38"/>
    <x v="2"/>
    <n v="2"/>
    <x v="1"/>
    <n v="1"/>
    <x v="1"/>
    <n v="3"/>
    <x v="2"/>
    <x v="1"/>
    <n v="2437"/>
    <x v="2"/>
    <n v="15587"/>
    <x v="3"/>
    <n v="9"/>
    <x v="0"/>
    <s v="Y"/>
    <x v="0"/>
    <n v="16"/>
    <x v="3"/>
    <n v="3"/>
    <x v="0"/>
    <n v="4"/>
    <x v="1"/>
    <n v="80"/>
    <n v="1"/>
    <n v="6"/>
    <x v="0"/>
    <n v="4"/>
    <x v="1"/>
    <n v="3"/>
    <x v="1"/>
    <n v="1"/>
    <x v="1"/>
    <n v="0"/>
    <x v="2"/>
    <n v="0"/>
    <x v="0"/>
    <n v="0"/>
    <x v="2"/>
  </r>
  <r>
    <n v="1768"/>
    <n v="42"/>
    <x v="0"/>
    <x v="1"/>
    <n v="0"/>
    <x v="0"/>
    <n v="855"/>
    <x v="2"/>
    <x v="1"/>
    <n v="12"/>
    <x v="3"/>
    <n v="3"/>
    <x v="3"/>
    <x v="2"/>
    <n v="1"/>
    <n v="2"/>
    <x v="0"/>
    <x v="1"/>
    <n v="57"/>
    <x v="1"/>
    <n v="3"/>
    <x v="0"/>
    <n v="1"/>
    <x v="2"/>
    <n v="2"/>
    <x v="1"/>
    <x v="2"/>
    <n v="2766"/>
    <x v="3"/>
    <n v="8952"/>
    <x v="3"/>
    <n v="8"/>
    <x v="0"/>
    <s v="Y"/>
    <x v="1"/>
    <n v="22"/>
    <x v="1"/>
    <n v="4"/>
    <x v="1"/>
    <n v="2"/>
    <x v="4"/>
    <n v="80"/>
    <n v="3"/>
    <n v="7"/>
    <x v="0"/>
    <n v="6"/>
    <x v="2"/>
    <n v="2"/>
    <x v="2"/>
    <n v="5"/>
    <x v="2"/>
    <n v="3"/>
    <x v="0"/>
    <n v="0"/>
    <x v="0"/>
    <n v="4"/>
    <x v="0"/>
  </r>
  <r>
    <n v="1770"/>
    <n v="55"/>
    <x v="1"/>
    <x v="1"/>
    <n v="0"/>
    <x v="0"/>
    <n v="478"/>
    <x v="1"/>
    <x v="1"/>
    <n v="2"/>
    <x v="0"/>
    <n v="3"/>
    <x v="3"/>
    <x v="2"/>
    <n v="1"/>
    <n v="3"/>
    <x v="1"/>
    <x v="1"/>
    <n v="60"/>
    <x v="1"/>
    <n v="2"/>
    <x v="1"/>
    <n v="5"/>
    <x v="7"/>
    <n v="1"/>
    <x v="3"/>
    <x v="1"/>
    <n v="19038"/>
    <x v="7"/>
    <n v="19805"/>
    <x v="0"/>
    <n v="8"/>
    <x v="0"/>
    <s v="Y"/>
    <x v="1"/>
    <n v="12"/>
    <x v="0"/>
    <n v="3"/>
    <x v="0"/>
    <n v="2"/>
    <x v="4"/>
    <n v="80"/>
    <n v="3"/>
    <n v="34"/>
    <x v="4"/>
    <n v="2"/>
    <x v="0"/>
    <n v="3"/>
    <x v="1"/>
    <n v="1"/>
    <x v="1"/>
    <n v="0"/>
    <x v="2"/>
    <n v="0"/>
    <x v="0"/>
    <n v="0"/>
    <x v="2"/>
  </r>
  <r>
    <n v="1771"/>
    <n v="33"/>
    <x v="2"/>
    <x v="1"/>
    <n v="0"/>
    <x v="2"/>
    <n v="775"/>
    <x v="2"/>
    <x v="1"/>
    <n v="4"/>
    <x v="0"/>
    <n v="3"/>
    <x v="3"/>
    <x v="4"/>
    <n v="1"/>
    <n v="4"/>
    <x v="2"/>
    <x v="1"/>
    <n v="90"/>
    <x v="0"/>
    <n v="3"/>
    <x v="0"/>
    <n v="2"/>
    <x v="1"/>
    <n v="2"/>
    <x v="1"/>
    <x v="2"/>
    <n v="3055"/>
    <x v="3"/>
    <n v="6194"/>
    <x v="2"/>
    <n v="5"/>
    <x v="2"/>
    <s v="Y"/>
    <x v="1"/>
    <n v="15"/>
    <x v="2"/>
    <n v="3"/>
    <x v="0"/>
    <n v="4"/>
    <x v="1"/>
    <n v="80"/>
    <n v="2"/>
    <n v="11"/>
    <x v="1"/>
    <n v="2"/>
    <x v="0"/>
    <n v="2"/>
    <x v="2"/>
    <n v="9"/>
    <x v="0"/>
    <n v="8"/>
    <x v="1"/>
    <n v="1"/>
    <x v="0"/>
    <n v="7"/>
    <x v="1"/>
  </r>
  <r>
    <n v="1772"/>
    <n v="41"/>
    <x v="0"/>
    <x v="1"/>
    <n v="0"/>
    <x v="0"/>
    <n v="548"/>
    <x v="2"/>
    <x v="1"/>
    <n v="9"/>
    <x v="1"/>
    <n v="4"/>
    <x v="2"/>
    <x v="0"/>
    <n v="1"/>
    <n v="3"/>
    <x v="1"/>
    <x v="1"/>
    <n v="94"/>
    <x v="0"/>
    <n v="3"/>
    <x v="0"/>
    <n v="1"/>
    <x v="2"/>
    <n v="1"/>
    <x v="3"/>
    <x v="2"/>
    <n v="2289"/>
    <x v="2"/>
    <n v="20520"/>
    <x v="0"/>
    <n v="1"/>
    <x v="1"/>
    <s v="Y"/>
    <x v="1"/>
    <n v="20"/>
    <x v="1"/>
    <n v="4"/>
    <x v="1"/>
    <n v="2"/>
    <x v="4"/>
    <n v="80"/>
    <n v="2"/>
    <n v="5"/>
    <x v="3"/>
    <n v="2"/>
    <x v="0"/>
    <n v="3"/>
    <x v="1"/>
    <n v="5"/>
    <x v="2"/>
    <n v="3"/>
    <x v="0"/>
    <n v="0"/>
    <x v="0"/>
    <n v="4"/>
    <x v="0"/>
  </r>
  <r>
    <n v="1774"/>
    <n v="34"/>
    <x v="2"/>
    <x v="1"/>
    <n v="0"/>
    <x v="2"/>
    <n v="1375"/>
    <x v="0"/>
    <x v="0"/>
    <n v="10"/>
    <x v="1"/>
    <n v="3"/>
    <x v="3"/>
    <x v="0"/>
    <n v="1"/>
    <n v="4"/>
    <x v="2"/>
    <x v="1"/>
    <n v="87"/>
    <x v="0"/>
    <n v="3"/>
    <x v="0"/>
    <n v="2"/>
    <x v="0"/>
    <n v="3"/>
    <x v="2"/>
    <x v="2"/>
    <n v="4001"/>
    <x v="1"/>
    <n v="12313"/>
    <x v="3"/>
    <n v="1"/>
    <x v="1"/>
    <s v="Y"/>
    <x v="0"/>
    <n v="14"/>
    <x v="2"/>
    <n v="3"/>
    <x v="0"/>
    <n v="3"/>
    <x v="3"/>
    <n v="80"/>
    <n v="1"/>
    <n v="15"/>
    <x v="1"/>
    <n v="3"/>
    <x v="1"/>
    <n v="3"/>
    <x v="1"/>
    <n v="15"/>
    <x v="4"/>
    <n v="14"/>
    <x v="3"/>
    <n v="0"/>
    <x v="0"/>
    <n v="7"/>
    <x v="1"/>
  </r>
  <r>
    <n v="1775"/>
    <n v="53"/>
    <x v="1"/>
    <x v="1"/>
    <n v="0"/>
    <x v="2"/>
    <n v="661"/>
    <x v="2"/>
    <x v="1"/>
    <n v="1"/>
    <x v="0"/>
    <n v="4"/>
    <x v="2"/>
    <x v="2"/>
    <n v="1"/>
    <n v="1"/>
    <x v="3"/>
    <x v="0"/>
    <n v="60"/>
    <x v="1"/>
    <n v="2"/>
    <x v="1"/>
    <n v="4"/>
    <x v="3"/>
    <n v="3"/>
    <x v="2"/>
    <x v="1"/>
    <n v="12965"/>
    <x v="6"/>
    <n v="22308"/>
    <x v="1"/>
    <n v="4"/>
    <x v="2"/>
    <s v="Y"/>
    <x v="0"/>
    <n v="20"/>
    <x v="1"/>
    <n v="4"/>
    <x v="1"/>
    <n v="4"/>
    <x v="1"/>
    <n v="80"/>
    <n v="3"/>
    <n v="27"/>
    <x v="4"/>
    <n v="2"/>
    <x v="0"/>
    <n v="2"/>
    <x v="2"/>
    <n v="3"/>
    <x v="2"/>
    <n v="2"/>
    <x v="0"/>
    <n v="0"/>
    <x v="0"/>
    <n v="2"/>
    <x v="0"/>
  </r>
  <r>
    <n v="1778"/>
    <n v="43"/>
    <x v="0"/>
    <x v="1"/>
    <n v="0"/>
    <x v="0"/>
    <n v="244"/>
    <x v="1"/>
    <x v="2"/>
    <n v="2"/>
    <x v="0"/>
    <n v="3"/>
    <x v="3"/>
    <x v="0"/>
    <n v="1"/>
    <n v="2"/>
    <x v="0"/>
    <x v="1"/>
    <n v="97"/>
    <x v="0"/>
    <n v="3"/>
    <x v="0"/>
    <n v="1"/>
    <x v="8"/>
    <n v="4"/>
    <x v="0"/>
    <x v="0"/>
    <n v="3539"/>
    <x v="3"/>
    <n v="5033"/>
    <x v="2"/>
    <n v="0"/>
    <x v="1"/>
    <s v="Y"/>
    <x v="1"/>
    <n v="13"/>
    <x v="2"/>
    <n v="3"/>
    <x v="0"/>
    <n v="2"/>
    <x v="4"/>
    <n v="80"/>
    <n v="0"/>
    <n v="10"/>
    <x v="0"/>
    <n v="5"/>
    <x v="2"/>
    <n v="3"/>
    <x v="1"/>
    <n v="9"/>
    <x v="0"/>
    <n v="7"/>
    <x v="1"/>
    <n v="1"/>
    <x v="0"/>
    <n v="8"/>
    <x v="1"/>
  </r>
  <r>
    <n v="1779"/>
    <n v="34"/>
    <x v="2"/>
    <x v="1"/>
    <n v="0"/>
    <x v="0"/>
    <n v="511"/>
    <x v="2"/>
    <x v="0"/>
    <n v="3"/>
    <x v="0"/>
    <n v="2"/>
    <x v="0"/>
    <x v="0"/>
    <n v="1"/>
    <n v="4"/>
    <x v="2"/>
    <x v="0"/>
    <n v="32"/>
    <x v="2"/>
    <n v="1"/>
    <x v="3"/>
    <n v="2"/>
    <x v="0"/>
    <n v="4"/>
    <x v="0"/>
    <x v="0"/>
    <n v="6029"/>
    <x v="0"/>
    <n v="25353"/>
    <x v="1"/>
    <n v="5"/>
    <x v="2"/>
    <s v="Y"/>
    <x v="1"/>
    <n v="12"/>
    <x v="0"/>
    <n v="3"/>
    <x v="0"/>
    <n v="1"/>
    <x v="0"/>
    <n v="80"/>
    <n v="0"/>
    <n v="6"/>
    <x v="0"/>
    <n v="3"/>
    <x v="1"/>
    <n v="3"/>
    <x v="1"/>
    <n v="2"/>
    <x v="2"/>
    <n v="2"/>
    <x v="0"/>
    <n v="2"/>
    <x v="1"/>
    <n v="2"/>
    <x v="0"/>
  </r>
  <r>
    <n v="1780"/>
    <n v="21"/>
    <x v="4"/>
    <x v="0"/>
    <n v="1"/>
    <x v="0"/>
    <n v="337"/>
    <x v="1"/>
    <x v="0"/>
    <n v="7"/>
    <x v="1"/>
    <n v="1"/>
    <x v="1"/>
    <x v="3"/>
    <n v="1"/>
    <n v="2"/>
    <x v="0"/>
    <x v="1"/>
    <n v="31"/>
    <x v="2"/>
    <n v="3"/>
    <x v="0"/>
    <n v="1"/>
    <x v="6"/>
    <n v="2"/>
    <x v="1"/>
    <x v="0"/>
    <n v="2679"/>
    <x v="3"/>
    <n v="4567"/>
    <x v="2"/>
    <n v="1"/>
    <x v="1"/>
    <s v="Y"/>
    <x v="1"/>
    <n v="13"/>
    <x v="2"/>
    <n v="3"/>
    <x v="0"/>
    <n v="2"/>
    <x v="4"/>
    <n v="80"/>
    <n v="0"/>
    <n v="1"/>
    <x v="2"/>
    <n v="3"/>
    <x v="1"/>
    <n v="3"/>
    <x v="1"/>
    <n v="1"/>
    <x v="1"/>
    <n v="0"/>
    <x v="2"/>
    <n v="1"/>
    <x v="0"/>
    <n v="0"/>
    <x v="2"/>
  </r>
  <r>
    <n v="1782"/>
    <n v="38"/>
    <x v="0"/>
    <x v="1"/>
    <n v="0"/>
    <x v="0"/>
    <n v="1153"/>
    <x v="0"/>
    <x v="1"/>
    <n v="6"/>
    <x v="1"/>
    <n v="2"/>
    <x v="0"/>
    <x v="1"/>
    <n v="1"/>
    <n v="4"/>
    <x v="2"/>
    <x v="0"/>
    <n v="40"/>
    <x v="2"/>
    <n v="2"/>
    <x v="1"/>
    <n v="1"/>
    <x v="2"/>
    <n v="3"/>
    <x v="2"/>
    <x v="1"/>
    <n v="3702"/>
    <x v="3"/>
    <n v="16376"/>
    <x v="0"/>
    <n v="1"/>
    <x v="1"/>
    <s v="Y"/>
    <x v="1"/>
    <n v="11"/>
    <x v="0"/>
    <n v="3"/>
    <x v="0"/>
    <n v="2"/>
    <x v="4"/>
    <n v="80"/>
    <n v="1"/>
    <n v="5"/>
    <x v="3"/>
    <n v="3"/>
    <x v="1"/>
    <n v="3"/>
    <x v="1"/>
    <n v="5"/>
    <x v="2"/>
    <n v="4"/>
    <x v="0"/>
    <n v="0"/>
    <x v="0"/>
    <n v="4"/>
    <x v="0"/>
  </r>
  <r>
    <n v="1783"/>
    <n v="22"/>
    <x v="4"/>
    <x v="0"/>
    <n v="1"/>
    <x v="0"/>
    <n v="1294"/>
    <x v="0"/>
    <x v="1"/>
    <n v="8"/>
    <x v="1"/>
    <n v="1"/>
    <x v="1"/>
    <x v="2"/>
    <n v="1"/>
    <n v="3"/>
    <x v="1"/>
    <x v="0"/>
    <n v="79"/>
    <x v="0"/>
    <n v="3"/>
    <x v="0"/>
    <n v="1"/>
    <x v="2"/>
    <n v="1"/>
    <x v="3"/>
    <x v="1"/>
    <n v="2398"/>
    <x v="2"/>
    <n v="15999"/>
    <x v="3"/>
    <n v="1"/>
    <x v="1"/>
    <s v="Y"/>
    <x v="0"/>
    <n v="17"/>
    <x v="3"/>
    <n v="3"/>
    <x v="0"/>
    <n v="3"/>
    <x v="3"/>
    <n v="80"/>
    <n v="0"/>
    <n v="1"/>
    <x v="2"/>
    <n v="6"/>
    <x v="2"/>
    <n v="3"/>
    <x v="1"/>
    <n v="1"/>
    <x v="1"/>
    <n v="0"/>
    <x v="2"/>
    <n v="0"/>
    <x v="0"/>
    <n v="0"/>
    <x v="2"/>
  </r>
  <r>
    <n v="1784"/>
    <n v="31"/>
    <x v="2"/>
    <x v="1"/>
    <n v="0"/>
    <x v="0"/>
    <n v="196"/>
    <x v="1"/>
    <x v="0"/>
    <n v="29"/>
    <x v="2"/>
    <n v="4"/>
    <x v="2"/>
    <x v="3"/>
    <n v="1"/>
    <n v="1"/>
    <x v="3"/>
    <x v="0"/>
    <n v="91"/>
    <x v="0"/>
    <n v="2"/>
    <x v="1"/>
    <n v="2"/>
    <x v="0"/>
    <n v="4"/>
    <x v="0"/>
    <x v="1"/>
    <n v="5468"/>
    <x v="1"/>
    <n v="13402"/>
    <x v="3"/>
    <n v="1"/>
    <x v="1"/>
    <s v="Y"/>
    <x v="1"/>
    <n v="14"/>
    <x v="2"/>
    <n v="3"/>
    <x v="0"/>
    <n v="1"/>
    <x v="0"/>
    <n v="80"/>
    <n v="2"/>
    <n v="13"/>
    <x v="1"/>
    <n v="3"/>
    <x v="1"/>
    <n v="3"/>
    <x v="1"/>
    <n v="12"/>
    <x v="4"/>
    <n v="7"/>
    <x v="1"/>
    <n v="5"/>
    <x v="1"/>
    <n v="7"/>
    <x v="1"/>
  </r>
  <r>
    <n v="1786"/>
    <n v="51"/>
    <x v="1"/>
    <x v="1"/>
    <n v="0"/>
    <x v="0"/>
    <n v="942"/>
    <x v="2"/>
    <x v="1"/>
    <n v="3"/>
    <x v="0"/>
    <n v="3"/>
    <x v="3"/>
    <x v="4"/>
    <n v="1"/>
    <n v="1"/>
    <x v="3"/>
    <x v="0"/>
    <n v="53"/>
    <x v="1"/>
    <n v="3"/>
    <x v="0"/>
    <n v="3"/>
    <x v="5"/>
    <n v="3"/>
    <x v="2"/>
    <x v="1"/>
    <n v="13116"/>
    <x v="10"/>
    <n v="22984"/>
    <x v="1"/>
    <n v="2"/>
    <x v="3"/>
    <s v="Y"/>
    <x v="1"/>
    <n v="11"/>
    <x v="0"/>
    <n v="3"/>
    <x v="0"/>
    <n v="4"/>
    <x v="1"/>
    <n v="80"/>
    <n v="0"/>
    <n v="15"/>
    <x v="1"/>
    <n v="2"/>
    <x v="0"/>
    <n v="3"/>
    <x v="1"/>
    <n v="2"/>
    <x v="2"/>
    <n v="2"/>
    <x v="0"/>
    <n v="2"/>
    <x v="1"/>
    <n v="2"/>
    <x v="0"/>
  </r>
  <r>
    <n v="1787"/>
    <n v="37"/>
    <x v="0"/>
    <x v="1"/>
    <n v="0"/>
    <x v="0"/>
    <n v="589"/>
    <x v="2"/>
    <x v="0"/>
    <n v="9"/>
    <x v="1"/>
    <n v="2"/>
    <x v="0"/>
    <x v="3"/>
    <n v="1"/>
    <n v="2"/>
    <x v="0"/>
    <x v="1"/>
    <n v="46"/>
    <x v="2"/>
    <n v="2"/>
    <x v="1"/>
    <n v="2"/>
    <x v="0"/>
    <n v="2"/>
    <x v="1"/>
    <x v="1"/>
    <n v="4189"/>
    <x v="1"/>
    <n v="8800"/>
    <x v="3"/>
    <n v="1"/>
    <x v="1"/>
    <s v="Y"/>
    <x v="1"/>
    <n v="14"/>
    <x v="2"/>
    <n v="3"/>
    <x v="0"/>
    <n v="1"/>
    <x v="0"/>
    <n v="80"/>
    <n v="2"/>
    <n v="5"/>
    <x v="3"/>
    <n v="2"/>
    <x v="0"/>
    <n v="3"/>
    <x v="1"/>
    <n v="5"/>
    <x v="2"/>
    <n v="2"/>
    <x v="0"/>
    <n v="0"/>
    <x v="0"/>
    <n v="3"/>
    <x v="0"/>
  </r>
  <r>
    <n v="1789"/>
    <n v="46"/>
    <x v="1"/>
    <x v="1"/>
    <n v="0"/>
    <x v="0"/>
    <n v="734"/>
    <x v="2"/>
    <x v="1"/>
    <n v="2"/>
    <x v="0"/>
    <n v="4"/>
    <x v="2"/>
    <x v="2"/>
    <n v="1"/>
    <n v="3"/>
    <x v="1"/>
    <x v="1"/>
    <n v="46"/>
    <x v="2"/>
    <n v="3"/>
    <x v="0"/>
    <n v="5"/>
    <x v="7"/>
    <n v="4"/>
    <x v="0"/>
    <x v="2"/>
    <n v="19328"/>
    <x v="7"/>
    <n v="14218"/>
    <x v="3"/>
    <n v="7"/>
    <x v="0"/>
    <s v="Y"/>
    <x v="0"/>
    <n v="17"/>
    <x v="3"/>
    <n v="3"/>
    <x v="0"/>
    <n v="3"/>
    <x v="3"/>
    <n v="80"/>
    <n v="1"/>
    <n v="24"/>
    <x v="4"/>
    <n v="3"/>
    <x v="1"/>
    <n v="3"/>
    <x v="1"/>
    <n v="2"/>
    <x v="2"/>
    <n v="1"/>
    <x v="2"/>
    <n v="2"/>
    <x v="1"/>
    <n v="2"/>
    <x v="0"/>
  </r>
  <r>
    <n v="1790"/>
    <n v="36"/>
    <x v="0"/>
    <x v="1"/>
    <n v="0"/>
    <x v="0"/>
    <n v="1383"/>
    <x v="0"/>
    <x v="1"/>
    <n v="10"/>
    <x v="1"/>
    <n v="3"/>
    <x v="3"/>
    <x v="0"/>
    <n v="1"/>
    <n v="4"/>
    <x v="2"/>
    <x v="1"/>
    <n v="90"/>
    <x v="0"/>
    <n v="3"/>
    <x v="0"/>
    <n v="3"/>
    <x v="4"/>
    <n v="1"/>
    <x v="3"/>
    <x v="1"/>
    <n v="8321"/>
    <x v="11"/>
    <n v="25949"/>
    <x v="1"/>
    <n v="7"/>
    <x v="0"/>
    <s v="Y"/>
    <x v="0"/>
    <n v="13"/>
    <x v="2"/>
    <n v="3"/>
    <x v="0"/>
    <n v="4"/>
    <x v="1"/>
    <n v="80"/>
    <n v="1"/>
    <n v="15"/>
    <x v="1"/>
    <n v="1"/>
    <x v="0"/>
    <n v="3"/>
    <x v="1"/>
    <n v="12"/>
    <x v="4"/>
    <n v="8"/>
    <x v="1"/>
    <n v="5"/>
    <x v="1"/>
    <n v="7"/>
    <x v="1"/>
  </r>
  <r>
    <n v="1792"/>
    <n v="44"/>
    <x v="0"/>
    <x v="0"/>
    <n v="1"/>
    <x v="1"/>
    <n v="429"/>
    <x v="1"/>
    <x v="1"/>
    <n v="1"/>
    <x v="0"/>
    <n v="2"/>
    <x v="0"/>
    <x v="2"/>
    <n v="1"/>
    <n v="3"/>
    <x v="1"/>
    <x v="1"/>
    <n v="99"/>
    <x v="0"/>
    <n v="3"/>
    <x v="0"/>
    <n v="1"/>
    <x v="1"/>
    <n v="2"/>
    <x v="1"/>
    <x v="2"/>
    <n v="2342"/>
    <x v="2"/>
    <n v="11092"/>
    <x v="3"/>
    <n v="1"/>
    <x v="1"/>
    <s v="Y"/>
    <x v="0"/>
    <n v="12"/>
    <x v="0"/>
    <n v="3"/>
    <x v="0"/>
    <n v="3"/>
    <x v="3"/>
    <n v="80"/>
    <n v="3"/>
    <n v="6"/>
    <x v="0"/>
    <n v="2"/>
    <x v="0"/>
    <n v="2"/>
    <x v="2"/>
    <n v="5"/>
    <x v="2"/>
    <n v="3"/>
    <x v="0"/>
    <n v="2"/>
    <x v="1"/>
    <n v="3"/>
    <x v="0"/>
  </r>
  <r>
    <n v="1794"/>
    <n v="37"/>
    <x v="0"/>
    <x v="1"/>
    <n v="0"/>
    <x v="0"/>
    <n v="1239"/>
    <x v="0"/>
    <x v="2"/>
    <n v="8"/>
    <x v="1"/>
    <n v="2"/>
    <x v="0"/>
    <x v="1"/>
    <n v="1"/>
    <n v="3"/>
    <x v="1"/>
    <x v="1"/>
    <n v="89"/>
    <x v="0"/>
    <n v="3"/>
    <x v="0"/>
    <n v="2"/>
    <x v="8"/>
    <n v="2"/>
    <x v="1"/>
    <x v="2"/>
    <n v="4071"/>
    <x v="1"/>
    <n v="12832"/>
    <x v="3"/>
    <n v="2"/>
    <x v="3"/>
    <s v="Y"/>
    <x v="1"/>
    <n v="13"/>
    <x v="2"/>
    <n v="3"/>
    <x v="0"/>
    <n v="3"/>
    <x v="3"/>
    <n v="80"/>
    <n v="0"/>
    <n v="19"/>
    <x v="1"/>
    <n v="4"/>
    <x v="1"/>
    <n v="2"/>
    <x v="2"/>
    <n v="10"/>
    <x v="0"/>
    <n v="0"/>
    <x v="2"/>
    <n v="4"/>
    <x v="1"/>
    <n v="7"/>
    <x v="1"/>
  </r>
  <r>
    <n v="1797"/>
    <n v="35"/>
    <x v="2"/>
    <x v="0"/>
    <n v="1"/>
    <x v="0"/>
    <n v="303"/>
    <x v="1"/>
    <x v="0"/>
    <n v="27"/>
    <x v="2"/>
    <n v="3"/>
    <x v="3"/>
    <x v="0"/>
    <n v="1"/>
    <n v="3"/>
    <x v="1"/>
    <x v="1"/>
    <n v="84"/>
    <x v="0"/>
    <n v="3"/>
    <x v="0"/>
    <n v="2"/>
    <x v="0"/>
    <n v="4"/>
    <x v="0"/>
    <x v="0"/>
    <n v="5813"/>
    <x v="0"/>
    <n v="13492"/>
    <x v="3"/>
    <n v="1"/>
    <x v="1"/>
    <s v="Y"/>
    <x v="0"/>
    <n v="18"/>
    <x v="1"/>
    <n v="3"/>
    <x v="0"/>
    <n v="4"/>
    <x v="1"/>
    <n v="80"/>
    <n v="0"/>
    <n v="10"/>
    <x v="0"/>
    <n v="2"/>
    <x v="0"/>
    <n v="3"/>
    <x v="1"/>
    <n v="10"/>
    <x v="0"/>
    <n v="7"/>
    <x v="1"/>
    <n v="7"/>
    <x v="2"/>
    <n v="7"/>
    <x v="1"/>
  </r>
  <r>
    <n v="1798"/>
    <n v="33"/>
    <x v="2"/>
    <x v="1"/>
    <n v="0"/>
    <x v="0"/>
    <n v="867"/>
    <x v="2"/>
    <x v="1"/>
    <n v="8"/>
    <x v="1"/>
    <n v="4"/>
    <x v="2"/>
    <x v="0"/>
    <n v="1"/>
    <n v="4"/>
    <x v="2"/>
    <x v="1"/>
    <n v="90"/>
    <x v="0"/>
    <n v="4"/>
    <x v="2"/>
    <n v="1"/>
    <x v="1"/>
    <n v="1"/>
    <x v="3"/>
    <x v="1"/>
    <n v="3143"/>
    <x v="3"/>
    <n v="6076"/>
    <x v="2"/>
    <n v="6"/>
    <x v="2"/>
    <s v="Y"/>
    <x v="1"/>
    <n v="19"/>
    <x v="1"/>
    <n v="3"/>
    <x v="0"/>
    <n v="2"/>
    <x v="4"/>
    <n v="80"/>
    <n v="1"/>
    <n v="14"/>
    <x v="1"/>
    <n v="1"/>
    <x v="0"/>
    <n v="3"/>
    <x v="1"/>
    <n v="10"/>
    <x v="0"/>
    <n v="8"/>
    <x v="1"/>
    <n v="7"/>
    <x v="2"/>
    <n v="6"/>
    <x v="1"/>
  </r>
  <r>
    <n v="1799"/>
    <n v="28"/>
    <x v="2"/>
    <x v="1"/>
    <n v="0"/>
    <x v="0"/>
    <n v="1181"/>
    <x v="0"/>
    <x v="1"/>
    <n v="1"/>
    <x v="0"/>
    <n v="3"/>
    <x v="3"/>
    <x v="0"/>
    <n v="1"/>
    <n v="3"/>
    <x v="1"/>
    <x v="1"/>
    <n v="82"/>
    <x v="0"/>
    <n v="3"/>
    <x v="0"/>
    <n v="1"/>
    <x v="1"/>
    <n v="4"/>
    <x v="0"/>
    <x v="1"/>
    <n v="2044"/>
    <x v="2"/>
    <n v="5531"/>
    <x v="2"/>
    <n v="1"/>
    <x v="1"/>
    <s v="Y"/>
    <x v="1"/>
    <n v="11"/>
    <x v="0"/>
    <n v="3"/>
    <x v="0"/>
    <n v="3"/>
    <x v="3"/>
    <n v="80"/>
    <n v="1"/>
    <n v="5"/>
    <x v="3"/>
    <n v="6"/>
    <x v="2"/>
    <n v="4"/>
    <x v="3"/>
    <n v="5"/>
    <x v="2"/>
    <n v="3"/>
    <x v="0"/>
    <n v="0"/>
    <x v="0"/>
    <n v="3"/>
    <x v="0"/>
  </r>
  <r>
    <n v="1800"/>
    <n v="39"/>
    <x v="0"/>
    <x v="1"/>
    <n v="0"/>
    <x v="0"/>
    <n v="1253"/>
    <x v="0"/>
    <x v="1"/>
    <n v="10"/>
    <x v="1"/>
    <n v="1"/>
    <x v="1"/>
    <x v="2"/>
    <n v="1"/>
    <n v="3"/>
    <x v="1"/>
    <x v="1"/>
    <n v="65"/>
    <x v="1"/>
    <n v="3"/>
    <x v="0"/>
    <n v="3"/>
    <x v="7"/>
    <n v="3"/>
    <x v="2"/>
    <x v="0"/>
    <n v="13464"/>
    <x v="10"/>
    <n v="7914"/>
    <x v="2"/>
    <n v="7"/>
    <x v="0"/>
    <s v="Y"/>
    <x v="1"/>
    <n v="21"/>
    <x v="1"/>
    <n v="4"/>
    <x v="1"/>
    <n v="3"/>
    <x v="3"/>
    <n v="80"/>
    <n v="0"/>
    <n v="9"/>
    <x v="0"/>
    <n v="3"/>
    <x v="1"/>
    <n v="3"/>
    <x v="1"/>
    <n v="4"/>
    <x v="2"/>
    <n v="3"/>
    <x v="0"/>
    <n v="2"/>
    <x v="1"/>
    <n v="2"/>
    <x v="0"/>
  </r>
  <r>
    <n v="1801"/>
    <n v="46"/>
    <x v="1"/>
    <x v="1"/>
    <n v="0"/>
    <x v="2"/>
    <n v="849"/>
    <x v="2"/>
    <x v="0"/>
    <n v="26"/>
    <x v="2"/>
    <n v="2"/>
    <x v="0"/>
    <x v="0"/>
    <n v="1"/>
    <n v="2"/>
    <x v="0"/>
    <x v="1"/>
    <n v="98"/>
    <x v="0"/>
    <n v="2"/>
    <x v="1"/>
    <n v="2"/>
    <x v="0"/>
    <n v="2"/>
    <x v="1"/>
    <x v="0"/>
    <n v="7991"/>
    <x v="11"/>
    <n v="25166"/>
    <x v="1"/>
    <n v="8"/>
    <x v="0"/>
    <s v="Y"/>
    <x v="1"/>
    <n v="15"/>
    <x v="2"/>
    <n v="3"/>
    <x v="0"/>
    <n v="3"/>
    <x v="3"/>
    <n v="80"/>
    <n v="0"/>
    <n v="6"/>
    <x v="0"/>
    <n v="3"/>
    <x v="1"/>
    <n v="3"/>
    <x v="1"/>
    <n v="2"/>
    <x v="2"/>
    <n v="2"/>
    <x v="0"/>
    <n v="2"/>
    <x v="1"/>
    <n v="2"/>
    <x v="0"/>
  </r>
  <r>
    <n v="1802"/>
    <n v="40"/>
    <x v="0"/>
    <x v="1"/>
    <n v="0"/>
    <x v="0"/>
    <n v="616"/>
    <x v="2"/>
    <x v="1"/>
    <n v="2"/>
    <x v="0"/>
    <n v="2"/>
    <x v="0"/>
    <x v="0"/>
    <n v="1"/>
    <n v="3"/>
    <x v="1"/>
    <x v="0"/>
    <n v="99"/>
    <x v="0"/>
    <n v="3"/>
    <x v="0"/>
    <n v="1"/>
    <x v="2"/>
    <n v="1"/>
    <x v="3"/>
    <x v="1"/>
    <n v="3377"/>
    <x v="3"/>
    <n v="25605"/>
    <x v="1"/>
    <n v="4"/>
    <x v="2"/>
    <s v="Y"/>
    <x v="1"/>
    <n v="17"/>
    <x v="3"/>
    <n v="3"/>
    <x v="0"/>
    <n v="4"/>
    <x v="1"/>
    <n v="80"/>
    <n v="1"/>
    <n v="7"/>
    <x v="0"/>
    <n v="5"/>
    <x v="2"/>
    <n v="2"/>
    <x v="2"/>
    <n v="4"/>
    <x v="2"/>
    <n v="3"/>
    <x v="0"/>
    <n v="0"/>
    <x v="0"/>
    <n v="2"/>
    <x v="0"/>
  </r>
  <r>
    <n v="1803"/>
    <n v="42"/>
    <x v="0"/>
    <x v="1"/>
    <n v="0"/>
    <x v="0"/>
    <n v="1128"/>
    <x v="0"/>
    <x v="1"/>
    <n v="13"/>
    <x v="3"/>
    <n v="3"/>
    <x v="3"/>
    <x v="2"/>
    <n v="1"/>
    <n v="2"/>
    <x v="0"/>
    <x v="1"/>
    <n v="95"/>
    <x v="0"/>
    <n v="4"/>
    <x v="2"/>
    <n v="2"/>
    <x v="4"/>
    <n v="1"/>
    <x v="3"/>
    <x v="1"/>
    <n v="5538"/>
    <x v="0"/>
    <n v="5696"/>
    <x v="2"/>
    <n v="5"/>
    <x v="2"/>
    <s v="Y"/>
    <x v="1"/>
    <n v="18"/>
    <x v="1"/>
    <n v="3"/>
    <x v="0"/>
    <n v="3"/>
    <x v="3"/>
    <n v="80"/>
    <n v="2"/>
    <n v="10"/>
    <x v="0"/>
    <n v="2"/>
    <x v="0"/>
    <n v="2"/>
    <x v="2"/>
    <n v="0"/>
    <x v="1"/>
    <n v="0"/>
    <x v="2"/>
    <n v="0"/>
    <x v="0"/>
    <n v="0"/>
    <x v="2"/>
  </r>
  <r>
    <n v="1804"/>
    <n v="35"/>
    <x v="2"/>
    <x v="1"/>
    <n v="0"/>
    <x v="2"/>
    <n v="1180"/>
    <x v="0"/>
    <x v="1"/>
    <n v="2"/>
    <x v="0"/>
    <n v="2"/>
    <x v="0"/>
    <x v="2"/>
    <n v="1"/>
    <n v="2"/>
    <x v="0"/>
    <x v="1"/>
    <n v="90"/>
    <x v="0"/>
    <n v="3"/>
    <x v="0"/>
    <n v="2"/>
    <x v="3"/>
    <n v="4"/>
    <x v="0"/>
    <x v="2"/>
    <n v="5762"/>
    <x v="0"/>
    <n v="24442"/>
    <x v="1"/>
    <n v="2"/>
    <x v="3"/>
    <s v="Y"/>
    <x v="1"/>
    <n v="14"/>
    <x v="2"/>
    <n v="3"/>
    <x v="0"/>
    <n v="3"/>
    <x v="3"/>
    <n v="80"/>
    <n v="1"/>
    <n v="15"/>
    <x v="1"/>
    <n v="6"/>
    <x v="2"/>
    <n v="3"/>
    <x v="1"/>
    <n v="7"/>
    <x v="0"/>
    <n v="7"/>
    <x v="1"/>
    <n v="1"/>
    <x v="0"/>
    <n v="7"/>
    <x v="1"/>
  </r>
  <r>
    <n v="1805"/>
    <n v="38"/>
    <x v="0"/>
    <x v="1"/>
    <n v="0"/>
    <x v="2"/>
    <n v="1336"/>
    <x v="0"/>
    <x v="2"/>
    <n v="2"/>
    <x v="0"/>
    <n v="3"/>
    <x v="3"/>
    <x v="5"/>
    <n v="1"/>
    <n v="1"/>
    <x v="3"/>
    <x v="1"/>
    <n v="100"/>
    <x v="0"/>
    <n v="3"/>
    <x v="0"/>
    <n v="1"/>
    <x v="8"/>
    <n v="2"/>
    <x v="1"/>
    <x v="2"/>
    <n v="2592"/>
    <x v="3"/>
    <n v="7129"/>
    <x v="2"/>
    <n v="5"/>
    <x v="2"/>
    <s v="Y"/>
    <x v="1"/>
    <n v="13"/>
    <x v="2"/>
    <n v="3"/>
    <x v="0"/>
    <n v="4"/>
    <x v="1"/>
    <n v="80"/>
    <n v="3"/>
    <n v="13"/>
    <x v="1"/>
    <n v="3"/>
    <x v="1"/>
    <n v="3"/>
    <x v="1"/>
    <n v="11"/>
    <x v="4"/>
    <n v="10"/>
    <x v="1"/>
    <n v="3"/>
    <x v="1"/>
    <n v="8"/>
    <x v="1"/>
  </r>
  <r>
    <n v="1807"/>
    <n v="34"/>
    <x v="2"/>
    <x v="0"/>
    <n v="1"/>
    <x v="1"/>
    <n v="234"/>
    <x v="1"/>
    <x v="1"/>
    <n v="9"/>
    <x v="1"/>
    <n v="4"/>
    <x v="2"/>
    <x v="0"/>
    <n v="1"/>
    <n v="4"/>
    <x v="2"/>
    <x v="1"/>
    <n v="93"/>
    <x v="0"/>
    <n v="3"/>
    <x v="0"/>
    <n v="2"/>
    <x v="2"/>
    <n v="1"/>
    <x v="3"/>
    <x v="1"/>
    <n v="5346"/>
    <x v="1"/>
    <n v="6208"/>
    <x v="2"/>
    <n v="4"/>
    <x v="2"/>
    <s v="Y"/>
    <x v="1"/>
    <n v="17"/>
    <x v="3"/>
    <n v="3"/>
    <x v="0"/>
    <n v="3"/>
    <x v="3"/>
    <n v="80"/>
    <n v="1"/>
    <n v="11"/>
    <x v="1"/>
    <n v="3"/>
    <x v="1"/>
    <n v="2"/>
    <x v="2"/>
    <n v="7"/>
    <x v="0"/>
    <n v="1"/>
    <x v="2"/>
    <n v="0"/>
    <x v="0"/>
    <n v="7"/>
    <x v="1"/>
  </r>
  <r>
    <n v="1809"/>
    <n v="37"/>
    <x v="0"/>
    <x v="0"/>
    <n v="1"/>
    <x v="0"/>
    <n v="370"/>
    <x v="1"/>
    <x v="1"/>
    <n v="10"/>
    <x v="1"/>
    <n v="4"/>
    <x v="2"/>
    <x v="2"/>
    <n v="1"/>
    <n v="4"/>
    <x v="2"/>
    <x v="1"/>
    <n v="58"/>
    <x v="1"/>
    <n v="3"/>
    <x v="0"/>
    <n v="2"/>
    <x v="3"/>
    <n v="1"/>
    <x v="3"/>
    <x v="0"/>
    <n v="4213"/>
    <x v="1"/>
    <n v="4992"/>
    <x v="2"/>
    <n v="1"/>
    <x v="1"/>
    <s v="Y"/>
    <x v="1"/>
    <n v="15"/>
    <x v="2"/>
    <n v="3"/>
    <x v="0"/>
    <n v="2"/>
    <x v="4"/>
    <n v="80"/>
    <n v="0"/>
    <n v="10"/>
    <x v="0"/>
    <n v="4"/>
    <x v="1"/>
    <n v="1"/>
    <x v="0"/>
    <n v="10"/>
    <x v="0"/>
    <n v="3"/>
    <x v="0"/>
    <n v="0"/>
    <x v="0"/>
    <n v="8"/>
    <x v="1"/>
  </r>
  <r>
    <n v="1812"/>
    <n v="39"/>
    <x v="0"/>
    <x v="1"/>
    <n v="0"/>
    <x v="1"/>
    <n v="766"/>
    <x v="2"/>
    <x v="0"/>
    <n v="20"/>
    <x v="3"/>
    <n v="3"/>
    <x v="3"/>
    <x v="0"/>
    <n v="1"/>
    <n v="3"/>
    <x v="1"/>
    <x v="1"/>
    <n v="83"/>
    <x v="0"/>
    <n v="3"/>
    <x v="0"/>
    <n v="2"/>
    <x v="0"/>
    <n v="4"/>
    <x v="0"/>
    <x v="2"/>
    <n v="4127"/>
    <x v="1"/>
    <n v="19188"/>
    <x v="0"/>
    <n v="2"/>
    <x v="3"/>
    <s v="Y"/>
    <x v="1"/>
    <n v="18"/>
    <x v="1"/>
    <n v="3"/>
    <x v="0"/>
    <n v="4"/>
    <x v="1"/>
    <n v="80"/>
    <n v="1"/>
    <n v="7"/>
    <x v="0"/>
    <n v="6"/>
    <x v="2"/>
    <n v="3"/>
    <x v="1"/>
    <n v="2"/>
    <x v="2"/>
    <n v="1"/>
    <x v="2"/>
    <n v="2"/>
    <x v="1"/>
    <n v="2"/>
    <x v="0"/>
  </r>
  <r>
    <n v="1813"/>
    <n v="43"/>
    <x v="0"/>
    <x v="1"/>
    <n v="0"/>
    <x v="2"/>
    <n v="343"/>
    <x v="1"/>
    <x v="1"/>
    <n v="9"/>
    <x v="1"/>
    <n v="3"/>
    <x v="3"/>
    <x v="0"/>
    <n v="1"/>
    <n v="1"/>
    <x v="3"/>
    <x v="1"/>
    <n v="52"/>
    <x v="1"/>
    <n v="3"/>
    <x v="0"/>
    <n v="1"/>
    <x v="1"/>
    <n v="3"/>
    <x v="2"/>
    <x v="0"/>
    <n v="2438"/>
    <x v="2"/>
    <n v="24978"/>
    <x v="1"/>
    <n v="4"/>
    <x v="2"/>
    <s v="Y"/>
    <x v="1"/>
    <n v="13"/>
    <x v="2"/>
    <n v="3"/>
    <x v="0"/>
    <n v="3"/>
    <x v="3"/>
    <n v="80"/>
    <n v="0"/>
    <n v="7"/>
    <x v="0"/>
    <n v="2"/>
    <x v="0"/>
    <n v="2"/>
    <x v="2"/>
    <n v="3"/>
    <x v="2"/>
    <n v="2"/>
    <x v="0"/>
    <n v="1"/>
    <x v="0"/>
    <n v="2"/>
    <x v="0"/>
  </r>
  <r>
    <n v="1814"/>
    <n v="41"/>
    <x v="0"/>
    <x v="1"/>
    <n v="0"/>
    <x v="0"/>
    <n v="447"/>
    <x v="1"/>
    <x v="1"/>
    <n v="5"/>
    <x v="0"/>
    <n v="3"/>
    <x v="3"/>
    <x v="0"/>
    <n v="1"/>
    <n v="2"/>
    <x v="0"/>
    <x v="1"/>
    <n v="85"/>
    <x v="0"/>
    <n v="4"/>
    <x v="2"/>
    <n v="2"/>
    <x v="4"/>
    <n v="2"/>
    <x v="1"/>
    <x v="0"/>
    <n v="6870"/>
    <x v="0"/>
    <n v="15530"/>
    <x v="3"/>
    <n v="3"/>
    <x v="3"/>
    <s v="Y"/>
    <x v="1"/>
    <n v="12"/>
    <x v="0"/>
    <n v="3"/>
    <x v="0"/>
    <n v="1"/>
    <x v="0"/>
    <n v="80"/>
    <n v="0"/>
    <n v="11"/>
    <x v="1"/>
    <n v="3"/>
    <x v="1"/>
    <n v="1"/>
    <x v="0"/>
    <n v="3"/>
    <x v="2"/>
    <n v="2"/>
    <x v="0"/>
    <n v="1"/>
    <x v="0"/>
    <n v="2"/>
    <x v="0"/>
  </r>
  <r>
    <n v="1815"/>
    <n v="41"/>
    <x v="0"/>
    <x v="1"/>
    <n v="0"/>
    <x v="0"/>
    <n v="796"/>
    <x v="2"/>
    <x v="0"/>
    <n v="4"/>
    <x v="0"/>
    <n v="1"/>
    <x v="1"/>
    <x v="3"/>
    <n v="1"/>
    <n v="3"/>
    <x v="1"/>
    <x v="0"/>
    <n v="81"/>
    <x v="0"/>
    <n v="3"/>
    <x v="0"/>
    <n v="3"/>
    <x v="0"/>
    <n v="3"/>
    <x v="2"/>
    <x v="2"/>
    <n v="10447"/>
    <x v="8"/>
    <n v="26458"/>
    <x v="1"/>
    <n v="0"/>
    <x v="1"/>
    <s v="Y"/>
    <x v="0"/>
    <n v="13"/>
    <x v="2"/>
    <n v="3"/>
    <x v="0"/>
    <n v="4"/>
    <x v="1"/>
    <n v="80"/>
    <n v="1"/>
    <n v="23"/>
    <x v="4"/>
    <n v="3"/>
    <x v="1"/>
    <n v="4"/>
    <x v="3"/>
    <n v="22"/>
    <x v="3"/>
    <n v="14"/>
    <x v="3"/>
    <n v="13"/>
    <x v="3"/>
    <n v="5"/>
    <x v="0"/>
  </r>
  <r>
    <n v="1816"/>
    <n v="30"/>
    <x v="2"/>
    <x v="1"/>
    <n v="0"/>
    <x v="0"/>
    <n v="1092"/>
    <x v="0"/>
    <x v="1"/>
    <n v="10"/>
    <x v="1"/>
    <n v="3"/>
    <x v="3"/>
    <x v="2"/>
    <n v="1"/>
    <n v="1"/>
    <x v="3"/>
    <x v="0"/>
    <n v="64"/>
    <x v="1"/>
    <n v="3"/>
    <x v="0"/>
    <n v="3"/>
    <x v="3"/>
    <n v="3"/>
    <x v="2"/>
    <x v="0"/>
    <n v="9667"/>
    <x v="4"/>
    <n v="2739"/>
    <x v="2"/>
    <n v="9"/>
    <x v="0"/>
    <s v="Y"/>
    <x v="1"/>
    <n v="14"/>
    <x v="2"/>
    <n v="3"/>
    <x v="0"/>
    <n v="2"/>
    <x v="4"/>
    <n v="80"/>
    <n v="0"/>
    <n v="9"/>
    <x v="0"/>
    <n v="3"/>
    <x v="1"/>
    <n v="3"/>
    <x v="1"/>
    <n v="7"/>
    <x v="0"/>
    <n v="7"/>
    <x v="1"/>
    <n v="0"/>
    <x v="0"/>
    <n v="2"/>
    <x v="0"/>
  </r>
  <r>
    <n v="1818"/>
    <n v="26"/>
    <x v="2"/>
    <x v="0"/>
    <n v="1"/>
    <x v="0"/>
    <n v="920"/>
    <x v="2"/>
    <x v="2"/>
    <n v="20"/>
    <x v="3"/>
    <n v="2"/>
    <x v="0"/>
    <x v="2"/>
    <n v="1"/>
    <n v="4"/>
    <x v="2"/>
    <x v="0"/>
    <n v="69"/>
    <x v="1"/>
    <n v="3"/>
    <x v="0"/>
    <n v="1"/>
    <x v="8"/>
    <n v="2"/>
    <x v="1"/>
    <x v="1"/>
    <n v="2148"/>
    <x v="2"/>
    <n v="6889"/>
    <x v="2"/>
    <n v="0"/>
    <x v="1"/>
    <s v="Y"/>
    <x v="0"/>
    <n v="11"/>
    <x v="0"/>
    <n v="3"/>
    <x v="0"/>
    <n v="3"/>
    <x v="3"/>
    <n v="80"/>
    <n v="0"/>
    <n v="6"/>
    <x v="0"/>
    <n v="3"/>
    <x v="1"/>
    <n v="3"/>
    <x v="1"/>
    <n v="5"/>
    <x v="2"/>
    <n v="1"/>
    <x v="2"/>
    <n v="1"/>
    <x v="0"/>
    <n v="4"/>
    <x v="0"/>
  </r>
  <r>
    <n v="1821"/>
    <n v="46"/>
    <x v="1"/>
    <x v="0"/>
    <n v="1"/>
    <x v="0"/>
    <n v="261"/>
    <x v="1"/>
    <x v="1"/>
    <n v="21"/>
    <x v="2"/>
    <n v="2"/>
    <x v="0"/>
    <x v="2"/>
    <n v="1"/>
    <n v="4"/>
    <x v="2"/>
    <x v="0"/>
    <n v="66"/>
    <x v="1"/>
    <n v="3"/>
    <x v="0"/>
    <n v="2"/>
    <x v="4"/>
    <n v="2"/>
    <x v="1"/>
    <x v="1"/>
    <n v="8926"/>
    <x v="4"/>
    <n v="10842"/>
    <x v="3"/>
    <n v="4"/>
    <x v="2"/>
    <s v="Y"/>
    <x v="1"/>
    <n v="22"/>
    <x v="1"/>
    <n v="4"/>
    <x v="1"/>
    <n v="4"/>
    <x v="1"/>
    <n v="80"/>
    <n v="1"/>
    <n v="13"/>
    <x v="1"/>
    <n v="2"/>
    <x v="0"/>
    <n v="4"/>
    <x v="3"/>
    <n v="9"/>
    <x v="0"/>
    <n v="7"/>
    <x v="1"/>
    <n v="3"/>
    <x v="1"/>
    <n v="7"/>
    <x v="1"/>
  </r>
  <r>
    <n v="1822"/>
    <n v="40"/>
    <x v="0"/>
    <x v="1"/>
    <n v="0"/>
    <x v="0"/>
    <n v="1194"/>
    <x v="0"/>
    <x v="1"/>
    <n v="1"/>
    <x v="0"/>
    <n v="3"/>
    <x v="3"/>
    <x v="0"/>
    <n v="1"/>
    <n v="3"/>
    <x v="1"/>
    <x v="0"/>
    <n v="52"/>
    <x v="1"/>
    <n v="3"/>
    <x v="0"/>
    <n v="2"/>
    <x v="4"/>
    <n v="4"/>
    <x v="0"/>
    <x v="2"/>
    <n v="6513"/>
    <x v="0"/>
    <n v="9060"/>
    <x v="3"/>
    <n v="4"/>
    <x v="2"/>
    <s v="Y"/>
    <x v="1"/>
    <n v="17"/>
    <x v="3"/>
    <n v="3"/>
    <x v="0"/>
    <n v="4"/>
    <x v="1"/>
    <n v="80"/>
    <n v="1"/>
    <n v="12"/>
    <x v="1"/>
    <n v="3"/>
    <x v="1"/>
    <n v="3"/>
    <x v="1"/>
    <n v="5"/>
    <x v="2"/>
    <n v="3"/>
    <x v="0"/>
    <n v="0"/>
    <x v="0"/>
    <n v="3"/>
    <x v="0"/>
  </r>
  <r>
    <n v="1823"/>
    <n v="34"/>
    <x v="2"/>
    <x v="1"/>
    <n v="0"/>
    <x v="0"/>
    <n v="810"/>
    <x v="2"/>
    <x v="0"/>
    <n v="8"/>
    <x v="1"/>
    <n v="2"/>
    <x v="0"/>
    <x v="4"/>
    <n v="1"/>
    <n v="2"/>
    <x v="0"/>
    <x v="1"/>
    <n v="92"/>
    <x v="0"/>
    <n v="4"/>
    <x v="2"/>
    <n v="2"/>
    <x v="0"/>
    <n v="3"/>
    <x v="2"/>
    <x v="1"/>
    <n v="6799"/>
    <x v="0"/>
    <n v="22128"/>
    <x v="1"/>
    <n v="1"/>
    <x v="1"/>
    <s v="Y"/>
    <x v="1"/>
    <n v="21"/>
    <x v="1"/>
    <n v="4"/>
    <x v="1"/>
    <n v="3"/>
    <x v="3"/>
    <n v="80"/>
    <n v="2"/>
    <n v="10"/>
    <x v="0"/>
    <n v="5"/>
    <x v="2"/>
    <n v="3"/>
    <x v="1"/>
    <n v="10"/>
    <x v="0"/>
    <n v="8"/>
    <x v="1"/>
    <n v="4"/>
    <x v="1"/>
    <n v="8"/>
    <x v="1"/>
  </r>
  <r>
    <n v="1824"/>
    <n v="58"/>
    <x v="3"/>
    <x v="1"/>
    <n v="0"/>
    <x v="2"/>
    <n v="350"/>
    <x v="1"/>
    <x v="0"/>
    <n v="2"/>
    <x v="0"/>
    <n v="3"/>
    <x v="3"/>
    <x v="2"/>
    <n v="1"/>
    <n v="2"/>
    <x v="0"/>
    <x v="1"/>
    <n v="52"/>
    <x v="1"/>
    <n v="3"/>
    <x v="0"/>
    <n v="4"/>
    <x v="5"/>
    <n v="2"/>
    <x v="1"/>
    <x v="2"/>
    <n v="16291"/>
    <x v="12"/>
    <n v="22577"/>
    <x v="1"/>
    <n v="4"/>
    <x v="2"/>
    <s v="Y"/>
    <x v="1"/>
    <n v="22"/>
    <x v="1"/>
    <n v="4"/>
    <x v="1"/>
    <n v="4"/>
    <x v="1"/>
    <n v="80"/>
    <n v="1"/>
    <n v="37"/>
    <x v="4"/>
    <n v="0"/>
    <x v="0"/>
    <n v="2"/>
    <x v="2"/>
    <n v="16"/>
    <x v="4"/>
    <n v="9"/>
    <x v="1"/>
    <n v="14"/>
    <x v="3"/>
    <n v="14"/>
    <x v="3"/>
  </r>
  <r>
    <n v="1826"/>
    <n v="35"/>
    <x v="2"/>
    <x v="1"/>
    <n v="0"/>
    <x v="0"/>
    <n v="185"/>
    <x v="1"/>
    <x v="1"/>
    <n v="23"/>
    <x v="2"/>
    <n v="4"/>
    <x v="2"/>
    <x v="2"/>
    <n v="1"/>
    <n v="2"/>
    <x v="0"/>
    <x v="1"/>
    <n v="91"/>
    <x v="0"/>
    <n v="1"/>
    <x v="3"/>
    <n v="1"/>
    <x v="2"/>
    <n v="3"/>
    <x v="2"/>
    <x v="1"/>
    <n v="2705"/>
    <x v="3"/>
    <n v="9696"/>
    <x v="3"/>
    <n v="0"/>
    <x v="1"/>
    <s v="Y"/>
    <x v="1"/>
    <n v="16"/>
    <x v="3"/>
    <n v="3"/>
    <x v="0"/>
    <n v="2"/>
    <x v="4"/>
    <n v="80"/>
    <n v="1"/>
    <n v="6"/>
    <x v="0"/>
    <n v="2"/>
    <x v="0"/>
    <n v="4"/>
    <x v="3"/>
    <n v="5"/>
    <x v="2"/>
    <n v="4"/>
    <x v="0"/>
    <n v="0"/>
    <x v="0"/>
    <n v="3"/>
    <x v="0"/>
  </r>
  <r>
    <n v="1827"/>
    <n v="47"/>
    <x v="1"/>
    <x v="1"/>
    <n v="0"/>
    <x v="0"/>
    <n v="1001"/>
    <x v="0"/>
    <x v="1"/>
    <n v="4"/>
    <x v="0"/>
    <n v="3"/>
    <x v="3"/>
    <x v="0"/>
    <n v="1"/>
    <n v="3"/>
    <x v="1"/>
    <x v="0"/>
    <n v="92"/>
    <x v="0"/>
    <n v="2"/>
    <x v="1"/>
    <n v="3"/>
    <x v="3"/>
    <n v="2"/>
    <x v="1"/>
    <x v="2"/>
    <n v="10333"/>
    <x v="8"/>
    <n v="19271"/>
    <x v="0"/>
    <n v="8"/>
    <x v="0"/>
    <s v="Y"/>
    <x v="0"/>
    <n v="12"/>
    <x v="0"/>
    <n v="3"/>
    <x v="0"/>
    <n v="3"/>
    <x v="3"/>
    <n v="80"/>
    <n v="1"/>
    <n v="28"/>
    <x v="4"/>
    <n v="4"/>
    <x v="1"/>
    <n v="3"/>
    <x v="1"/>
    <n v="22"/>
    <x v="3"/>
    <n v="11"/>
    <x v="3"/>
    <n v="14"/>
    <x v="3"/>
    <n v="10"/>
    <x v="1"/>
  </r>
  <r>
    <n v="1829"/>
    <n v="40"/>
    <x v="0"/>
    <x v="1"/>
    <n v="0"/>
    <x v="0"/>
    <n v="750"/>
    <x v="2"/>
    <x v="1"/>
    <n v="12"/>
    <x v="3"/>
    <n v="3"/>
    <x v="3"/>
    <x v="0"/>
    <n v="1"/>
    <n v="2"/>
    <x v="0"/>
    <x v="0"/>
    <n v="47"/>
    <x v="2"/>
    <n v="3"/>
    <x v="0"/>
    <n v="2"/>
    <x v="4"/>
    <n v="1"/>
    <x v="3"/>
    <x v="2"/>
    <n v="4448"/>
    <x v="1"/>
    <n v="10748"/>
    <x v="3"/>
    <n v="2"/>
    <x v="3"/>
    <s v="Y"/>
    <x v="1"/>
    <n v="12"/>
    <x v="0"/>
    <n v="3"/>
    <x v="0"/>
    <n v="2"/>
    <x v="4"/>
    <n v="80"/>
    <n v="1"/>
    <n v="15"/>
    <x v="1"/>
    <n v="3"/>
    <x v="1"/>
    <n v="3"/>
    <x v="1"/>
    <n v="7"/>
    <x v="0"/>
    <n v="4"/>
    <x v="0"/>
    <n v="7"/>
    <x v="2"/>
    <n v="7"/>
    <x v="1"/>
  </r>
  <r>
    <n v="1830"/>
    <n v="54"/>
    <x v="1"/>
    <x v="1"/>
    <n v="0"/>
    <x v="0"/>
    <n v="431"/>
    <x v="1"/>
    <x v="1"/>
    <n v="7"/>
    <x v="1"/>
    <n v="4"/>
    <x v="2"/>
    <x v="2"/>
    <n v="1"/>
    <n v="4"/>
    <x v="2"/>
    <x v="0"/>
    <n v="68"/>
    <x v="1"/>
    <n v="3"/>
    <x v="0"/>
    <n v="2"/>
    <x v="1"/>
    <n v="4"/>
    <x v="0"/>
    <x v="1"/>
    <n v="6854"/>
    <x v="0"/>
    <n v="15696"/>
    <x v="3"/>
    <n v="4"/>
    <x v="2"/>
    <s v="Y"/>
    <x v="1"/>
    <n v="15"/>
    <x v="2"/>
    <n v="3"/>
    <x v="0"/>
    <n v="2"/>
    <x v="4"/>
    <n v="80"/>
    <n v="1"/>
    <n v="14"/>
    <x v="1"/>
    <n v="2"/>
    <x v="0"/>
    <n v="2"/>
    <x v="2"/>
    <n v="7"/>
    <x v="0"/>
    <n v="1"/>
    <x v="2"/>
    <n v="1"/>
    <x v="0"/>
    <n v="7"/>
    <x v="1"/>
  </r>
  <r>
    <n v="1833"/>
    <n v="31"/>
    <x v="2"/>
    <x v="1"/>
    <n v="0"/>
    <x v="1"/>
    <n v="1125"/>
    <x v="0"/>
    <x v="0"/>
    <n v="7"/>
    <x v="1"/>
    <n v="4"/>
    <x v="2"/>
    <x v="3"/>
    <n v="1"/>
    <n v="1"/>
    <x v="3"/>
    <x v="0"/>
    <n v="68"/>
    <x v="1"/>
    <n v="3"/>
    <x v="0"/>
    <n v="3"/>
    <x v="0"/>
    <n v="1"/>
    <x v="3"/>
    <x v="1"/>
    <n v="9637"/>
    <x v="4"/>
    <n v="8277"/>
    <x v="3"/>
    <n v="2"/>
    <x v="3"/>
    <s v="Y"/>
    <x v="1"/>
    <n v="14"/>
    <x v="2"/>
    <n v="3"/>
    <x v="0"/>
    <n v="4"/>
    <x v="1"/>
    <n v="80"/>
    <n v="2"/>
    <n v="9"/>
    <x v="0"/>
    <n v="3"/>
    <x v="1"/>
    <n v="3"/>
    <x v="1"/>
    <n v="3"/>
    <x v="2"/>
    <n v="2"/>
    <x v="0"/>
    <n v="2"/>
    <x v="1"/>
    <n v="2"/>
    <x v="0"/>
  </r>
  <r>
    <n v="1834"/>
    <n v="28"/>
    <x v="2"/>
    <x v="1"/>
    <n v="0"/>
    <x v="0"/>
    <n v="1217"/>
    <x v="0"/>
    <x v="1"/>
    <n v="1"/>
    <x v="0"/>
    <n v="3"/>
    <x v="3"/>
    <x v="2"/>
    <n v="1"/>
    <n v="3"/>
    <x v="1"/>
    <x v="0"/>
    <n v="67"/>
    <x v="1"/>
    <n v="3"/>
    <x v="0"/>
    <n v="1"/>
    <x v="1"/>
    <n v="1"/>
    <x v="3"/>
    <x v="1"/>
    <n v="3591"/>
    <x v="3"/>
    <n v="12719"/>
    <x v="3"/>
    <n v="1"/>
    <x v="1"/>
    <s v="Y"/>
    <x v="1"/>
    <n v="25"/>
    <x v="1"/>
    <n v="4"/>
    <x v="1"/>
    <n v="3"/>
    <x v="3"/>
    <n v="80"/>
    <n v="1"/>
    <n v="3"/>
    <x v="3"/>
    <n v="3"/>
    <x v="1"/>
    <n v="3"/>
    <x v="1"/>
    <n v="3"/>
    <x v="2"/>
    <n v="2"/>
    <x v="0"/>
    <n v="1"/>
    <x v="0"/>
    <n v="2"/>
    <x v="0"/>
  </r>
  <r>
    <n v="1835"/>
    <n v="38"/>
    <x v="0"/>
    <x v="1"/>
    <n v="0"/>
    <x v="0"/>
    <n v="723"/>
    <x v="2"/>
    <x v="0"/>
    <n v="2"/>
    <x v="0"/>
    <n v="4"/>
    <x v="2"/>
    <x v="3"/>
    <n v="1"/>
    <n v="2"/>
    <x v="0"/>
    <x v="0"/>
    <n v="77"/>
    <x v="0"/>
    <n v="1"/>
    <x v="3"/>
    <n v="2"/>
    <x v="6"/>
    <n v="4"/>
    <x v="0"/>
    <x v="1"/>
    <n v="5405"/>
    <x v="1"/>
    <n v="4244"/>
    <x v="2"/>
    <n v="2"/>
    <x v="3"/>
    <s v="Y"/>
    <x v="0"/>
    <n v="20"/>
    <x v="1"/>
    <n v="4"/>
    <x v="1"/>
    <n v="1"/>
    <x v="0"/>
    <n v="80"/>
    <n v="2"/>
    <n v="20"/>
    <x v="1"/>
    <n v="4"/>
    <x v="1"/>
    <n v="2"/>
    <x v="2"/>
    <n v="4"/>
    <x v="2"/>
    <n v="2"/>
    <x v="0"/>
    <n v="0"/>
    <x v="0"/>
    <n v="3"/>
    <x v="0"/>
  </r>
  <r>
    <n v="1836"/>
    <n v="26"/>
    <x v="2"/>
    <x v="1"/>
    <n v="0"/>
    <x v="0"/>
    <n v="572"/>
    <x v="2"/>
    <x v="0"/>
    <n v="10"/>
    <x v="1"/>
    <n v="3"/>
    <x v="3"/>
    <x v="2"/>
    <n v="1"/>
    <n v="3"/>
    <x v="1"/>
    <x v="1"/>
    <n v="46"/>
    <x v="2"/>
    <n v="3"/>
    <x v="0"/>
    <n v="2"/>
    <x v="0"/>
    <n v="4"/>
    <x v="0"/>
    <x v="0"/>
    <n v="4684"/>
    <x v="1"/>
    <n v="9125"/>
    <x v="3"/>
    <n v="1"/>
    <x v="1"/>
    <s v="Y"/>
    <x v="1"/>
    <n v="13"/>
    <x v="2"/>
    <n v="3"/>
    <x v="0"/>
    <n v="1"/>
    <x v="0"/>
    <n v="80"/>
    <n v="0"/>
    <n v="5"/>
    <x v="3"/>
    <n v="4"/>
    <x v="1"/>
    <n v="3"/>
    <x v="1"/>
    <n v="5"/>
    <x v="2"/>
    <n v="3"/>
    <x v="0"/>
    <n v="1"/>
    <x v="0"/>
    <n v="2"/>
    <x v="0"/>
  </r>
  <r>
    <n v="1837"/>
    <n v="58"/>
    <x v="3"/>
    <x v="1"/>
    <n v="0"/>
    <x v="1"/>
    <n v="1216"/>
    <x v="0"/>
    <x v="1"/>
    <n v="15"/>
    <x v="3"/>
    <n v="4"/>
    <x v="2"/>
    <x v="0"/>
    <n v="1"/>
    <n v="1"/>
    <x v="3"/>
    <x v="1"/>
    <n v="87"/>
    <x v="0"/>
    <n v="3"/>
    <x v="0"/>
    <n v="4"/>
    <x v="7"/>
    <n v="3"/>
    <x v="2"/>
    <x v="1"/>
    <n v="15787"/>
    <x v="5"/>
    <n v="21624"/>
    <x v="0"/>
    <n v="2"/>
    <x v="3"/>
    <s v="Y"/>
    <x v="0"/>
    <n v="14"/>
    <x v="2"/>
    <n v="3"/>
    <x v="0"/>
    <n v="2"/>
    <x v="4"/>
    <n v="80"/>
    <n v="0"/>
    <n v="23"/>
    <x v="4"/>
    <n v="3"/>
    <x v="1"/>
    <n v="3"/>
    <x v="1"/>
    <n v="2"/>
    <x v="2"/>
    <n v="2"/>
    <x v="0"/>
    <n v="2"/>
    <x v="1"/>
    <n v="2"/>
    <x v="0"/>
  </r>
  <r>
    <n v="1839"/>
    <n v="18"/>
    <x v="4"/>
    <x v="1"/>
    <n v="0"/>
    <x v="2"/>
    <n v="1431"/>
    <x v="0"/>
    <x v="1"/>
    <n v="14"/>
    <x v="3"/>
    <n v="3"/>
    <x v="3"/>
    <x v="2"/>
    <n v="1"/>
    <n v="2"/>
    <x v="0"/>
    <x v="0"/>
    <n v="33"/>
    <x v="2"/>
    <n v="3"/>
    <x v="0"/>
    <n v="1"/>
    <x v="1"/>
    <n v="3"/>
    <x v="2"/>
    <x v="0"/>
    <n v="1514"/>
    <x v="2"/>
    <n v="8018"/>
    <x v="3"/>
    <n v="1"/>
    <x v="1"/>
    <s v="Y"/>
    <x v="1"/>
    <n v="16"/>
    <x v="3"/>
    <n v="3"/>
    <x v="0"/>
    <n v="3"/>
    <x v="3"/>
    <n v="80"/>
    <n v="0"/>
    <n v="0"/>
    <x v="2"/>
    <n v="4"/>
    <x v="1"/>
    <n v="1"/>
    <x v="0"/>
    <n v="0"/>
    <x v="1"/>
    <n v="0"/>
    <x v="2"/>
    <n v="0"/>
    <x v="0"/>
    <n v="0"/>
    <x v="2"/>
  </r>
  <r>
    <n v="1842"/>
    <n v="31"/>
    <x v="2"/>
    <x v="0"/>
    <n v="1"/>
    <x v="0"/>
    <n v="359"/>
    <x v="1"/>
    <x v="2"/>
    <n v="18"/>
    <x v="3"/>
    <n v="5"/>
    <x v="4"/>
    <x v="5"/>
    <n v="1"/>
    <n v="4"/>
    <x v="2"/>
    <x v="1"/>
    <n v="89"/>
    <x v="0"/>
    <n v="4"/>
    <x v="2"/>
    <n v="1"/>
    <x v="8"/>
    <n v="1"/>
    <x v="3"/>
    <x v="1"/>
    <n v="2956"/>
    <x v="3"/>
    <n v="21495"/>
    <x v="0"/>
    <n v="0"/>
    <x v="1"/>
    <s v="Y"/>
    <x v="1"/>
    <n v="17"/>
    <x v="3"/>
    <n v="3"/>
    <x v="0"/>
    <n v="3"/>
    <x v="3"/>
    <n v="80"/>
    <n v="0"/>
    <n v="2"/>
    <x v="2"/>
    <n v="4"/>
    <x v="1"/>
    <n v="3"/>
    <x v="1"/>
    <n v="1"/>
    <x v="1"/>
    <n v="0"/>
    <x v="2"/>
    <n v="0"/>
    <x v="0"/>
    <n v="0"/>
    <x v="2"/>
  </r>
  <r>
    <n v="1844"/>
    <n v="29"/>
    <x v="2"/>
    <x v="0"/>
    <n v="1"/>
    <x v="0"/>
    <n v="350"/>
    <x v="1"/>
    <x v="2"/>
    <n v="13"/>
    <x v="3"/>
    <n v="3"/>
    <x v="3"/>
    <x v="5"/>
    <n v="1"/>
    <n v="1"/>
    <x v="3"/>
    <x v="1"/>
    <n v="56"/>
    <x v="1"/>
    <n v="2"/>
    <x v="1"/>
    <n v="1"/>
    <x v="8"/>
    <n v="1"/>
    <x v="3"/>
    <x v="2"/>
    <n v="2335"/>
    <x v="2"/>
    <n v="3157"/>
    <x v="2"/>
    <n v="4"/>
    <x v="2"/>
    <s v="Y"/>
    <x v="0"/>
    <n v="15"/>
    <x v="2"/>
    <n v="3"/>
    <x v="0"/>
    <n v="4"/>
    <x v="1"/>
    <n v="80"/>
    <n v="3"/>
    <n v="4"/>
    <x v="3"/>
    <n v="3"/>
    <x v="1"/>
    <n v="3"/>
    <x v="1"/>
    <n v="2"/>
    <x v="2"/>
    <n v="2"/>
    <x v="0"/>
    <n v="2"/>
    <x v="1"/>
    <n v="0"/>
    <x v="2"/>
  </r>
  <r>
    <n v="1845"/>
    <n v="45"/>
    <x v="0"/>
    <x v="1"/>
    <n v="0"/>
    <x v="2"/>
    <n v="589"/>
    <x v="2"/>
    <x v="0"/>
    <n v="2"/>
    <x v="0"/>
    <n v="4"/>
    <x v="2"/>
    <x v="0"/>
    <n v="1"/>
    <n v="3"/>
    <x v="1"/>
    <x v="0"/>
    <n v="67"/>
    <x v="1"/>
    <n v="3"/>
    <x v="0"/>
    <n v="2"/>
    <x v="0"/>
    <n v="3"/>
    <x v="2"/>
    <x v="1"/>
    <n v="5154"/>
    <x v="1"/>
    <n v="19665"/>
    <x v="0"/>
    <n v="4"/>
    <x v="2"/>
    <s v="Y"/>
    <x v="1"/>
    <n v="22"/>
    <x v="1"/>
    <n v="4"/>
    <x v="1"/>
    <n v="2"/>
    <x v="4"/>
    <n v="80"/>
    <n v="2"/>
    <n v="10"/>
    <x v="0"/>
    <n v="3"/>
    <x v="1"/>
    <n v="4"/>
    <x v="3"/>
    <n v="8"/>
    <x v="0"/>
    <n v="7"/>
    <x v="1"/>
    <n v="5"/>
    <x v="1"/>
    <n v="7"/>
    <x v="1"/>
  </r>
  <r>
    <n v="1847"/>
    <n v="36"/>
    <x v="0"/>
    <x v="1"/>
    <n v="0"/>
    <x v="0"/>
    <n v="430"/>
    <x v="1"/>
    <x v="1"/>
    <n v="2"/>
    <x v="0"/>
    <n v="4"/>
    <x v="2"/>
    <x v="1"/>
    <n v="1"/>
    <n v="4"/>
    <x v="2"/>
    <x v="0"/>
    <n v="73"/>
    <x v="1"/>
    <n v="3"/>
    <x v="0"/>
    <n v="2"/>
    <x v="1"/>
    <n v="2"/>
    <x v="1"/>
    <x v="1"/>
    <n v="6962"/>
    <x v="0"/>
    <n v="19573"/>
    <x v="0"/>
    <n v="4"/>
    <x v="2"/>
    <s v="Y"/>
    <x v="0"/>
    <n v="22"/>
    <x v="1"/>
    <n v="4"/>
    <x v="1"/>
    <n v="4"/>
    <x v="1"/>
    <n v="80"/>
    <n v="1"/>
    <n v="15"/>
    <x v="1"/>
    <n v="2"/>
    <x v="0"/>
    <n v="3"/>
    <x v="1"/>
    <n v="1"/>
    <x v="1"/>
    <n v="0"/>
    <x v="2"/>
    <n v="0"/>
    <x v="0"/>
    <n v="0"/>
    <x v="2"/>
  </r>
  <r>
    <n v="1849"/>
    <n v="43"/>
    <x v="0"/>
    <x v="1"/>
    <n v="0"/>
    <x v="1"/>
    <n v="1422"/>
    <x v="0"/>
    <x v="0"/>
    <n v="2"/>
    <x v="0"/>
    <n v="4"/>
    <x v="2"/>
    <x v="0"/>
    <n v="1"/>
    <n v="1"/>
    <x v="3"/>
    <x v="1"/>
    <n v="92"/>
    <x v="0"/>
    <n v="3"/>
    <x v="0"/>
    <n v="2"/>
    <x v="0"/>
    <n v="4"/>
    <x v="0"/>
    <x v="1"/>
    <n v="5675"/>
    <x v="0"/>
    <n v="19246"/>
    <x v="0"/>
    <n v="1"/>
    <x v="1"/>
    <s v="Y"/>
    <x v="1"/>
    <n v="20"/>
    <x v="1"/>
    <n v="4"/>
    <x v="1"/>
    <n v="3"/>
    <x v="3"/>
    <n v="80"/>
    <n v="1"/>
    <n v="7"/>
    <x v="0"/>
    <n v="5"/>
    <x v="2"/>
    <n v="3"/>
    <x v="1"/>
    <n v="7"/>
    <x v="0"/>
    <n v="7"/>
    <x v="1"/>
    <n v="7"/>
    <x v="2"/>
    <n v="7"/>
    <x v="1"/>
  </r>
  <r>
    <n v="1850"/>
    <n v="27"/>
    <x v="2"/>
    <x v="1"/>
    <n v="0"/>
    <x v="1"/>
    <n v="1297"/>
    <x v="0"/>
    <x v="1"/>
    <n v="5"/>
    <x v="0"/>
    <n v="2"/>
    <x v="0"/>
    <x v="0"/>
    <n v="1"/>
    <n v="4"/>
    <x v="2"/>
    <x v="0"/>
    <n v="53"/>
    <x v="1"/>
    <n v="3"/>
    <x v="0"/>
    <n v="1"/>
    <x v="2"/>
    <n v="4"/>
    <x v="0"/>
    <x v="0"/>
    <n v="2379"/>
    <x v="2"/>
    <n v="19826"/>
    <x v="0"/>
    <n v="0"/>
    <x v="1"/>
    <s v="Y"/>
    <x v="0"/>
    <n v="14"/>
    <x v="2"/>
    <n v="3"/>
    <x v="0"/>
    <n v="3"/>
    <x v="3"/>
    <n v="80"/>
    <n v="0"/>
    <n v="6"/>
    <x v="0"/>
    <n v="3"/>
    <x v="1"/>
    <n v="2"/>
    <x v="2"/>
    <n v="5"/>
    <x v="2"/>
    <n v="4"/>
    <x v="0"/>
    <n v="0"/>
    <x v="0"/>
    <n v="2"/>
    <x v="0"/>
  </r>
  <r>
    <n v="1852"/>
    <n v="29"/>
    <x v="2"/>
    <x v="1"/>
    <n v="0"/>
    <x v="1"/>
    <n v="574"/>
    <x v="2"/>
    <x v="1"/>
    <n v="20"/>
    <x v="3"/>
    <n v="1"/>
    <x v="1"/>
    <x v="2"/>
    <n v="1"/>
    <n v="4"/>
    <x v="2"/>
    <x v="1"/>
    <n v="40"/>
    <x v="2"/>
    <n v="3"/>
    <x v="0"/>
    <n v="1"/>
    <x v="2"/>
    <n v="4"/>
    <x v="0"/>
    <x v="1"/>
    <n v="3812"/>
    <x v="3"/>
    <n v="7003"/>
    <x v="2"/>
    <n v="1"/>
    <x v="1"/>
    <s v="Y"/>
    <x v="1"/>
    <n v="13"/>
    <x v="2"/>
    <n v="3"/>
    <x v="0"/>
    <n v="2"/>
    <x v="4"/>
    <n v="80"/>
    <n v="0"/>
    <n v="11"/>
    <x v="1"/>
    <n v="3"/>
    <x v="1"/>
    <n v="4"/>
    <x v="3"/>
    <n v="11"/>
    <x v="4"/>
    <n v="8"/>
    <x v="1"/>
    <n v="3"/>
    <x v="1"/>
    <n v="10"/>
    <x v="1"/>
  </r>
  <r>
    <n v="1853"/>
    <n v="32"/>
    <x v="2"/>
    <x v="1"/>
    <n v="0"/>
    <x v="1"/>
    <n v="1318"/>
    <x v="0"/>
    <x v="0"/>
    <n v="10"/>
    <x v="1"/>
    <n v="4"/>
    <x v="2"/>
    <x v="3"/>
    <n v="1"/>
    <n v="4"/>
    <x v="2"/>
    <x v="1"/>
    <n v="79"/>
    <x v="0"/>
    <n v="3"/>
    <x v="0"/>
    <n v="2"/>
    <x v="0"/>
    <n v="4"/>
    <x v="0"/>
    <x v="0"/>
    <n v="4648"/>
    <x v="1"/>
    <n v="26075"/>
    <x v="1"/>
    <n v="8"/>
    <x v="0"/>
    <s v="Y"/>
    <x v="1"/>
    <n v="13"/>
    <x v="2"/>
    <n v="3"/>
    <x v="0"/>
    <n v="3"/>
    <x v="3"/>
    <n v="80"/>
    <n v="0"/>
    <n v="4"/>
    <x v="3"/>
    <n v="2"/>
    <x v="0"/>
    <n v="4"/>
    <x v="3"/>
    <n v="0"/>
    <x v="1"/>
    <n v="0"/>
    <x v="2"/>
    <n v="0"/>
    <x v="0"/>
    <n v="0"/>
    <x v="2"/>
  </r>
  <r>
    <n v="1854"/>
    <n v="42"/>
    <x v="0"/>
    <x v="1"/>
    <n v="0"/>
    <x v="2"/>
    <n v="355"/>
    <x v="1"/>
    <x v="1"/>
    <n v="10"/>
    <x v="1"/>
    <n v="4"/>
    <x v="2"/>
    <x v="4"/>
    <n v="1"/>
    <n v="3"/>
    <x v="1"/>
    <x v="1"/>
    <n v="38"/>
    <x v="2"/>
    <n v="3"/>
    <x v="0"/>
    <n v="1"/>
    <x v="1"/>
    <n v="3"/>
    <x v="2"/>
    <x v="1"/>
    <n v="2936"/>
    <x v="3"/>
    <n v="6161"/>
    <x v="2"/>
    <n v="3"/>
    <x v="3"/>
    <s v="Y"/>
    <x v="1"/>
    <n v="22"/>
    <x v="1"/>
    <n v="4"/>
    <x v="1"/>
    <n v="2"/>
    <x v="4"/>
    <n v="80"/>
    <n v="2"/>
    <n v="10"/>
    <x v="0"/>
    <n v="1"/>
    <x v="0"/>
    <n v="2"/>
    <x v="2"/>
    <n v="6"/>
    <x v="0"/>
    <n v="3"/>
    <x v="0"/>
    <n v="3"/>
    <x v="1"/>
    <n v="3"/>
    <x v="0"/>
  </r>
  <r>
    <n v="1856"/>
    <n v="47"/>
    <x v="1"/>
    <x v="1"/>
    <n v="0"/>
    <x v="0"/>
    <n v="207"/>
    <x v="1"/>
    <x v="1"/>
    <n v="9"/>
    <x v="1"/>
    <n v="4"/>
    <x v="2"/>
    <x v="0"/>
    <n v="1"/>
    <n v="2"/>
    <x v="0"/>
    <x v="0"/>
    <n v="64"/>
    <x v="1"/>
    <n v="3"/>
    <x v="0"/>
    <n v="1"/>
    <x v="2"/>
    <n v="3"/>
    <x v="2"/>
    <x v="0"/>
    <n v="2105"/>
    <x v="2"/>
    <n v="5411"/>
    <x v="2"/>
    <n v="4"/>
    <x v="2"/>
    <s v="Y"/>
    <x v="1"/>
    <n v="12"/>
    <x v="0"/>
    <n v="3"/>
    <x v="0"/>
    <n v="3"/>
    <x v="3"/>
    <n v="80"/>
    <n v="0"/>
    <n v="7"/>
    <x v="0"/>
    <n v="2"/>
    <x v="0"/>
    <n v="3"/>
    <x v="1"/>
    <n v="2"/>
    <x v="2"/>
    <n v="2"/>
    <x v="0"/>
    <n v="2"/>
    <x v="1"/>
    <n v="0"/>
    <x v="2"/>
  </r>
  <r>
    <n v="1857"/>
    <n v="46"/>
    <x v="1"/>
    <x v="1"/>
    <n v="0"/>
    <x v="0"/>
    <n v="706"/>
    <x v="2"/>
    <x v="1"/>
    <n v="2"/>
    <x v="0"/>
    <n v="2"/>
    <x v="0"/>
    <x v="0"/>
    <n v="1"/>
    <n v="4"/>
    <x v="2"/>
    <x v="1"/>
    <n v="82"/>
    <x v="0"/>
    <n v="3"/>
    <x v="0"/>
    <n v="3"/>
    <x v="3"/>
    <n v="4"/>
    <x v="0"/>
    <x v="2"/>
    <n v="8578"/>
    <x v="4"/>
    <n v="19989"/>
    <x v="0"/>
    <n v="3"/>
    <x v="3"/>
    <s v="Y"/>
    <x v="1"/>
    <n v="14"/>
    <x v="2"/>
    <n v="3"/>
    <x v="0"/>
    <n v="3"/>
    <x v="3"/>
    <n v="80"/>
    <n v="1"/>
    <n v="12"/>
    <x v="1"/>
    <n v="4"/>
    <x v="1"/>
    <n v="2"/>
    <x v="2"/>
    <n v="9"/>
    <x v="0"/>
    <n v="8"/>
    <x v="1"/>
    <n v="4"/>
    <x v="1"/>
    <n v="7"/>
    <x v="1"/>
  </r>
  <r>
    <n v="1858"/>
    <n v="28"/>
    <x v="2"/>
    <x v="1"/>
    <n v="0"/>
    <x v="2"/>
    <n v="280"/>
    <x v="1"/>
    <x v="2"/>
    <n v="1"/>
    <x v="0"/>
    <n v="2"/>
    <x v="0"/>
    <x v="0"/>
    <n v="1"/>
    <n v="3"/>
    <x v="1"/>
    <x v="1"/>
    <n v="43"/>
    <x v="2"/>
    <n v="3"/>
    <x v="0"/>
    <n v="1"/>
    <x v="8"/>
    <n v="4"/>
    <x v="0"/>
    <x v="2"/>
    <n v="2706"/>
    <x v="3"/>
    <n v="10494"/>
    <x v="3"/>
    <n v="1"/>
    <x v="1"/>
    <s v="Y"/>
    <x v="1"/>
    <n v="15"/>
    <x v="2"/>
    <n v="3"/>
    <x v="0"/>
    <n v="2"/>
    <x v="4"/>
    <n v="80"/>
    <n v="1"/>
    <n v="3"/>
    <x v="3"/>
    <n v="2"/>
    <x v="0"/>
    <n v="3"/>
    <x v="1"/>
    <n v="3"/>
    <x v="2"/>
    <n v="2"/>
    <x v="0"/>
    <n v="2"/>
    <x v="1"/>
    <n v="2"/>
    <x v="0"/>
  </r>
  <r>
    <n v="1859"/>
    <n v="29"/>
    <x v="2"/>
    <x v="1"/>
    <n v="0"/>
    <x v="0"/>
    <n v="726"/>
    <x v="2"/>
    <x v="1"/>
    <n v="29"/>
    <x v="2"/>
    <n v="1"/>
    <x v="1"/>
    <x v="0"/>
    <n v="1"/>
    <n v="4"/>
    <x v="2"/>
    <x v="1"/>
    <n v="93"/>
    <x v="0"/>
    <n v="1"/>
    <x v="3"/>
    <n v="2"/>
    <x v="4"/>
    <n v="3"/>
    <x v="2"/>
    <x v="2"/>
    <n v="6384"/>
    <x v="0"/>
    <n v="21143"/>
    <x v="0"/>
    <n v="8"/>
    <x v="0"/>
    <s v="Y"/>
    <x v="1"/>
    <n v="17"/>
    <x v="3"/>
    <n v="3"/>
    <x v="0"/>
    <n v="4"/>
    <x v="1"/>
    <n v="80"/>
    <n v="2"/>
    <n v="11"/>
    <x v="1"/>
    <n v="3"/>
    <x v="1"/>
    <n v="3"/>
    <x v="1"/>
    <n v="7"/>
    <x v="0"/>
    <n v="0"/>
    <x v="2"/>
    <n v="1"/>
    <x v="0"/>
    <n v="6"/>
    <x v="1"/>
  </r>
  <r>
    <n v="1860"/>
    <n v="42"/>
    <x v="0"/>
    <x v="1"/>
    <n v="0"/>
    <x v="0"/>
    <n v="1142"/>
    <x v="0"/>
    <x v="1"/>
    <n v="8"/>
    <x v="1"/>
    <n v="3"/>
    <x v="3"/>
    <x v="0"/>
    <n v="1"/>
    <n v="4"/>
    <x v="2"/>
    <x v="1"/>
    <n v="81"/>
    <x v="0"/>
    <n v="3"/>
    <x v="0"/>
    <n v="1"/>
    <x v="2"/>
    <n v="3"/>
    <x v="2"/>
    <x v="0"/>
    <n v="3968"/>
    <x v="3"/>
    <n v="13624"/>
    <x v="3"/>
    <n v="4"/>
    <x v="2"/>
    <s v="Y"/>
    <x v="1"/>
    <n v="13"/>
    <x v="2"/>
    <n v="3"/>
    <x v="0"/>
    <n v="4"/>
    <x v="1"/>
    <n v="80"/>
    <n v="0"/>
    <n v="8"/>
    <x v="0"/>
    <n v="3"/>
    <x v="1"/>
    <n v="3"/>
    <x v="1"/>
    <n v="0"/>
    <x v="1"/>
    <n v="0"/>
    <x v="2"/>
    <n v="0"/>
    <x v="0"/>
    <n v="0"/>
    <x v="2"/>
  </r>
  <r>
    <n v="1862"/>
    <n v="32"/>
    <x v="2"/>
    <x v="0"/>
    <n v="1"/>
    <x v="0"/>
    <n v="414"/>
    <x v="1"/>
    <x v="0"/>
    <n v="2"/>
    <x v="0"/>
    <n v="4"/>
    <x v="2"/>
    <x v="3"/>
    <n v="1"/>
    <n v="3"/>
    <x v="1"/>
    <x v="1"/>
    <n v="82"/>
    <x v="0"/>
    <n v="2"/>
    <x v="1"/>
    <n v="2"/>
    <x v="0"/>
    <n v="2"/>
    <x v="1"/>
    <x v="0"/>
    <n v="9907"/>
    <x v="4"/>
    <n v="26186"/>
    <x v="1"/>
    <n v="7"/>
    <x v="0"/>
    <s v="Y"/>
    <x v="0"/>
    <n v="12"/>
    <x v="0"/>
    <n v="3"/>
    <x v="0"/>
    <n v="3"/>
    <x v="3"/>
    <n v="80"/>
    <n v="0"/>
    <n v="7"/>
    <x v="0"/>
    <n v="3"/>
    <x v="1"/>
    <n v="2"/>
    <x v="2"/>
    <n v="2"/>
    <x v="2"/>
    <n v="2"/>
    <x v="0"/>
    <n v="2"/>
    <x v="1"/>
    <n v="2"/>
    <x v="0"/>
  </r>
  <r>
    <n v="1863"/>
    <n v="46"/>
    <x v="1"/>
    <x v="1"/>
    <n v="0"/>
    <x v="0"/>
    <n v="1319"/>
    <x v="0"/>
    <x v="0"/>
    <n v="3"/>
    <x v="0"/>
    <n v="3"/>
    <x v="3"/>
    <x v="4"/>
    <n v="1"/>
    <n v="1"/>
    <x v="3"/>
    <x v="0"/>
    <n v="45"/>
    <x v="2"/>
    <n v="4"/>
    <x v="2"/>
    <n v="4"/>
    <x v="0"/>
    <n v="1"/>
    <x v="3"/>
    <x v="2"/>
    <n v="13225"/>
    <x v="10"/>
    <n v="7739"/>
    <x v="2"/>
    <n v="2"/>
    <x v="3"/>
    <s v="Y"/>
    <x v="1"/>
    <n v="12"/>
    <x v="0"/>
    <n v="3"/>
    <x v="0"/>
    <n v="4"/>
    <x v="1"/>
    <n v="80"/>
    <n v="1"/>
    <n v="25"/>
    <x v="4"/>
    <n v="5"/>
    <x v="2"/>
    <n v="3"/>
    <x v="1"/>
    <n v="19"/>
    <x v="4"/>
    <n v="17"/>
    <x v="3"/>
    <n v="2"/>
    <x v="1"/>
    <n v="8"/>
    <x v="1"/>
  </r>
  <r>
    <n v="1864"/>
    <n v="27"/>
    <x v="2"/>
    <x v="1"/>
    <n v="0"/>
    <x v="0"/>
    <n v="728"/>
    <x v="2"/>
    <x v="0"/>
    <n v="23"/>
    <x v="2"/>
    <n v="1"/>
    <x v="1"/>
    <x v="2"/>
    <n v="1"/>
    <n v="2"/>
    <x v="0"/>
    <x v="0"/>
    <n v="36"/>
    <x v="2"/>
    <n v="2"/>
    <x v="1"/>
    <n v="2"/>
    <x v="6"/>
    <n v="3"/>
    <x v="2"/>
    <x v="1"/>
    <n v="3540"/>
    <x v="3"/>
    <n v="7018"/>
    <x v="2"/>
    <n v="1"/>
    <x v="1"/>
    <s v="Y"/>
    <x v="1"/>
    <n v="21"/>
    <x v="1"/>
    <n v="4"/>
    <x v="1"/>
    <n v="4"/>
    <x v="1"/>
    <n v="80"/>
    <n v="1"/>
    <n v="9"/>
    <x v="0"/>
    <n v="5"/>
    <x v="2"/>
    <n v="3"/>
    <x v="1"/>
    <n v="9"/>
    <x v="0"/>
    <n v="8"/>
    <x v="1"/>
    <n v="5"/>
    <x v="1"/>
    <n v="8"/>
    <x v="1"/>
  </r>
  <r>
    <n v="1865"/>
    <n v="29"/>
    <x v="2"/>
    <x v="1"/>
    <n v="0"/>
    <x v="0"/>
    <n v="352"/>
    <x v="1"/>
    <x v="2"/>
    <n v="6"/>
    <x v="1"/>
    <n v="1"/>
    <x v="1"/>
    <x v="2"/>
    <n v="1"/>
    <n v="4"/>
    <x v="2"/>
    <x v="1"/>
    <n v="87"/>
    <x v="0"/>
    <n v="2"/>
    <x v="1"/>
    <n v="1"/>
    <x v="8"/>
    <n v="2"/>
    <x v="1"/>
    <x v="1"/>
    <n v="2804"/>
    <x v="3"/>
    <n v="15434"/>
    <x v="3"/>
    <n v="1"/>
    <x v="1"/>
    <s v="Y"/>
    <x v="1"/>
    <n v="11"/>
    <x v="0"/>
    <n v="3"/>
    <x v="0"/>
    <n v="4"/>
    <x v="1"/>
    <n v="80"/>
    <n v="0"/>
    <n v="1"/>
    <x v="2"/>
    <n v="3"/>
    <x v="1"/>
    <n v="3"/>
    <x v="1"/>
    <n v="1"/>
    <x v="1"/>
    <n v="0"/>
    <x v="2"/>
    <n v="0"/>
    <x v="0"/>
    <n v="0"/>
    <x v="2"/>
  </r>
  <r>
    <n v="1866"/>
    <n v="43"/>
    <x v="0"/>
    <x v="1"/>
    <n v="0"/>
    <x v="0"/>
    <n v="823"/>
    <x v="2"/>
    <x v="1"/>
    <n v="6"/>
    <x v="1"/>
    <n v="3"/>
    <x v="3"/>
    <x v="2"/>
    <n v="1"/>
    <n v="1"/>
    <x v="3"/>
    <x v="0"/>
    <n v="81"/>
    <x v="0"/>
    <n v="2"/>
    <x v="1"/>
    <n v="5"/>
    <x v="5"/>
    <n v="3"/>
    <x v="2"/>
    <x v="1"/>
    <n v="19392"/>
    <x v="7"/>
    <n v="22539"/>
    <x v="1"/>
    <n v="7"/>
    <x v="0"/>
    <s v="Y"/>
    <x v="1"/>
    <n v="13"/>
    <x v="2"/>
    <n v="3"/>
    <x v="0"/>
    <n v="4"/>
    <x v="1"/>
    <n v="80"/>
    <n v="0"/>
    <n v="21"/>
    <x v="4"/>
    <n v="2"/>
    <x v="0"/>
    <n v="3"/>
    <x v="1"/>
    <n v="16"/>
    <x v="4"/>
    <n v="12"/>
    <x v="3"/>
    <n v="6"/>
    <x v="2"/>
    <n v="14"/>
    <x v="3"/>
  </r>
  <r>
    <n v="1867"/>
    <n v="48"/>
    <x v="1"/>
    <x v="1"/>
    <n v="0"/>
    <x v="0"/>
    <n v="1224"/>
    <x v="0"/>
    <x v="1"/>
    <n v="10"/>
    <x v="1"/>
    <n v="3"/>
    <x v="3"/>
    <x v="0"/>
    <n v="1"/>
    <n v="4"/>
    <x v="2"/>
    <x v="1"/>
    <n v="91"/>
    <x v="0"/>
    <n v="2"/>
    <x v="1"/>
    <n v="5"/>
    <x v="7"/>
    <n v="2"/>
    <x v="1"/>
    <x v="1"/>
    <n v="19665"/>
    <x v="7"/>
    <n v="13583"/>
    <x v="3"/>
    <n v="4"/>
    <x v="2"/>
    <s v="Y"/>
    <x v="1"/>
    <n v="12"/>
    <x v="0"/>
    <n v="3"/>
    <x v="0"/>
    <n v="4"/>
    <x v="1"/>
    <n v="80"/>
    <n v="0"/>
    <n v="29"/>
    <x v="4"/>
    <n v="3"/>
    <x v="1"/>
    <n v="3"/>
    <x v="1"/>
    <n v="22"/>
    <x v="3"/>
    <n v="10"/>
    <x v="1"/>
    <n v="12"/>
    <x v="3"/>
    <n v="9"/>
    <x v="1"/>
  </r>
  <r>
    <n v="1868"/>
    <n v="29"/>
    <x v="2"/>
    <x v="0"/>
    <n v="1"/>
    <x v="1"/>
    <n v="459"/>
    <x v="1"/>
    <x v="1"/>
    <n v="24"/>
    <x v="2"/>
    <n v="2"/>
    <x v="0"/>
    <x v="0"/>
    <n v="1"/>
    <n v="4"/>
    <x v="2"/>
    <x v="1"/>
    <n v="73"/>
    <x v="1"/>
    <n v="2"/>
    <x v="1"/>
    <n v="1"/>
    <x v="1"/>
    <n v="4"/>
    <x v="0"/>
    <x v="0"/>
    <n v="2439"/>
    <x v="2"/>
    <n v="14753"/>
    <x v="3"/>
    <n v="1"/>
    <x v="1"/>
    <s v="Y"/>
    <x v="0"/>
    <n v="24"/>
    <x v="1"/>
    <n v="4"/>
    <x v="1"/>
    <n v="2"/>
    <x v="4"/>
    <n v="80"/>
    <n v="0"/>
    <n v="1"/>
    <x v="2"/>
    <n v="3"/>
    <x v="1"/>
    <n v="2"/>
    <x v="2"/>
    <n v="1"/>
    <x v="1"/>
    <n v="0"/>
    <x v="2"/>
    <n v="1"/>
    <x v="0"/>
    <n v="0"/>
    <x v="2"/>
  </r>
  <r>
    <n v="1869"/>
    <n v="46"/>
    <x v="1"/>
    <x v="0"/>
    <n v="1"/>
    <x v="0"/>
    <n v="1254"/>
    <x v="0"/>
    <x v="0"/>
    <n v="10"/>
    <x v="1"/>
    <n v="3"/>
    <x v="3"/>
    <x v="0"/>
    <n v="1"/>
    <n v="3"/>
    <x v="1"/>
    <x v="0"/>
    <n v="64"/>
    <x v="1"/>
    <n v="3"/>
    <x v="0"/>
    <n v="3"/>
    <x v="0"/>
    <n v="2"/>
    <x v="1"/>
    <x v="1"/>
    <n v="7314"/>
    <x v="11"/>
    <n v="14011"/>
    <x v="3"/>
    <n v="5"/>
    <x v="2"/>
    <s v="Y"/>
    <x v="1"/>
    <n v="21"/>
    <x v="1"/>
    <n v="4"/>
    <x v="1"/>
    <n v="3"/>
    <x v="3"/>
    <n v="80"/>
    <n v="3"/>
    <n v="14"/>
    <x v="1"/>
    <n v="2"/>
    <x v="0"/>
    <n v="3"/>
    <x v="1"/>
    <n v="8"/>
    <x v="0"/>
    <n v="7"/>
    <x v="1"/>
    <n v="0"/>
    <x v="0"/>
    <n v="7"/>
    <x v="1"/>
  </r>
  <r>
    <n v="1870"/>
    <n v="27"/>
    <x v="2"/>
    <x v="1"/>
    <n v="0"/>
    <x v="1"/>
    <n v="1131"/>
    <x v="0"/>
    <x v="1"/>
    <n v="15"/>
    <x v="3"/>
    <n v="3"/>
    <x v="3"/>
    <x v="0"/>
    <n v="1"/>
    <n v="4"/>
    <x v="2"/>
    <x v="0"/>
    <n v="77"/>
    <x v="0"/>
    <n v="2"/>
    <x v="1"/>
    <n v="1"/>
    <x v="1"/>
    <n v="1"/>
    <x v="3"/>
    <x v="1"/>
    <n v="4774"/>
    <x v="1"/>
    <n v="23844"/>
    <x v="1"/>
    <n v="0"/>
    <x v="1"/>
    <s v="Y"/>
    <x v="1"/>
    <n v="19"/>
    <x v="1"/>
    <n v="3"/>
    <x v="0"/>
    <n v="4"/>
    <x v="1"/>
    <n v="80"/>
    <n v="1"/>
    <n v="8"/>
    <x v="0"/>
    <n v="2"/>
    <x v="0"/>
    <n v="2"/>
    <x v="2"/>
    <n v="7"/>
    <x v="0"/>
    <n v="6"/>
    <x v="1"/>
    <n v="7"/>
    <x v="2"/>
    <n v="3"/>
    <x v="0"/>
  </r>
  <r>
    <n v="1871"/>
    <n v="39"/>
    <x v="0"/>
    <x v="1"/>
    <n v="0"/>
    <x v="0"/>
    <n v="835"/>
    <x v="2"/>
    <x v="1"/>
    <n v="19"/>
    <x v="3"/>
    <n v="4"/>
    <x v="2"/>
    <x v="1"/>
    <n v="1"/>
    <n v="4"/>
    <x v="2"/>
    <x v="1"/>
    <n v="41"/>
    <x v="2"/>
    <n v="3"/>
    <x v="0"/>
    <n v="2"/>
    <x v="1"/>
    <n v="4"/>
    <x v="0"/>
    <x v="2"/>
    <n v="3902"/>
    <x v="3"/>
    <n v="5141"/>
    <x v="2"/>
    <n v="8"/>
    <x v="0"/>
    <s v="Y"/>
    <x v="1"/>
    <n v="14"/>
    <x v="2"/>
    <n v="3"/>
    <x v="0"/>
    <n v="2"/>
    <x v="4"/>
    <n v="80"/>
    <n v="3"/>
    <n v="7"/>
    <x v="0"/>
    <n v="2"/>
    <x v="0"/>
    <n v="3"/>
    <x v="1"/>
    <n v="2"/>
    <x v="2"/>
    <n v="2"/>
    <x v="0"/>
    <n v="2"/>
    <x v="1"/>
    <n v="2"/>
    <x v="0"/>
  </r>
  <r>
    <n v="1873"/>
    <n v="55"/>
    <x v="1"/>
    <x v="1"/>
    <n v="0"/>
    <x v="0"/>
    <n v="836"/>
    <x v="2"/>
    <x v="1"/>
    <n v="2"/>
    <x v="0"/>
    <n v="4"/>
    <x v="2"/>
    <x v="4"/>
    <n v="1"/>
    <n v="2"/>
    <x v="0"/>
    <x v="1"/>
    <n v="98"/>
    <x v="0"/>
    <n v="2"/>
    <x v="1"/>
    <n v="1"/>
    <x v="1"/>
    <n v="4"/>
    <x v="0"/>
    <x v="1"/>
    <n v="2662"/>
    <x v="3"/>
    <n v="7975"/>
    <x v="2"/>
    <n v="8"/>
    <x v="0"/>
    <s v="Y"/>
    <x v="1"/>
    <n v="20"/>
    <x v="1"/>
    <n v="4"/>
    <x v="1"/>
    <n v="2"/>
    <x v="4"/>
    <n v="80"/>
    <n v="1"/>
    <n v="19"/>
    <x v="1"/>
    <n v="2"/>
    <x v="0"/>
    <n v="4"/>
    <x v="3"/>
    <n v="5"/>
    <x v="2"/>
    <n v="2"/>
    <x v="0"/>
    <n v="0"/>
    <x v="0"/>
    <n v="4"/>
    <x v="0"/>
  </r>
  <r>
    <n v="1875"/>
    <n v="28"/>
    <x v="2"/>
    <x v="1"/>
    <n v="0"/>
    <x v="0"/>
    <n v="1172"/>
    <x v="0"/>
    <x v="0"/>
    <n v="3"/>
    <x v="0"/>
    <n v="3"/>
    <x v="3"/>
    <x v="2"/>
    <n v="1"/>
    <n v="2"/>
    <x v="0"/>
    <x v="0"/>
    <n v="78"/>
    <x v="0"/>
    <n v="3"/>
    <x v="0"/>
    <n v="1"/>
    <x v="6"/>
    <n v="2"/>
    <x v="1"/>
    <x v="1"/>
    <n v="2856"/>
    <x v="3"/>
    <n v="3692"/>
    <x v="2"/>
    <n v="1"/>
    <x v="1"/>
    <s v="Y"/>
    <x v="1"/>
    <n v="19"/>
    <x v="1"/>
    <n v="3"/>
    <x v="0"/>
    <n v="4"/>
    <x v="1"/>
    <n v="80"/>
    <n v="1"/>
    <n v="1"/>
    <x v="2"/>
    <n v="3"/>
    <x v="1"/>
    <n v="3"/>
    <x v="1"/>
    <n v="1"/>
    <x v="1"/>
    <n v="0"/>
    <x v="2"/>
    <n v="0"/>
    <x v="0"/>
    <n v="0"/>
    <x v="2"/>
  </r>
  <r>
    <n v="1876"/>
    <n v="30"/>
    <x v="2"/>
    <x v="0"/>
    <n v="1"/>
    <x v="0"/>
    <n v="945"/>
    <x v="2"/>
    <x v="0"/>
    <n v="9"/>
    <x v="1"/>
    <n v="3"/>
    <x v="3"/>
    <x v="2"/>
    <n v="1"/>
    <n v="2"/>
    <x v="0"/>
    <x v="1"/>
    <n v="89"/>
    <x v="0"/>
    <n v="3"/>
    <x v="0"/>
    <n v="1"/>
    <x v="6"/>
    <n v="4"/>
    <x v="0"/>
    <x v="0"/>
    <n v="1081"/>
    <x v="2"/>
    <n v="16019"/>
    <x v="0"/>
    <n v="1"/>
    <x v="1"/>
    <s v="Y"/>
    <x v="1"/>
    <n v="13"/>
    <x v="2"/>
    <n v="3"/>
    <x v="0"/>
    <n v="3"/>
    <x v="3"/>
    <n v="80"/>
    <n v="0"/>
    <n v="1"/>
    <x v="2"/>
    <n v="3"/>
    <x v="1"/>
    <n v="2"/>
    <x v="2"/>
    <n v="1"/>
    <x v="1"/>
    <n v="0"/>
    <x v="2"/>
    <n v="0"/>
    <x v="0"/>
    <n v="0"/>
    <x v="2"/>
  </r>
  <r>
    <n v="1878"/>
    <n v="22"/>
    <x v="4"/>
    <x v="0"/>
    <n v="1"/>
    <x v="0"/>
    <n v="391"/>
    <x v="1"/>
    <x v="1"/>
    <n v="7"/>
    <x v="1"/>
    <n v="1"/>
    <x v="1"/>
    <x v="0"/>
    <n v="1"/>
    <n v="4"/>
    <x v="2"/>
    <x v="1"/>
    <n v="75"/>
    <x v="1"/>
    <n v="3"/>
    <x v="0"/>
    <n v="1"/>
    <x v="1"/>
    <n v="2"/>
    <x v="1"/>
    <x v="0"/>
    <n v="2472"/>
    <x v="2"/>
    <n v="26092"/>
    <x v="1"/>
    <n v="1"/>
    <x v="1"/>
    <s v="Y"/>
    <x v="0"/>
    <n v="23"/>
    <x v="1"/>
    <n v="4"/>
    <x v="1"/>
    <n v="1"/>
    <x v="0"/>
    <n v="80"/>
    <n v="0"/>
    <n v="1"/>
    <x v="2"/>
    <n v="2"/>
    <x v="0"/>
    <n v="3"/>
    <x v="1"/>
    <n v="1"/>
    <x v="1"/>
    <n v="0"/>
    <x v="2"/>
    <n v="0"/>
    <x v="0"/>
    <n v="0"/>
    <x v="2"/>
  </r>
  <r>
    <n v="1880"/>
    <n v="36"/>
    <x v="0"/>
    <x v="1"/>
    <n v="0"/>
    <x v="0"/>
    <n v="1266"/>
    <x v="0"/>
    <x v="0"/>
    <n v="10"/>
    <x v="1"/>
    <n v="4"/>
    <x v="2"/>
    <x v="4"/>
    <n v="1"/>
    <n v="2"/>
    <x v="0"/>
    <x v="0"/>
    <n v="63"/>
    <x v="1"/>
    <n v="2"/>
    <x v="1"/>
    <n v="2"/>
    <x v="0"/>
    <n v="3"/>
    <x v="2"/>
    <x v="1"/>
    <n v="5673"/>
    <x v="0"/>
    <n v="6060"/>
    <x v="2"/>
    <n v="1"/>
    <x v="1"/>
    <s v="Y"/>
    <x v="0"/>
    <n v="13"/>
    <x v="2"/>
    <n v="3"/>
    <x v="0"/>
    <n v="1"/>
    <x v="0"/>
    <n v="80"/>
    <n v="1"/>
    <n v="10"/>
    <x v="0"/>
    <n v="4"/>
    <x v="1"/>
    <n v="3"/>
    <x v="1"/>
    <n v="10"/>
    <x v="0"/>
    <n v="9"/>
    <x v="1"/>
    <n v="1"/>
    <x v="0"/>
    <n v="7"/>
    <x v="1"/>
  </r>
  <r>
    <n v="1881"/>
    <n v="31"/>
    <x v="2"/>
    <x v="1"/>
    <n v="0"/>
    <x v="0"/>
    <n v="311"/>
    <x v="1"/>
    <x v="1"/>
    <n v="20"/>
    <x v="3"/>
    <n v="3"/>
    <x v="3"/>
    <x v="0"/>
    <n v="1"/>
    <n v="2"/>
    <x v="0"/>
    <x v="1"/>
    <n v="89"/>
    <x v="0"/>
    <n v="3"/>
    <x v="0"/>
    <n v="2"/>
    <x v="2"/>
    <n v="3"/>
    <x v="2"/>
    <x v="2"/>
    <n v="4197"/>
    <x v="1"/>
    <n v="18624"/>
    <x v="0"/>
    <n v="1"/>
    <x v="1"/>
    <s v="Y"/>
    <x v="1"/>
    <n v="11"/>
    <x v="0"/>
    <n v="3"/>
    <x v="0"/>
    <n v="1"/>
    <x v="0"/>
    <n v="80"/>
    <n v="1"/>
    <n v="10"/>
    <x v="0"/>
    <n v="2"/>
    <x v="0"/>
    <n v="3"/>
    <x v="1"/>
    <n v="10"/>
    <x v="0"/>
    <n v="8"/>
    <x v="1"/>
    <n v="0"/>
    <x v="0"/>
    <n v="2"/>
    <x v="0"/>
  </r>
  <r>
    <n v="1882"/>
    <n v="34"/>
    <x v="2"/>
    <x v="1"/>
    <n v="0"/>
    <x v="0"/>
    <n v="1480"/>
    <x v="0"/>
    <x v="0"/>
    <n v="4"/>
    <x v="0"/>
    <n v="3"/>
    <x v="3"/>
    <x v="0"/>
    <n v="1"/>
    <n v="3"/>
    <x v="1"/>
    <x v="1"/>
    <n v="64"/>
    <x v="1"/>
    <n v="3"/>
    <x v="0"/>
    <n v="3"/>
    <x v="0"/>
    <n v="4"/>
    <x v="0"/>
    <x v="1"/>
    <n v="9713"/>
    <x v="4"/>
    <n v="24444"/>
    <x v="1"/>
    <n v="2"/>
    <x v="3"/>
    <s v="Y"/>
    <x v="0"/>
    <n v="13"/>
    <x v="2"/>
    <n v="3"/>
    <x v="0"/>
    <n v="4"/>
    <x v="1"/>
    <n v="80"/>
    <n v="3"/>
    <n v="9"/>
    <x v="0"/>
    <n v="3"/>
    <x v="1"/>
    <n v="3"/>
    <x v="1"/>
    <n v="5"/>
    <x v="2"/>
    <n v="3"/>
    <x v="0"/>
    <n v="1"/>
    <x v="0"/>
    <n v="0"/>
    <x v="2"/>
  </r>
  <r>
    <n v="1883"/>
    <n v="29"/>
    <x v="2"/>
    <x v="1"/>
    <n v="0"/>
    <x v="0"/>
    <n v="592"/>
    <x v="2"/>
    <x v="1"/>
    <n v="7"/>
    <x v="1"/>
    <n v="3"/>
    <x v="3"/>
    <x v="0"/>
    <n v="1"/>
    <n v="4"/>
    <x v="2"/>
    <x v="1"/>
    <n v="59"/>
    <x v="1"/>
    <n v="3"/>
    <x v="0"/>
    <n v="1"/>
    <x v="2"/>
    <n v="1"/>
    <x v="3"/>
    <x v="0"/>
    <n v="2062"/>
    <x v="2"/>
    <n v="19384"/>
    <x v="0"/>
    <n v="3"/>
    <x v="3"/>
    <s v="Y"/>
    <x v="1"/>
    <n v="14"/>
    <x v="2"/>
    <n v="3"/>
    <x v="0"/>
    <n v="2"/>
    <x v="4"/>
    <n v="80"/>
    <n v="0"/>
    <n v="11"/>
    <x v="1"/>
    <n v="2"/>
    <x v="0"/>
    <n v="3"/>
    <x v="1"/>
    <n v="3"/>
    <x v="2"/>
    <n v="2"/>
    <x v="0"/>
    <n v="1"/>
    <x v="0"/>
    <n v="2"/>
    <x v="0"/>
  </r>
  <r>
    <n v="1885"/>
    <n v="37"/>
    <x v="0"/>
    <x v="1"/>
    <n v="0"/>
    <x v="0"/>
    <n v="783"/>
    <x v="2"/>
    <x v="1"/>
    <n v="7"/>
    <x v="1"/>
    <n v="4"/>
    <x v="2"/>
    <x v="2"/>
    <n v="1"/>
    <n v="4"/>
    <x v="2"/>
    <x v="1"/>
    <n v="78"/>
    <x v="0"/>
    <n v="3"/>
    <x v="0"/>
    <n v="2"/>
    <x v="1"/>
    <n v="1"/>
    <x v="3"/>
    <x v="1"/>
    <n v="4284"/>
    <x v="1"/>
    <n v="13588"/>
    <x v="3"/>
    <n v="5"/>
    <x v="2"/>
    <s v="Y"/>
    <x v="0"/>
    <n v="22"/>
    <x v="1"/>
    <n v="4"/>
    <x v="1"/>
    <n v="3"/>
    <x v="3"/>
    <n v="80"/>
    <n v="1"/>
    <n v="16"/>
    <x v="1"/>
    <n v="2"/>
    <x v="0"/>
    <n v="3"/>
    <x v="1"/>
    <n v="5"/>
    <x v="2"/>
    <n v="3"/>
    <x v="0"/>
    <n v="0"/>
    <x v="0"/>
    <n v="4"/>
    <x v="0"/>
  </r>
  <r>
    <n v="1886"/>
    <n v="35"/>
    <x v="2"/>
    <x v="1"/>
    <n v="0"/>
    <x v="0"/>
    <n v="219"/>
    <x v="1"/>
    <x v="1"/>
    <n v="16"/>
    <x v="3"/>
    <n v="2"/>
    <x v="0"/>
    <x v="1"/>
    <n v="1"/>
    <n v="4"/>
    <x v="2"/>
    <x v="0"/>
    <n v="44"/>
    <x v="2"/>
    <n v="2"/>
    <x v="1"/>
    <n v="2"/>
    <x v="3"/>
    <n v="2"/>
    <x v="1"/>
    <x v="1"/>
    <n v="4788"/>
    <x v="1"/>
    <n v="25388"/>
    <x v="1"/>
    <n v="0"/>
    <x v="1"/>
    <s v="Y"/>
    <x v="0"/>
    <n v="11"/>
    <x v="0"/>
    <n v="3"/>
    <x v="0"/>
    <n v="4"/>
    <x v="1"/>
    <n v="80"/>
    <n v="0"/>
    <n v="4"/>
    <x v="3"/>
    <n v="2"/>
    <x v="0"/>
    <n v="3"/>
    <x v="1"/>
    <n v="3"/>
    <x v="2"/>
    <n v="2"/>
    <x v="0"/>
    <n v="0"/>
    <x v="0"/>
    <n v="2"/>
    <x v="0"/>
  </r>
  <r>
    <n v="1888"/>
    <n v="45"/>
    <x v="0"/>
    <x v="1"/>
    <n v="0"/>
    <x v="0"/>
    <n v="556"/>
    <x v="2"/>
    <x v="1"/>
    <n v="25"/>
    <x v="2"/>
    <n v="2"/>
    <x v="0"/>
    <x v="0"/>
    <n v="1"/>
    <n v="2"/>
    <x v="0"/>
    <x v="0"/>
    <n v="93"/>
    <x v="0"/>
    <n v="2"/>
    <x v="1"/>
    <n v="2"/>
    <x v="3"/>
    <n v="4"/>
    <x v="0"/>
    <x v="1"/>
    <n v="5906"/>
    <x v="0"/>
    <n v="23888"/>
    <x v="1"/>
    <n v="0"/>
    <x v="1"/>
    <s v="Y"/>
    <x v="1"/>
    <n v="13"/>
    <x v="2"/>
    <n v="3"/>
    <x v="0"/>
    <n v="4"/>
    <x v="1"/>
    <n v="80"/>
    <n v="2"/>
    <n v="10"/>
    <x v="0"/>
    <n v="2"/>
    <x v="0"/>
    <n v="2"/>
    <x v="2"/>
    <n v="9"/>
    <x v="0"/>
    <n v="8"/>
    <x v="1"/>
    <n v="3"/>
    <x v="1"/>
    <n v="8"/>
    <x v="1"/>
  </r>
  <r>
    <n v="1890"/>
    <n v="36"/>
    <x v="0"/>
    <x v="1"/>
    <n v="0"/>
    <x v="1"/>
    <n v="1213"/>
    <x v="0"/>
    <x v="2"/>
    <n v="2"/>
    <x v="0"/>
    <n v="1"/>
    <x v="1"/>
    <x v="5"/>
    <n v="1"/>
    <n v="2"/>
    <x v="0"/>
    <x v="1"/>
    <n v="94"/>
    <x v="0"/>
    <n v="2"/>
    <x v="1"/>
    <n v="2"/>
    <x v="8"/>
    <n v="4"/>
    <x v="0"/>
    <x v="0"/>
    <n v="3886"/>
    <x v="3"/>
    <n v="4223"/>
    <x v="2"/>
    <n v="1"/>
    <x v="1"/>
    <s v="Y"/>
    <x v="1"/>
    <n v="21"/>
    <x v="1"/>
    <n v="4"/>
    <x v="1"/>
    <n v="4"/>
    <x v="1"/>
    <n v="80"/>
    <n v="0"/>
    <n v="10"/>
    <x v="0"/>
    <n v="2"/>
    <x v="0"/>
    <n v="2"/>
    <x v="2"/>
    <n v="10"/>
    <x v="0"/>
    <n v="1"/>
    <x v="2"/>
    <n v="0"/>
    <x v="0"/>
    <n v="8"/>
    <x v="1"/>
  </r>
  <r>
    <n v="1892"/>
    <n v="40"/>
    <x v="0"/>
    <x v="1"/>
    <n v="0"/>
    <x v="0"/>
    <n v="1137"/>
    <x v="0"/>
    <x v="1"/>
    <n v="1"/>
    <x v="0"/>
    <n v="4"/>
    <x v="2"/>
    <x v="0"/>
    <n v="1"/>
    <n v="1"/>
    <x v="3"/>
    <x v="1"/>
    <n v="98"/>
    <x v="0"/>
    <n v="3"/>
    <x v="0"/>
    <n v="4"/>
    <x v="5"/>
    <n v="1"/>
    <x v="3"/>
    <x v="2"/>
    <n v="16823"/>
    <x v="12"/>
    <n v="18991"/>
    <x v="0"/>
    <n v="2"/>
    <x v="3"/>
    <s v="Y"/>
    <x v="1"/>
    <n v="11"/>
    <x v="0"/>
    <n v="3"/>
    <x v="0"/>
    <n v="1"/>
    <x v="0"/>
    <n v="80"/>
    <n v="1"/>
    <n v="22"/>
    <x v="4"/>
    <n v="3"/>
    <x v="1"/>
    <n v="3"/>
    <x v="1"/>
    <n v="19"/>
    <x v="4"/>
    <n v="7"/>
    <x v="1"/>
    <n v="11"/>
    <x v="3"/>
    <n v="16"/>
    <x v="3"/>
  </r>
  <r>
    <n v="1893"/>
    <n v="26"/>
    <x v="2"/>
    <x v="1"/>
    <n v="0"/>
    <x v="0"/>
    <n v="482"/>
    <x v="1"/>
    <x v="1"/>
    <n v="1"/>
    <x v="0"/>
    <n v="2"/>
    <x v="0"/>
    <x v="0"/>
    <n v="1"/>
    <n v="2"/>
    <x v="0"/>
    <x v="0"/>
    <n v="90"/>
    <x v="0"/>
    <n v="2"/>
    <x v="1"/>
    <n v="1"/>
    <x v="1"/>
    <n v="3"/>
    <x v="2"/>
    <x v="1"/>
    <n v="2933"/>
    <x v="3"/>
    <n v="14908"/>
    <x v="3"/>
    <n v="1"/>
    <x v="1"/>
    <s v="Y"/>
    <x v="0"/>
    <n v="13"/>
    <x v="2"/>
    <n v="3"/>
    <x v="0"/>
    <n v="3"/>
    <x v="3"/>
    <n v="80"/>
    <n v="1"/>
    <n v="1"/>
    <x v="2"/>
    <n v="3"/>
    <x v="1"/>
    <n v="2"/>
    <x v="2"/>
    <n v="1"/>
    <x v="1"/>
    <n v="0"/>
    <x v="2"/>
    <n v="1"/>
    <x v="0"/>
    <n v="0"/>
    <x v="2"/>
  </r>
  <r>
    <n v="1898"/>
    <n v="27"/>
    <x v="2"/>
    <x v="1"/>
    <n v="0"/>
    <x v="0"/>
    <n v="511"/>
    <x v="2"/>
    <x v="0"/>
    <n v="2"/>
    <x v="0"/>
    <n v="2"/>
    <x v="0"/>
    <x v="2"/>
    <n v="1"/>
    <n v="1"/>
    <x v="3"/>
    <x v="0"/>
    <n v="89"/>
    <x v="0"/>
    <n v="4"/>
    <x v="2"/>
    <n v="2"/>
    <x v="0"/>
    <n v="3"/>
    <x v="2"/>
    <x v="0"/>
    <n v="6500"/>
    <x v="0"/>
    <n v="26997"/>
    <x v="1"/>
    <n v="0"/>
    <x v="1"/>
    <s v="Y"/>
    <x v="1"/>
    <n v="14"/>
    <x v="2"/>
    <n v="3"/>
    <x v="0"/>
    <n v="2"/>
    <x v="4"/>
    <n v="80"/>
    <n v="0"/>
    <n v="9"/>
    <x v="0"/>
    <n v="5"/>
    <x v="2"/>
    <n v="2"/>
    <x v="2"/>
    <n v="8"/>
    <x v="0"/>
    <n v="7"/>
    <x v="1"/>
    <n v="0"/>
    <x v="0"/>
    <n v="7"/>
    <x v="1"/>
  </r>
  <r>
    <n v="1900"/>
    <n v="48"/>
    <x v="1"/>
    <x v="1"/>
    <n v="0"/>
    <x v="1"/>
    <n v="117"/>
    <x v="1"/>
    <x v="1"/>
    <n v="22"/>
    <x v="2"/>
    <n v="3"/>
    <x v="3"/>
    <x v="2"/>
    <n v="1"/>
    <n v="4"/>
    <x v="2"/>
    <x v="0"/>
    <n v="58"/>
    <x v="1"/>
    <n v="3"/>
    <x v="0"/>
    <n v="4"/>
    <x v="5"/>
    <n v="4"/>
    <x v="0"/>
    <x v="2"/>
    <n v="17174"/>
    <x v="12"/>
    <n v="2437"/>
    <x v="2"/>
    <n v="3"/>
    <x v="3"/>
    <s v="Y"/>
    <x v="1"/>
    <n v="11"/>
    <x v="0"/>
    <n v="3"/>
    <x v="0"/>
    <n v="2"/>
    <x v="4"/>
    <n v="80"/>
    <n v="1"/>
    <n v="24"/>
    <x v="4"/>
    <n v="3"/>
    <x v="1"/>
    <n v="3"/>
    <x v="1"/>
    <n v="22"/>
    <x v="3"/>
    <n v="17"/>
    <x v="3"/>
    <n v="4"/>
    <x v="1"/>
    <n v="7"/>
    <x v="1"/>
  </r>
  <r>
    <n v="1903"/>
    <n v="44"/>
    <x v="0"/>
    <x v="1"/>
    <n v="0"/>
    <x v="0"/>
    <n v="170"/>
    <x v="1"/>
    <x v="1"/>
    <n v="1"/>
    <x v="0"/>
    <n v="4"/>
    <x v="2"/>
    <x v="0"/>
    <n v="1"/>
    <n v="2"/>
    <x v="0"/>
    <x v="1"/>
    <n v="78"/>
    <x v="0"/>
    <n v="4"/>
    <x v="2"/>
    <n v="2"/>
    <x v="4"/>
    <n v="1"/>
    <x v="3"/>
    <x v="1"/>
    <n v="5033"/>
    <x v="1"/>
    <n v="9364"/>
    <x v="3"/>
    <n v="2"/>
    <x v="3"/>
    <s v="Y"/>
    <x v="1"/>
    <n v="15"/>
    <x v="2"/>
    <n v="3"/>
    <x v="0"/>
    <n v="4"/>
    <x v="1"/>
    <n v="80"/>
    <n v="1"/>
    <n v="10"/>
    <x v="0"/>
    <n v="5"/>
    <x v="2"/>
    <n v="3"/>
    <x v="1"/>
    <n v="2"/>
    <x v="2"/>
    <n v="0"/>
    <x v="2"/>
    <n v="2"/>
    <x v="1"/>
    <n v="2"/>
    <x v="0"/>
  </r>
  <r>
    <n v="1905"/>
    <n v="34"/>
    <x v="2"/>
    <x v="0"/>
    <n v="1"/>
    <x v="2"/>
    <n v="967"/>
    <x v="2"/>
    <x v="1"/>
    <n v="16"/>
    <x v="3"/>
    <n v="4"/>
    <x v="2"/>
    <x v="4"/>
    <n v="1"/>
    <n v="4"/>
    <x v="2"/>
    <x v="1"/>
    <n v="85"/>
    <x v="0"/>
    <n v="1"/>
    <x v="3"/>
    <n v="1"/>
    <x v="1"/>
    <n v="1"/>
    <x v="3"/>
    <x v="1"/>
    <n v="2307"/>
    <x v="2"/>
    <n v="14460"/>
    <x v="3"/>
    <n v="1"/>
    <x v="1"/>
    <s v="Y"/>
    <x v="0"/>
    <n v="23"/>
    <x v="1"/>
    <n v="4"/>
    <x v="1"/>
    <n v="2"/>
    <x v="4"/>
    <n v="80"/>
    <n v="1"/>
    <n v="5"/>
    <x v="3"/>
    <n v="2"/>
    <x v="0"/>
    <n v="3"/>
    <x v="1"/>
    <n v="5"/>
    <x v="2"/>
    <n v="2"/>
    <x v="0"/>
    <n v="3"/>
    <x v="1"/>
    <n v="0"/>
    <x v="2"/>
  </r>
  <r>
    <n v="1907"/>
    <n v="56"/>
    <x v="3"/>
    <x v="0"/>
    <n v="1"/>
    <x v="0"/>
    <n v="1162"/>
    <x v="0"/>
    <x v="1"/>
    <n v="24"/>
    <x v="2"/>
    <n v="2"/>
    <x v="0"/>
    <x v="0"/>
    <n v="1"/>
    <n v="1"/>
    <x v="3"/>
    <x v="1"/>
    <n v="97"/>
    <x v="0"/>
    <n v="3"/>
    <x v="0"/>
    <n v="1"/>
    <x v="2"/>
    <n v="4"/>
    <x v="0"/>
    <x v="0"/>
    <n v="2587"/>
    <x v="3"/>
    <n v="10261"/>
    <x v="3"/>
    <n v="1"/>
    <x v="1"/>
    <s v="Y"/>
    <x v="1"/>
    <n v="16"/>
    <x v="3"/>
    <n v="3"/>
    <x v="0"/>
    <n v="4"/>
    <x v="1"/>
    <n v="80"/>
    <n v="0"/>
    <n v="5"/>
    <x v="3"/>
    <n v="3"/>
    <x v="1"/>
    <n v="3"/>
    <x v="1"/>
    <n v="4"/>
    <x v="2"/>
    <n v="2"/>
    <x v="0"/>
    <n v="1"/>
    <x v="0"/>
    <n v="0"/>
    <x v="2"/>
  </r>
  <r>
    <n v="1908"/>
    <n v="36"/>
    <x v="0"/>
    <x v="1"/>
    <n v="0"/>
    <x v="0"/>
    <n v="335"/>
    <x v="1"/>
    <x v="0"/>
    <n v="17"/>
    <x v="3"/>
    <n v="2"/>
    <x v="0"/>
    <x v="3"/>
    <n v="1"/>
    <n v="3"/>
    <x v="1"/>
    <x v="1"/>
    <n v="33"/>
    <x v="2"/>
    <n v="2"/>
    <x v="1"/>
    <n v="2"/>
    <x v="0"/>
    <n v="2"/>
    <x v="1"/>
    <x v="1"/>
    <n v="5507"/>
    <x v="0"/>
    <n v="16822"/>
    <x v="0"/>
    <n v="2"/>
    <x v="3"/>
    <s v="Y"/>
    <x v="1"/>
    <n v="16"/>
    <x v="3"/>
    <n v="3"/>
    <x v="0"/>
    <n v="3"/>
    <x v="3"/>
    <n v="80"/>
    <n v="2"/>
    <n v="12"/>
    <x v="1"/>
    <n v="1"/>
    <x v="0"/>
    <n v="1"/>
    <x v="0"/>
    <n v="4"/>
    <x v="2"/>
    <n v="2"/>
    <x v="0"/>
    <n v="1"/>
    <x v="0"/>
    <n v="3"/>
    <x v="0"/>
  </r>
  <r>
    <n v="1909"/>
    <n v="41"/>
    <x v="0"/>
    <x v="1"/>
    <n v="0"/>
    <x v="0"/>
    <n v="337"/>
    <x v="1"/>
    <x v="0"/>
    <n v="8"/>
    <x v="1"/>
    <n v="3"/>
    <x v="3"/>
    <x v="3"/>
    <n v="1"/>
    <n v="3"/>
    <x v="1"/>
    <x v="0"/>
    <n v="54"/>
    <x v="1"/>
    <n v="3"/>
    <x v="0"/>
    <n v="2"/>
    <x v="0"/>
    <n v="2"/>
    <x v="1"/>
    <x v="1"/>
    <n v="4393"/>
    <x v="1"/>
    <n v="26841"/>
    <x v="1"/>
    <n v="5"/>
    <x v="2"/>
    <s v="Y"/>
    <x v="1"/>
    <n v="21"/>
    <x v="1"/>
    <n v="4"/>
    <x v="1"/>
    <n v="3"/>
    <x v="3"/>
    <n v="80"/>
    <n v="1"/>
    <n v="14"/>
    <x v="1"/>
    <n v="3"/>
    <x v="1"/>
    <n v="3"/>
    <x v="1"/>
    <n v="5"/>
    <x v="2"/>
    <n v="4"/>
    <x v="0"/>
    <n v="1"/>
    <x v="0"/>
    <n v="4"/>
    <x v="0"/>
  </r>
  <r>
    <n v="1911"/>
    <n v="42"/>
    <x v="0"/>
    <x v="1"/>
    <n v="0"/>
    <x v="0"/>
    <n v="1396"/>
    <x v="0"/>
    <x v="1"/>
    <n v="6"/>
    <x v="1"/>
    <n v="3"/>
    <x v="3"/>
    <x v="2"/>
    <n v="1"/>
    <n v="3"/>
    <x v="1"/>
    <x v="1"/>
    <n v="83"/>
    <x v="0"/>
    <n v="3"/>
    <x v="0"/>
    <n v="3"/>
    <x v="7"/>
    <n v="1"/>
    <x v="3"/>
    <x v="1"/>
    <n v="13348"/>
    <x v="10"/>
    <n v="14842"/>
    <x v="3"/>
    <n v="9"/>
    <x v="0"/>
    <s v="Y"/>
    <x v="1"/>
    <n v="13"/>
    <x v="2"/>
    <n v="3"/>
    <x v="0"/>
    <n v="2"/>
    <x v="4"/>
    <n v="80"/>
    <n v="1"/>
    <n v="18"/>
    <x v="1"/>
    <n v="3"/>
    <x v="1"/>
    <n v="4"/>
    <x v="3"/>
    <n v="13"/>
    <x v="4"/>
    <n v="7"/>
    <x v="1"/>
    <n v="5"/>
    <x v="1"/>
    <n v="7"/>
    <x v="1"/>
  </r>
  <r>
    <n v="1912"/>
    <n v="31"/>
    <x v="2"/>
    <x v="1"/>
    <n v="0"/>
    <x v="0"/>
    <n v="1079"/>
    <x v="0"/>
    <x v="0"/>
    <n v="10"/>
    <x v="1"/>
    <n v="2"/>
    <x v="0"/>
    <x v="2"/>
    <n v="1"/>
    <n v="3"/>
    <x v="1"/>
    <x v="0"/>
    <n v="86"/>
    <x v="0"/>
    <n v="3"/>
    <x v="0"/>
    <n v="2"/>
    <x v="0"/>
    <n v="4"/>
    <x v="0"/>
    <x v="2"/>
    <n v="6583"/>
    <x v="0"/>
    <n v="20115"/>
    <x v="0"/>
    <n v="2"/>
    <x v="3"/>
    <s v="Y"/>
    <x v="0"/>
    <n v="11"/>
    <x v="0"/>
    <n v="3"/>
    <x v="0"/>
    <n v="4"/>
    <x v="1"/>
    <n v="80"/>
    <n v="1"/>
    <n v="8"/>
    <x v="0"/>
    <n v="2"/>
    <x v="0"/>
    <n v="3"/>
    <x v="1"/>
    <n v="5"/>
    <x v="2"/>
    <n v="2"/>
    <x v="0"/>
    <n v="1"/>
    <x v="0"/>
    <n v="4"/>
    <x v="0"/>
  </r>
  <r>
    <n v="1915"/>
    <n v="34"/>
    <x v="2"/>
    <x v="1"/>
    <n v="0"/>
    <x v="0"/>
    <n v="735"/>
    <x v="2"/>
    <x v="0"/>
    <n v="3"/>
    <x v="0"/>
    <n v="1"/>
    <x v="1"/>
    <x v="2"/>
    <n v="1"/>
    <n v="4"/>
    <x v="2"/>
    <x v="0"/>
    <n v="75"/>
    <x v="1"/>
    <n v="2"/>
    <x v="1"/>
    <n v="2"/>
    <x v="0"/>
    <n v="4"/>
    <x v="0"/>
    <x v="1"/>
    <n v="8103"/>
    <x v="11"/>
    <n v="16495"/>
    <x v="0"/>
    <n v="3"/>
    <x v="3"/>
    <s v="Y"/>
    <x v="0"/>
    <n v="12"/>
    <x v="0"/>
    <n v="3"/>
    <x v="0"/>
    <n v="3"/>
    <x v="3"/>
    <n v="80"/>
    <n v="0"/>
    <n v="9"/>
    <x v="0"/>
    <n v="3"/>
    <x v="1"/>
    <n v="2"/>
    <x v="2"/>
    <n v="4"/>
    <x v="2"/>
    <n v="2"/>
    <x v="0"/>
    <n v="0"/>
    <x v="0"/>
    <n v="1"/>
    <x v="2"/>
  </r>
  <r>
    <n v="1916"/>
    <n v="31"/>
    <x v="2"/>
    <x v="1"/>
    <n v="0"/>
    <x v="0"/>
    <n v="471"/>
    <x v="1"/>
    <x v="1"/>
    <n v="4"/>
    <x v="0"/>
    <n v="3"/>
    <x v="3"/>
    <x v="2"/>
    <n v="1"/>
    <n v="1"/>
    <x v="3"/>
    <x v="0"/>
    <n v="62"/>
    <x v="1"/>
    <n v="4"/>
    <x v="2"/>
    <n v="1"/>
    <x v="2"/>
    <n v="3"/>
    <x v="2"/>
    <x v="2"/>
    <n v="3978"/>
    <x v="3"/>
    <n v="16031"/>
    <x v="0"/>
    <n v="8"/>
    <x v="0"/>
    <s v="Y"/>
    <x v="1"/>
    <n v="12"/>
    <x v="0"/>
    <n v="3"/>
    <x v="0"/>
    <n v="2"/>
    <x v="4"/>
    <n v="80"/>
    <n v="1"/>
    <n v="4"/>
    <x v="3"/>
    <n v="0"/>
    <x v="0"/>
    <n v="2"/>
    <x v="2"/>
    <n v="2"/>
    <x v="2"/>
    <n v="2"/>
    <x v="0"/>
    <n v="2"/>
    <x v="1"/>
    <n v="2"/>
    <x v="0"/>
  </r>
  <r>
    <n v="1918"/>
    <n v="26"/>
    <x v="2"/>
    <x v="1"/>
    <n v="0"/>
    <x v="1"/>
    <n v="1096"/>
    <x v="0"/>
    <x v="1"/>
    <n v="6"/>
    <x v="1"/>
    <n v="3"/>
    <x v="3"/>
    <x v="1"/>
    <n v="1"/>
    <n v="3"/>
    <x v="1"/>
    <x v="1"/>
    <n v="61"/>
    <x v="1"/>
    <n v="4"/>
    <x v="2"/>
    <n v="1"/>
    <x v="2"/>
    <n v="4"/>
    <x v="0"/>
    <x v="1"/>
    <n v="2544"/>
    <x v="3"/>
    <n v="7102"/>
    <x v="2"/>
    <n v="0"/>
    <x v="1"/>
    <s v="Y"/>
    <x v="1"/>
    <n v="18"/>
    <x v="1"/>
    <n v="3"/>
    <x v="0"/>
    <n v="1"/>
    <x v="0"/>
    <n v="80"/>
    <n v="1"/>
    <n v="8"/>
    <x v="0"/>
    <n v="3"/>
    <x v="1"/>
    <n v="3"/>
    <x v="1"/>
    <n v="7"/>
    <x v="0"/>
    <n v="7"/>
    <x v="1"/>
    <n v="7"/>
    <x v="2"/>
    <n v="7"/>
    <x v="1"/>
  </r>
  <r>
    <n v="1922"/>
    <n v="45"/>
    <x v="0"/>
    <x v="1"/>
    <n v="0"/>
    <x v="1"/>
    <n v="1297"/>
    <x v="0"/>
    <x v="1"/>
    <n v="1"/>
    <x v="0"/>
    <n v="4"/>
    <x v="2"/>
    <x v="2"/>
    <n v="1"/>
    <n v="2"/>
    <x v="0"/>
    <x v="1"/>
    <n v="44"/>
    <x v="2"/>
    <n v="3"/>
    <x v="0"/>
    <n v="2"/>
    <x v="4"/>
    <n v="3"/>
    <x v="2"/>
    <x v="0"/>
    <n v="5399"/>
    <x v="1"/>
    <n v="14511"/>
    <x v="3"/>
    <n v="4"/>
    <x v="2"/>
    <s v="Y"/>
    <x v="1"/>
    <n v="12"/>
    <x v="0"/>
    <n v="3"/>
    <x v="0"/>
    <n v="3"/>
    <x v="3"/>
    <n v="80"/>
    <n v="0"/>
    <n v="12"/>
    <x v="1"/>
    <n v="3"/>
    <x v="1"/>
    <n v="3"/>
    <x v="1"/>
    <n v="4"/>
    <x v="2"/>
    <n v="2"/>
    <x v="0"/>
    <n v="0"/>
    <x v="0"/>
    <n v="3"/>
    <x v="0"/>
  </r>
  <r>
    <n v="1924"/>
    <n v="33"/>
    <x v="2"/>
    <x v="1"/>
    <n v="0"/>
    <x v="0"/>
    <n v="217"/>
    <x v="1"/>
    <x v="0"/>
    <n v="10"/>
    <x v="1"/>
    <n v="4"/>
    <x v="2"/>
    <x v="3"/>
    <n v="1"/>
    <n v="2"/>
    <x v="0"/>
    <x v="1"/>
    <n v="43"/>
    <x v="2"/>
    <n v="3"/>
    <x v="0"/>
    <n v="2"/>
    <x v="0"/>
    <n v="3"/>
    <x v="2"/>
    <x v="0"/>
    <n v="5487"/>
    <x v="1"/>
    <n v="10410"/>
    <x v="3"/>
    <n v="1"/>
    <x v="1"/>
    <s v="Y"/>
    <x v="1"/>
    <n v="14"/>
    <x v="2"/>
    <n v="3"/>
    <x v="0"/>
    <n v="2"/>
    <x v="4"/>
    <n v="80"/>
    <n v="0"/>
    <n v="10"/>
    <x v="0"/>
    <n v="2"/>
    <x v="0"/>
    <n v="2"/>
    <x v="2"/>
    <n v="10"/>
    <x v="0"/>
    <n v="4"/>
    <x v="0"/>
    <n v="0"/>
    <x v="0"/>
    <n v="9"/>
    <x v="1"/>
  </r>
  <r>
    <n v="1927"/>
    <n v="28"/>
    <x v="2"/>
    <x v="1"/>
    <n v="0"/>
    <x v="1"/>
    <n v="783"/>
    <x v="2"/>
    <x v="0"/>
    <n v="1"/>
    <x v="0"/>
    <n v="2"/>
    <x v="0"/>
    <x v="0"/>
    <n v="1"/>
    <n v="3"/>
    <x v="1"/>
    <x v="1"/>
    <n v="42"/>
    <x v="2"/>
    <n v="2"/>
    <x v="1"/>
    <n v="2"/>
    <x v="0"/>
    <n v="4"/>
    <x v="0"/>
    <x v="1"/>
    <n v="6834"/>
    <x v="0"/>
    <n v="19255"/>
    <x v="0"/>
    <n v="1"/>
    <x v="1"/>
    <s v="Y"/>
    <x v="0"/>
    <n v="12"/>
    <x v="0"/>
    <n v="3"/>
    <x v="0"/>
    <n v="3"/>
    <x v="3"/>
    <n v="80"/>
    <n v="1"/>
    <n v="7"/>
    <x v="0"/>
    <n v="2"/>
    <x v="0"/>
    <n v="3"/>
    <x v="1"/>
    <n v="7"/>
    <x v="0"/>
    <n v="7"/>
    <x v="1"/>
    <n v="0"/>
    <x v="0"/>
    <n v="7"/>
    <x v="1"/>
  </r>
  <r>
    <n v="1928"/>
    <n v="29"/>
    <x v="2"/>
    <x v="0"/>
    <n v="1"/>
    <x v="1"/>
    <n v="746"/>
    <x v="2"/>
    <x v="0"/>
    <n v="24"/>
    <x v="2"/>
    <n v="3"/>
    <x v="3"/>
    <x v="4"/>
    <n v="1"/>
    <n v="3"/>
    <x v="1"/>
    <x v="1"/>
    <n v="45"/>
    <x v="2"/>
    <n v="4"/>
    <x v="2"/>
    <n v="1"/>
    <x v="6"/>
    <n v="1"/>
    <x v="3"/>
    <x v="0"/>
    <n v="1091"/>
    <x v="2"/>
    <n v="10642"/>
    <x v="3"/>
    <n v="1"/>
    <x v="1"/>
    <s v="Y"/>
    <x v="1"/>
    <n v="17"/>
    <x v="3"/>
    <n v="3"/>
    <x v="0"/>
    <n v="4"/>
    <x v="1"/>
    <n v="80"/>
    <n v="0"/>
    <n v="1"/>
    <x v="2"/>
    <n v="3"/>
    <x v="1"/>
    <n v="3"/>
    <x v="1"/>
    <n v="1"/>
    <x v="1"/>
    <n v="0"/>
    <x v="2"/>
    <n v="0"/>
    <x v="0"/>
    <n v="0"/>
    <x v="2"/>
  </r>
  <r>
    <n v="1929"/>
    <n v="39"/>
    <x v="0"/>
    <x v="1"/>
    <n v="0"/>
    <x v="2"/>
    <n v="1251"/>
    <x v="0"/>
    <x v="0"/>
    <n v="21"/>
    <x v="2"/>
    <n v="4"/>
    <x v="2"/>
    <x v="0"/>
    <n v="1"/>
    <n v="1"/>
    <x v="3"/>
    <x v="0"/>
    <n v="32"/>
    <x v="2"/>
    <n v="1"/>
    <x v="3"/>
    <n v="2"/>
    <x v="0"/>
    <n v="3"/>
    <x v="2"/>
    <x v="1"/>
    <n v="5736"/>
    <x v="0"/>
    <n v="3987"/>
    <x v="2"/>
    <n v="6"/>
    <x v="2"/>
    <s v="Y"/>
    <x v="1"/>
    <n v="19"/>
    <x v="1"/>
    <n v="3"/>
    <x v="0"/>
    <n v="3"/>
    <x v="3"/>
    <n v="80"/>
    <n v="1"/>
    <n v="10"/>
    <x v="0"/>
    <n v="1"/>
    <x v="0"/>
    <n v="3"/>
    <x v="1"/>
    <n v="3"/>
    <x v="2"/>
    <n v="2"/>
    <x v="0"/>
    <n v="1"/>
    <x v="0"/>
    <n v="2"/>
    <x v="0"/>
  </r>
  <r>
    <n v="1931"/>
    <n v="27"/>
    <x v="2"/>
    <x v="1"/>
    <n v="0"/>
    <x v="0"/>
    <n v="1354"/>
    <x v="0"/>
    <x v="1"/>
    <n v="2"/>
    <x v="0"/>
    <n v="4"/>
    <x v="2"/>
    <x v="4"/>
    <n v="1"/>
    <n v="2"/>
    <x v="0"/>
    <x v="1"/>
    <n v="41"/>
    <x v="2"/>
    <n v="3"/>
    <x v="0"/>
    <n v="1"/>
    <x v="1"/>
    <n v="2"/>
    <x v="1"/>
    <x v="1"/>
    <n v="2226"/>
    <x v="2"/>
    <n v="6073"/>
    <x v="2"/>
    <n v="1"/>
    <x v="1"/>
    <s v="Y"/>
    <x v="1"/>
    <n v="11"/>
    <x v="0"/>
    <n v="3"/>
    <x v="0"/>
    <n v="3"/>
    <x v="3"/>
    <n v="80"/>
    <n v="1"/>
    <n v="6"/>
    <x v="0"/>
    <n v="3"/>
    <x v="1"/>
    <n v="2"/>
    <x v="2"/>
    <n v="5"/>
    <x v="2"/>
    <n v="3"/>
    <x v="0"/>
    <n v="1"/>
    <x v="0"/>
    <n v="2"/>
    <x v="0"/>
  </r>
  <r>
    <n v="1932"/>
    <n v="34"/>
    <x v="2"/>
    <x v="1"/>
    <n v="0"/>
    <x v="1"/>
    <n v="735"/>
    <x v="2"/>
    <x v="1"/>
    <n v="22"/>
    <x v="2"/>
    <n v="4"/>
    <x v="2"/>
    <x v="1"/>
    <n v="1"/>
    <n v="3"/>
    <x v="1"/>
    <x v="1"/>
    <n v="86"/>
    <x v="0"/>
    <n v="2"/>
    <x v="1"/>
    <n v="2"/>
    <x v="1"/>
    <n v="4"/>
    <x v="0"/>
    <x v="1"/>
    <n v="5747"/>
    <x v="0"/>
    <n v="26496"/>
    <x v="1"/>
    <n v="1"/>
    <x v="1"/>
    <s v="Y"/>
    <x v="0"/>
    <n v="15"/>
    <x v="2"/>
    <n v="3"/>
    <x v="0"/>
    <n v="2"/>
    <x v="4"/>
    <n v="80"/>
    <n v="0"/>
    <n v="16"/>
    <x v="1"/>
    <n v="3"/>
    <x v="1"/>
    <n v="3"/>
    <x v="1"/>
    <n v="15"/>
    <x v="4"/>
    <n v="10"/>
    <x v="1"/>
    <n v="6"/>
    <x v="2"/>
    <n v="11"/>
    <x v="3"/>
  </r>
  <r>
    <n v="1933"/>
    <n v="28"/>
    <x v="2"/>
    <x v="0"/>
    <n v="1"/>
    <x v="0"/>
    <n v="1475"/>
    <x v="0"/>
    <x v="0"/>
    <n v="13"/>
    <x v="3"/>
    <n v="2"/>
    <x v="0"/>
    <x v="3"/>
    <n v="1"/>
    <n v="4"/>
    <x v="2"/>
    <x v="0"/>
    <n v="84"/>
    <x v="0"/>
    <n v="3"/>
    <x v="0"/>
    <n v="2"/>
    <x v="0"/>
    <n v="3"/>
    <x v="2"/>
    <x v="0"/>
    <n v="9854"/>
    <x v="4"/>
    <n v="23352"/>
    <x v="1"/>
    <n v="3"/>
    <x v="3"/>
    <s v="Y"/>
    <x v="0"/>
    <n v="11"/>
    <x v="0"/>
    <n v="3"/>
    <x v="0"/>
    <n v="4"/>
    <x v="1"/>
    <n v="80"/>
    <n v="0"/>
    <n v="6"/>
    <x v="0"/>
    <n v="0"/>
    <x v="0"/>
    <n v="3"/>
    <x v="1"/>
    <n v="2"/>
    <x v="2"/>
    <n v="0"/>
    <x v="2"/>
    <n v="2"/>
    <x v="1"/>
    <n v="2"/>
    <x v="0"/>
  </r>
  <r>
    <n v="1934"/>
    <n v="47"/>
    <x v="1"/>
    <x v="1"/>
    <n v="0"/>
    <x v="2"/>
    <n v="1169"/>
    <x v="0"/>
    <x v="1"/>
    <n v="14"/>
    <x v="3"/>
    <n v="4"/>
    <x v="2"/>
    <x v="4"/>
    <n v="1"/>
    <n v="3"/>
    <x v="1"/>
    <x v="1"/>
    <n v="64"/>
    <x v="1"/>
    <n v="3"/>
    <x v="0"/>
    <n v="2"/>
    <x v="1"/>
    <n v="2"/>
    <x v="1"/>
    <x v="1"/>
    <n v="5467"/>
    <x v="1"/>
    <n v="2125"/>
    <x v="2"/>
    <n v="8"/>
    <x v="0"/>
    <s v="Y"/>
    <x v="1"/>
    <n v="18"/>
    <x v="1"/>
    <n v="3"/>
    <x v="0"/>
    <n v="3"/>
    <x v="3"/>
    <n v="80"/>
    <n v="1"/>
    <n v="16"/>
    <x v="1"/>
    <n v="4"/>
    <x v="1"/>
    <n v="4"/>
    <x v="3"/>
    <n v="8"/>
    <x v="0"/>
    <n v="7"/>
    <x v="1"/>
    <n v="1"/>
    <x v="0"/>
    <n v="7"/>
    <x v="1"/>
  </r>
  <r>
    <n v="1935"/>
    <n v="56"/>
    <x v="3"/>
    <x v="1"/>
    <n v="0"/>
    <x v="0"/>
    <n v="1443"/>
    <x v="0"/>
    <x v="0"/>
    <n v="11"/>
    <x v="3"/>
    <n v="5"/>
    <x v="4"/>
    <x v="3"/>
    <n v="1"/>
    <n v="4"/>
    <x v="2"/>
    <x v="0"/>
    <n v="89"/>
    <x v="0"/>
    <n v="2"/>
    <x v="1"/>
    <n v="2"/>
    <x v="0"/>
    <n v="1"/>
    <x v="3"/>
    <x v="1"/>
    <n v="5380"/>
    <x v="1"/>
    <n v="20328"/>
    <x v="0"/>
    <n v="4"/>
    <x v="2"/>
    <s v="Y"/>
    <x v="1"/>
    <n v="16"/>
    <x v="3"/>
    <n v="3"/>
    <x v="0"/>
    <n v="3"/>
    <x v="3"/>
    <n v="80"/>
    <n v="1"/>
    <n v="6"/>
    <x v="0"/>
    <n v="3"/>
    <x v="1"/>
    <n v="3"/>
    <x v="1"/>
    <n v="0"/>
    <x v="1"/>
    <n v="0"/>
    <x v="2"/>
    <n v="0"/>
    <x v="0"/>
    <n v="0"/>
    <x v="2"/>
  </r>
  <r>
    <n v="1936"/>
    <n v="39"/>
    <x v="0"/>
    <x v="1"/>
    <n v="0"/>
    <x v="0"/>
    <n v="867"/>
    <x v="2"/>
    <x v="1"/>
    <n v="9"/>
    <x v="1"/>
    <n v="2"/>
    <x v="0"/>
    <x v="2"/>
    <n v="1"/>
    <n v="1"/>
    <x v="3"/>
    <x v="1"/>
    <n v="87"/>
    <x v="0"/>
    <n v="3"/>
    <x v="0"/>
    <n v="2"/>
    <x v="3"/>
    <n v="1"/>
    <x v="3"/>
    <x v="1"/>
    <n v="5151"/>
    <x v="1"/>
    <n v="12315"/>
    <x v="3"/>
    <n v="1"/>
    <x v="1"/>
    <s v="Y"/>
    <x v="1"/>
    <n v="25"/>
    <x v="1"/>
    <n v="4"/>
    <x v="1"/>
    <n v="4"/>
    <x v="1"/>
    <n v="80"/>
    <n v="1"/>
    <n v="10"/>
    <x v="0"/>
    <n v="3"/>
    <x v="1"/>
    <n v="3"/>
    <x v="1"/>
    <n v="10"/>
    <x v="0"/>
    <n v="0"/>
    <x v="2"/>
    <n v="7"/>
    <x v="2"/>
    <n v="9"/>
    <x v="1"/>
  </r>
  <r>
    <n v="1937"/>
    <n v="38"/>
    <x v="0"/>
    <x v="1"/>
    <n v="0"/>
    <x v="1"/>
    <n v="1394"/>
    <x v="0"/>
    <x v="1"/>
    <n v="8"/>
    <x v="1"/>
    <n v="3"/>
    <x v="3"/>
    <x v="2"/>
    <n v="1"/>
    <n v="4"/>
    <x v="2"/>
    <x v="0"/>
    <n v="58"/>
    <x v="1"/>
    <n v="2"/>
    <x v="1"/>
    <n v="2"/>
    <x v="1"/>
    <n v="2"/>
    <x v="1"/>
    <x v="2"/>
    <n v="2133"/>
    <x v="2"/>
    <n v="18115"/>
    <x v="0"/>
    <n v="1"/>
    <x v="1"/>
    <s v="Y"/>
    <x v="0"/>
    <n v="16"/>
    <x v="3"/>
    <n v="3"/>
    <x v="0"/>
    <n v="3"/>
    <x v="3"/>
    <n v="80"/>
    <n v="1"/>
    <n v="20"/>
    <x v="1"/>
    <n v="3"/>
    <x v="1"/>
    <n v="3"/>
    <x v="1"/>
    <n v="20"/>
    <x v="4"/>
    <n v="11"/>
    <x v="3"/>
    <n v="0"/>
    <x v="0"/>
    <n v="7"/>
    <x v="1"/>
  </r>
  <r>
    <n v="1938"/>
    <n v="58"/>
    <x v="3"/>
    <x v="1"/>
    <n v="0"/>
    <x v="0"/>
    <n v="605"/>
    <x v="2"/>
    <x v="0"/>
    <n v="21"/>
    <x v="2"/>
    <n v="3"/>
    <x v="3"/>
    <x v="0"/>
    <n v="1"/>
    <n v="4"/>
    <x v="2"/>
    <x v="0"/>
    <n v="72"/>
    <x v="1"/>
    <n v="3"/>
    <x v="0"/>
    <n v="4"/>
    <x v="5"/>
    <n v="4"/>
    <x v="0"/>
    <x v="1"/>
    <n v="17875"/>
    <x v="9"/>
    <n v="11761"/>
    <x v="3"/>
    <n v="4"/>
    <x v="2"/>
    <s v="Y"/>
    <x v="0"/>
    <n v="13"/>
    <x v="2"/>
    <n v="3"/>
    <x v="0"/>
    <n v="3"/>
    <x v="3"/>
    <n v="80"/>
    <n v="1"/>
    <n v="29"/>
    <x v="4"/>
    <n v="2"/>
    <x v="0"/>
    <n v="2"/>
    <x v="2"/>
    <n v="1"/>
    <x v="1"/>
    <n v="0"/>
    <x v="2"/>
    <n v="0"/>
    <x v="0"/>
    <n v="0"/>
    <x v="2"/>
  </r>
  <r>
    <n v="1939"/>
    <n v="32"/>
    <x v="2"/>
    <x v="0"/>
    <n v="1"/>
    <x v="1"/>
    <n v="238"/>
    <x v="1"/>
    <x v="1"/>
    <n v="5"/>
    <x v="0"/>
    <n v="2"/>
    <x v="0"/>
    <x v="0"/>
    <n v="1"/>
    <n v="1"/>
    <x v="3"/>
    <x v="0"/>
    <n v="47"/>
    <x v="2"/>
    <n v="4"/>
    <x v="2"/>
    <n v="1"/>
    <x v="1"/>
    <n v="3"/>
    <x v="2"/>
    <x v="0"/>
    <n v="2432"/>
    <x v="2"/>
    <n v="15318"/>
    <x v="3"/>
    <n v="3"/>
    <x v="3"/>
    <s v="Y"/>
    <x v="0"/>
    <n v="14"/>
    <x v="2"/>
    <n v="3"/>
    <x v="0"/>
    <n v="1"/>
    <x v="0"/>
    <n v="80"/>
    <n v="0"/>
    <n v="8"/>
    <x v="0"/>
    <n v="2"/>
    <x v="0"/>
    <n v="3"/>
    <x v="1"/>
    <n v="4"/>
    <x v="2"/>
    <n v="1"/>
    <x v="2"/>
    <n v="0"/>
    <x v="0"/>
    <n v="3"/>
    <x v="0"/>
  </r>
  <r>
    <n v="1940"/>
    <n v="38"/>
    <x v="0"/>
    <x v="1"/>
    <n v="0"/>
    <x v="0"/>
    <n v="1206"/>
    <x v="0"/>
    <x v="1"/>
    <n v="9"/>
    <x v="1"/>
    <n v="2"/>
    <x v="0"/>
    <x v="0"/>
    <n v="1"/>
    <n v="2"/>
    <x v="0"/>
    <x v="1"/>
    <n v="71"/>
    <x v="1"/>
    <n v="3"/>
    <x v="0"/>
    <n v="1"/>
    <x v="1"/>
    <n v="4"/>
    <x v="0"/>
    <x v="2"/>
    <n v="4771"/>
    <x v="1"/>
    <n v="14293"/>
    <x v="3"/>
    <n v="2"/>
    <x v="3"/>
    <s v="Y"/>
    <x v="1"/>
    <n v="19"/>
    <x v="1"/>
    <n v="3"/>
    <x v="0"/>
    <n v="4"/>
    <x v="1"/>
    <n v="80"/>
    <n v="2"/>
    <n v="10"/>
    <x v="0"/>
    <n v="0"/>
    <x v="0"/>
    <n v="4"/>
    <x v="3"/>
    <n v="5"/>
    <x v="2"/>
    <n v="2"/>
    <x v="0"/>
    <n v="0"/>
    <x v="0"/>
    <n v="3"/>
    <x v="0"/>
  </r>
  <r>
    <n v="1941"/>
    <n v="49"/>
    <x v="1"/>
    <x v="1"/>
    <n v="0"/>
    <x v="1"/>
    <n v="1064"/>
    <x v="0"/>
    <x v="1"/>
    <n v="2"/>
    <x v="0"/>
    <n v="1"/>
    <x v="1"/>
    <x v="0"/>
    <n v="1"/>
    <n v="2"/>
    <x v="0"/>
    <x v="1"/>
    <n v="42"/>
    <x v="2"/>
    <n v="3"/>
    <x v="0"/>
    <n v="5"/>
    <x v="7"/>
    <n v="4"/>
    <x v="0"/>
    <x v="1"/>
    <n v="19161"/>
    <x v="7"/>
    <n v="13738"/>
    <x v="3"/>
    <n v="3"/>
    <x v="3"/>
    <s v="Y"/>
    <x v="1"/>
    <n v="15"/>
    <x v="2"/>
    <n v="3"/>
    <x v="0"/>
    <n v="4"/>
    <x v="1"/>
    <n v="80"/>
    <n v="0"/>
    <n v="28"/>
    <x v="4"/>
    <n v="3"/>
    <x v="1"/>
    <n v="3"/>
    <x v="1"/>
    <n v="5"/>
    <x v="2"/>
    <n v="4"/>
    <x v="0"/>
    <n v="4"/>
    <x v="1"/>
    <n v="3"/>
    <x v="0"/>
  </r>
  <r>
    <n v="1943"/>
    <n v="42"/>
    <x v="0"/>
    <x v="1"/>
    <n v="0"/>
    <x v="0"/>
    <n v="419"/>
    <x v="1"/>
    <x v="0"/>
    <n v="12"/>
    <x v="3"/>
    <n v="4"/>
    <x v="2"/>
    <x v="3"/>
    <n v="1"/>
    <n v="2"/>
    <x v="0"/>
    <x v="1"/>
    <n v="77"/>
    <x v="0"/>
    <n v="3"/>
    <x v="0"/>
    <n v="2"/>
    <x v="0"/>
    <n v="4"/>
    <x v="0"/>
    <x v="2"/>
    <n v="5087"/>
    <x v="1"/>
    <n v="2900"/>
    <x v="2"/>
    <n v="3"/>
    <x v="3"/>
    <s v="Y"/>
    <x v="0"/>
    <n v="12"/>
    <x v="0"/>
    <n v="3"/>
    <x v="0"/>
    <n v="3"/>
    <x v="3"/>
    <n v="80"/>
    <n v="2"/>
    <n v="14"/>
    <x v="1"/>
    <n v="4"/>
    <x v="1"/>
    <n v="3"/>
    <x v="1"/>
    <n v="0"/>
    <x v="1"/>
    <n v="0"/>
    <x v="2"/>
    <n v="0"/>
    <x v="0"/>
    <n v="0"/>
    <x v="2"/>
  </r>
  <r>
    <n v="1944"/>
    <n v="27"/>
    <x v="2"/>
    <x v="0"/>
    <n v="1"/>
    <x v="1"/>
    <n v="1337"/>
    <x v="0"/>
    <x v="2"/>
    <n v="22"/>
    <x v="2"/>
    <n v="3"/>
    <x v="3"/>
    <x v="5"/>
    <n v="1"/>
    <n v="1"/>
    <x v="3"/>
    <x v="0"/>
    <n v="58"/>
    <x v="1"/>
    <n v="2"/>
    <x v="1"/>
    <n v="1"/>
    <x v="8"/>
    <n v="2"/>
    <x v="1"/>
    <x v="1"/>
    <n v="2863"/>
    <x v="3"/>
    <n v="19555"/>
    <x v="0"/>
    <n v="1"/>
    <x v="1"/>
    <s v="Y"/>
    <x v="1"/>
    <n v="12"/>
    <x v="0"/>
    <n v="3"/>
    <x v="0"/>
    <n v="1"/>
    <x v="0"/>
    <n v="80"/>
    <n v="0"/>
    <n v="1"/>
    <x v="2"/>
    <n v="2"/>
    <x v="0"/>
    <n v="3"/>
    <x v="1"/>
    <n v="1"/>
    <x v="1"/>
    <n v="0"/>
    <x v="2"/>
    <n v="0"/>
    <x v="0"/>
    <n v="0"/>
    <x v="2"/>
  </r>
  <r>
    <n v="1945"/>
    <n v="35"/>
    <x v="2"/>
    <x v="1"/>
    <n v="0"/>
    <x v="0"/>
    <n v="682"/>
    <x v="2"/>
    <x v="0"/>
    <n v="18"/>
    <x v="3"/>
    <n v="4"/>
    <x v="2"/>
    <x v="2"/>
    <n v="1"/>
    <n v="2"/>
    <x v="0"/>
    <x v="1"/>
    <n v="71"/>
    <x v="1"/>
    <n v="3"/>
    <x v="0"/>
    <n v="2"/>
    <x v="0"/>
    <n v="1"/>
    <x v="3"/>
    <x v="1"/>
    <n v="5561"/>
    <x v="0"/>
    <n v="15975"/>
    <x v="3"/>
    <n v="0"/>
    <x v="1"/>
    <s v="Y"/>
    <x v="1"/>
    <n v="16"/>
    <x v="3"/>
    <n v="3"/>
    <x v="0"/>
    <n v="4"/>
    <x v="1"/>
    <n v="80"/>
    <n v="1"/>
    <n v="6"/>
    <x v="0"/>
    <n v="2"/>
    <x v="0"/>
    <n v="1"/>
    <x v="0"/>
    <n v="5"/>
    <x v="2"/>
    <n v="3"/>
    <x v="0"/>
    <n v="0"/>
    <x v="0"/>
    <n v="4"/>
    <x v="0"/>
  </r>
  <r>
    <n v="1947"/>
    <n v="28"/>
    <x v="2"/>
    <x v="1"/>
    <n v="0"/>
    <x v="2"/>
    <n v="1103"/>
    <x v="0"/>
    <x v="1"/>
    <n v="16"/>
    <x v="3"/>
    <n v="3"/>
    <x v="3"/>
    <x v="2"/>
    <n v="1"/>
    <n v="3"/>
    <x v="1"/>
    <x v="1"/>
    <n v="49"/>
    <x v="2"/>
    <n v="3"/>
    <x v="0"/>
    <n v="1"/>
    <x v="1"/>
    <n v="3"/>
    <x v="2"/>
    <x v="0"/>
    <n v="2144"/>
    <x v="2"/>
    <n v="2122"/>
    <x v="2"/>
    <n v="1"/>
    <x v="1"/>
    <s v="Y"/>
    <x v="1"/>
    <n v="14"/>
    <x v="2"/>
    <n v="3"/>
    <x v="0"/>
    <n v="3"/>
    <x v="3"/>
    <n v="80"/>
    <n v="0"/>
    <n v="5"/>
    <x v="3"/>
    <n v="3"/>
    <x v="1"/>
    <n v="2"/>
    <x v="2"/>
    <n v="5"/>
    <x v="2"/>
    <n v="3"/>
    <x v="0"/>
    <n v="1"/>
    <x v="0"/>
    <n v="4"/>
    <x v="0"/>
  </r>
  <r>
    <n v="1948"/>
    <n v="31"/>
    <x v="2"/>
    <x v="1"/>
    <n v="0"/>
    <x v="2"/>
    <n v="976"/>
    <x v="2"/>
    <x v="1"/>
    <n v="3"/>
    <x v="0"/>
    <n v="2"/>
    <x v="0"/>
    <x v="2"/>
    <n v="1"/>
    <n v="3"/>
    <x v="1"/>
    <x v="1"/>
    <n v="48"/>
    <x v="2"/>
    <n v="3"/>
    <x v="0"/>
    <n v="1"/>
    <x v="1"/>
    <n v="1"/>
    <x v="3"/>
    <x v="2"/>
    <n v="3065"/>
    <x v="3"/>
    <n v="3995"/>
    <x v="2"/>
    <n v="1"/>
    <x v="1"/>
    <s v="Y"/>
    <x v="0"/>
    <n v="13"/>
    <x v="2"/>
    <n v="3"/>
    <x v="0"/>
    <n v="4"/>
    <x v="1"/>
    <n v="80"/>
    <n v="1"/>
    <n v="4"/>
    <x v="3"/>
    <n v="3"/>
    <x v="1"/>
    <n v="4"/>
    <x v="3"/>
    <n v="4"/>
    <x v="2"/>
    <n v="2"/>
    <x v="0"/>
    <n v="2"/>
    <x v="1"/>
    <n v="3"/>
    <x v="0"/>
  </r>
  <r>
    <n v="1949"/>
    <n v="36"/>
    <x v="0"/>
    <x v="1"/>
    <n v="0"/>
    <x v="2"/>
    <n v="1351"/>
    <x v="0"/>
    <x v="1"/>
    <n v="9"/>
    <x v="1"/>
    <n v="4"/>
    <x v="2"/>
    <x v="0"/>
    <n v="1"/>
    <n v="1"/>
    <x v="3"/>
    <x v="1"/>
    <n v="66"/>
    <x v="1"/>
    <n v="4"/>
    <x v="2"/>
    <n v="1"/>
    <x v="2"/>
    <n v="2"/>
    <x v="1"/>
    <x v="1"/>
    <n v="2810"/>
    <x v="3"/>
    <n v="9238"/>
    <x v="3"/>
    <n v="1"/>
    <x v="1"/>
    <s v="Y"/>
    <x v="1"/>
    <n v="22"/>
    <x v="1"/>
    <n v="4"/>
    <x v="1"/>
    <n v="2"/>
    <x v="4"/>
    <n v="80"/>
    <n v="0"/>
    <n v="5"/>
    <x v="3"/>
    <n v="3"/>
    <x v="1"/>
    <n v="3"/>
    <x v="1"/>
    <n v="5"/>
    <x v="2"/>
    <n v="4"/>
    <x v="0"/>
    <n v="0"/>
    <x v="0"/>
    <n v="2"/>
    <x v="0"/>
  </r>
  <r>
    <n v="1950"/>
    <n v="34"/>
    <x v="2"/>
    <x v="1"/>
    <n v="0"/>
    <x v="0"/>
    <n v="937"/>
    <x v="2"/>
    <x v="0"/>
    <n v="1"/>
    <x v="0"/>
    <n v="3"/>
    <x v="3"/>
    <x v="3"/>
    <n v="1"/>
    <n v="1"/>
    <x v="3"/>
    <x v="1"/>
    <n v="32"/>
    <x v="2"/>
    <n v="3"/>
    <x v="0"/>
    <n v="3"/>
    <x v="0"/>
    <n v="4"/>
    <x v="0"/>
    <x v="0"/>
    <n v="9888"/>
    <x v="4"/>
    <n v="6770"/>
    <x v="2"/>
    <n v="1"/>
    <x v="1"/>
    <s v="Y"/>
    <x v="1"/>
    <n v="21"/>
    <x v="1"/>
    <n v="4"/>
    <x v="1"/>
    <n v="1"/>
    <x v="0"/>
    <n v="80"/>
    <n v="0"/>
    <n v="14"/>
    <x v="1"/>
    <n v="3"/>
    <x v="1"/>
    <n v="2"/>
    <x v="2"/>
    <n v="14"/>
    <x v="4"/>
    <n v="8"/>
    <x v="1"/>
    <n v="2"/>
    <x v="1"/>
    <n v="1"/>
    <x v="2"/>
  </r>
  <r>
    <n v="1951"/>
    <n v="34"/>
    <x v="2"/>
    <x v="1"/>
    <n v="0"/>
    <x v="0"/>
    <n v="1239"/>
    <x v="0"/>
    <x v="0"/>
    <n v="13"/>
    <x v="3"/>
    <n v="4"/>
    <x v="2"/>
    <x v="2"/>
    <n v="1"/>
    <n v="4"/>
    <x v="2"/>
    <x v="1"/>
    <n v="39"/>
    <x v="2"/>
    <n v="3"/>
    <x v="0"/>
    <n v="3"/>
    <x v="0"/>
    <n v="3"/>
    <x v="2"/>
    <x v="2"/>
    <n v="8628"/>
    <x v="4"/>
    <n v="22914"/>
    <x v="1"/>
    <n v="1"/>
    <x v="1"/>
    <s v="Y"/>
    <x v="1"/>
    <n v="18"/>
    <x v="1"/>
    <n v="3"/>
    <x v="0"/>
    <n v="3"/>
    <x v="3"/>
    <n v="80"/>
    <n v="1"/>
    <n v="9"/>
    <x v="0"/>
    <n v="2"/>
    <x v="0"/>
    <n v="2"/>
    <x v="2"/>
    <n v="8"/>
    <x v="0"/>
    <n v="7"/>
    <x v="1"/>
    <n v="1"/>
    <x v="0"/>
    <n v="1"/>
    <x v="2"/>
  </r>
  <r>
    <n v="1952"/>
    <n v="26"/>
    <x v="2"/>
    <x v="1"/>
    <n v="0"/>
    <x v="0"/>
    <n v="157"/>
    <x v="1"/>
    <x v="1"/>
    <n v="1"/>
    <x v="0"/>
    <n v="3"/>
    <x v="3"/>
    <x v="2"/>
    <n v="1"/>
    <n v="3"/>
    <x v="1"/>
    <x v="1"/>
    <n v="95"/>
    <x v="0"/>
    <n v="3"/>
    <x v="0"/>
    <n v="1"/>
    <x v="2"/>
    <n v="1"/>
    <x v="3"/>
    <x v="0"/>
    <n v="2867"/>
    <x v="3"/>
    <n v="20006"/>
    <x v="0"/>
    <n v="0"/>
    <x v="1"/>
    <s v="Y"/>
    <x v="1"/>
    <n v="13"/>
    <x v="2"/>
    <n v="3"/>
    <x v="0"/>
    <n v="4"/>
    <x v="1"/>
    <n v="80"/>
    <n v="0"/>
    <n v="8"/>
    <x v="0"/>
    <n v="6"/>
    <x v="2"/>
    <n v="2"/>
    <x v="2"/>
    <n v="7"/>
    <x v="0"/>
    <n v="7"/>
    <x v="1"/>
    <n v="7"/>
    <x v="2"/>
    <n v="6"/>
    <x v="1"/>
  </r>
  <r>
    <n v="1954"/>
    <n v="29"/>
    <x v="2"/>
    <x v="1"/>
    <n v="0"/>
    <x v="0"/>
    <n v="136"/>
    <x v="1"/>
    <x v="1"/>
    <n v="1"/>
    <x v="0"/>
    <n v="3"/>
    <x v="3"/>
    <x v="0"/>
    <n v="1"/>
    <n v="1"/>
    <x v="3"/>
    <x v="1"/>
    <n v="89"/>
    <x v="0"/>
    <n v="3"/>
    <x v="0"/>
    <n v="2"/>
    <x v="4"/>
    <n v="1"/>
    <x v="3"/>
    <x v="1"/>
    <n v="5373"/>
    <x v="1"/>
    <n v="6225"/>
    <x v="2"/>
    <n v="0"/>
    <x v="1"/>
    <s v="Y"/>
    <x v="1"/>
    <n v="12"/>
    <x v="0"/>
    <n v="3"/>
    <x v="0"/>
    <n v="1"/>
    <x v="0"/>
    <n v="80"/>
    <n v="1"/>
    <n v="6"/>
    <x v="0"/>
    <n v="5"/>
    <x v="2"/>
    <n v="2"/>
    <x v="2"/>
    <n v="5"/>
    <x v="2"/>
    <n v="3"/>
    <x v="0"/>
    <n v="0"/>
    <x v="0"/>
    <n v="2"/>
    <x v="0"/>
  </r>
  <r>
    <n v="1955"/>
    <n v="32"/>
    <x v="2"/>
    <x v="1"/>
    <n v="0"/>
    <x v="2"/>
    <n v="1146"/>
    <x v="0"/>
    <x v="1"/>
    <n v="15"/>
    <x v="3"/>
    <n v="4"/>
    <x v="2"/>
    <x v="2"/>
    <n v="1"/>
    <n v="3"/>
    <x v="1"/>
    <x v="0"/>
    <n v="34"/>
    <x v="2"/>
    <n v="3"/>
    <x v="0"/>
    <n v="2"/>
    <x v="4"/>
    <n v="4"/>
    <x v="0"/>
    <x v="2"/>
    <n v="6667"/>
    <x v="0"/>
    <n v="16542"/>
    <x v="0"/>
    <n v="5"/>
    <x v="2"/>
    <s v="Y"/>
    <x v="1"/>
    <n v="18"/>
    <x v="1"/>
    <n v="3"/>
    <x v="0"/>
    <n v="2"/>
    <x v="4"/>
    <n v="80"/>
    <n v="1"/>
    <n v="9"/>
    <x v="0"/>
    <n v="6"/>
    <x v="2"/>
    <n v="3"/>
    <x v="1"/>
    <n v="5"/>
    <x v="2"/>
    <n v="1"/>
    <x v="2"/>
    <n v="1"/>
    <x v="0"/>
    <n v="2"/>
    <x v="0"/>
  </r>
  <r>
    <n v="1956"/>
    <n v="31"/>
    <x v="2"/>
    <x v="1"/>
    <n v="0"/>
    <x v="1"/>
    <n v="1125"/>
    <x v="0"/>
    <x v="1"/>
    <n v="1"/>
    <x v="0"/>
    <n v="3"/>
    <x v="3"/>
    <x v="0"/>
    <n v="1"/>
    <n v="4"/>
    <x v="2"/>
    <x v="1"/>
    <n v="48"/>
    <x v="2"/>
    <n v="1"/>
    <x v="3"/>
    <n v="2"/>
    <x v="1"/>
    <n v="1"/>
    <x v="3"/>
    <x v="1"/>
    <n v="5003"/>
    <x v="1"/>
    <n v="5771"/>
    <x v="2"/>
    <n v="1"/>
    <x v="1"/>
    <s v="Y"/>
    <x v="1"/>
    <n v="21"/>
    <x v="1"/>
    <n v="4"/>
    <x v="1"/>
    <n v="2"/>
    <x v="4"/>
    <n v="80"/>
    <n v="0"/>
    <n v="10"/>
    <x v="0"/>
    <n v="6"/>
    <x v="2"/>
    <n v="3"/>
    <x v="1"/>
    <n v="10"/>
    <x v="0"/>
    <n v="8"/>
    <x v="1"/>
    <n v="8"/>
    <x v="2"/>
    <n v="7"/>
    <x v="1"/>
  </r>
  <r>
    <n v="1960"/>
    <n v="28"/>
    <x v="2"/>
    <x v="0"/>
    <n v="1"/>
    <x v="0"/>
    <n v="1404"/>
    <x v="0"/>
    <x v="1"/>
    <n v="17"/>
    <x v="3"/>
    <n v="3"/>
    <x v="3"/>
    <x v="4"/>
    <n v="1"/>
    <n v="3"/>
    <x v="1"/>
    <x v="1"/>
    <n v="32"/>
    <x v="2"/>
    <n v="2"/>
    <x v="1"/>
    <n v="1"/>
    <x v="2"/>
    <n v="4"/>
    <x v="0"/>
    <x v="2"/>
    <n v="2367"/>
    <x v="2"/>
    <n v="18779"/>
    <x v="0"/>
    <n v="5"/>
    <x v="2"/>
    <s v="Y"/>
    <x v="1"/>
    <n v="12"/>
    <x v="0"/>
    <n v="3"/>
    <x v="0"/>
    <n v="1"/>
    <x v="0"/>
    <n v="80"/>
    <n v="1"/>
    <n v="6"/>
    <x v="0"/>
    <n v="2"/>
    <x v="0"/>
    <n v="2"/>
    <x v="2"/>
    <n v="4"/>
    <x v="2"/>
    <n v="1"/>
    <x v="2"/>
    <n v="0"/>
    <x v="0"/>
    <n v="3"/>
    <x v="0"/>
  </r>
  <r>
    <n v="1961"/>
    <n v="38"/>
    <x v="0"/>
    <x v="1"/>
    <n v="0"/>
    <x v="0"/>
    <n v="1404"/>
    <x v="0"/>
    <x v="0"/>
    <n v="1"/>
    <x v="0"/>
    <n v="3"/>
    <x v="3"/>
    <x v="0"/>
    <n v="1"/>
    <n v="1"/>
    <x v="3"/>
    <x v="1"/>
    <n v="59"/>
    <x v="1"/>
    <n v="2"/>
    <x v="1"/>
    <n v="1"/>
    <x v="6"/>
    <n v="1"/>
    <x v="3"/>
    <x v="0"/>
    <n v="2858"/>
    <x v="3"/>
    <n v="11473"/>
    <x v="3"/>
    <n v="4"/>
    <x v="2"/>
    <s v="Y"/>
    <x v="1"/>
    <n v="14"/>
    <x v="2"/>
    <n v="3"/>
    <x v="0"/>
    <n v="1"/>
    <x v="0"/>
    <n v="80"/>
    <n v="0"/>
    <n v="20"/>
    <x v="1"/>
    <n v="3"/>
    <x v="1"/>
    <n v="2"/>
    <x v="2"/>
    <n v="1"/>
    <x v="1"/>
    <n v="0"/>
    <x v="2"/>
    <n v="0"/>
    <x v="0"/>
    <n v="0"/>
    <x v="2"/>
  </r>
  <r>
    <n v="1962"/>
    <n v="35"/>
    <x v="2"/>
    <x v="1"/>
    <n v="0"/>
    <x v="0"/>
    <n v="1224"/>
    <x v="0"/>
    <x v="0"/>
    <n v="7"/>
    <x v="1"/>
    <n v="4"/>
    <x v="2"/>
    <x v="0"/>
    <n v="1"/>
    <n v="3"/>
    <x v="1"/>
    <x v="0"/>
    <n v="55"/>
    <x v="1"/>
    <n v="3"/>
    <x v="0"/>
    <n v="2"/>
    <x v="0"/>
    <n v="4"/>
    <x v="0"/>
    <x v="1"/>
    <n v="5204"/>
    <x v="1"/>
    <n v="13586"/>
    <x v="3"/>
    <n v="1"/>
    <x v="1"/>
    <s v="Y"/>
    <x v="0"/>
    <n v="11"/>
    <x v="0"/>
    <n v="3"/>
    <x v="0"/>
    <n v="4"/>
    <x v="1"/>
    <n v="80"/>
    <n v="0"/>
    <n v="10"/>
    <x v="0"/>
    <n v="2"/>
    <x v="0"/>
    <n v="3"/>
    <x v="1"/>
    <n v="10"/>
    <x v="0"/>
    <n v="8"/>
    <x v="1"/>
    <n v="0"/>
    <x v="0"/>
    <n v="9"/>
    <x v="1"/>
  </r>
  <r>
    <n v="1965"/>
    <n v="27"/>
    <x v="2"/>
    <x v="1"/>
    <n v="0"/>
    <x v="0"/>
    <n v="954"/>
    <x v="2"/>
    <x v="0"/>
    <n v="9"/>
    <x v="1"/>
    <n v="3"/>
    <x v="3"/>
    <x v="3"/>
    <n v="1"/>
    <n v="4"/>
    <x v="2"/>
    <x v="1"/>
    <n v="44"/>
    <x v="2"/>
    <n v="3"/>
    <x v="0"/>
    <n v="2"/>
    <x v="0"/>
    <n v="4"/>
    <x v="0"/>
    <x v="0"/>
    <n v="4105"/>
    <x v="1"/>
    <n v="5099"/>
    <x v="2"/>
    <n v="1"/>
    <x v="1"/>
    <s v="Y"/>
    <x v="1"/>
    <n v="14"/>
    <x v="2"/>
    <n v="3"/>
    <x v="0"/>
    <n v="1"/>
    <x v="0"/>
    <n v="80"/>
    <n v="0"/>
    <n v="7"/>
    <x v="0"/>
    <n v="5"/>
    <x v="2"/>
    <n v="3"/>
    <x v="1"/>
    <n v="7"/>
    <x v="0"/>
    <n v="7"/>
    <x v="1"/>
    <n v="0"/>
    <x v="0"/>
    <n v="7"/>
    <x v="1"/>
  </r>
  <r>
    <n v="1966"/>
    <n v="32"/>
    <x v="2"/>
    <x v="1"/>
    <n v="0"/>
    <x v="0"/>
    <n v="1373"/>
    <x v="0"/>
    <x v="1"/>
    <n v="5"/>
    <x v="0"/>
    <n v="4"/>
    <x v="2"/>
    <x v="0"/>
    <n v="1"/>
    <n v="4"/>
    <x v="2"/>
    <x v="1"/>
    <n v="56"/>
    <x v="1"/>
    <n v="2"/>
    <x v="1"/>
    <n v="2"/>
    <x v="3"/>
    <n v="4"/>
    <x v="0"/>
    <x v="0"/>
    <n v="9679"/>
    <x v="4"/>
    <n v="10138"/>
    <x v="3"/>
    <n v="8"/>
    <x v="0"/>
    <s v="Y"/>
    <x v="1"/>
    <n v="24"/>
    <x v="1"/>
    <n v="4"/>
    <x v="1"/>
    <n v="2"/>
    <x v="4"/>
    <n v="80"/>
    <n v="0"/>
    <n v="8"/>
    <x v="0"/>
    <n v="1"/>
    <x v="0"/>
    <n v="3"/>
    <x v="1"/>
    <n v="1"/>
    <x v="1"/>
    <n v="0"/>
    <x v="2"/>
    <n v="0"/>
    <x v="0"/>
    <n v="0"/>
    <x v="2"/>
  </r>
  <r>
    <n v="1967"/>
    <n v="31"/>
    <x v="2"/>
    <x v="0"/>
    <n v="1"/>
    <x v="1"/>
    <n v="754"/>
    <x v="2"/>
    <x v="0"/>
    <n v="26"/>
    <x v="2"/>
    <n v="4"/>
    <x v="2"/>
    <x v="3"/>
    <n v="1"/>
    <n v="1"/>
    <x v="3"/>
    <x v="1"/>
    <n v="63"/>
    <x v="1"/>
    <n v="3"/>
    <x v="0"/>
    <n v="2"/>
    <x v="0"/>
    <n v="4"/>
    <x v="0"/>
    <x v="1"/>
    <n v="5617"/>
    <x v="0"/>
    <n v="21075"/>
    <x v="0"/>
    <n v="1"/>
    <x v="1"/>
    <s v="Y"/>
    <x v="0"/>
    <n v="11"/>
    <x v="0"/>
    <n v="3"/>
    <x v="0"/>
    <n v="3"/>
    <x v="3"/>
    <n v="80"/>
    <n v="0"/>
    <n v="10"/>
    <x v="0"/>
    <n v="4"/>
    <x v="1"/>
    <n v="3"/>
    <x v="1"/>
    <n v="10"/>
    <x v="0"/>
    <n v="7"/>
    <x v="1"/>
    <n v="0"/>
    <x v="0"/>
    <n v="8"/>
    <x v="1"/>
  </r>
  <r>
    <n v="1968"/>
    <n v="53"/>
    <x v="1"/>
    <x v="0"/>
    <n v="1"/>
    <x v="0"/>
    <n v="1168"/>
    <x v="0"/>
    <x v="0"/>
    <n v="24"/>
    <x v="2"/>
    <n v="4"/>
    <x v="2"/>
    <x v="0"/>
    <n v="1"/>
    <n v="1"/>
    <x v="3"/>
    <x v="1"/>
    <n v="66"/>
    <x v="1"/>
    <n v="3"/>
    <x v="0"/>
    <n v="3"/>
    <x v="0"/>
    <n v="1"/>
    <x v="3"/>
    <x v="0"/>
    <n v="10448"/>
    <x v="8"/>
    <n v="5843"/>
    <x v="2"/>
    <n v="6"/>
    <x v="2"/>
    <s v="Y"/>
    <x v="0"/>
    <n v="13"/>
    <x v="2"/>
    <n v="3"/>
    <x v="0"/>
    <n v="2"/>
    <x v="4"/>
    <n v="80"/>
    <n v="0"/>
    <n v="15"/>
    <x v="1"/>
    <n v="2"/>
    <x v="0"/>
    <n v="2"/>
    <x v="2"/>
    <n v="2"/>
    <x v="2"/>
    <n v="2"/>
    <x v="0"/>
    <n v="2"/>
    <x v="1"/>
    <n v="2"/>
    <x v="0"/>
  </r>
  <r>
    <n v="1969"/>
    <n v="54"/>
    <x v="1"/>
    <x v="1"/>
    <n v="0"/>
    <x v="0"/>
    <n v="155"/>
    <x v="1"/>
    <x v="1"/>
    <n v="9"/>
    <x v="1"/>
    <n v="2"/>
    <x v="0"/>
    <x v="0"/>
    <n v="1"/>
    <n v="1"/>
    <x v="3"/>
    <x v="0"/>
    <n v="67"/>
    <x v="1"/>
    <n v="3"/>
    <x v="0"/>
    <n v="2"/>
    <x v="1"/>
    <n v="3"/>
    <x v="2"/>
    <x v="1"/>
    <n v="2897"/>
    <x v="3"/>
    <n v="22474"/>
    <x v="1"/>
    <n v="3"/>
    <x v="3"/>
    <s v="Y"/>
    <x v="1"/>
    <n v="11"/>
    <x v="0"/>
    <n v="3"/>
    <x v="0"/>
    <n v="3"/>
    <x v="3"/>
    <n v="80"/>
    <n v="2"/>
    <n v="9"/>
    <x v="0"/>
    <n v="6"/>
    <x v="2"/>
    <n v="2"/>
    <x v="2"/>
    <n v="4"/>
    <x v="2"/>
    <n v="3"/>
    <x v="0"/>
    <n v="2"/>
    <x v="1"/>
    <n v="3"/>
    <x v="0"/>
  </r>
  <r>
    <n v="1970"/>
    <n v="33"/>
    <x v="2"/>
    <x v="1"/>
    <n v="0"/>
    <x v="1"/>
    <n v="1303"/>
    <x v="0"/>
    <x v="1"/>
    <n v="7"/>
    <x v="1"/>
    <n v="2"/>
    <x v="0"/>
    <x v="0"/>
    <n v="1"/>
    <n v="4"/>
    <x v="2"/>
    <x v="1"/>
    <n v="36"/>
    <x v="2"/>
    <n v="3"/>
    <x v="0"/>
    <n v="2"/>
    <x v="4"/>
    <n v="3"/>
    <x v="2"/>
    <x v="2"/>
    <n v="5968"/>
    <x v="0"/>
    <n v="18079"/>
    <x v="0"/>
    <n v="1"/>
    <x v="1"/>
    <s v="Y"/>
    <x v="1"/>
    <n v="20"/>
    <x v="1"/>
    <n v="4"/>
    <x v="1"/>
    <n v="3"/>
    <x v="3"/>
    <n v="80"/>
    <n v="3"/>
    <n v="9"/>
    <x v="0"/>
    <n v="2"/>
    <x v="0"/>
    <n v="3"/>
    <x v="1"/>
    <n v="9"/>
    <x v="0"/>
    <n v="7"/>
    <x v="1"/>
    <n v="2"/>
    <x v="1"/>
    <n v="8"/>
    <x v="1"/>
  </r>
  <r>
    <n v="1971"/>
    <n v="43"/>
    <x v="0"/>
    <x v="1"/>
    <n v="0"/>
    <x v="0"/>
    <n v="574"/>
    <x v="2"/>
    <x v="1"/>
    <n v="11"/>
    <x v="3"/>
    <n v="3"/>
    <x v="3"/>
    <x v="0"/>
    <n v="1"/>
    <n v="1"/>
    <x v="3"/>
    <x v="1"/>
    <n v="30"/>
    <x v="2"/>
    <n v="3"/>
    <x v="0"/>
    <n v="3"/>
    <x v="4"/>
    <n v="3"/>
    <x v="2"/>
    <x v="1"/>
    <n v="7510"/>
    <x v="11"/>
    <n v="16873"/>
    <x v="0"/>
    <n v="1"/>
    <x v="1"/>
    <s v="Y"/>
    <x v="1"/>
    <n v="17"/>
    <x v="3"/>
    <n v="3"/>
    <x v="0"/>
    <n v="2"/>
    <x v="4"/>
    <n v="80"/>
    <n v="1"/>
    <n v="10"/>
    <x v="0"/>
    <n v="1"/>
    <x v="0"/>
    <n v="3"/>
    <x v="1"/>
    <n v="10"/>
    <x v="0"/>
    <n v="9"/>
    <x v="1"/>
    <n v="0"/>
    <x v="0"/>
    <n v="9"/>
    <x v="1"/>
  </r>
  <r>
    <n v="1972"/>
    <n v="38"/>
    <x v="0"/>
    <x v="1"/>
    <n v="0"/>
    <x v="1"/>
    <n v="1444"/>
    <x v="0"/>
    <x v="2"/>
    <n v="1"/>
    <x v="0"/>
    <n v="4"/>
    <x v="2"/>
    <x v="1"/>
    <n v="1"/>
    <n v="4"/>
    <x v="2"/>
    <x v="1"/>
    <n v="88"/>
    <x v="0"/>
    <n v="3"/>
    <x v="0"/>
    <n v="1"/>
    <x v="8"/>
    <n v="2"/>
    <x v="1"/>
    <x v="1"/>
    <n v="2991"/>
    <x v="3"/>
    <n v="5224"/>
    <x v="2"/>
    <n v="0"/>
    <x v="1"/>
    <s v="Y"/>
    <x v="0"/>
    <n v="11"/>
    <x v="0"/>
    <n v="3"/>
    <x v="0"/>
    <n v="2"/>
    <x v="4"/>
    <n v="80"/>
    <n v="1"/>
    <n v="7"/>
    <x v="0"/>
    <n v="2"/>
    <x v="0"/>
    <n v="3"/>
    <x v="1"/>
    <n v="6"/>
    <x v="0"/>
    <n v="2"/>
    <x v="0"/>
    <n v="1"/>
    <x v="0"/>
    <n v="2"/>
    <x v="0"/>
  </r>
  <r>
    <n v="1973"/>
    <n v="55"/>
    <x v="1"/>
    <x v="1"/>
    <n v="0"/>
    <x v="0"/>
    <n v="189"/>
    <x v="1"/>
    <x v="2"/>
    <n v="26"/>
    <x v="2"/>
    <n v="4"/>
    <x v="2"/>
    <x v="5"/>
    <n v="1"/>
    <n v="3"/>
    <x v="1"/>
    <x v="1"/>
    <n v="71"/>
    <x v="1"/>
    <n v="4"/>
    <x v="2"/>
    <n v="5"/>
    <x v="5"/>
    <n v="2"/>
    <x v="1"/>
    <x v="1"/>
    <n v="19636"/>
    <x v="7"/>
    <n v="25811"/>
    <x v="1"/>
    <n v="4"/>
    <x v="2"/>
    <s v="Y"/>
    <x v="0"/>
    <n v="18"/>
    <x v="1"/>
    <n v="3"/>
    <x v="0"/>
    <n v="1"/>
    <x v="0"/>
    <n v="80"/>
    <n v="1"/>
    <n v="35"/>
    <x v="4"/>
    <n v="0"/>
    <x v="0"/>
    <n v="3"/>
    <x v="1"/>
    <n v="10"/>
    <x v="0"/>
    <n v="9"/>
    <x v="1"/>
    <n v="1"/>
    <x v="0"/>
    <n v="4"/>
    <x v="0"/>
  </r>
  <r>
    <n v="1974"/>
    <n v="31"/>
    <x v="2"/>
    <x v="1"/>
    <n v="0"/>
    <x v="0"/>
    <n v="1276"/>
    <x v="0"/>
    <x v="1"/>
    <n v="2"/>
    <x v="0"/>
    <n v="1"/>
    <x v="1"/>
    <x v="2"/>
    <n v="1"/>
    <n v="4"/>
    <x v="2"/>
    <x v="0"/>
    <n v="59"/>
    <x v="1"/>
    <n v="1"/>
    <x v="3"/>
    <n v="1"/>
    <x v="2"/>
    <n v="4"/>
    <x v="0"/>
    <x v="2"/>
    <n v="1129"/>
    <x v="2"/>
    <n v="17536"/>
    <x v="0"/>
    <n v="1"/>
    <x v="1"/>
    <s v="Y"/>
    <x v="0"/>
    <n v="11"/>
    <x v="0"/>
    <n v="3"/>
    <x v="0"/>
    <n v="3"/>
    <x v="3"/>
    <n v="80"/>
    <n v="3"/>
    <n v="1"/>
    <x v="2"/>
    <n v="4"/>
    <x v="1"/>
    <n v="3"/>
    <x v="1"/>
    <n v="1"/>
    <x v="1"/>
    <n v="0"/>
    <x v="2"/>
    <n v="0"/>
    <x v="0"/>
    <n v="0"/>
    <x v="2"/>
  </r>
  <r>
    <n v="1975"/>
    <n v="39"/>
    <x v="0"/>
    <x v="1"/>
    <n v="0"/>
    <x v="0"/>
    <n v="119"/>
    <x v="1"/>
    <x v="0"/>
    <n v="15"/>
    <x v="3"/>
    <n v="4"/>
    <x v="2"/>
    <x v="3"/>
    <n v="1"/>
    <n v="2"/>
    <x v="0"/>
    <x v="1"/>
    <n v="77"/>
    <x v="0"/>
    <n v="3"/>
    <x v="0"/>
    <n v="4"/>
    <x v="0"/>
    <n v="1"/>
    <x v="3"/>
    <x v="0"/>
    <n v="13341"/>
    <x v="10"/>
    <n v="25098"/>
    <x v="1"/>
    <n v="0"/>
    <x v="1"/>
    <s v="Y"/>
    <x v="1"/>
    <n v="12"/>
    <x v="0"/>
    <n v="3"/>
    <x v="0"/>
    <n v="1"/>
    <x v="0"/>
    <n v="80"/>
    <n v="0"/>
    <n v="21"/>
    <x v="4"/>
    <n v="3"/>
    <x v="1"/>
    <n v="3"/>
    <x v="1"/>
    <n v="20"/>
    <x v="4"/>
    <n v="8"/>
    <x v="1"/>
    <n v="11"/>
    <x v="3"/>
    <n v="10"/>
    <x v="1"/>
  </r>
  <r>
    <n v="1976"/>
    <n v="42"/>
    <x v="0"/>
    <x v="1"/>
    <n v="0"/>
    <x v="2"/>
    <n v="335"/>
    <x v="1"/>
    <x v="1"/>
    <n v="23"/>
    <x v="2"/>
    <n v="2"/>
    <x v="0"/>
    <x v="0"/>
    <n v="1"/>
    <n v="4"/>
    <x v="2"/>
    <x v="1"/>
    <n v="37"/>
    <x v="2"/>
    <n v="2"/>
    <x v="1"/>
    <n v="2"/>
    <x v="1"/>
    <n v="3"/>
    <x v="2"/>
    <x v="0"/>
    <n v="4332"/>
    <x v="1"/>
    <n v="14811"/>
    <x v="3"/>
    <n v="1"/>
    <x v="1"/>
    <s v="Y"/>
    <x v="1"/>
    <n v="12"/>
    <x v="0"/>
    <n v="3"/>
    <x v="0"/>
    <n v="4"/>
    <x v="1"/>
    <n v="80"/>
    <n v="0"/>
    <n v="20"/>
    <x v="1"/>
    <n v="2"/>
    <x v="0"/>
    <n v="3"/>
    <x v="1"/>
    <n v="20"/>
    <x v="4"/>
    <n v="9"/>
    <x v="1"/>
    <n v="3"/>
    <x v="1"/>
    <n v="7"/>
    <x v="1"/>
  </r>
  <r>
    <n v="1979"/>
    <n v="31"/>
    <x v="2"/>
    <x v="1"/>
    <n v="0"/>
    <x v="2"/>
    <n v="697"/>
    <x v="2"/>
    <x v="1"/>
    <n v="10"/>
    <x v="1"/>
    <n v="3"/>
    <x v="3"/>
    <x v="2"/>
    <n v="1"/>
    <n v="3"/>
    <x v="1"/>
    <x v="0"/>
    <n v="40"/>
    <x v="2"/>
    <n v="3"/>
    <x v="0"/>
    <n v="3"/>
    <x v="7"/>
    <n v="3"/>
    <x v="2"/>
    <x v="1"/>
    <n v="11031"/>
    <x v="8"/>
    <n v="26862"/>
    <x v="1"/>
    <n v="4"/>
    <x v="2"/>
    <s v="Y"/>
    <x v="1"/>
    <n v="20"/>
    <x v="1"/>
    <n v="4"/>
    <x v="1"/>
    <n v="3"/>
    <x v="3"/>
    <n v="80"/>
    <n v="1"/>
    <n v="13"/>
    <x v="1"/>
    <n v="2"/>
    <x v="0"/>
    <n v="4"/>
    <x v="3"/>
    <n v="11"/>
    <x v="4"/>
    <n v="7"/>
    <x v="1"/>
    <n v="4"/>
    <x v="1"/>
    <n v="8"/>
    <x v="1"/>
  </r>
  <r>
    <n v="1980"/>
    <n v="54"/>
    <x v="1"/>
    <x v="1"/>
    <n v="0"/>
    <x v="0"/>
    <n v="157"/>
    <x v="1"/>
    <x v="1"/>
    <n v="10"/>
    <x v="1"/>
    <n v="3"/>
    <x v="3"/>
    <x v="2"/>
    <n v="1"/>
    <n v="3"/>
    <x v="1"/>
    <x v="0"/>
    <n v="77"/>
    <x v="0"/>
    <n v="3"/>
    <x v="0"/>
    <n v="2"/>
    <x v="3"/>
    <n v="1"/>
    <x v="3"/>
    <x v="0"/>
    <n v="4440"/>
    <x v="1"/>
    <n v="25198"/>
    <x v="1"/>
    <n v="6"/>
    <x v="2"/>
    <s v="Y"/>
    <x v="0"/>
    <n v="19"/>
    <x v="1"/>
    <n v="3"/>
    <x v="0"/>
    <n v="4"/>
    <x v="1"/>
    <n v="80"/>
    <n v="0"/>
    <n v="9"/>
    <x v="0"/>
    <n v="3"/>
    <x v="1"/>
    <n v="3"/>
    <x v="1"/>
    <n v="5"/>
    <x v="2"/>
    <n v="2"/>
    <x v="0"/>
    <n v="1"/>
    <x v="0"/>
    <n v="4"/>
    <x v="0"/>
  </r>
  <r>
    <n v="1981"/>
    <n v="24"/>
    <x v="4"/>
    <x v="1"/>
    <n v="0"/>
    <x v="0"/>
    <n v="771"/>
    <x v="2"/>
    <x v="1"/>
    <n v="1"/>
    <x v="0"/>
    <n v="2"/>
    <x v="0"/>
    <x v="0"/>
    <n v="1"/>
    <n v="2"/>
    <x v="0"/>
    <x v="1"/>
    <n v="45"/>
    <x v="2"/>
    <n v="2"/>
    <x v="1"/>
    <n v="2"/>
    <x v="4"/>
    <n v="3"/>
    <x v="2"/>
    <x v="0"/>
    <n v="4617"/>
    <x v="1"/>
    <n v="14120"/>
    <x v="3"/>
    <n v="1"/>
    <x v="1"/>
    <s v="Y"/>
    <x v="1"/>
    <n v="12"/>
    <x v="0"/>
    <n v="3"/>
    <x v="0"/>
    <n v="2"/>
    <x v="4"/>
    <n v="80"/>
    <n v="0"/>
    <n v="4"/>
    <x v="3"/>
    <n v="2"/>
    <x v="0"/>
    <n v="2"/>
    <x v="2"/>
    <n v="4"/>
    <x v="2"/>
    <n v="3"/>
    <x v="0"/>
    <n v="1"/>
    <x v="0"/>
    <n v="2"/>
    <x v="0"/>
  </r>
  <r>
    <n v="1982"/>
    <n v="23"/>
    <x v="4"/>
    <x v="1"/>
    <n v="0"/>
    <x v="0"/>
    <n v="571"/>
    <x v="2"/>
    <x v="1"/>
    <n v="12"/>
    <x v="3"/>
    <n v="2"/>
    <x v="0"/>
    <x v="1"/>
    <n v="1"/>
    <n v="4"/>
    <x v="2"/>
    <x v="1"/>
    <n v="78"/>
    <x v="0"/>
    <n v="3"/>
    <x v="0"/>
    <n v="1"/>
    <x v="2"/>
    <n v="4"/>
    <x v="0"/>
    <x v="0"/>
    <n v="2647"/>
    <x v="3"/>
    <n v="13672"/>
    <x v="3"/>
    <n v="1"/>
    <x v="1"/>
    <s v="Y"/>
    <x v="1"/>
    <n v="13"/>
    <x v="2"/>
    <n v="3"/>
    <x v="0"/>
    <n v="3"/>
    <x v="3"/>
    <n v="80"/>
    <n v="0"/>
    <n v="5"/>
    <x v="3"/>
    <n v="6"/>
    <x v="2"/>
    <n v="4"/>
    <x v="3"/>
    <n v="5"/>
    <x v="2"/>
    <n v="2"/>
    <x v="0"/>
    <n v="1"/>
    <x v="0"/>
    <n v="4"/>
    <x v="0"/>
  </r>
  <r>
    <n v="1985"/>
    <n v="40"/>
    <x v="0"/>
    <x v="1"/>
    <n v="0"/>
    <x v="1"/>
    <n v="692"/>
    <x v="2"/>
    <x v="1"/>
    <n v="11"/>
    <x v="3"/>
    <n v="3"/>
    <x v="3"/>
    <x v="4"/>
    <n v="1"/>
    <n v="4"/>
    <x v="2"/>
    <x v="0"/>
    <n v="73"/>
    <x v="1"/>
    <n v="3"/>
    <x v="0"/>
    <n v="2"/>
    <x v="2"/>
    <n v="3"/>
    <x v="2"/>
    <x v="1"/>
    <n v="6323"/>
    <x v="0"/>
    <n v="26849"/>
    <x v="1"/>
    <n v="1"/>
    <x v="1"/>
    <s v="Y"/>
    <x v="1"/>
    <n v="11"/>
    <x v="0"/>
    <n v="3"/>
    <x v="0"/>
    <n v="1"/>
    <x v="0"/>
    <n v="80"/>
    <n v="1"/>
    <n v="10"/>
    <x v="0"/>
    <n v="2"/>
    <x v="0"/>
    <n v="4"/>
    <x v="3"/>
    <n v="10"/>
    <x v="0"/>
    <n v="9"/>
    <x v="1"/>
    <n v="9"/>
    <x v="2"/>
    <n v="4"/>
    <x v="0"/>
  </r>
  <r>
    <n v="1986"/>
    <n v="40"/>
    <x v="0"/>
    <x v="1"/>
    <n v="0"/>
    <x v="0"/>
    <n v="444"/>
    <x v="1"/>
    <x v="0"/>
    <n v="2"/>
    <x v="0"/>
    <n v="2"/>
    <x v="0"/>
    <x v="3"/>
    <n v="1"/>
    <n v="2"/>
    <x v="0"/>
    <x v="0"/>
    <n v="92"/>
    <x v="0"/>
    <n v="3"/>
    <x v="0"/>
    <n v="2"/>
    <x v="0"/>
    <n v="2"/>
    <x v="1"/>
    <x v="1"/>
    <n v="5677"/>
    <x v="0"/>
    <n v="4258"/>
    <x v="2"/>
    <n v="3"/>
    <x v="3"/>
    <s v="Y"/>
    <x v="1"/>
    <n v="14"/>
    <x v="2"/>
    <n v="3"/>
    <x v="0"/>
    <n v="3"/>
    <x v="3"/>
    <n v="80"/>
    <n v="1"/>
    <n v="15"/>
    <x v="1"/>
    <n v="4"/>
    <x v="1"/>
    <n v="3"/>
    <x v="1"/>
    <n v="11"/>
    <x v="4"/>
    <n v="8"/>
    <x v="1"/>
    <n v="5"/>
    <x v="1"/>
    <n v="10"/>
    <x v="1"/>
  </r>
  <r>
    <n v="1987"/>
    <n v="25"/>
    <x v="4"/>
    <x v="1"/>
    <n v="0"/>
    <x v="0"/>
    <n v="309"/>
    <x v="1"/>
    <x v="2"/>
    <n v="2"/>
    <x v="0"/>
    <n v="3"/>
    <x v="3"/>
    <x v="5"/>
    <n v="1"/>
    <n v="3"/>
    <x v="1"/>
    <x v="0"/>
    <n v="82"/>
    <x v="0"/>
    <n v="3"/>
    <x v="0"/>
    <n v="1"/>
    <x v="8"/>
    <n v="2"/>
    <x v="1"/>
    <x v="1"/>
    <n v="2187"/>
    <x v="2"/>
    <n v="19655"/>
    <x v="0"/>
    <n v="4"/>
    <x v="2"/>
    <s v="Y"/>
    <x v="1"/>
    <n v="14"/>
    <x v="2"/>
    <n v="3"/>
    <x v="0"/>
    <n v="3"/>
    <x v="3"/>
    <n v="80"/>
    <n v="0"/>
    <n v="6"/>
    <x v="0"/>
    <n v="3"/>
    <x v="1"/>
    <n v="3"/>
    <x v="1"/>
    <n v="2"/>
    <x v="2"/>
    <n v="0"/>
    <x v="2"/>
    <n v="1"/>
    <x v="0"/>
    <n v="2"/>
    <x v="0"/>
  </r>
  <r>
    <n v="1989"/>
    <n v="30"/>
    <x v="2"/>
    <x v="1"/>
    <n v="0"/>
    <x v="0"/>
    <n v="911"/>
    <x v="2"/>
    <x v="1"/>
    <n v="1"/>
    <x v="0"/>
    <n v="2"/>
    <x v="0"/>
    <x v="2"/>
    <n v="1"/>
    <n v="4"/>
    <x v="2"/>
    <x v="1"/>
    <n v="76"/>
    <x v="0"/>
    <n v="3"/>
    <x v="0"/>
    <n v="1"/>
    <x v="2"/>
    <n v="2"/>
    <x v="1"/>
    <x v="1"/>
    <n v="3748"/>
    <x v="3"/>
    <n v="4077"/>
    <x v="2"/>
    <n v="1"/>
    <x v="1"/>
    <s v="Y"/>
    <x v="1"/>
    <n v="13"/>
    <x v="2"/>
    <n v="3"/>
    <x v="0"/>
    <n v="3"/>
    <x v="3"/>
    <n v="80"/>
    <n v="0"/>
    <n v="12"/>
    <x v="1"/>
    <n v="6"/>
    <x v="2"/>
    <n v="2"/>
    <x v="2"/>
    <n v="12"/>
    <x v="4"/>
    <n v="8"/>
    <x v="1"/>
    <n v="1"/>
    <x v="0"/>
    <n v="7"/>
    <x v="1"/>
  </r>
  <r>
    <n v="1992"/>
    <n v="25"/>
    <x v="4"/>
    <x v="1"/>
    <n v="0"/>
    <x v="0"/>
    <n v="977"/>
    <x v="2"/>
    <x v="1"/>
    <n v="2"/>
    <x v="0"/>
    <n v="1"/>
    <x v="1"/>
    <x v="1"/>
    <n v="1"/>
    <n v="4"/>
    <x v="2"/>
    <x v="1"/>
    <n v="57"/>
    <x v="1"/>
    <n v="3"/>
    <x v="0"/>
    <n v="1"/>
    <x v="2"/>
    <n v="3"/>
    <x v="2"/>
    <x v="2"/>
    <n v="3977"/>
    <x v="3"/>
    <n v="7298"/>
    <x v="2"/>
    <n v="6"/>
    <x v="2"/>
    <s v="Y"/>
    <x v="0"/>
    <n v="19"/>
    <x v="1"/>
    <n v="3"/>
    <x v="0"/>
    <n v="3"/>
    <x v="3"/>
    <n v="80"/>
    <n v="1"/>
    <n v="7"/>
    <x v="0"/>
    <n v="2"/>
    <x v="0"/>
    <n v="2"/>
    <x v="2"/>
    <n v="2"/>
    <x v="2"/>
    <n v="2"/>
    <x v="0"/>
    <n v="0"/>
    <x v="0"/>
    <n v="2"/>
    <x v="0"/>
  </r>
  <r>
    <n v="1993"/>
    <n v="47"/>
    <x v="1"/>
    <x v="1"/>
    <n v="0"/>
    <x v="0"/>
    <n v="1180"/>
    <x v="0"/>
    <x v="1"/>
    <n v="25"/>
    <x v="2"/>
    <n v="3"/>
    <x v="3"/>
    <x v="2"/>
    <n v="1"/>
    <n v="1"/>
    <x v="3"/>
    <x v="1"/>
    <n v="84"/>
    <x v="0"/>
    <n v="3"/>
    <x v="0"/>
    <n v="3"/>
    <x v="4"/>
    <n v="3"/>
    <x v="2"/>
    <x v="0"/>
    <n v="8633"/>
    <x v="4"/>
    <n v="13084"/>
    <x v="3"/>
    <n v="2"/>
    <x v="3"/>
    <s v="Y"/>
    <x v="1"/>
    <n v="23"/>
    <x v="1"/>
    <n v="4"/>
    <x v="1"/>
    <n v="2"/>
    <x v="4"/>
    <n v="80"/>
    <n v="0"/>
    <n v="25"/>
    <x v="4"/>
    <n v="3"/>
    <x v="1"/>
    <n v="3"/>
    <x v="1"/>
    <n v="17"/>
    <x v="4"/>
    <n v="14"/>
    <x v="3"/>
    <n v="12"/>
    <x v="3"/>
    <n v="11"/>
    <x v="3"/>
  </r>
  <r>
    <n v="1994"/>
    <n v="33"/>
    <x v="2"/>
    <x v="1"/>
    <n v="0"/>
    <x v="2"/>
    <n v="1313"/>
    <x v="0"/>
    <x v="1"/>
    <n v="1"/>
    <x v="0"/>
    <n v="2"/>
    <x v="0"/>
    <x v="2"/>
    <n v="1"/>
    <n v="2"/>
    <x v="0"/>
    <x v="1"/>
    <n v="59"/>
    <x v="1"/>
    <n v="2"/>
    <x v="1"/>
    <n v="1"/>
    <x v="2"/>
    <n v="3"/>
    <x v="2"/>
    <x v="2"/>
    <n v="2008"/>
    <x v="2"/>
    <n v="20439"/>
    <x v="0"/>
    <n v="1"/>
    <x v="1"/>
    <s v="Y"/>
    <x v="1"/>
    <n v="12"/>
    <x v="0"/>
    <n v="3"/>
    <x v="0"/>
    <n v="3"/>
    <x v="3"/>
    <n v="80"/>
    <n v="3"/>
    <n v="1"/>
    <x v="2"/>
    <n v="2"/>
    <x v="0"/>
    <n v="2"/>
    <x v="2"/>
    <n v="1"/>
    <x v="1"/>
    <n v="1"/>
    <x v="2"/>
    <n v="0"/>
    <x v="0"/>
    <n v="0"/>
    <x v="2"/>
  </r>
  <r>
    <n v="1995"/>
    <n v="38"/>
    <x v="0"/>
    <x v="1"/>
    <n v="0"/>
    <x v="0"/>
    <n v="1321"/>
    <x v="0"/>
    <x v="0"/>
    <n v="1"/>
    <x v="0"/>
    <n v="4"/>
    <x v="2"/>
    <x v="0"/>
    <n v="1"/>
    <n v="4"/>
    <x v="2"/>
    <x v="1"/>
    <n v="86"/>
    <x v="0"/>
    <n v="3"/>
    <x v="0"/>
    <n v="2"/>
    <x v="0"/>
    <n v="2"/>
    <x v="1"/>
    <x v="1"/>
    <n v="4440"/>
    <x v="1"/>
    <n v="7636"/>
    <x v="2"/>
    <n v="0"/>
    <x v="1"/>
    <s v="Y"/>
    <x v="1"/>
    <n v="15"/>
    <x v="2"/>
    <n v="3"/>
    <x v="0"/>
    <n v="1"/>
    <x v="0"/>
    <n v="80"/>
    <n v="2"/>
    <n v="16"/>
    <x v="1"/>
    <n v="3"/>
    <x v="1"/>
    <n v="3"/>
    <x v="1"/>
    <n v="15"/>
    <x v="4"/>
    <n v="13"/>
    <x v="3"/>
    <n v="5"/>
    <x v="1"/>
    <n v="8"/>
    <x v="1"/>
  </r>
  <r>
    <n v="1996"/>
    <n v="31"/>
    <x v="2"/>
    <x v="1"/>
    <n v="0"/>
    <x v="0"/>
    <n v="1154"/>
    <x v="0"/>
    <x v="0"/>
    <n v="2"/>
    <x v="0"/>
    <n v="2"/>
    <x v="0"/>
    <x v="0"/>
    <n v="1"/>
    <n v="1"/>
    <x v="3"/>
    <x v="1"/>
    <n v="54"/>
    <x v="1"/>
    <n v="3"/>
    <x v="0"/>
    <n v="1"/>
    <x v="6"/>
    <n v="3"/>
    <x v="2"/>
    <x v="1"/>
    <n v="3067"/>
    <x v="3"/>
    <n v="6393"/>
    <x v="2"/>
    <n v="0"/>
    <x v="1"/>
    <s v="Y"/>
    <x v="1"/>
    <n v="19"/>
    <x v="1"/>
    <n v="3"/>
    <x v="0"/>
    <n v="3"/>
    <x v="3"/>
    <n v="80"/>
    <n v="1"/>
    <n v="3"/>
    <x v="3"/>
    <n v="1"/>
    <x v="0"/>
    <n v="3"/>
    <x v="1"/>
    <n v="2"/>
    <x v="2"/>
    <n v="2"/>
    <x v="0"/>
    <n v="1"/>
    <x v="0"/>
    <n v="2"/>
    <x v="0"/>
  </r>
  <r>
    <n v="1997"/>
    <n v="38"/>
    <x v="0"/>
    <x v="1"/>
    <n v="0"/>
    <x v="1"/>
    <n v="508"/>
    <x v="2"/>
    <x v="1"/>
    <n v="6"/>
    <x v="1"/>
    <n v="4"/>
    <x v="2"/>
    <x v="0"/>
    <n v="1"/>
    <n v="1"/>
    <x v="3"/>
    <x v="1"/>
    <n v="72"/>
    <x v="1"/>
    <n v="2"/>
    <x v="1"/>
    <n v="2"/>
    <x v="3"/>
    <n v="3"/>
    <x v="2"/>
    <x v="1"/>
    <n v="5321"/>
    <x v="1"/>
    <n v="14284"/>
    <x v="3"/>
    <n v="2"/>
    <x v="3"/>
    <s v="Y"/>
    <x v="1"/>
    <n v="11"/>
    <x v="0"/>
    <n v="3"/>
    <x v="0"/>
    <n v="4"/>
    <x v="1"/>
    <n v="80"/>
    <n v="1"/>
    <n v="10"/>
    <x v="0"/>
    <n v="1"/>
    <x v="0"/>
    <n v="3"/>
    <x v="1"/>
    <n v="8"/>
    <x v="0"/>
    <n v="3"/>
    <x v="0"/>
    <n v="7"/>
    <x v="2"/>
    <n v="7"/>
    <x v="1"/>
  </r>
  <r>
    <n v="1998"/>
    <n v="42"/>
    <x v="0"/>
    <x v="1"/>
    <n v="0"/>
    <x v="0"/>
    <n v="557"/>
    <x v="2"/>
    <x v="1"/>
    <n v="18"/>
    <x v="3"/>
    <n v="4"/>
    <x v="2"/>
    <x v="0"/>
    <n v="1"/>
    <n v="4"/>
    <x v="2"/>
    <x v="1"/>
    <n v="35"/>
    <x v="2"/>
    <n v="3"/>
    <x v="0"/>
    <n v="2"/>
    <x v="1"/>
    <n v="1"/>
    <x v="3"/>
    <x v="2"/>
    <n v="5410"/>
    <x v="1"/>
    <n v="11189"/>
    <x v="3"/>
    <n v="6"/>
    <x v="2"/>
    <s v="Y"/>
    <x v="0"/>
    <n v="17"/>
    <x v="3"/>
    <n v="3"/>
    <x v="0"/>
    <n v="3"/>
    <x v="3"/>
    <n v="80"/>
    <n v="1"/>
    <n v="9"/>
    <x v="0"/>
    <n v="3"/>
    <x v="1"/>
    <n v="2"/>
    <x v="2"/>
    <n v="4"/>
    <x v="2"/>
    <n v="3"/>
    <x v="0"/>
    <n v="1"/>
    <x v="0"/>
    <n v="2"/>
    <x v="0"/>
  </r>
  <r>
    <n v="1999"/>
    <n v="41"/>
    <x v="0"/>
    <x v="1"/>
    <n v="0"/>
    <x v="0"/>
    <n v="642"/>
    <x v="2"/>
    <x v="1"/>
    <n v="1"/>
    <x v="0"/>
    <n v="3"/>
    <x v="3"/>
    <x v="0"/>
    <n v="1"/>
    <n v="4"/>
    <x v="2"/>
    <x v="1"/>
    <n v="76"/>
    <x v="0"/>
    <n v="3"/>
    <x v="0"/>
    <n v="1"/>
    <x v="1"/>
    <n v="4"/>
    <x v="0"/>
    <x v="1"/>
    <n v="2782"/>
    <x v="3"/>
    <n v="21412"/>
    <x v="0"/>
    <n v="3"/>
    <x v="3"/>
    <s v="Y"/>
    <x v="1"/>
    <n v="22"/>
    <x v="1"/>
    <n v="4"/>
    <x v="1"/>
    <n v="1"/>
    <x v="0"/>
    <n v="80"/>
    <n v="1"/>
    <n v="12"/>
    <x v="1"/>
    <n v="3"/>
    <x v="1"/>
    <n v="3"/>
    <x v="1"/>
    <n v="5"/>
    <x v="2"/>
    <n v="3"/>
    <x v="0"/>
    <n v="1"/>
    <x v="0"/>
    <n v="0"/>
    <x v="2"/>
  </r>
  <r>
    <n v="2000"/>
    <n v="47"/>
    <x v="1"/>
    <x v="1"/>
    <n v="0"/>
    <x v="2"/>
    <n v="1162"/>
    <x v="0"/>
    <x v="1"/>
    <n v="1"/>
    <x v="0"/>
    <n v="1"/>
    <x v="1"/>
    <x v="2"/>
    <n v="1"/>
    <n v="3"/>
    <x v="1"/>
    <x v="0"/>
    <n v="98"/>
    <x v="0"/>
    <n v="3"/>
    <x v="0"/>
    <n v="3"/>
    <x v="7"/>
    <n v="2"/>
    <x v="1"/>
    <x v="1"/>
    <n v="11957"/>
    <x v="6"/>
    <n v="17231"/>
    <x v="0"/>
    <n v="0"/>
    <x v="1"/>
    <s v="Y"/>
    <x v="1"/>
    <n v="18"/>
    <x v="1"/>
    <n v="3"/>
    <x v="0"/>
    <n v="1"/>
    <x v="0"/>
    <n v="80"/>
    <n v="2"/>
    <n v="14"/>
    <x v="1"/>
    <n v="3"/>
    <x v="1"/>
    <n v="1"/>
    <x v="0"/>
    <n v="13"/>
    <x v="4"/>
    <n v="8"/>
    <x v="1"/>
    <n v="5"/>
    <x v="1"/>
    <n v="12"/>
    <x v="3"/>
  </r>
  <r>
    <n v="2003"/>
    <n v="35"/>
    <x v="2"/>
    <x v="1"/>
    <n v="0"/>
    <x v="0"/>
    <n v="1490"/>
    <x v="0"/>
    <x v="1"/>
    <n v="11"/>
    <x v="3"/>
    <n v="4"/>
    <x v="2"/>
    <x v="2"/>
    <n v="1"/>
    <n v="4"/>
    <x v="2"/>
    <x v="1"/>
    <n v="43"/>
    <x v="2"/>
    <n v="3"/>
    <x v="0"/>
    <n v="1"/>
    <x v="2"/>
    <n v="3"/>
    <x v="2"/>
    <x v="1"/>
    <n v="2660"/>
    <x v="3"/>
    <n v="20232"/>
    <x v="0"/>
    <n v="7"/>
    <x v="0"/>
    <s v="Y"/>
    <x v="0"/>
    <n v="11"/>
    <x v="0"/>
    <n v="3"/>
    <x v="0"/>
    <n v="3"/>
    <x v="3"/>
    <n v="80"/>
    <n v="1"/>
    <n v="5"/>
    <x v="3"/>
    <n v="3"/>
    <x v="1"/>
    <n v="3"/>
    <x v="1"/>
    <n v="2"/>
    <x v="2"/>
    <n v="2"/>
    <x v="0"/>
    <n v="2"/>
    <x v="1"/>
    <n v="2"/>
    <x v="0"/>
  </r>
  <r>
    <n v="2007"/>
    <n v="22"/>
    <x v="4"/>
    <x v="1"/>
    <n v="0"/>
    <x v="0"/>
    <n v="581"/>
    <x v="2"/>
    <x v="1"/>
    <n v="1"/>
    <x v="0"/>
    <n v="2"/>
    <x v="0"/>
    <x v="0"/>
    <n v="1"/>
    <n v="4"/>
    <x v="2"/>
    <x v="1"/>
    <n v="63"/>
    <x v="1"/>
    <n v="3"/>
    <x v="0"/>
    <n v="1"/>
    <x v="1"/>
    <n v="3"/>
    <x v="2"/>
    <x v="0"/>
    <n v="3375"/>
    <x v="3"/>
    <n v="17624"/>
    <x v="0"/>
    <n v="0"/>
    <x v="1"/>
    <s v="Y"/>
    <x v="1"/>
    <n v="12"/>
    <x v="0"/>
    <n v="3"/>
    <x v="0"/>
    <n v="4"/>
    <x v="1"/>
    <n v="80"/>
    <n v="0"/>
    <n v="4"/>
    <x v="3"/>
    <n v="2"/>
    <x v="0"/>
    <n v="4"/>
    <x v="3"/>
    <n v="3"/>
    <x v="2"/>
    <n v="2"/>
    <x v="0"/>
    <n v="1"/>
    <x v="0"/>
    <n v="2"/>
    <x v="0"/>
  </r>
  <r>
    <n v="2008"/>
    <n v="35"/>
    <x v="2"/>
    <x v="1"/>
    <n v="0"/>
    <x v="0"/>
    <n v="1395"/>
    <x v="0"/>
    <x v="1"/>
    <n v="9"/>
    <x v="1"/>
    <n v="4"/>
    <x v="2"/>
    <x v="2"/>
    <n v="1"/>
    <n v="2"/>
    <x v="0"/>
    <x v="1"/>
    <n v="48"/>
    <x v="2"/>
    <n v="3"/>
    <x v="0"/>
    <n v="2"/>
    <x v="1"/>
    <n v="3"/>
    <x v="2"/>
    <x v="0"/>
    <n v="5098"/>
    <x v="1"/>
    <n v="18698"/>
    <x v="0"/>
    <n v="1"/>
    <x v="1"/>
    <s v="Y"/>
    <x v="1"/>
    <n v="19"/>
    <x v="1"/>
    <n v="3"/>
    <x v="0"/>
    <n v="2"/>
    <x v="4"/>
    <n v="80"/>
    <n v="0"/>
    <n v="10"/>
    <x v="0"/>
    <n v="5"/>
    <x v="2"/>
    <n v="3"/>
    <x v="1"/>
    <n v="10"/>
    <x v="0"/>
    <n v="7"/>
    <x v="1"/>
    <n v="0"/>
    <x v="0"/>
    <n v="8"/>
    <x v="1"/>
  </r>
  <r>
    <n v="2009"/>
    <n v="33"/>
    <x v="2"/>
    <x v="1"/>
    <n v="0"/>
    <x v="0"/>
    <n v="501"/>
    <x v="2"/>
    <x v="1"/>
    <n v="15"/>
    <x v="3"/>
    <n v="2"/>
    <x v="0"/>
    <x v="2"/>
    <n v="1"/>
    <n v="2"/>
    <x v="0"/>
    <x v="0"/>
    <n v="95"/>
    <x v="0"/>
    <n v="3"/>
    <x v="0"/>
    <n v="2"/>
    <x v="4"/>
    <n v="4"/>
    <x v="0"/>
    <x v="1"/>
    <n v="4878"/>
    <x v="1"/>
    <n v="21653"/>
    <x v="0"/>
    <n v="0"/>
    <x v="1"/>
    <s v="Y"/>
    <x v="0"/>
    <n v="13"/>
    <x v="2"/>
    <n v="3"/>
    <x v="0"/>
    <n v="1"/>
    <x v="0"/>
    <n v="80"/>
    <n v="1"/>
    <n v="10"/>
    <x v="0"/>
    <n v="6"/>
    <x v="2"/>
    <n v="3"/>
    <x v="1"/>
    <n v="9"/>
    <x v="0"/>
    <n v="7"/>
    <x v="1"/>
    <n v="8"/>
    <x v="2"/>
    <n v="1"/>
    <x v="2"/>
  </r>
  <r>
    <n v="2010"/>
    <n v="32"/>
    <x v="2"/>
    <x v="1"/>
    <n v="0"/>
    <x v="0"/>
    <n v="267"/>
    <x v="1"/>
    <x v="1"/>
    <n v="29"/>
    <x v="2"/>
    <n v="4"/>
    <x v="2"/>
    <x v="0"/>
    <n v="1"/>
    <n v="3"/>
    <x v="1"/>
    <x v="0"/>
    <n v="49"/>
    <x v="2"/>
    <n v="2"/>
    <x v="1"/>
    <n v="1"/>
    <x v="2"/>
    <n v="2"/>
    <x v="1"/>
    <x v="0"/>
    <n v="2837"/>
    <x v="3"/>
    <n v="15919"/>
    <x v="3"/>
    <n v="1"/>
    <x v="1"/>
    <s v="Y"/>
    <x v="1"/>
    <n v="13"/>
    <x v="2"/>
    <n v="3"/>
    <x v="0"/>
    <n v="3"/>
    <x v="3"/>
    <n v="80"/>
    <n v="0"/>
    <n v="6"/>
    <x v="0"/>
    <n v="3"/>
    <x v="1"/>
    <n v="3"/>
    <x v="1"/>
    <n v="6"/>
    <x v="0"/>
    <n v="2"/>
    <x v="0"/>
    <n v="4"/>
    <x v="1"/>
    <n v="1"/>
    <x v="2"/>
  </r>
  <r>
    <n v="2012"/>
    <n v="40"/>
    <x v="0"/>
    <x v="1"/>
    <n v="0"/>
    <x v="0"/>
    <n v="543"/>
    <x v="2"/>
    <x v="1"/>
    <n v="1"/>
    <x v="0"/>
    <n v="4"/>
    <x v="2"/>
    <x v="0"/>
    <n v="1"/>
    <n v="1"/>
    <x v="3"/>
    <x v="1"/>
    <n v="83"/>
    <x v="0"/>
    <n v="3"/>
    <x v="0"/>
    <n v="1"/>
    <x v="2"/>
    <n v="4"/>
    <x v="0"/>
    <x v="1"/>
    <n v="2406"/>
    <x v="2"/>
    <n v="4060"/>
    <x v="2"/>
    <n v="8"/>
    <x v="0"/>
    <s v="Y"/>
    <x v="1"/>
    <n v="19"/>
    <x v="1"/>
    <n v="3"/>
    <x v="0"/>
    <n v="3"/>
    <x v="3"/>
    <n v="80"/>
    <n v="2"/>
    <n v="8"/>
    <x v="0"/>
    <n v="3"/>
    <x v="1"/>
    <n v="2"/>
    <x v="2"/>
    <n v="1"/>
    <x v="1"/>
    <n v="0"/>
    <x v="2"/>
    <n v="0"/>
    <x v="0"/>
    <n v="0"/>
    <x v="2"/>
  </r>
  <r>
    <n v="2013"/>
    <n v="32"/>
    <x v="2"/>
    <x v="1"/>
    <n v="0"/>
    <x v="0"/>
    <n v="234"/>
    <x v="1"/>
    <x v="0"/>
    <n v="1"/>
    <x v="0"/>
    <n v="4"/>
    <x v="2"/>
    <x v="2"/>
    <n v="1"/>
    <n v="2"/>
    <x v="0"/>
    <x v="1"/>
    <n v="68"/>
    <x v="1"/>
    <n v="2"/>
    <x v="1"/>
    <n v="1"/>
    <x v="6"/>
    <n v="2"/>
    <x v="1"/>
    <x v="1"/>
    <n v="2269"/>
    <x v="2"/>
    <n v="18024"/>
    <x v="0"/>
    <n v="0"/>
    <x v="1"/>
    <s v="Y"/>
    <x v="1"/>
    <n v="14"/>
    <x v="2"/>
    <n v="3"/>
    <x v="0"/>
    <n v="2"/>
    <x v="4"/>
    <n v="80"/>
    <n v="1"/>
    <n v="3"/>
    <x v="3"/>
    <n v="2"/>
    <x v="0"/>
    <n v="3"/>
    <x v="1"/>
    <n v="2"/>
    <x v="2"/>
    <n v="2"/>
    <x v="0"/>
    <n v="2"/>
    <x v="1"/>
    <n v="2"/>
    <x v="0"/>
  </r>
  <r>
    <n v="2014"/>
    <n v="39"/>
    <x v="0"/>
    <x v="1"/>
    <n v="0"/>
    <x v="0"/>
    <n v="116"/>
    <x v="1"/>
    <x v="1"/>
    <n v="24"/>
    <x v="2"/>
    <n v="1"/>
    <x v="1"/>
    <x v="0"/>
    <n v="1"/>
    <n v="1"/>
    <x v="3"/>
    <x v="1"/>
    <n v="52"/>
    <x v="1"/>
    <n v="3"/>
    <x v="0"/>
    <n v="2"/>
    <x v="1"/>
    <n v="4"/>
    <x v="0"/>
    <x v="0"/>
    <n v="4108"/>
    <x v="1"/>
    <n v="5340"/>
    <x v="2"/>
    <n v="7"/>
    <x v="0"/>
    <s v="Y"/>
    <x v="1"/>
    <n v="13"/>
    <x v="2"/>
    <n v="3"/>
    <x v="0"/>
    <n v="1"/>
    <x v="0"/>
    <n v="80"/>
    <n v="0"/>
    <n v="18"/>
    <x v="1"/>
    <n v="2"/>
    <x v="0"/>
    <n v="3"/>
    <x v="1"/>
    <n v="7"/>
    <x v="0"/>
    <n v="7"/>
    <x v="1"/>
    <n v="1"/>
    <x v="0"/>
    <n v="7"/>
    <x v="1"/>
  </r>
  <r>
    <n v="2015"/>
    <n v="38"/>
    <x v="0"/>
    <x v="1"/>
    <n v="0"/>
    <x v="0"/>
    <n v="201"/>
    <x v="1"/>
    <x v="1"/>
    <n v="10"/>
    <x v="1"/>
    <n v="3"/>
    <x v="3"/>
    <x v="2"/>
    <n v="1"/>
    <n v="2"/>
    <x v="0"/>
    <x v="0"/>
    <n v="99"/>
    <x v="0"/>
    <n v="1"/>
    <x v="3"/>
    <n v="3"/>
    <x v="7"/>
    <n v="3"/>
    <x v="2"/>
    <x v="1"/>
    <n v="13206"/>
    <x v="10"/>
    <n v="3376"/>
    <x v="2"/>
    <n v="3"/>
    <x v="3"/>
    <s v="Y"/>
    <x v="1"/>
    <n v="12"/>
    <x v="0"/>
    <n v="3"/>
    <x v="0"/>
    <n v="1"/>
    <x v="0"/>
    <n v="80"/>
    <n v="1"/>
    <n v="20"/>
    <x v="1"/>
    <n v="3"/>
    <x v="1"/>
    <n v="3"/>
    <x v="1"/>
    <n v="18"/>
    <x v="4"/>
    <n v="16"/>
    <x v="3"/>
    <n v="1"/>
    <x v="0"/>
    <n v="11"/>
    <x v="3"/>
  </r>
  <r>
    <n v="2016"/>
    <n v="32"/>
    <x v="2"/>
    <x v="1"/>
    <n v="0"/>
    <x v="0"/>
    <n v="801"/>
    <x v="2"/>
    <x v="0"/>
    <n v="1"/>
    <x v="0"/>
    <n v="4"/>
    <x v="2"/>
    <x v="3"/>
    <n v="1"/>
    <n v="3"/>
    <x v="1"/>
    <x v="0"/>
    <n v="48"/>
    <x v="2"/>
    <n v="3"/>
    <x v="0"/>
    <n v="3"/>
    <x v="0"/>
    <n v="4"/>
    <x v="0"/>
    <x v="1"/>
    <n v="10422"/>
    <x v="8"/>
    <n v="24032"/>
    <x v="1"/>
    <n v="1"/>
    <x v="1"/>
    <s v="Y"/>
    <x v="1"/>
    <n v="19"/>
    <x v="1"/>
    <n v="3"/>
    <x v="0"/>
    <n v="3"/>
    <x v="3"/>
    <n v="80"/>
    <n v="2"/>
    <n v="14"/>
    <x v="1"/>
    <n v="3"/>
    <x v="1"/>
    <n v="3"/>
    <x v="1"/>
    <n v="14"/>
    <x v="4"/>
    <n v="10"/>
    <x v="1"/>
    <n v="5"/>
    <x v="1"/>
    <n v="7"/>
    <x v="1"/>
  </r>
  <r>
    <n v="2017"/>
    <n v="37"/>
    <x v="0"/>
    <x v="1"/>
    <n v="0"/>
    <x v="0"/>
    <n v="161"/>
    <x v="1"/>
    <x v="1"/>
    <n v="10"/>
    <x v="1"/>
    <n v="3"/>
    <x v="3"/>
    <x v="0"/>
    <n v="1"/>
    <n v="3"/>
    <x v="1"/>
    <x v="0"/>
    <n v="42"/>
    <x v="2"/>
    <n v="4"/>
    <x v="2"/>
    <n v="3"/>
    <x v="7"/>
    <n v="4"/>
    <x v="0"/>
    <x v="1"/>
    <n v="13744"/>
    <x v="10"/>
    <n v="15471"/>
    <x v="3"/>
    <n v="1"/>
    <x v="1"/>
    <s v="Y"/>
    <x v="0"/>
    <n v="25"/>
    <x v="1"/>
    <n v="4"/>
    <x v="1"/>
    <n v="1"/>
    <x v="0"/>
    <n v="80"/>
    <n v="1"/>
    <n v="16"/>
    <x v="1"/>
    <n v="2"/>
    <x v="0"/>
    <n v="3"/>
    <x v="1"/>
    <n v="16"/>
    <x v="4"/>
    <n v="11"/>
    <x v="3"/>
    <n v="6"/>
    <x v="2"/>
    <n v="8"/>
    <x v="1"/>
  </r>
  <r>
    <n v="2018"/>
    <n v="25"/>
    <x v="4"/>
    <x v="1"/>
    <n v="0"/>
    <x v="0"/>
    <n v="1382"/>
    <x v="0"/>
    <x v="0"/>
    <n v="8"/>
    <x v="1"/>
    <n v="2"/>
    <x v="0"/>
    <x v="1"/>
    <n v="1"/>
    <n v="1"/>
    <x v="3"/>
    <x v="0"/>
    <n v="85"/>
    <x v="0"/>
    <n v="3"/>
    <x v="0"/>
    <n v="2"/>
    <x v="0"/>
    <n v="3"/>
    <x v="2"/>
    <x v="2"/>
    <n v="4907"/>
    <x v="1"/>
    <n v="13684"/>
    <x v="3"/>
    <n v="0"/>
    <x v="1"/>
    <s v="Y"/>
    <x v="0"/>
    <n v="22"/>
    <x v="1"/>
    <n v="4"/>
    <x v="1"/>
    <n v="2"/>
    <x v="4"/>
    <n v="80"/>
    <n v="1"/>
    <n v="6"/>
    <x v="0"/>
    <n v="3"/>
    <x v="1"/>
    <n v="2"/>
    <x v="2"/>
    <n v="5"/>
    <x v="2"/>
    <n v="3"/>
    <x v="0"/>
    <n v="0"/>
    <x v="0"/>
    <n v="4"/>
    <x v="0"/>
  </r>
  <r>
    <n v="2019"/>
    <n v="52"/>
    <x v="1"/>
    <x v="1"/>
    <n v="0"/>
    <x v="2"/>
    <n v="585"/>
    <x v="2"/>
    <x v="0"/>
    <n v="29"/>
    <x v="2"/>
    <n v="4"/>
    <x v="2"/>
    <x v="0"/>
    <n v="1"/>
    <n v="1"/>
    <x v="3"/>
    <x v="1"/>
    <n v="40"/>
    <x v="2"/>
    <n v="3"/>
    <x v="0"/>
    <n v="1"/>
    <x v="6"/>
    <n v="4"/>
    <x v="0"/>
    <x v="2"/>
    <n v="3482"/>
    <x v="3"/>
    <n v="19788"/>
    <x v="0"/>
    <n v="2"/>
    <x v="3"/>
    <s v="Y"/>
    <x v="1"/>
    <n v="15"/>
    <x v="2"/>
    <n v="3"/>
    <x v="0"/>
    <n v="2"/>
    <x v="4"/>
    <n v="80"/>
    <n v="2"/>
    <n v="16"/>
    <x v="1"/>
    <n v="3"/>
    <x v="1"/>
    <n v="2"/>
    <x v="2"/>
    <n v="9"/>
    <x v="0"/>
    <n v="8"/>
    <x v="1"/>
    <n v="0"/>
    <x v="0"/>
    <n v="0"/>
    <x v="2"/>
  </r>
  <r>
    <n v="2020"/>
    <n v="44"/>
    <x v="0"/>
    <x v="1"/>
    <n v="0"/>
    <x v="0"/>
    <n v="1037"/>
    <x v="0"/>
    <x v="1"/>
    <n v="1"/>
    <x v="0"/>
    <n v="3"/>
    <x v="3"/>
    <x v="2"/>
    <n v="1"/>
    <n v="2"/>
    <x v="0"/>
    <x v="1"/>
    <n v="42"/>
    <x v="2"/>
    <n v="3"/>
    <x v="0"/>
    <n v="1"/>
    <x v="1"/>
    <n v="4"/>
    <x v="0"/>
    <x v="0"/>
    <n v="2436"/>
    <x v="2"/>
    <n v="13422"/>
    <x v="3"/>
    <n v="6"/>
    <x v="2"/>
    <s v="Y"/>
    <x v="0"/>
    <n v="12"/>
    <x v="0"/>
    <n v="3"/>
    <x v="0"/>
    <n v="3"/>
    <x v="3"/>
    <n v="80"/>
    <n v="0"/>
    <n v="6"/>
    <x v="0"/>
    <n v="2"/>
    <x v="0"/>
    <n v="3"/>
    <x v="1"/>
    <n v="4"/>
    <x v="2"/>
    <n v="3"/>
    <x v="0"/>
    <n v="1"/>
    <x v="0"/>
    <n v="2"/>
    <x v="0"/>
  </r>
  <r>
    <n v="2021"/>
    <n v="21"/>
    <x v="4"/>
    <x v="1"/>
    <n v="0"/>
    <x v="0"/>
    <n v="501"/>
    <x v="2"/>
    <x v="0"/>
    <n v="5"/>
    <x v="0"/>
    <n v="1"/>
    <x v="1"/>
    <x v="2"/>
    <n v="1"/>
    <n v="3"/>
    <x v="1"/>
    <x v="1"/>
    <n v="58"/>
    <x v="1"/>
    <n v="3"/>
    <x v="0"/>
    <n v="1"/>
    <x v="6"/>
    <n v="1"/>
    <x v="3"/>
    <x v="0"/>
    <n v="2380"/>
    <x v="2"/>
    <n v="25479"/>
    <x v="1"/>
    <n v="1"/>
    <x v="1"/>
    <s v="Y"/>
    <x v="0"/>
    <n v="11"/>
    <x v="0"/>
    <n v="3"/>
    <x v="0"/>
    <n v="4"/>
    <x v="1"/>
    <n v="80"/>
    <n v="0"/>
    <n v="2"/>
    <x v="2"/>
    <n v="6"/>
    <x v="2"/>
    <n v="3"/>
    <x v="1"/>
    <n v="2"/>
    <x v="2"/>
    <n v="2"/>
    <x v="0"/>
    <n v="1"/>
    <x v="0"/>
    <n v="2"/>
    <x v="0"/>
  </r>
  <r>
    <n v="2022"/>
    <n v="39"/>
    <x v="0"/>
    <x v="1"/>
    <n v="0"/>
    <x v="2"/>
    <n v="105"/>
    <x v="1"/>
    <x v="1"/>
    <n v="9"/>
    <x v="1"/>
    <n v="3"/>
    <x v="3"/>
    <x v="0"/>
    <n v="1"/>
    <n v="4"/>
    <x v="2"/>
    <x v="1"/>
    <n v="87"/>
    <x v="0"/>
    <n v="3"/>
    <x v="0"/>
    <n v="5"/>
    <x v="5"/>
    <n v="4"/>
    <x v="0"/>
    <x v="0"/>
    <n v="19431"/>
    <x v="7"/>
    <n v="15302"/>
    <x v="3"/>
    <n v="2"/>
    <x v="3"/>
    <s v="Y"/>
    <x v="1"/>
    <n v="13"/>
    <x v="2"/>
    <n v="3"/>
    <x v="0"/>
    <n v="3"/>
    <x v="3"/>
    <n v="80"/>
    <n v="0"/>
    <n v="21"/>
    <x v="4"/>
    <n v="3"/>
    <x v="1"/>
    <n v="2"/>
    <x v="2"/>
    <n v="6"/>
    <x v="0"/>
    <n v="0"/>
    <x v="2"/>
    <n v="1"/>
    <x v="0"/>
    <n v="3"/>
    <x v="0"/>
  </r>
  <r>
    <n v="2023"/>
    <n v="23"/>
    <x v="4"/>
    <x v="0"/>
    <n v="1"/>
    <x v="1"/>
    <n v="638"/>
    <x v="2"/>
    <x v="0"/>
    <n v="9"/>
    <x v="1"/>
    <n v="3"/>
    <x v="3"/>
    <x v="3"/>
    <n v="1"/>
    <n v="4"/>
    <x v="2"/>
    <x v="1"/>
    <n v="33"/>
    <x v="2"/>
    <n v="3"/>
    <x v="0"/>
    <n v="1"/>
    <x v="6"/>
    <n v="1"/>
    <x v="3"/>
    <x v="1"/>
    <n v="1790"/>
    <x v="2"/>
    <n v="26956"/>
    <x v="1"/>
    <n v="1"/>
    <x v="1"/>
    <s v="Y"/>
    <x v="1"/>
    <n v="19"/>
    <x v="1"/>
    <n v="3"/>
    <x v="0"/>
    <n v="1"/>
    <x v="0"/>
    <n v="80"/>
    <n v="1"/>
    <n v="1"/>
    <x v="2"/>
    <n v="3"/>
    <x v="1"/>
    <n v="2"/>
    <x v="2"/>
    <n v="1"/>
    <x v="1"/>
    <n v="0"/>
    <x v="2"/>
    <n v="1"/>
    <x v="0"/>
    <n v="0"/>
    <x v="2"/>
  </r>
  <r>
    <n v="2024"/>
    <n v="36"/>
    <x v="0"/>
    <x v="1"/>
    <n v="0"/>
    <x v="0"/>
    <n v="557"/>
    <x v="2"/>
    <x v="0"/>
    <n v="3"/>
    <x v="0"/>
    <n v="3"/>
    <x v="3"/>
    <x v="2"/>
    <n v="1"/>
    <n v="1"/>
    <x v="3"/>
    <x v="0"/>
    <n v="94"/>
    <x v="0"/>
    <n v="2"/>
    <x v="1"/>
    <n v="3"/>
    <x v="0"/>
    <n v="4"/>
    <x v="0"/>
    <x v="1"/>
    <n v="7644"/>
    <x v="11"/>
    <n v="12695"/>
    <x v="3"/>
    <n v="0"/>
    <x v="1"/>
    <s v="Y"/>
    <x v="1"/>
    <n v="19"/>
    <x v="1"/>
    <n v="3"/>
    <x v="0"/>
    <n v="3"/>
    <x v="3"/>
    <n v="80"/>
    <n v="2"/>
    <n v="10"/>
    <x v="0"/>
    <n v="2"/>
    <x v="0"/>
    <n v="3"/>
    <x v="1"/>
    <n v="9"/>
    <x v="0"/>
    <n v="7"/>
    <x v="1"/>
    <n v="3"/>
    <x v="1"/>
    <n v="4"/>
    <x v="0"/>
  </r>
  <r>
    <n v="2025"/>
    <n v="36"/>
    <x v="0"/>
    <x v="1"/>
    <n v="0"/>
    <x v="1"/>
    <n v="688"/>
    <x v="2"/>
    <x v="1"/>
    <n v="4"/>
    <x v="0"/>
    <n v="2"/>
    <x v="0"/>
    <x v="0"/>
    <n v="1"/>
    <n v="4"/>
    <x v="2"/>
    <x v="0"/>
    <n v="97"/>
    <x v="0"/>
    <n v="3"/>
    <x v="0"/>
    <n v="2"/>
    <x v="3"/>
    <n v="2"/>
    <x v="1"/>
    <x v="2"/>
    <n v="5131"/>
    <x v="1"/>
    <n v="9192"/>
    <x v="3"/>
    <n v="7"/>
    <x v="0"/>
    <s v="Y"/>
    <x v="1"/>
    <n v="13"/>
    <x v="2"/>
    <n v="3"/>
    <x v="0"/>
    <n v="2"/>
    <x v="4"/>
    <n v="80"/>
    <n v="3"/>
    <n v="18"/>
    <x v="1"/>
    <n v="3"/>
    <x v="1"/>
    <n v="3"/>
    <x v="1"/>
    <n v="4"/>
    <x v="2"/>
    <n v="2"/>
    <x v="0"/>
    <n v="0"/>
    <x v="0"/>
    <n v="2"/>
    <x v="0"/>
  </r>
  <r>
    <n v="2026"/>
    <n v="56"/>
    <x v="3"/>
    <x v="1"/>
    <n v="0"/>
    <x v="2"/>
    <n v="667"/>
    <x v="2"/>
    <x v="1"/>
    <n v="1"/>
    <x v="0"/>
    <n v="4"/>
    <x v="2"/>
    <x v="0"/>
    <n v="1"/>
    <n v="3"/>
    <x v="1"/>
    <x v="1"/>
    <n v="57"/>
    <x v="1"/>
    <n v="3"/>
    <x v="0"/>
    <n v="2"/>
    <x v="4"/>
    <n v="3"/>
    <x v="2"/>
    <x v="2"/>
    <n v="6306"/>
    <x v="0"/>
    <n v="26236"/>
    <x v="1"/>
    <n v="1"/>
    <x v="1"/>
    <s v="Y"/>
    <x v="1"/>
    <n v="21"/>
    <x v="1"/>
    <n v="4"/>
    <x v="1"/>
    <n v="1"/>
    <x v="0"/>
    <n v="80"/>
    <n v="1"/>
    <n v="13"/>
    <x v="1"/>
    <n v="2"/>
    <x v="0"/>
    <n v="2"/>
    <x v="2"/>
    <n v="13"/>
    <x v="4"/>
    <n v="12"/>
    <x v="3"/>
    <n v="1"/>
    <x v="0"/>
    <n v="9"/>
    <x v="1"/>
  </r>
  <r>
    <n v="2027"/>
    <n v="29"/>
    <x v="2"/>
    <x v="0"/>
    <n v="1"/>
    <x v="0"/>
    <n v="1092"/>
    <x v="0"/>
    <x v="1"/>
    <n v="1"/>
    <x v="0"/>
    <n v="4"/>
    <x v="2"/>
    <x v="2"/>
    <n v="1"/>
    <n v="1"/>
    <x v="3"/>
    <x v="1"/>
    <n v="36"/>
    <x v="2"/>
    <n v="3"/>
    <x v="0"/>
    <n v="1"/>
    <x v="1"/>
    <n v="4"/>
    <x v="0"/>
    <x v="1"/>
    <n v="4787"/>
    <x v="1"/>
    <n v="26124"/>
    <x v="1"/>
    <n v="9"/>
    <x v="0"/>
    <s v="Y"/>
    <x v="0"/>
    <n v="14"/>
    <x v="2"/>
    <n v="3"/>
    <x v="0"/>
    <n v="2"/>
    <x v="4"/>
    <n v="80"/>
    <n v="3"/>
    <n v="4"/>
    <x v="3"/>
    <n v="3"/>
    <x v="1"/>
    <n v="4"/>
    <x v="3"/>
    <n v="2"/>
    <x v="2"/>
    <n v="2"/>
    <x v="0"/>
    <n v="2"/>
    <x v="1"/>
    <n v="2"/>
    <x v="0"/>
  </r>
  <r>
    <n v="2031"/>
    <n v="42"/>
    <x v="0"/>
    <x v="1"/>
    <n v="0"/>
    <x v="0"/>
    <n v="300"/>
    <x v="1"/>
    <x v="1"/>
    <n v="2"/>
    <x v="0"/>
    <n v="3"/>
    <x v="3"/>
    <x v="0"/>
    <n v="1"/>
    <n v="1"/>
    <x v="3"/>
    <x v="1"/>
    <n v="56"/>
    <x v="1"/>
    <n v="3"/>
    <x v="0"/>
    <n v="5"/>
    <x v="5"/>
    <n v="3"/>
    <x v="2"/>
    <x v="1"/>
    <n v="18880"/>
    <x v="9"/>
    <n v="17312"/>
    <x v="0"/>
    <n v="5"/>
    <x v="2"/>
    <s v="Y"/>
    <x v="1"/>
    <n v="11"/>
    <x v="0"/>
    <n v="3"/>
    <x v="0"/>
    <n v="1"/>
    <x v="0"/>
    <n v="80"/>
    <n v="0"/>
    <n v="24"/>
    <x v="4"/>
    <n v="2"/>
    <x v="0"/>
    <n v="2"/>
    <x v="2"/>
    <n v="22"/>
    <x v="3"/>
    <n v="6"/>
    <x v="1"/>
    <n v="4"/>
    <x v="1"/>
    <n v="14"/>
    <x v="3"/>
  </r>
  <r>
    <n v="2032"/>
    <n v="56"/>
    <x v="3"/>
    <x v="0"/>
    <n v="1"/>
    <x v="0"/>
    <n v="310"/>
    <x v="1"/>
    <x v="1"/>
    <n v="7"/>
    <x v="1"/>
    <n v="2"/>
    <x v="0"/>
    <x v="4"/>
    <n v="1"/>
    <n v="4"/>
    <x v="2"/>
    <x v="1"/>
    <n v="72"/>
    <x v="1"/>
    <n v="3"/>
    <x v="0"/>
    <n v="1"/>
    <x v="2"/>
    <n v="3"/>
    <x v="2"/>
    <x v="1"/>
    <n v="2339"/>
    <x v="2"/>
    <n v="3666"/>
    <x v="2"/>
    <n v="8"/>
    <x v="0"/>
    <s v="Y"/>
    <x v="1"/>
    <n v="11"/>
    <x v="0"/>
    <n v="3"/>
    <x v="0"/>
    <n v="4"/>
    <x v="1"/>
    <n v="80"/>
    <n v="1"/>
    <n v="14"/>
    <x v="1"/>
    <n v="4"/>
    <x v="1"/>
    <n v="1"/>
    <x v="0"/>
    <n v="10"/>
    <x v="0"/>
    <n v="9"/>
    <x v="1"/>
    <n v="9"/>
    <x v="2"/>
    <n v="8"/>
    <x v="1"/>
  </r>
  <r>
    <n v="2034"/>
    <n v="41"/>
    <x v="0"/>
    <x v="1"/>
    <n v="0"/>
    <x v="0"/>
    <n v="582"/>
    <x v="2"/>
    <x v="1"/>
    <n v="28"/>
    <x v="2"/>
    <n v="4"/>
    <x v="2"/>
    <x v="0"/>
    <n v="1"/>
    <n v="1"/>
    <x v="3"/>
    <x v="0"/>
    <n v="60"/>
    <x v="1"/>
    <n v="2"/>
    <x v="1"/>
    <n v="4"/>
    <x v="3"/>
    <n v="2"/>
    <x v="1"/>
    <x v="1"/>
    <n v="13570"/>
    <x v="10"/>
    <n v="5640"/>
    <x v="2"/>
    <n v="0"/>
    <x v="1"/>
    <s v="Y"/>
    <x v="1"/>
    <n v="23"/>
    <x v="1"/>
    <n v="4"/>
    <x v="1"/>
    <n v="3"/>
    <x v="3"/>
    <n v="80"/>
    <n v="1"/>
    <n v="21"/>
    <x v="4"/>
    <n v="3"/>
    <x v="1"/>
    <n v="3"/>
    <x v="1"/>
    <n v="20"/>
    <x v="4"/>
    <n v="7"/>
    <x v="1"/>
    <n v="0"/>
    <x v="0"/>
    <n v="10"/>
    <x v="1"/>
  </r>
  <r>
    <n v="2035"/>
    <n v="34"/>
    <x v="2"/>
    <x v="1"/>
    <n v="0"/>
    <x v="0"/>
    <n v="704"/>
    <x v="2"/>
    <x v="0"/>
    <n v="28"/>
    <x v="2"/>
    <n v="3"/>
    <x v="3"/>
    <x v="3"/>
    <n v="1"/>
    <n v="4"/>
    <x v="2"/>
    <x v="0"/>
    <n v="95"/>
    <x v="0"/>
    <n v="2"/>
    <x v="1"/>
    <n v="2"/>
    <x v="0"/>
    <n v="3"/>
    <x v="2"/>
    <x v="1"/>
    <n v="6712"/>
    <x v="0"/>
    <n v="8978"/>
    <x v="3"/>
    <n v="1"/>
    <x v="1"/>
    <s v="Y"/>
    <x v="1"/>
    <n v="21"/>
    <x v="1"/>
    <n v="4"/>
    <x v="1"/>
    <n v="4"/>
    <x v="1"/>
    <n v="80"/>
    <n v="2"/>
    <n v="8"/>
    <x v="0"/>
    <n v="2"/>
    <x v="0"/>
    <n v="3"/>
    <x v="1"/>
    <n v="8"/>
    <x v="0"/>
    <n v="7"/>
    <x v="1"/>
    <n v="1"/>
    <x v="0"/>
    <n v="7"/>
    <x v="1"/>
  </r>
  <r>
    <n v="2036"/>
    <n v="36"/>
    <x v="0"/>
    <x v="1"/>
    <n v="0"/>
    <x v="2"/>
    <n v="301"/>
    <x v="1"/>
    <x v="0"/>
    <n v="15"/>
    <x v="3"/>
    <n v="4"/>
    <x v="2"/>
    <x v="3"/>
    <n v="1"/>
    <n v="4"/>
    <x v="2"/>
    <x v="1"/>
    <n v="88"/>
    <x v="0"/>
    <n v="1"/>
    <x v="3"/>
    <n v="2"/>
    <x v="0"/>
    <n v="4"/>
    <x v="0"/>
    <x v="2"/>
    <n v="5406"/>
    <x v="1"/>
    <n v="10436"/>
    <x v="3"/>
    <n v="1"/>
    <x v="1"/>
    <s v="Y"/>
    <x v="1"/>
    <n v="24"/>
    <x v="1"/>
    <n v="4"/>
    <x v="1"/>
    <n v="1"/>
    <x v="0"/>
    <n v="80"/>
    <n v="1"/>
    <n v="15"/>
    <x v="1"/>
    <n v="4"/>
    <x v="1"/>
    <n v="2"/>
    <x v="2"/>
    <n v="15"/>
    <x v="4"/>
    <n v="12"/>
    <x v="3"/>
    <n v="11"/>
    <x v="3"/>
    <n v="11"/>
    <x v="3"/>
  </r>
  <r>
    <n v="2037"/>
    <n v="41"/>
    <x v="0"/>
    <x v="1"/>
    <n v="0"/>
    <x v="0"/>
    <n v="930"/>
    <x v="2"/>
    <x v="0"/>
    <n v="3"/>
    <x v="0"/>
    <n v="3"/>
    <x v="3"/>
    <x v="0"/>
    <n v="1"/>
    <n v="3"/>
    <x v="1"/>
    <x v="1"/>
    <n v="57"/>
    <x v="1"/>
    <n v="2"/>
    <x v="1"/>
    <n v="2"/>
    <x v="0"/>
    <n v="2"/>
    <x v="1"/>
    <x v="2"/>
    <n v="8938"/>
    <x v="4"/>
    <n v="12227"/>
    <x v="3"/>
    <n v="2"/>
    <x v="3"/>
    <s v="Y"/>
    <x v="1"/>
    <n v="11"/>
    <x v="0"/>
    <n v="3"/>
    <x v="0"/>
    <n v="3"/>
    <x v="3"/>
    <n v="80"/>
    <n v="1"/>
    <n v="14"/>
    <x v="1"/>
    <n v="5"/>
    <x v="2"/>
    <n v="3"/>
    <x v="1"/>
    <n v="5"/>
    <x v="2"/>
    <n v="4"/>
    <x v="0"/>
    <n v="0"/>
    <x v="0"/>
    <n v="4"/>
    <x v="0"/>
  </r>
  <r>
    <n v="2038"/>
    <n v="32"/>
    <x v="2"/>
    <x v="1"/>
    <n v="0"/>
    <x v="0"/>
    <n v="529"/>
    <x v="2"/>
    <x v="1"/>
    <n v="2"/>
    <x v="0"/>
    <n v="3"/>
    <x v="3"/>
    <x v="4"/>
    <n v="1"/>
    <n v="4"/>
    <x v="2"/>
    <x v="1"/>
    <n v="78"/>
    <x v="0"/>
    <n v="3"/>
    <x v="0"/>
    <n v="1"/>
    <x v="1"/>
    <n v="1"/>
    <x v="3"/>
    <x v="0"/>
    <n v="2439"/>
    <x v="2"/>
    <n v="11288"/>
    <x v="3"/>
    <n v="1"/>
    <x v="1"/>
    <s v="Y"/>
    <x v="1"/>
    <n v="14"/>
    <x v="2"/>
    <n v="3"/>
    <x v="0"/>
    <n v="4"/>
    <x v="1"/>
    <n v="80"/>
    <n v="0"/>
    <n v="4"/>
    <x v="3"/>
    <n v="4"/>
    <x v="1"/>
    <n v="3"/>
    <x v="1"/>
    <n v="4"/>
    <x v="2"/>
    <n v="2"/>
    <x v="0"/>
    <n v="1"/>
    <x v="0"/>
    <n v="2"/>
    <x v="0"/>
  </r>
  <r>
    <n v="2040"/>
    <n v="35"/>
    <x v="2"/>
    <x v="1"/>
    <n v="0"/>
    <x v="0"/>
    <n v="1146"/>
    <x v="0"/>
    <x v="2"/>
    <n v="26"/>
    <x v="2"/>
    <n v="4"/>
    <x v="2"/>
    <x v="0"/>
    <n v="1"/>
    <n v="3"/>
    <x v="1"/>
    <x v="0"/>
    <n v="31"/>
    <x v="2"/>
    <n v="3"/>
    <x v="0"/>
    <n v="3"/>
    <x v="8"/>
    <n v="4"/>
    <x v="0"/>
    <x v="0"/>
    <n v="8837"/>
    <x v="4"/>
    <n v="16642"/>
    <x v="0"/>
    <n v="1"/>
    <x v="1"/>
    <s v="Y"/>
    <x v="0"/>
    <n v="16"/>
    <x v="3"/>
    <n v="3"/>
    <x v="0"/>
    <n v="3"/>
    <x v="3"/>
    <n v="80"/>
    <n v="0"/>
    <n v="9"/>
    <x v="0"/>
    <n v="2"/>
    <x v="0"/>
    <n v="3"/>
    <x v="1"/>
    <n v="9"/>
    <x v="0"/>
    <n v="0"/>
    <x v="2"/>
    <n v="1"/>
    <x v="0"/>
    <n v="7"/>
    <x v="1"/>
  </r>
  <r>
    <n v="2041"/>
    <n v="38"/>
    <x v="0"/>
    <x v="1"/>
    <n v="0"/>
    <x v="0"/>
    <n v="345"/>
    <x v="1"/>
    <x v="0"/>
    <n v="10"/>
    <x v="1"/>
    <n v="2"/>
    <x v="0"/>
    <x v="0"/>
    <n v="1"/>
    <n v="1"/>
    <x v="3"/>
    <x v="0"/>
    <n v="100"/>
    <x v="0"/>
    <n v="3"/>
    <x v="0"/>
    <n v="2"/>
    <x v="0"/>
    <n v="4"/>
    <x v="0"/>
    <x v="1"/>
    <n v="5343"/>
    <x v="1"/>
    <n v="5982"/>
    <x v="2"/>
    <n v="1"/>
    <x v="1"/>
    <s v="Y"/>
    <x v="1"/>
    <n v="11"/>
    <x v="0"/>
    <n v="3"/>
    <x v="0"/>
    <n v="3"/>
    <x v="3"/>
    <n v="80"/>
    <n v="1"/>
    <n v="10"/>
    <x v="0"/>
    <n v="1"/>
    <x v="0"/>
    <n v="3"/>
    <x v="1"/>
    <n v="10"/>
    <x v="0"/>
    <n v="7"/>
    <x v="1"/>
    <n v="1"/>
    <x v="0"/>
    <n v="9"/>
    <x v="1"/>
  </r>
  <r>
    <n v="2044"/>
    <n v="50"/>
    <x v="1"/>
    <x v="0"/>
    <n v="1"/>
    <x v="1"/>
    <n v="878"/>
    <x v="2"/>
    <x v="0"/>
    <n v="1"/>
    <x v="0"/>
    <n v="4"/>
    <x v="2"/>
    <x v="0"/>
    <n v="1"/>
    <n v="2"/>
    <x v="0"/>
    <x v="1"/>
    <n v="94"/>
    <x v="0"/>
    <n v="3"/>
    <x v="0"/>
    <n v="2"/>
    <x v="0"/>
    <n v="3"/>
    <x v="2"/>
    <x v="2"/>
    <n v="6728"/>
    <x v="0"/>
    <n v="14255"/>
    <x v="3"/>
    <n v="7"/>
    <x v="0"/>
    <s v="Y"/>
    <x v="1"/>
    <n v="12"/>
    <x v="0"/>
    <n v="3"/>
    <x v="0"/>
    <n v="4"/>
    <x v="1"/>
    <n v="80"/>
    <n v="2"/>
    <n v="12"/>
    <x v="1"/>
    <n v="3"/>
    <x v="1"/>
    <n v="3"/>
    <x v="1"/>
    <n v="6"/>
    <x v="0"/>
    <n v="3"/>
    <x v="0"/>
    <n v="0"/>
    <x v="0"/>
    <n v="1"/>
    <x v="2"/>
  </r>
  <r>
    <n v="2045"/>
    <n v="36"/>
    <x v="0"/>
    <x v="1"/>
    <n v="0"/>
    <x v="0"/>
    <n v="1120"/>
    <x v="0"/>
    <x v="0"/>
    <n v="11"/>
    <x v="3"/>
    <n v="4"/>
    <x v="2"/>
    <x v="3"/>
    <n v="1"/>
    <n v="2"/>
    <x v="0"/>
    <x v="0"/>
    <n v="100"/>
    <x v="0"/>
    <n v="2"/>
    <x v="1"/>
    <n v="2"/>
    <x v="0"/>
    <n v="4"/>
    <x v="0"/>
    <x v="1"/>
    <n v="6652"/>
    <x v="0"/>
    <n v="14369"/>
    <x v="3"/>
    <n v="4"/>
    <x v="2"/>
    <s v="Y"/>
    <x v="1"/>
    <n v="13"/>
    <x v="2"/>
    <n v="3"/>
    <x v="0"/>
    <n v="1"/>
    <x v="0"/>
    <n v="80"/>
    <n v="1"/>
    <n v="8"/>
    <x v="0"/>
    <n v="2"/>
    <x v="0"/>
    <n v="2"/>
    <x v="2"/>
    <n v="6"/>
    <x v="0"/>
    <n v="3"/>
    <x v="0"/>
    <n v="0"/>
    <x v="0"/>
    <n v="0"/>
    <x v="2"/>
  </r>
  <r>
    <n v="2046"/>
    <n v="45"/>
    <x v="0"/>
    <x v="1"/>
    <n v="0"/>
    <x v="0"/>
    <n v="374"/>
    <x v="1"/>
    <x v="0"/>
    <n v="20"/>
    <x v="3"/>
    <n v="3"/>
    <x v="3"/>
    <x v="0"/>
    <n v="1"/>
    <n v="4"/>
    <x v="2"/>
    <x v="0"/>
    <n v="50"/>
    <x v="2"/>
    <n v="3"/>
    <x v="0"/>
    <n v="2"/>
    <x v="0"/>
    <n v="3"/>
    <x v="2"/>
    <x v="0"/>
    <n v="4850"/>
    <x v="1"/>
    <n v="23333"/>
    <x v="1"/>
    <n v="8"/>
    <x v="0"/>
    <s v="Y"/>
    <x v="1"/>
    <n v="15"/>
    <x v="2"/>
    <n v="3"/>
    <x v="0"/>
    <n v="3"/>
    <x v="3"/>
    <n v="80"/>
    <n v="0"/>
    <n v="8"/>
    <x v="0"/>
    <n v="3"/>
    <x v="1"/>
    <n v="3"/>
    <x v="1"/>
    <n v="5"/>
    <x v="2"/>
    <n v="3"/>
    <x v="0"/>
    <n v="0"/>
    <x v="0"/>
    <n v="1"/>
    <x v="2"/>
  </r>
  <r>
    <n v="2048"/>
    <n v="40"/>
    <x v="0"/>
    <x v="1"/>
    <n v="0"/>
    <x v="0"/>
    <n v="1322"/>
    <x v="0"/>
    <x v="1"/>
    <n v="2"/>
    <x v="0"/>
    <n v="4"/>
    <x v="2"/>
    <x v="0"/>
    <n v="1"/>
    <n v="3"/>
    <x v="1"/>
    <x v="1"/>
    <n v="52"/>
    <x v="1"/>
    <n v="2"/>
    <x v="1"/>
    <n v="1"/>
    <x v="1"/>
    <n v="3"/>
    <x v="2"/>
    <x v="0"/>
    <n v="2809"/>
    <x v="3"/>
    <n v="2725"/>
    <x v="2"/>
    <n v="2"/>
    <x v="3"/>
    <s v="Y"/>
    <x v="1"/>
    <n v="14"/>
    <x v="2"/>
    <n v="3"/>
    <x v="0"/>
    <n v="4"/>
    <x v="1"/>
    <n v="80"/>
    <n v="0"/>
    <n v="8"/>
    <x v="0"/>
    <n v="2"/>
    <x v="0"/>
    <n v="3"/>
    <x v="1"/>
    <n v="2"/>
    <x v="2"/>
    <n v="2"/>
    <x v="0"/>
    <n v="2"/>
    <x v="1"/>
    <n v="2"/>
    <x v="0"/>
  </r>
  <r>
    <n v="2049"/>
    <n v="35"/>
    <x v="2"/>
    <x v="1"/>
    <n v="0"/>
    <x v="1"/>
    <n v="1199"/>
    <x v="0"/>
    <x v="1"/>
    <n v="18"/>
    <x v="3"/>
    <n v="4"/>
    <x v="2"/>
    <x v="0"/>
    <n v="1"/>
    <n v="3"/>
    <x v="1"/>
    <x v="1"/>
    <n v="80"/>
    <x v="0"/>
    <n v="3"/>
    <x v="0"/>
    <n v="2"/>
    <x v="4"/>
    <n v="3"/>
    <x v="2"/>
    <x v="1"/>
    <n v="5689"/>
    <x v="0"/>
    <n v="24594"/>
    <x v="1"/>
    <n v="1"/>
    <x v="1"/>
    <s v="Y"/>
    <x v="0"/>
    <n v="14"/>
    <x v="2"/>
    <n v="3"/>
    <x v="0"/>
    <n v="4"/>
    <x v="1"/>
    <n v="80"/>
    <n v="2"/>
    <n v="10"/>
    <x v="0"/>
    <n v="2"/>
    <x v="0"/>
    <n v="4"/>
    <x v="3"/>
    <n v="10"/>
    <x v="0"/>
    <n v="2"/>
    <x v="0"/>
    <n v="0"/>
    <x v="0"/>
    <n v="2"/>
    <x v="0"/>
  </r>
  <r>
    <n v="2051"/>
    <n v="40"/>
    <x v="0"/>
    <x v="1"/>
    <n v="0"/>
    <x v="0"/>
    <n v="1194"/>
    <x v="0"/>
    <x v="1"/>
    <n v="2"/>
    <x v="0"/>
    <n v="4"/>
    <x v="2"/>
    <x v="2"/>
    <n v="1"/>
    <n v="3"/>
    <x v="1"/>
    <x v="0"/>
    <n v="98"/>
    <x v="0"/>
    <n v="3"/>
    <x v="0"/>
    <n v="1"/>
    <x v="1"/>
    <n v="3"/>
    <x v="2"/>
    <x v="1"/>
    <n v="2001"/>
    <x v="2"/>
    <n v="12549"/>
    <x v="3"/>
    <n v="2"/>
    <x v="3"/>
    <s v="Y"/>
    <x v="1"/>
    <n v="14"/>
    <x v="2"/>
    <n v="3"/>
    <x v="0"/>
    <n v="2"/>
    <x v="4"/>
    <n v="80"/>
    <n v="3"/>
    <n v="20"/>
    <x v="1"/>
    <n v="2"/>
    <x v="0"/>
    <n v="3"/>
    <x v="1"/>
    <n v="5"/>
    <x v="2"/>
    <n v="3"/>
    <x v="0"/>
    <n v="0"/>
    <x v="0"/>
    <n v="2"/>
    <x v="0"/>
  </r>
  <r>
    <n v="2052"/>
    <n v="35"/>
    <x v="2"/>
    <x v="1"/>
    <n v="0"/>
    <x v="0"/>
    <n v="287"/>
    <x v="1"/>
    <x v="1"/>
    <n v="1"/>
    <x v="0"/>
    <n v="4"/>
    <x v="2"/>
    <x v="0"/>
    <n v="1"/>
    <n v="3"/>
    <x v="1"/>
    <x v="0"/>
    <n v="62"/>
    <x v="1"/>
    <n v="1"/>
    <x v="3"/>
    <n v="1"/>
    <x v="1"/>
    <n v="4"/>
    <x v="0"/>
    <x v="1"/>
    <n v="2977"/>
    <x v="3"/>
    <n v="8952"/>
    <x v="3"/>
    <n v="1"/>
    <x v="1"/>
    <s v="Y"/>
    <x v="1"/>
    <n v="12"/>
    <x v="0"/>
    <n v="3"/>
    <x v="0"/>
    <n v="4"/>
    <x v="1"/>
    <n v="80"/>
    <n v="1"/>
    <n v="4"/>
    <x v="3"/>
    <n v="5"/>
    <x v="2"/>
    <n v="3"/>
    <x v="1"/>
    <n v="4"/>
    <x v="2"/>
    <n v="3"/>
    <x v="0"/>
    <n v="1"/>
    <x v="0"/>
    <n v="1"/>
    <x v="2"/>
  </r>
  <r>
    <n v="2053"/>
    <n v="29"/>
    <x v="2"/>
    <x v="1"/>
    <n v="0"/>
    <x v="0"/>
    <n v="1378"/>
    <x v="0"/>
    <x v="1"/>
    <n v="13"/>
    <x v="3"/>
    <n v="2"/>
    <x v="0"/>
    <x v="1"/>
    <n v="1"/>
    <n v="4"/>
    <x v="2"/>
    <x v="1"/>
    <n v="46"/>
    <x v="2"/>
    <n v="2"/>
    <x v="1"/>
    <n v="2"/>
    <x v="2"/>
    <n v="2"/>
    <x v="1"/>
    <x v="1"/>
    <n v="4025"/>
    <x v="1"/>
    <n v="23679"/>
    <x v="1"/>
    <n v="4"/>
    <x v="2"/>
    <s v="Y"/>
    <x v="0"/>
    <n v="13"/>
    <x v="2"/>
    <n v="3"/>
    <x v="0"/>
    <n v="1"/>
    <x v="0"/>
    <n v="80"/>
    <n v="1"/>
    <n v="10"/>
    <x v="0"/>
    <n v="2"/>
    <x v="0"/>
    <n v="3"/>
    <x v="1"/>
    <n v="4"/>
    <x v="2"/>
    <n v="3"/>
    <x v="0"/>
    <n v="0"/>
    <x v="0"/>
    <n v="3"/>
    <x v="0"/>
  </r>
  <r>
    <n v="2054"/>
    <n v="29"/>
    <x v="2"/>
    <x v="1"/>
    <n v="0"/>
    <x v="0"/>
    <n v="468"/>
    <x v="1"/>
    <x v="1"/>
    <n v="28"/>
    <x v="2"/>
    <n v="4"/>
    <x v="2"/>
    <x v="2"/>
    <n v="1"/>
    <n v="4"/>
    <x v="2"/>
    <x v="0"/>
    <n v="73"/>
    <x v="1"/>
    <n v="2"/>
    <x v="1"/>
    <n v="1"/>
    <x v="1"/>
    <n v="1"/>
    <x v="3"/>
    <x v="0"/>
    <n v="3785"/>
    <x v="3"/>
    <n v="8489"/>
    <x v="3"/>
    <n v="1"/>
    <x v="1"/>
    <s v="Y"/>
    <x v="1"/>
    <n v="14"/>
    <x v="2"/>
    <n v="3"/>
    <x v="0"/>
    <n v="2"/>
    <x v="4"/>
    <n v="80"/>
    <n v="0"/>
    <n v="5"/>
    <x v="3"/>
    <n v="3"/>
    <x v="1"/>
    <n v="1"/>
    <x v="0"/>
    <n v="5"/>
    <x v="2"/>
    <n v="4"/>
    <x v="0"/>
    <n v="0"/>
    <x v="0"/>
    <n v="4"/>
    <x v="0"/>
  </r>
  <r>
    <n v="2055"/>
    <n v="50"/>
    <x v="1"/>
    <x v="0"/>
    <n v="1"/>
    <x v="0"/>
    <n v="410"/>
    <x v="1"/>
    <x v="0"/>
    <n v="28"/>
    <x v="2"/>
    <n v="3"/>
    <x v="3"/>
    <x v="3"/>
    <n v="1"/>
    <n v="4"/>
    <x v="2"/>
    <x v="1"/>
    <n v="39"/>
    <x v="2"/>
    <n v="2"/>
    <x v="1"/>
    <n v="3"/>
    <x v="0"/>
    <n v="1"/>
    <x v="3"/>
    <x v="2"/>
    <n v="10854"/>
    <x v="8"/>
    <n v="16586"/>
    <x v="0"/>
    <n v="4"/>
    <x v="2"/>
    <s v="Y"/>
    <x v="0"/>
    <n v="13"/>
    <x v="2"/>
    <n v="3"/>
    <x v="0"/>
    <n v="2"/>
    <x v="4"/>
    <n v="80"/>
    <n v="1"/>
    <n v="20"/>
    <x v="1"/>
    <n v="3"/>
    <x v="1"/>
    <n v="3"/>
    <x v="1"/>
    <n v="3"/>
    <x v="2"/>
    <n v="2"/>
    <x v="0"/>
    <n v="2"/>
    <x v="1"/>
    <n v="0"/>
    <x v="2"/>
  </r>
  <r>
    <n v="2056"/>
    <n v="39"/>
    <x v="0"/>
    <x v="1"/>
    <n v="0"/>
    <x v="0"/>
    <n v="722"/>
    <x v="2"/>
    <x v="0"/>
    <n v="24"/>
    <x v="2"/>
    <n v="1"/>
    <x v="1"/>
    <x v="3"/>
    <n v="1"/>
    <n v="2"/>
    <x v="0"/>
    <x v="0"/>
    <n v="60"/>
    <x v="1"/>
    <n v="2"/>
    <x v="1"/>
    <n v="4"/>
    <x v="0"/>
    <n v="4"/>
    <x v="0"/>
    <x v="1"/>
    <n v="12031"/>
    <x v="6"/>
    <n v="8828"/>
    <x v="3"/>
    <n v="0"/>
    <x v="1"/>
    <s v="Y"/>
    <x v="1"/>
    <n v="11"/>
    <x v="0"/>
    <n v="3"/>
    <x v="0"/>
    <n v="1"/>
    <x v="0"/>
    <n v="80"/>
    <n v="1"/>
    <n v="21"/>
    <x v="4"/>
    <n v="2"/>
    <x v="0"/>
    <n v="2"/>
    <x v="2"/>
    <n v="20"/>
    <x v="4"/>
    <n v="9"/>
    <x v="1"/>
    <n v="9"/>
    <x v="2"/>
    <n v="6"/>
    <x v="1"/>
  </r>
  <r>
    <n v="2057"/>
    <n v="31"/>
    <x v="2"/>
    <x v="1"/>
    <n v="0"/>
    <x v="2"/>
    <n v="325"/>
    <x v="1"/>
    <x v="1"/>
    <n v="5"/>
    <x v="0"/>
    <n v="3"/>
    <x v="3"/>
    <x v="2"/>
    <n v="1"/>
    <n v="2"/>
    <x v="0"/>
    <x v="1"/>
    <n v="74"/>
    <x v="1"/>
    <n v="3"/>
    <x v="0"/>
    <n v="2"/>
    <x v="3"/>
    <n v="1"/>
    <x v="3"/>
    <x v="0"/>
    <n v="9936"/>
    <x v="4"/>
    <n v="3787"/>
    <x v="2"/>
    <n v="0"/>
    <x v="1"/>
    <s v="Y"/>
    <x v="1"/>
    <n v="19"/>
    <x v="1"/>
    <n v="3"/>
    <x v="0"/>
    <n v="2"/>
    <x v="4"/>
    <n v="80"/>
    <n v="0"/>
    <n v="10"/>
    <x v="0"/>
    <n v="2"/>
    <x v="0"/>
    <n v="3"/>
    <x v="1"/>
    <n v="9"/>
    <x v="0"/>
    <n v="4"/>
    <x v="0"/>
    <n v="1"/>
    <x v="0"/>
    <n v="7"/>
    <x v="1"/>
  </r>
  <r>
    <n v="2060"/>
    <n v="26"/>
    <x v="2"/>
    <x v="1"/>
    <n v="0"/>
    <x v="0"/>
    <n v="1167"/>
    <x v="0"/>
    <x v="0"/>
    <n v="5"/>
    <x v="0"/>
    <n v="3"/>
    <x v="3"/>
    <x v="1"/>
    <n v="1"/>
    <n v="4"/>
    <x v="2"/>
    <x v="0"/>
    <n v="30"/>
    <x v="2"/>
    <n v="2"/>
    <x v="1"/>
    <n v="1"/>
    <x v="6"/>
    <n v="3"/>
    <x v="2"/>
    <x v="0"/>
    <n v="2966"/>
    <x v="3"/>
    <n v="21378"/>
    <x v="0"/>
    <n v="0"/>
    <x v="1"/>
    <s v="Y"/>
    <x v="1"/>
    <n v="18"/>
    <x v="1"/>
    <n v="3"/>
    <x v="0"/>
    <n v="4"/>
    <x v="1"/>
    <n v="80"/>
    <n v="0"/>
    <n v="5"/>
    <x v="3"/>
    <n v="2"/>
    <x v="0"/>
    <n v="3"/>
    <x v="1"/>
    <n v="4"/>
    <x v="2"/>
    <n v="2"/>
    <x v="0"/>
    <n v="0"/>
    <x v="0"/>
    <n v="0"/>
    <x v="2"/>
  </r>
  <r>
    <n v="2061"/>
    <n v="36"/>
    <x v="0"/>
    <x v="1"/>
    <n v="0"/>
    <x v="1"/>
    <n v="884"/>
    <x v="2"/>
    <x v="1"/>
    <n v="23"/>
    <x v="2"/>
    <n v="2"/>
    <x v="0"/>
    <x v="2"/>
    <n v="1"/>
    <n v="3"/>
    <x v="1"/>
    <x v="1"/>
    <n v="41"/>
    <x v="2"/>
    <n v="4"/>
    <x v="2"/>
    <n v="2"/>
    <x v="2"/>
    <n v="4"/>
    <x v="0"/>
    <x v="1"/>
    <n v="2571"/>
    <x v="3"/>
    <n v="12290"/>
    <x v="3"/>
    <n v="4"/>
    <x v="2"/>
    <s v="Y"/>
    <x v="1"/>
    <n v="17"/>
    <x v="3"/>
    <n v="3"/>
    <x v="0"/>
    <n v="3"/>
    <x v="3"/>
    <n v="80"/>
    <n v="1"/>
    <n v="17"/>
    <x v="1"/>
    <n v="3"/>
    <x v="1"/>
    <n v="3"/>
    <x v="1"/>
    <n v="5"/>
    <x v="2"/>
    <n v="2"/>
    <x v="0"/>
    <n v="0"/>
    <x v="0"/>
    <n v="3"/>
    <x v="0"/>
  </r>
  <r>
    <n v="2062"/>
    <n v="39"/>
    <x v="0"/>
    <x v="1"/>
    <n v="0"/>
    <x v="0"/>
    <n v="613"/>
    <x v="2"/>
    <x v="1"/>
    <n v="6"/>
    <x v="1"/>
    <n v="1"/>
    <x v="1"/>
    <x v="2"/>
    <n v="1"/>
    <n v="4"/>
    <x v="2"/>
    <x v="1"/>
    <n v="42"/>
    <x v="2"/>
    <n v="2"/>
    <x v="1"/>
    <n v="3"/>
    <x v="4"/>
    <n v="1"/>
    <x v="3"/>
    <x v="1"/>
    <n v="9991"/>
    <x v="4"/>
    <n v="21457"/>
    <x v="0"/>
    <n v="4"/>
    <x v="2"/>
    <s v="Y"/>
    <x v="1"/>
    <n v="15"/>
    <x v="2"/>
    <n v="3"/>
    <x v="0"/>
    <n v="1"/>
    <x v="0"/>
    <n v="80"/>
    <n v="1"/>
    <n v="9"/>
    <x v="0"/>
    <n v="5"/>
    <x v="2"/>
    <n v="3"/>
    <x v="1"/>
    <n v="7"/>
    <x v="0"/>
    <n v="7"/>
    <x v="1"/>
    <n v="1"/>
    <x v="0"/>
    <n v="7"/>
    <x v="1"/>
  </r>
  <r>
    <n v="2064"/>
    <n v="27"/>
    <x v="2"/>
    <x v="1"/>
    <n v="0"/>
    <x v="0"/>
    <n v="155"/>
    <x v="1"/>
    <x v="1"/>
    <n v="4"/>
    <x v="0"/>
    <n v="3"/>
    <x v="3"/>
    <x v="0"/>
    <n v="1"/>
    <n v="2"/>
    <x v="0"/>
    <x v="1"/>
    <n v="87"/>
    <x v="0"/>
    <n v="4"/>
    <x v="2"/>
    <n v="2"/>
    <x v="3"/>
    <n v="2"/>
    <x v="1"/>
    <x v="1"/>
    <n v="6142"/>
    <x v="0"/>
    <n v="5174"/>
    <x v="2"/>
    <n v="1"/>
    <x v="1"/>
    <s v="Y"/>
    <x v="0"/>
    <n v="20"/>
    <x v="1"/>
    <n v="4"/>
    <x v="1"/>
    <n v="2"/>
    <x v="4"/>
    <n v="80"/>
    <n v="1"/>
    <n v="6"/>
    <x v="0"/>
    <n v="0"/>
    <x v="0"/>
    <n v="3"/>
    <x v="1"/>
    <n v="6"/>
    <x v="0"/>
    <n v="2"/>
    <x v="0"/>
    <n v="0"/>
    <x v="0"/>
    <n v="3"/>
    <x v="0"/>
  </r>
  <r>
    <n v="2065"/>
    <n v="49"/>
    <x v="1"/>
    <x v="1"/>
    <n v="0"/>
    <x v="1"/>
    <n v="1023"/>
    <x v="0"/>
    <x v="0"/>
    <n v="2"/>
    <x v="0"/>
    <n v="3"/>
    <x v="3"/>
    <x v="2"/>
    <n v="1"/>
    <n v="4"/>
    <x v="2"/>
    <x v="1"/>
    <n v="63"/>
    <x v="1"/>
    <n v="2"/>
    <x v="1"/>
    <n v="2"/>
    <x v="0"/>
    <n v="2"/>
    <x v="1"/>
    <x v="1"/>
    <n v="5390"/>
    <x v="1"/>
    <n v="13243"/>
    <x v="3"/>
    <n v="2"/>
    <x v="3"/>
    <s v="Y"/>
    <x v="1"/>
    <n v="14"/>
    <x v="2"/>
    <n v="3"/>
    <x v="0"/>
    <n v="4"/>
    <x v="1"/>
    <n v="80"/>
    <n v="0"/>
    <n v="17"/>
    <x v="1"/>
    <n v="3"/>
    <x v="1"/>
    <n v="2"/>
    <x v="2"/>
    <n v="9"/>
    <x v="0"/>
    <n v="6"/>
    <x v="1"/>
    <n v="0"/>
    <x v="0"/>
    <n v="8"/>
    <x v="1"/>
  </r>
  <r>
    <n v="2068"/>
    <n v="34"/>
    <x v="2"/>
    <x v="1"/>
    <n v="0"/>
    <x v="0"/>
    <n v="628"/>
    <x v="2"/>
    <x v="1"/>
    <n v="8"/>
    <x v="1"/>
    <n v="3"/>
    <x v="3"/>
    <x v="2"/>
    <n v="1"/>
    <n v="2"/>
    <x v="0"/>
    <x v="1"/>
    <n v="82"/>
    <x v="0"/>
    <n v="4"/>
    <x v="2"/>
    <n v="2"/>
    <x v="2"/>
    <n v="3"/>
    <x v="2"/>
    <x v="1"/>
    <n v="4404"/>
    <x v="1"/>
    <n v="10228"/>
    <x v="3"/>
    <n v="2"/>
    <x v="3"/>
    <s v="Y"/>
    <x v="1"/>
    <n v="12"/>
    <x v="0"/>
    <n v="3"/>
    <x v="0"/>
    <n v="1"/>
    <x v="0"/>
    <n v="80"/>
    <n v="0"/>
    <n v="6"/>
    <x v="0"/>
    <n v="3"/>
    <x v="1"/>
    <n v="4"/>
    <x v="3"/>
    <n v="4"/>
    <x v="2"/>
    <n v="3"/>
    <x v="0"/>
    <n v="1"/>
    <x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52189-C3C4-4A6E-A45B-38BF2C810C17}" name="PivotTable2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27:C23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6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B77A6-F1FF-47CE-981A-437BADA1A67D}" name="PivotTable2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77:C28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9CCFF-5027-4C34-8F0B-96A001414741}" name="PivotTable9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80:C86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B537F-370A-422D-A9AF-B8E8D3F2FA03}" name="PivotTable1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27:C13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80BC6-E5A5-4406-A0F8-04315D67F11E}" name="PivotTable2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67:C27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1">
    <field x="5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1D57E-1FB9-49E3-95AB-AFA6AB656496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9:C34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81C01-41D9-43E2-937D-A5B5B8D71292}" name="PivotTable1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11:C12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CD405-F43C-4A7B-99EA-12BABFE8EDA5}" name="PivotTable1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68:C174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F9C93-4BEE-43A0-ADD4-F032471AF821}" name="PivotTable2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16:C22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0E80C-4463-4EE6-ABFA-62D94EE8156B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8:C76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39E59-7C3C-4C9D-B5B6-5FEEE5BF949B}" name="PivotTable2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57:C26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9936F-128D-4EA4-AC0D-2E45C35C92ED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0:C25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4A7D7-AFAF-49BB-B9CD-AD51C3C9D691}" name="PivotTable1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00:C106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18CCA-60C1-4767-9C49-1EECC8727BFB}" name="PivotTable1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58:C164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D0E3D-EAD1-4047-ADA5-A2D8F24F7C86}" name="PivotTable2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04:C211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D9CCA-73FD-47FA-8788-825995483A30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3:C17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A8E4A-30CE-4EBE-A146-F0A6446EA3C9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57:C64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02C1E-47F5-437C-8063-23707FD02307}" name="PivotTable15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147" firstHeaderRow="0" firstDataRow="0" firstDataCol="0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44">
        <item m="1" x="40"/>
        <item m="1" x="42"/>
        <item m="1" x="41"/>
        <item m="1" x="39"/>
        <item m="1" x="32"/>
        <item x="2"/>
        <item m="1" x="33"/>
        <item m="1" x="34"/>
        <item m="1" x="35"/>
        <item m="1" x="36"/>
        <item m="1" x="37"/>
        <item m="1" x="38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4">
    <i>
      <x v="5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955A8-B555-4A03-97FE-C42851813D6E}" name="PivotTable2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96:C200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8"/>
  </rowFields>
  <rowItems count="3">
    <i>
      <x/>
    </i>
    <i>
      <x v="1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72130-2E72-4E0C-ACE3-61DB4747CA51}" name="PivotTable2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46:C25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3537C-5CC9-4E53-8BD1-CCD07D0FCB85}" name="PivotTable10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90:C95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81A1E-922E-4E13-8EA0-FDDB4AC619C9}" name="PivotTable19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86:C19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BBBB0-FA59-4698-BB0C-6E08465E4050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:C9" firstHeaderRow="1" firstDataRow="2" firstDataCol="1"/>
  <pivotFields count="57">
    <pivotField showAll="0"/>
    <pivotField showAll="0"/>
    <pivotField axis="axisRow" showAll="0" sortType="a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4"/>
    </i>
    <i>
      <x/>
    </i>
    <i>
      <x v="3"/>
    </i>
    <i>
      <x v="2"/>
    </i>
    <i>
      <x v="1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8E7F6-0588-49EA-B5B4-DDB1294461E4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7:C5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EA352-5D64-4F50-82FC-3467BF8EB2BE}" name="PivotTable1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37:C14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EC265-555D-4769-BA92-FCD61B82E6BA}" name="PivotTable2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36:C24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344E2-DB2A-40CE-A372-43D046892563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8:C43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7CDA8-2E21-41A6-9FC7-9BC77CF8DA56}" name="PivotTable1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78:C182" firstHeaderRow="1" firstDataRow="2" firstDataCol="1"/>
  <pivotFields count="57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3">
    <i>
      <x/>
    </i>
    <i>
      <x v="1"/>
    </i>
    <i t="grand">
      <x/>
    </i>
  </rowItems>
  <colFields count="1">
    <field x="3"/>
  </colFields>
  <colItems count="2">
    <i>
      <x/>
    </i>
    <i>
      <x v="1"/>
    </i>
  </colItems>
  <dataFields count="1">
    <dataField name="Count of Attrition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25CCA-705F-4789-945D-C96A6B321062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C52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71F4C-1E87-454C-96BB-C9100677F3EF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C62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4CA59-746A-442E-A8C4-A96D2EDB54FB}" name="PivotTable3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4:C98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44">
        <item m="1" x="40"/>
        <item m="1" x="42"/>
        <item m="1" x="41"/>
        <item m="1" x="39"/>
        <item m="1" x="32"/>
        <item x="2"/>
        <item m="1" x="33"/>
        <item m="1" x="34"/>
        <item m="1" x="35"/>
        <item m="1" x="36"/>
        <item m="1" x="37"/>
        <item m="1" x="38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4">
    <i>
      <x v="5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formats count="9">
    <format dxfId="8">
      <pivotArea dataOnly="0" fieldPosition="0">
        <references count="1">
          <reference field="28" count="1">
            <x v="5"/>
          </reference>
        </references>
      </pivotArea>
    </format>
    <format dxfId="7">
      <pivotArea dataOnly="0" labelOnly="1" fieldPosition="0">
        <references count="1">
          <reference field="28" count="1">
            <x v="33"/>
          </reference>
        </references>
      </pivotArea>
    </format>
    <format dxfId="6">
      <pivotArea dataOnly="0" labelOnly="1" fieldPosition="0">
        <references count="1">
          <reference field="28" count="1">
            <x v="31"/>
          </reference>
        </references>
      </pivotArea>
    </format>
    <format dxfId="5">
      <pivotArea dataOnly="0" labelOnly="1" fieldPosition="0">
        <references count="1">
          <reference field="28" count="1">
            <x v="32"/>
          </reference>
        </references>
      </pivotArea>
    </format>
    <format dxfId="4">
      <pivotArea dataOnly="0" labelOnly="1" fieldPosition="0">
        <references count="1">
          <reference field="28" count="1">
            <x v="34"/>
          </reference>
        </references>
      </pivotArea>
    </format>
    <format dxfId="3">
      <pivotArea dataOnly="0" labelOnly="1" fieldPosition="0">
        <references count="1">
          <reference field="28" count="1">
            <x v="41"/>
          </reference>
        </references>
      </pivotArea>
    </format>
    <format dxfId="2">
      <pivotArea dataOnly="0" labelOnly="1" fieldPosition="0">
        <references count="1">
          <reference field="28" count="1">
            <x v="38"/>
          </reference>
        </references>
      </pivotArea>
    </format>
    <format dxfId="1">
      <pivotArea dataOnly="0" labelOnly="1" fieldPosition="0">
        <references count="1">
          <reference field="28" count="1">
            <x v="36"/>
          </reference>
        </references>
      </pivotArea>
    </format>
    <format dxfId="0">
      <pivotArea collapsedLevelsAreSubtotals="1" fieldPosition="0">
        <references count="1">
          <reference field="28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12092-A349-4B55-9946-5CDBB7D1FE6F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C81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8CF24-AA44-46CF-9524-E1994B6463DF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33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58C44-3F00-4AC2-B98C-CB0EE86AFF16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7:C73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CBFB1-7196-44CA-88BD-54659523C200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19" firstHeaderRow="0" firstDataRow="1" firstDataCol="1"/>
  <pivotFields count="57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5F2A1-59A9-4C0B-86DF-B4C85114A31C}" name="PivotTable2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3:C9" firstHeaderRow="0" firstDataRow="1" firstDataCol="1"/>
  <pivotFields count="57">
    <pivotField dataField="1"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umber" fld="0" subtotal="count" baseField="0" baseItem="0"/>
    <dataField name="Sum of Attrition Y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15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6.xml"/><Relationship Id="rId3" Type="http://schemas.openxmlformats.org/officeDocument/2006/relationships/pivotTable" Target="../pivotTables/pivotTable31.xml"/><Relationship Id="rId7" Type="http://schemas.openxmlformats.org/officeDocument/2006/relationships/pivotTable" Target="../pivotTables/pivotTable35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Relationship Id="rId6" Type="http://schemas.openxmlformats.org/officeDocument/2006/relationships/pivotTable" Target="../pivotTables/pivotTable34.xml"/><Relationship Id="rId5" Type="http://schemas.openxmlformats.org/officeDocument/2006/relationships/pivotTable" Target="../pivotTables/pivotTable33.xml"/><Relationship Id="rId4" Type="http://schemas.openxmlformats.org/officeDocument/2006/relationships/pivotTable" Target="../pivotTables/pivotTable3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AC33-D1D8-4EBE-8C17-9087733898A3}">
  <sheetPr>
    <tabColor rgb="FFFF0000"/>
  </sheetPr>
  <dimension ref="A1:BN1471"/>
  <sheetViews>
    <sheetView topLeftCell="AA1" zoomScale="120" workbookViewId="0">
      <selection activeCell="AC2" sqref="AC2:AC1471"/>
    </sheetView>
  </sheetViews>
  <sheetFormatPr defaultRowHeight="14.4" x14ac:dyDescent="0.3"/>
  <cols>
    <col min="1" max="1" width="16.77734375" bestFit="1" customWidth="1"/>
    <col min="2" max="2" width="4.21875" bestFit="1" customWidth="1"/>
    <col min="3" max="3" width="10.44140625" bestFit="1" customWidth="1"/>
    <col min="4" max="4" width="8.21875" bestFit="1" customWidth="1"/>
    <col min="5" max="5" width="11.5546875" bestFit="1" customWidth="1"/>
    <col min="6" max="6" width="16.21875" bestFit="1" customWidth="1"/>
    <col min="7" max="7" width="9.33203125" bestFit="1" customWidth="1"/>
    <col min="8" max="8" width="15.77734375" bestFit="1" customWidth="1"/>
    <col min="9" max="9" width="22.5546875" bestFit="1" customWidth="1"/>
    <col min="10" max="10" width="18.77734375" bestFit="1" customWidth="1"/>
    <col min="11" max="11" width="24.88671875" bestFit="1" customWidth="1"/>
    <col min="12" max="12" width="9.44140625" bestFit="1" customWidth="1"/>
    <col min="13" max="13" width="17.6640625" bestFit="1" customWidth="1"/>
    <col min="14" max="14" width="16.21875" bestFit="1" customWidth="1"/>
    <col min="15" max="15" width="15" bestFit="1" customWidth="1"/>
    <col min="16" max="16" width="22.5546875" bestFit="1" customWidth="1"/>
    <col min="17" max="17" width="30.77734375" bestFit="1" customWidth="1"/>
    <col min="18" max="18" width="7.109375" bestFit="1" customWidth="1"/>
    <col min="19" max="19" width="10.88671875" bestFit="1" customWidth="1"/>
    <col min="20" max="20" width="19.109375" bestFit="1" customWidth="1"/>
    <col min="21" max="21" width="15.109375" bestFit="1" customWidth="1"/>
    <col min="22" max="22" width="23.33203125" bestFit="1" customWidth="1"/>
    <col min="23" max="23" width="8.6640625" bestFit="1" customWidth="1"/>
    <col min="24" max="24" width="23.44140625" bestFit="1" customWidth="1"/>
    <col min="25" max="25" width="14.21875" bestFit="1" customWidth="1"/>
    <col min="26" max="26" width="22.44140625" bestFit="1" customWidth="1"/>
    <col min="27" max="27" width="12.88671875" bestFit="1" customWidth="1"/>
    <col min="28" max="28" width="15.109375" bestFit="1" customWidth="1"/>
    <col min="29" max="29" width="23.33203125" bestFit="1" customWidth="1"/>
    <col min="30" max="30" width="12.44140625" bestFit="1" customWidth="1"/>
    <col min="31" max="31" width="19.5546875" bestFit="1" customWidth="1"/>
    <col min="32" max="32" width="22.44140625" bestFit="1" customWidth="1"/>
    <col min="33" max="33" width="30.44140625" bestFit="1" customWidth="1"/>
    <col min="34" max="34" width="7" bestFit="1" customWidth="1"/>
    <col min="35" max="35" width="9.5546875" bestFit="1" customWidth="1"/>
    <col min="36" max="36" width="17.44140625" bestFit="1" customWidth="1"/>
    <col min="37" max="37" width="25.6640625" bestFit="1" customWidth="1"/>
    <col min="38" max="38" width="17.88671875" bestFit="1" customWidth="1"/>
    <col min="39" max="39" width="26.109375" bestFit="1" customWidth="1"/>
    <col min="40" max="40" width="22.109375" bestFit="1" customWidth="1"/>
    <col min="41" max="41" width="30.33203125" bestFit="1" customWidth="1"/>
    <col min="42" max="42" width="14.33203125" bestFit="1" customWidth="1"/>
    <col min="43" max="43" width="16.77734375" bestFit="1" customWidth="1"/>
    <col min="44" max="44" width="18.21875" bestFit="1" customWidth="1"/>
    <col min="45" max="45" width="25.44140625" bestFit="1" customWidth="1"/>
    <col min="46" max="46" width="21.5546875" bestFit="1" customWidth="1"/>
    <col min="47" max="47" width="29.88671875" bestFit="1" customWidth="1"/>
    <col min="48" max="48" width="16.109375" bestFit="1" customWidth="1"/>
    <col min="49" max="49" width="23.88671875" bestFit="1" customWidth="1"/>
    <col min="50" max="50" width="16.5546875" bestFit="1" customWidth="1"/>
    <col min="51" max="51" width="23.6640625" bestFit="1" customWidth="1"/>
    <col min="52" max="52" width="19" bestFit="1" customWidth="1"/>
    <col min="53" max="53" width="27.21875" bestFit="1" customWidth="1"/>
    <col min="54" max="54" width="24.109375" bestFit="1" customWidth="1"/>
    <col min="55" max="55" width="32.33203125" bestFit="1" customWidth="1"/>
    <col min="56" max="56" width="25.44140625" bestFit="1" customWidth="1"/>
    <col min="57" max="57" width="32.88671875" bestFit="1" customWidth="1"/>
    <col min="66" max="66" width="104.88671875" bestFit="1" customWidth="1"/>
  </cols>
  <sheetData>
    <row r="1" spans="1:6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168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1" t="s">
        <v>25</v>
      </c>
      <c r="AB1" s="3" t="s">
        <v>26</v>
      </c>
      <c r="AC1" s="2" t="s">
        <v>27</v>
      </c>
      <c r="AD1" s="1" t="s">
        <v>28</v>
      </c>
      <c r="AE1" s="2" t="s">
        <v>29</v>
      </c>
      <c r="AF1" s="1" t="s">
        <v>30</v>
      </c>
      <c r="AG1" s="2" t="s">
        <v>31</v>
      </c>
      <c r="AH1" s="1" t="s">
        <v>32</v>
      </c>
      <c r="AI1" s="1" t="s">
        <v>33</v>
      </c>
      <c r="AJ1" s="1" t="s">
        <v>34</v>
      </c>
      <c r="AK1" s="2" t="s">
        <v>35</v>
      </c>
      <c r="AL1" s="1" t="s">
        <v>36</v>
      </c>
      <c r="AM1" s="2" t="s">
        <v>37</v>
      </c>
      <c r="AN1" s="1" t="s">
        <v>38</v>
      </c>
      <c r="AO1" s="2" t="s">
        <v>39</v>
      </c>
      <c r="AP1" s="1" t="s">
        <v>40</v>
      </c>
      <c r="AQ1" s="1" t="s">
        <v>41</v>
      </c>
      <c r="AR1" s="1" t="s">
        <v>42</v>
      </c>
      <c r="AS1" s="2" t="s">
        <v>43</v>
      </c>
      <c r="AT1" s="1" t="s">
        <v>44</v>
      </c>
      <c r="AU1" s="2" t="s">
        <v>45</v>
      </c>
      <c r="AV1" s="1" t="s">
        <v>46</v>
      </c>
      <c r="AW1" s="2" t="s">
        <v>47</v>
      </c>
      <c r="AX1" s="1" t="s">
        <v>48</v>
      </c>
      <c r="AY1" s="2" t="s">
        <v>49</v>
      </c>
      <c r="AZ1" s="1" t="s">
        <v>50</v>
      </c>
      <c r="BA1" s="2" t="s">
        <v>51</v>
      </c>
      <c r="BB1" s="1" t="s">
        <v>52</v>
      </c>
      <c r="BC1" s="2" t="s">
        <v>53</v>
      </c>
      <c r="BD1" s="1" t="s">
        <v>54</v>
      </c>
      <c r="BE1" s="2" t="s">
        <v>55</v>
      </c>
      <c r="BH1" t="s">
        <v>187</v>
      </c>
    </row>
    <row r="2" spans="1:66" x14ac:dyDescent="0.3">
      <c r="A2">
        <v>1</v>
      </c>
      <c r="B2">
        <v>41</v>
      </c>
      <c r="C2" t="str">
        <f>IF(B2&lt;=25, "18-25", IF(B2&lt;=35, "26-35", IF(B2&lt;=45, "36-45", IF(B2&lt;=55, "46-55", "56+"))))</f>
        <v>36-45</v>
      </c>
      <c r="D2" t="s">
        <v>56</v>
      </c>
      <c r="E2">
        <f>IF(D2="Yes",1,0)</f>
        <v>1</v>
      </c>
      <c r="F2" t="s">
        <v>57</v>
      </c>
      <c r="G2">
        <v>1102</v>
      </c>
      <c r="H2" t="str">
        <f>IF(G2&lt;=500,"102-500",IF(G2&lt;=1000,"501-1000","1001-1499"))</f>
        <v>1001-1499</v>
      </c>
      <c r="I2" t="s">
        <v>58</v>
      </c>
      <c r="J2">
        <v>1</v>
      </c>
      <c r="K2" t="str">
        <f>IF(J2&lt;=5,"1-5",IF(J2&lt;=10,"6-10",IF(J2&lt;=20,"11-20","21-29")))</f>
        <v>1-5</v>
      </c>
      <c r="L2">
        <v>2</v>
      </c>
      <c r="M2" t="s">
        <v>59</v>
      </c>
      <c r="N2" t="s">
        <v>60</v>
      </c>
      <c r="O2">
        <v>1</v>
      </c>
      <c r="P2">
        <v>2</v>
      </c>
      <c r="Q2" t="s">
        <v>61</v>
      </c>
      <c r="R2" t="s">
        <v>62</v>
      </c>
      <c r="S2">
        <v>94</v>
      </c>
      <c r="T2" t="str">
        <f>IF(S2&lt;=50,"30-50",IF(S2&lt;=75,"51-75","76-100"))</f>
        <v>76-100</v>
      </c>
      <c r="U2">
        <v>3</v>
      </c>
      <c r="V2" t="s">
        <v>63</v>
      </c>
      <c r="W2">
        <v>2</v>
      </c>
      <c r="X2" t="s">
        <v>64</v>
      </c>
      <c r="Y2">
        <v>4</v>
      </c>
      <c r="Z2" t="s">
        <v>65</v>
      </c>
      <c r="AA2" t="s">
        <v>66</v>
      </c>
      <c r="AB2" s="4">
        <v>5993</v>
      </c>
      <c r="AC2" s="4" t="str">
        <f>IF(AB2&lt;2500,"$1,000-$2,500",IF(AB2&lt;4000,"$2,500-$4,000",IF(AB2&lt;5500,"$4,000-$5,500",IF(AB2&lt;7000,"$5,500-$7,000",IF(AB2&lt;8500,"$7,000-$8,500",IF(AB2&lt;10000,"$8,500-$10,000",IF(AB2&lt;11500,"$10,000-$11,500",IF(AB2&lt;13000,"$11,500-$13,000",IF(AB2&lt;14500,"$13,000-$14,500",IF(AB2&lt;16000,"$14,500-$16,000",IF(AB2&lt;17500,"$16,000-$17,500",IF(AB2&lt;19000,"$17,500-$19,000",IF(AB2&lt;20500,"$19,000-$20,500",IF(AB2&lt;22000,"$20,500-$22,000",IF(AB2&lt;23500,"$22,000-$23,500",IF(AB2&lt;25000,"$23,500-$25,000",IF(AB2&lt;26500,"$25,000-$26,500",IF(AB2&lt;28000,"$26,500-$28,000",IF(AB2&lt;29500,"$28,000-$29,500","$29,500+")))))))))))))))))))</f>
        <v>$5,500-$7,000</v>
      </c>
      <c r="AD2">
        <v>19479</v>
      </c>
      <c r="AE2" t="str">
        <f>IF(AD2&lt;=8000,"$2,094-$8,000",IF(AD2&lt;=16000,"$8,001-$16,000",IF(AD2&lt;=22000,"$16,001-$22,000","$22,001-$26,999")))</f>
        <v>$16,001-$22,000</v>
      </c>
      <c r="AF2">
        <v>8</v>
      </c>
      <c r="AG2" t="str">
        <f>IF(AF2&lt;=1,"0-1",IF(AF2&lt;=3,"2-3",IF(AF2&lt;=6,"4-6","7-9")))</f>
        <v>7-9</v>
      </c>
      <c r="AH2" t="s">
        <v>67</v>
      </c>
      <c r="AI2" t="s">
        <v>56</v>
      </c>
      <c r="AJ2">
        <v>11</v>
      </c>
      <c r="AK2" t="str">
        <f>IF(AJ2&lt;=12,"11-12%",IF(AJ2&lt;=15,"13-15%",IF(AJ2&lt;=17,"16-17%","18-19%")))</f>
        <v>11-12%</v>
      </c>
      <c r="AL2">
        <v>3</v>
      </c>
      <c r="AM2" t="s">
        <v>68</v>
      </c>
      <c r="AN2">
        <v>1</v>
      </c>
      <c r="AO2" t="s">
        <v>69</v>
      </c>
      <c r="AP2">
        <v>80</v>
      </c>
      <c r="AQ2">
        <v>0</v>
      </c>
      <c r="AR2">
        <v>8</v>
      </c>
      <c r="AS2" t="str">
        <f>IF(AR2&lt;=2,"0-2",IF(AR2&lt;=5,"3-5",IF(AR2&lt;=10,"6-10",IF(AR2&lt;=20,"11-20","21-40"))))</f>
        <v>6-10</v>
      </c>
      <c r="AT2">
        <v>0</v>
      </c>
      <c r="AU2" t="str">
        <f>IF(AT2&lt;=2,"0-2",IF(AT2&lt;=4,"3-4","5-6"))</f>
        <v>0-2</v>
      </c>
      <c r="AV2">
        <v>1</v>
      </c>
      <c r="AW2" t="s">
        <v>70</v>
      </c>
      <c r="AX2">
        <v>6</v>
      </c>
      <c r="AY2" t="str">
        <f t="shared" ref="AY2:AY65" si="0">IF(AX2&lt;=1,"0-1",IF(AX2&lt;=5,"2-5",IF(AX2&lt;=10,"6-10",IF(AX2&lt;=20,"11-20","21-40"))))</f>
        <v>6-10</v>
      </c>
      <c r="AZ2">
        <v>4</v>
      </c>
      <c r="BA2" t="str">
        <f>IF(AZ2&lt;=1,"0-1",IF(AZ2&lt;=5,"2-5",IF(AZ2&lt;=10,"6-10","11-18")))</f>
        <v>2-5</v>
      </c>
      <c r="BB2">
        <v>0</v>
      </c>
      <c r="BC2" t="str">
        <f>IF(BB2&lt;=1,"0-1",IF(BB2&lt;=5,"2-5",IF(BB2&lt;=10,"6-10","11-15")))</f>
        <v>0-1</v>
      </c>
      <c r="BD2">
        <v>5</v>
      </c>
      <c r="BE2" t="str">
        <f>IF(BD2&lt;=1,"0-1",IF(BD2&lt;=5,"2-5",IF(BD2&lt;=10,"6-10","11-17")))</f>
        <v>2-5</v>
      </c>
      <c r="BH2" t="s">
        <v>188</v>
      </c>
    </row>
    <row r="3" spans="1:66" x14ac:dyDescent="0.3">
      <c r="A3">
        <v>2</v>
      </c>
      <c r="B3">
        <v>49</v>
      </c>
      <c r="C3" t="str">
        <f t="shared" ref="C3:C66" si="1">IF(B3&lt;=25, "18-25", IF(B3&lt;=35, "26-35", IF(B3&lt;=45, "36-45", IF(B3&lt;=55, "46-55", "56+"))))</f>
        <v>46-55</v>
      </c>
      <c r="D3" t="s">
        <v>71</v>
      </c>
      <c r="E3">
        <f t="shared" ref="E3:E66" si="2">IF(D3="Yes",1,0)</f>
        <v>0</v>
      </c>
      <c r="F3" t="s">
        <v>72</v>
      </c>
      <c r="G3">
        <v>279</v>
      </c>
      <c r="H3" t="str">
        <f t="shared" ref="H3:H66" si="3">IF(G3&lt;=500,"102-500",IF(G3&lt;=1000,"501-1000","1001-1499"))</f>
        <v>102-500</v>
      </c>
      <c r="I3" t="s">
        <v>73</v>
      </c>
      <c r="J3">
        <v>8</v>
      </c>
      <c r="K3" t="str">
        <f t="shared" ref="K3:K66" si="4">IF(J3&lt;=5,"1-5",IF(J3&lt;=10,"6-10",IF(J3&lt;=20,"11-20","21-29")))</f>
        <v>6-10</v>
      </c>
      <c r="L3">
        <v>1</v>
      </c>
      <c r="M3" t="s">
        <v>74</v>
      </c>
      <c r="N3" t="s">
        <v>60</v>
      </c>
      <c r="O3">
        <v>1</v>
      </c>
      <c r="P3">
        <v>3</v>
      </c>
      <c r="Q3" t="s">
        <v>63</v>
      </c>
      <c r="R3" t="s">
        <v>75</v>
      </c>
      <c r="S3">
        <v>61</v>
      </c>
      <c r="T3" t="str">
        <f t="shared" ref="T3:T66" si="5">IF(S3&lt;=50,"30-50",IF(S3&lt;=75,"51-75","76-100"))</f>
        <v>51-75</v>
      </c>
      <c r="U3">
        <v>2</v>
      </c>
      <c r="V3" t="s">
        <v>61</v>
      </c>
      <c r="W3">
        <v>2</v>
      </c>
      <c r="X3" t="s">
        <v>76</v>
      </c>
      <c r="Y3">
        <v>2</v>
      </c>
      <c r="Z3" t="s">
        <v>61</v>
      </c>
      <c r="AA3" t="s">
        <v>77</v>
      </c>
      <c r="AB3" s="4">
        <v>5130</v>
      </c>
      <c r="AC3" s="4" t="str">
        <f t="shared" ref="AC3:AC66" si="6">IF(AB3&lt;2500,"$1,000-$2,500",IF(AB3&lt;4000,"$2,500-$4,000",IF(AB3&lt;5500,"$4,000-$5,500",IF(AB3&lt;7000,"$5,500-$7,000",IF(AB3&lt;8500,"$7,000-$8,500",IF(AB3&lt;10000,"$8,500-$10,000",IF(AB3&lt;11500,"$10,000-$11,500",IF(AB3&lt;13000,"$11,500-$13,000",IF(AB3&lt;14500,"$13,000-$14,500",IF(AB3&lt;16000,"$14,500-$16,000",IF(AB3&lt;17500,"$16,000-$17,500",IF(AB3&lt;19000,"$17,500-$19,000",IF(AB3&lt;20500,"$19,000-$20,500",IF(AB3&lt;22000,"$20,500-$22,000",IF(AB3&lt;23500,"$22,000-$23,500",IF(AB3&lt;25000,"$23,500-$25,000",IF(AB3&lt;26500,"$25,000-$26,500",IF(AB3&lt;28000,"$26,500-$28,000",IF(AB3&lt;29500,"$28,000-$29,500","$29,500+")))))))))))))))))))</f>
        <v>$4,000-$5,500</v>
      </c>
      <c r="AD3">
        <v>24907</v>
      </c>
      <c r="AE3" t="str">
        <f t="shared" ref="AE3:AE66" si="7">IF(AD3&lt;=8000,"$2,094-$8,000",IF(AD3&lt;=16000,"$8,001-$16,000",IF(AD3&lt;=22000,"$16,001-$22,000","$22,001-$26,999")))</f>
        <v>$22,001-$26,999</v>
      </c>
      <c r="AF3">
        <v>1</v>
      </c>
      <c r="AG3" t="str">
        <f t="shared" ref="AG3:AG66" si="8">IF(AF3&lt;=1,"0-1",IF(AF3&lt;=3,"2-3",IF(AF3&lt;=6,"4-6","7-9")))</f>
        <v>0-1</v>
      </c>
      <c r="AH3" t="s">
        <v>67</v>
      </c>
      <c r="AI3" t="s">
        <v>71</v>
      </c>
      <c r="AJ3">
        <v>23</v>
      </c>
      <c r="AK3" t="str">
        <f t="shared" ref="AK3:AK66" si="9">IF(AJ3&lt;=12,"11-12%",IF(AJ3&lt;=15,"13-15%",IF(AJ3&lt;=17,"16-17%","18-19%")))</f>
        <v>18-19%</v>
      </c>
      <c r="AL3">
        <v>4</v>
      </c>
      <c r="AM3" t="s">
        <v>78</v>
      </c>
      <c r="AN3">
        <v>4</v>
      </c>
      <c r="AO3" t="s">
        <v>65</v>
      </c>
      <c r="AP3">
        <v>80</v>
      </c>
      <c r="AQ3">
        <v>1</v>
      </c>
      <c r="AR3">
        <v>10</v>
      </c>
      <c r="AS3" t="str">
        <f t="shared" ref="AS3:AS66" si="10">IF(AR3&lt;=2,"0-2",IF(AR3&lt;=5,"3-5",IF(AR3&lt;=10,"6-10",IF(AR3&lt;=20,"11-20","21-40"))))</f>
        <v>6-10</v>
      </c>
      <c r="AT3">
        <v>3</v>
      </c>
      <c r="AU3" t="str">
        <f t="shared" ref="AU3:AU66" si="11">IF(AT3&lt;=2,"0-2",IF(AT3&lt;=4,"3-4","5-6"))</f>
        <v>3-4</v>
      </c>
      <c r="AV3">
        <v>3</v>
      </c>
      <c r="AW3" t="s">
        <v>79</v>
      </c>
      <c r="AX3">
        <v>10</v>
      </c>
      <c r="AY3" t="str">
        <f t="shared" si="0"/>
        <v>6-10</v>
      </c>
      <c r="AZ3">
        <v>7</v>
      </c>
      <c r="BA3" t="str">
        <f t="shared" ref="BA3:BA66" si="12">IF(AZ3&lt;=1,"0-1",IF(AZ3&lt;=5,"2-5",IF(AZ3&lt;=10,"6-10","11-18")))</f>
        <v>6-10</v>
      </c>
      <c r="BB3">
        <v>1</v>
      </c>
      <c r="BC3" t="str">
        <f t="shared" ref="BC3:BC66" si="13">IF(BB3&lt;=1,"0-1",IF(BB3&lt;=5,"2-5",IF(BB3&lt;=10,"6-10","11-15")))</f>
        <v>0-1</v>
      </c>
      <c r="BD3">
        <v>7</v>
      </c>
      <c r="BE3" t="str">
        <f t="shared" ref="BE3:BE66" si="14">IF(BD3&lt;=1,"0-1",IF(BD3&lt;=5,"2-5",IF(BD3&lt;=10,"6-10","11-17")))</f>
        <v>6-10</v>
      </c>
      <c r="BH3" t="s">
        <v>189</v>
      </c>
    </row>
    <row r="4" spans="1:66" x14ac:dyDescent="0.3">
      <c r="A4">
        <v>4</v>
      </c>
      <c r="B4">
        <v>37</v>
      </c>
      <c r="C4" t="str">
        <f t="shared" si="1"/>
        <v>36-45</v>
      </c>
      <c r="D4" t="s">
        <v>56</v>
      </c>
      <c r="E4">
        <f t="shared" si="2"/>
        <v>1</v>
      </c>
      <c r="F4" t="s">
        <v>57</v>
      </c>
      <c r="G4">
        <v>1373</v>
      </c>
      <c r="H4" t="str">
        <f t="shared" si="3"/>
        <v>1001-1499</v>
      </c>
      <c r="I4" t="s">
        <v>73</v>
      </c>
      <c r="J4">
        <v>2</v>
      </c>
      <c r="K4" t="str">
        <f t="shared" si="4"/>
        <v>1-5</v>
      </c>
      <c r="L4">
        <v>2</v>
      </c>
      <c r="M4" t="s">
        <v>59</v>
      </c>
      <c r="N4" t="s">
        <v>80</v>
      </c>
      <c r="O4">
        <v>1</v>
      </c>
      <c r="P4">
        <v>4</v>
      </c>
      <c r="Q4" t="s">
        <v>65</v>
      </c>
      <c r="R4" t="s">
        <v>75</v>
      </c>
      <c r="S4">
        <v>92</v>
      </c>
      <c r="T4" t="str">
        <f t="shared" si="5"/>
        <v>76-100</v>
      </c>
      <c r="U4">
        <v>2</v>
      </c>
      <c r="V4" t="s">
        <v>61</v>
      </c>
      <c r="W4">
        <v>1</v>
      </c>
      <c r="X4" t="s">
        <v>81</v>
      </c>
      <c r="Y4">
        <v>3</v>
      </c>
      <c r="Z4" t="s">
        <v>63</v>
      </c>
      <c r="AA4" t="s">
        <v>66</v>
      </c>
      <c r="AB4" s="4">
        <v>2090</v>
      </c>
      <c r="AC4" s="4" t="str">
        <f t="shared" si="6"/>
        <v>$1,000-$2,500</v>
      </c>
      <c r="AD4">
        <v>2396</v>
      </c>
      <c r="AE4" t="str">
        <f t="shared" si="7"/>
        <v>$2,094-$8,000</v>
      </c>
      <c r="AF4">
        <v>6</v>
      </c>
      <c r="AG4" t="str">
        <f t="shared" si="8"/>
        <v>4-6</v>
      </c>
      <c r="AH4" t="s">
        <v>67</v>
      </c>
      <c r="AI4" t="s">
        <v>56</v>
      </c>
      <c r="AJ4">
        <v>15</v>
      </c>
      <c r="AK4" t="str">
        <f t="shared" si="9"/>
        <v>13-15%</v>
      </c>
      <c r="AL4">
        <v>3</v>
      </c>
      <c r="AM4" t="s">
        <v>68</v>
      </c>
      <c r="AN4">
        <v>2</v>
      </c>
      <c r="AO4" s="5" t="s">
        <v>38</v>
      </c>
      <c r="AP4">
        <v>80</v>
      </c>
      <c r="AQ4">
        <v>0</v>
      </c>
      <c r="AR4">
        <v>7</v>
      </c>
      <c r="AS4" t="str">
        <f t="shared" si="10"/>
        <v>6-10</v>
      </c>
      <c r="AT4">
        <v>3</v>
      </c>
      <c r="AU4" t="str">
        <f t="shared" si="11"/>
        <v>3-4</v>
      </c>
      <c r="AV4">
        <v>3</v>
      </c>
      <c r="AW4" t="s">
        <v>79</v>
      </c>
      <c r="AX4">
        <v>0</v>
      </c>
      <c r="AY4" t="str">
        <f t="shared" si="0"/>
        <v>0-1</v>
      </c>
      <c r="AZ4">
        <v>0</v>
      </c>
      <c r="BA4" t="str">
        <f t="shared" si="12"/>
        <v>0-1</v>
      </c>
      <c r="BB4">
        <v>0</v>
      </c>
      <c r="BC4" t="str">
        <f t="shared" si="13"/>
        <v>0-1</v>
      </c>
      <c r="BD4">
        <v>0</v>
      </c>
      <c r="BE4" t="str">
        <f t="shared" si="14"/>
        <v>0-1</v>
      </c>
      <c r="BH4" t="s">
        <v>190</v>
      </c>
      <c r="BN4" s="15"/>
    </row>
    <row r="5" spans="1:66" x14ac:dyDescent="0.3">
      <c r="A5">
        <v>5</v>
      </c>
      <c r="B5">
        <v>33</v>
      </c>
      <c r="C5" t="str">
        <f t="shared" si="1"/>
        <v>26-35</v>
      </c>
      <c r="D5" t="s">
        <v>71</v>
      </c>
      <c r="E5">
        <f t="shared" si="2"/>
        <v>0</v>
      </c>
      <c r="F5" t="s">
        <v>72</v>
      </c>
      <c r="G5">
        <v>1392</v>
      </c>
      <c r="H5" t="str">
        <f t="shared" si="3"/>
        <v>1001-1499</v>
      </c>
      <c r="I5" t="s">
        <v>73</v>
      </c>
      <c r="J5">
        <v>3</v>
      </c>
      <c r="K5" t="str">
        <f t="shared" si="4"/>
        <v>1-5</v>
      </c>
      <c r="L5">
        <v>4</v>
      </c>
      <c r="M5" t="s">
        <v>82</v>
      </c>
      <c r="N5" t="s">
        <v>60</v>
      </c>
      <c r="O5">
        <v>1</v>
      </c>
      <c r="P5">
        <v>4</v>
      </c>
      <c r="Q5" t="s">
        <v>65</v>
      </c>
      <c r="R5" t="s">
        <v>62</v>
      </c>
      <c r="S5">
        <v>56</v>
      </c>
      <c r="T5" t="str">
        <f t="shared" si="5"/>
        <v>51-75</v>
      </c>
      <c r="U5">
        <v>3</v>
      </c>
      <c r="V5" t="s">
        <v>63</v>
      </c>
      <c r="W5">
        <v>1</v>
      </c>
      <c r="X5" t="s">
        <v>76</v>
      </c>
      <c r="Y5">
        <v>3</v>
      </c>
      <c r="Z5" t="s">
        <v>63</v>
      </c>
      <c r="AA5" t="s">
        <v>77</v>
      </c>
      <c r="AB5" s="4">
        <v>2909</v>
      </c>
      <c r="AC5" s="4" t="str">
        <f t="shared" si="6"/>
        <v>$2,500-$4,000</v>
      </c>
      <c r="AD5">
        <v>23159</v>
      </c>
      <c r="AE5" t="str">
        <f t="shared" si="7"/>
        <v>$22,001-$26,999</v>
      </c>
      <c r="AF5">
        <v>1</v>
      </c>
      <c r="AG5" t="str">
        <f t="shared" si="8"/>
        <v>0-1</v>
      </c>
      <c r="AH5" t="s">
        <v>67</v>
      </c>
      <c r="AI5" t="s">
        <v>56</v>
      </c>
      <c r="AJ5">
        <v>11</v>
      </c>
      <c r="AK5" t="str">
        <f t="shared" si="9"/>
        <v>11-12%</v>
      </c>
      <c r="AL5">
        <v>3</v>
      </c>
      <c r="AM5" t="s">
        <v>68</v>
      </c>
      <c r="AN5">
        <v>3</v>
      </c>
      <c r="AO5" t="s">
        <v>63</v>
      </c>
      <c r="AP5">
        <v>80</v>
      </c>
      <c r="AQ5">
        <v>0</v>
      </c>
      <c r="AR5">
        <v>8</v>
      </c>
      <c r="AS5" t="str">
        <f t="shared" si="10"/>
        <v>6-10</v>
      </c>
      <c r="AT5">
        <v>3</v>
      </c>
      <c r="AU5" t="str">
        <f t="shared" si="11"/>
        <v>3-4</v>
      </c>
      <c r="AV5">
        <v>3</v>
      </c>
      <c r="AW5" t="s">
        <v>79</v>
      </c>
      <c r="AX5">
        <v>8</v>
      </c>
      <c r="AY5" t="str">
        <f t="shared" si="0"/>
        <v>6-10</v>
      </c>
      <c r="AZ5">
        <v>7</v>
      </c>
      <c r="BA5" t="str">
        <f t="shared" si="12"/>
        <v>6-10</v>
      </c>
      <c r="BB5">
        <v>3</v>
      </c>
      <c r="BC5" t="str">
        <f t="shared" si="13"/>
        <v>2-5</v>
      </c>
      <c r="BD5">
        <v>0</v>
      </c>
      <c r="BE5" t="str">
        <f t="shared" si="14"/>
        <v>0-1</v>
      </c>
    </row>
    <row r="6" spans="1:66" x14ac:dyDescent="0.3">
      <c r="A6">
        <v>7</v>
      </c>
      <c r="B6">
        <v>27</v>
      </c>
      <c r="C6" t="str">
        <f t="shared" si="1"/>
        <v>26-35</v>
      </c>
      <c r="D6" t="s">
        <v>71</v>
      </c>
      <c r="E6">
        <f t="shared" si="2"/>
        <v>0</v>
      </c>
      <c r="F6" t="s">
        <v>57</v>
      </c>
      <c r="G6">
        <v>591</v>
      </c>
      <c r="H6" t="str">
        <f t="shared" si="3"/>
        <v>501-1000</v>
      </c>
      <c r="I6" t="s">
        <v>73</v>
      </c>
      <c r="J6">
        <v>2</v>
      </c>
      <c r="K6" t="str">
        <f t="shared" si="4"/>
        <v>1-5</v>
      </c>
      <c r="L6">
        <v>1</v>
      </c>
      <c r="M6" t="s">
        <v>74</v>
      </c>
      <c r="N6" t="s">
        <v>83</v>
      </c>
      <c r="O6">
        <v>1</v>
      </c>
      <c r="P6">
        <v>1</v>
      </c>
      <c r="Q6" t="s">
        <v>69</v>
      </c>
      <c r="R6" t="s">
        <v>75</v>
      </c>
      <c r="S6">
        <v>40</v>
      </c>
      <c r="T6" t="str">
        <f t="shared" si="5"/>
        <v>30-50</v>
      </c>
      <c r="U6">
        <v>3</v>
      </c>
      <c r="V6" t="s">
        <v>63</v>
      </c>
      <c r="W6">
        <v>1</v>
      </c>
      <c r="X6" t="s">
        <v>81</v>
      </c>
      <c r="Y6">
        <v>2</v>
      </c>
      <c r="Z6" t="s">
        <v>61</v>
      </c>
      <c r="AA6" t="s">
        <v>77</v>
      </c>
      <c r="AB6" s="4">
        <v>3468</v>
      </c>
      <c r="AC6" s="4" t="str">
        <f t="shared" si="6"/>
        <v>$2,500-$4,000</v>
      </c>
      <c r="AD6">
        <v>16632</v>
      </c>
      <c r="AE6" t="str">
        <f t="shared" si="7"/>
        <v>$16,001-$22,000</v>
      </c>
      <c r="AF6">
        <v>9</v>
      </c>
      <c r="AG6" t="str">
        <f t="shared" si="8"/>
        <v>7-9</v>
      </c>
      <c r="AH6" t="s">
        <v>67</v>
      </c>
      <c r="AI6" t="s">
        <v>71</v>
      </c>
      <c r="AJ6">
        <v>12</v>
      </c>
      <c r="AK6" t="str">
        <f t="shared" si="9"/>
        <v>11-12%</v>
      </c>
      <c r="AL6">
        <v>3</v>
      </c>
      <c r="AM6" t="s">
        <v>68</v>
      </c>
      <c r="AN6">
        <v>4</v>
      </c>
      <c r="AO6" t="s">
        <v>65</v>
      </c>
      <c r="AP6">
        <v>80</v>
      </c>
      <c r="AQ6">
        <v>1</v>
      </c>
      <c r="AR6">
        <v>6</v>
      </c>
      <c r="AS6" t="str">
        <f t="shared" si="10"/>
        <v>6-10</v>
      </c>
      <c r="AT6">
        <v>3</v>
      </c>
      <c r="AU6" t="str">
        <f t="shared" si="11"/>
        <v>3-4</v>
      </c>
      <c r="AV6">
        <v>3</v>
      </c>
      <c r="AW6" t="s">
        <v>79</v>
      </c>
      <c r="AX6">
        <v>2</v>
      </c>
      <c r="AY6" t="str">
        <f t="shared" si="0"/>
        <v>2-5</v>
      </c>
      <c r="AZ6">
        <v>2</v>
      </c>
      <c r="BA6" t="str">
        <f t="shared" si="12"/>
        <v>2-5</v>
      </c>
      <c r="BB6">
        <v>2</v>
      </c>
      <c r="BC6" t="str">
        <f t="shared" si="13"/>
        <v>2-5</v>
      </c>
      <c r="BD6">
        <v>2</v>
      </c>
      <c r="BE6" t="str">
        <f t="shared" si="14"/>
        <v>2-5</v>
      </c>
    </row>
    <row r="7" spans="1:66" x14ac:dyDescent="0.3">
      <c r="A7">
        <v>8</v>
      </c>
      <c r="B7">
        <v>32</v>
      </c>
      <c r="C7" t="str">
        <f t="shared" si="1"/>
        <v>26-35</v>
      </c>
      <c r="D7" t="s">
        <v>71</v>
      </c>
      <c r="E7">
        <f t="shared" si="2"/>
        <v>0</v>
      </c>
      <c r="F7" t="s">
        <v>72</v>
      </c>
      <c r="G7">
        <v>1005</v>
      </c>
      <c r="H7" t="str">
        <f t="shared" si="3"/>
        <v>1001-1499</v>
      </c>
      <c r="I7" t="s">
        <v>73</v>
      </c>
      <c r="J7">
        <v>2</v>
      </c>
      <c r="K7" t="str">
        <f t="shared" si="4"/>
        <v>1-5</v>
      </c>
      <c r="L7">
        <v>2</v>
      </c>
      <c r="M7" t="s">
        <v>59</v>
      </c>
      <c r="N7" t="s">
        <v>60</v>
      </c>
      <c r="O7">
        <v>1</v>
      </c>
      <c r="P7">
        <v>4</v>
      </c>
      <c r="Q7" t="s">
        <v>65</v>
      </c>
      <c r="R7" t="s">
        <v>75</v>
      </c>
      <c r="S7">
        <v>79</v>
      </c>
      <c r="T7" t="str">
        <f t="shared" si="5"/>
        <v>76-100</v>
      </c>
      <c r="U7">
        <v>3</v>
      </c>
      <c r="V7" t="s">
        <v>63</v>
      </c>
      <c r="W7">
        <v>1</v>
      </c>
      <c r="X7" t="s">
        <v>81</v>
      </c>
      <c r="Y7">
        <v>4</v>
      </c>
      <c r="Z7" t="s">
        <v>65</v>
      </c>
      <c r="AA7" t="s">
        <v>66</v>
      </c>
      <c r="AB7" s="4">
        <v>3068</v>
      </c>
      <c r="AC7" s="4" t="str">
        <f t="shared" si="6"/>
        <v>$2,500-$4,000</v>
      </c>
      <c r="AD7">
        <v>11864</v>
      </c>
      <c r="AE7" t="str">
        <f t="shared" si="7"/>
        <v>$8,001-$16,000</v>
      </c>
      <c r="AF7">
        <v>0</v>
      </c>
      <c r="AG7" t="str">
        <f t="shared" si="8"/>
        <v>0-1</v>
      </c>
      <c r="AH7" t="s">
        <v>67</v>
      </c>
      <c r="AI7" t="s">
        <v>71</v>
      </c>
      <c r="AJ7">
        <v>13</v>
      </c>
      <c r="AK7" t="str">
        <f t="shared" si="9"/>
        <v>13-15%</v>
      </c>
      <c r="AL7">
        <v>3</v>
      </c>
      <c r="AM7" t="s">
        <v>68</v>
      </c>
      <c r="AN7">
        <v>3</v>
      </c>
      <c r="AO7" t="s">
        <v>63</v>
      </c>
      <c r="AP7">
        <v>80</v>
      </c>
      <c r="AQ7">
        <v>0</v>
      </c>
      <c r="AR7">
        <v>8</v>
      </c>
      <c r="AS7" t="str">
        <f t="shared" si="10"/>
        <v>6-10</v>
      </c>
      <c r="AT7">
        <v>2</v>
      </c>
      <c r="AU7" t="str">
        <f t="shared" si="11"/>
        <v>0-2</v>
      </c>
      <c r="AV7">
        <v>2</v>
      </c>
      <c r="AW7" t="s">
        <v>84</v>
      </c>
      <c r="AX7">
        <v>7</v>
      </c>
      <c r="AY7" t="str">
        <f t="shared" si="0"/>
        <v>6-10</v>
      </c>
      <c r="AZ7">
        <v>7</v>
      </c>
      <c r="BA7" t="str">
        <f t="shared" si="12"/>
        <v>6-10</v>
      </c>
      <c r="BB7">
        <v>3</v>
      </c>
      <c r="BC7" t="str">
        <f t="shared" si="13"/>
        <v>2-5</v>
      </c>
      <c r="BD7">
        <v>6</v>
      </c>
      <c r="BE7" t="str">
        <f t="shared" si="14"/>
        <v>6-10</v>
      </c>
    </row>
    <row r="8" spans="1:66" x14ac:dyDescent="0.3">
      <c r="A8">
        <v>10</v>
      </c>
      <c r="B8">
        <v>59</v>
      </c>
      <c r="C8" t="str">
        <f t="shared" si="1"/>
        <v>56+</v>
      </c>
      <c r="D8" t="s">
        <v>71</v>
      </c>
      <c r="E8">
        <f t="shared" si="2"/>
        <v>0</v>
      </c>
      <c r="F8" t="s">
        <v>57</v>
      </c>
      <c r="G8">
        <v>1324</v>
      </c>
      <c r="H8" t="str">
        <f t="shared" si="3"/>
        <v>1001-1499</v>
      </c>
      <c r="I8" t="s">
        <v>73</v>
      </c>
      <c r="J8">
        <v>3</v>
      </c>
      <c r="K8" t="str">
        <f t="shared" si="4"/>
        <v>1-5</v>
      </c>
      <c r="L8">
        <v>3</v>
      </c>
      <c r="M8" t="s">
        <v>85</v>
      </c>
      <c r="N8" t="s">
        <v>83</v>
      </c>
      <c r="O8">
        <v>1</v>
      </c>
      <c r="P8">
        <v>3</v>
      </c>
      <c r="Q8" t="s">
        <v>63</v>
      </c>
      <c r="R8" t="s">
        <v>62</v>
      </c>
      <c r="S8">
        <v>81</v>
      </c>
      <c r="T8" t="str">
        <f t="shared" si="5"/>
        <v>76-100</v>
      </c>
      <c r="U8">
        <v>4</v>
      </c>
      <c r="V8" t="s">
        <v>65</v>
      </c>
      <c r="W8">
        <v>1</v>
      </c>
      <c r="X8" t="s">
        <v>81</v>
      </c>
      <c r="Y8">
        <v>1</v>
      </c>
      <c r="Z8" t="s">
        <v>69</v>
      </c>
      <c r="AA8" t="s">
        <v>77</v>
      </c>
      <c r="AB8" s="4">
        <v>2670</v>
      </c>
      <c r="AC8" s="4" t="str">
        <f t="shared" si="6"/>
        <v>$2,500-$4,000</v>
      </c>
      <c r="AD8">
        <v>9964</v>
      </c>
      <c r="AE8" t="str">
        <f t="shared" si="7"/>
        <v>$8,001-$16,000</v>
      </c>
      <c r="AF8">
        <v>4</v>
      </c>
      <c r="AG8" t="str">
        <f t="shared" si="8"/>
        <v>4-6</v>
      </c>
      <c r="AH8" t="s">
        <v>67</v>
      </c>
      <c r="AI8" t="s">
        <v>56</v>
      </c>
      <c r="AJ8">
        <v>20</v>
      </c>
      <c r="AK8" t="str">
        <f t="shared" si="9"/>
        <v>18-19%</v>
      </c>
      <c r="AL8">
        <v>4</v>
      </c>
      <c r="AM8" t="s">
        <v>78</v>
      </c>
      <c r="AN8">
        <v>1</v>
      </c>
      <c r="AO8" t="s">
        <v>69</v>
      </c>
      <c r="AP8">
        <v>80</v>
      </c>
      <c r="AQ8">
        <v>3</v>
      </c>
      <c r="AR8">
        <v>12</v>
      </c>
      <c r="AS8" t="str">
        <f t="shared" si="10"/>
        <v>11-20</v>
      </c>
      <c r="AT8">
        <v>3</v>
      </c>
      <c r="AU8" t="str">
        <f t="shared" si="11"/>
        <v>3-4</v>
      </c>
      <c r="AV8">
        <v>2</v>
      </c>
      <c r="AW8" t="s">
        <v>84</v>
      </c>
      <c r="AX8">
        <v>1</v>
      </c>
      <c r="AY8" t="str">
        <f t="shared" si="0"/>
        <v>0-1</v>
      </c>
      <c r="AZ8">
        <v>0</v>
      </c>
      <c r="BA8" t="str">
        <f t="shared" si="12"/>
        <v>0-1</v>
      </c>
      <c r="BB8">
        <v>0</v>
      </c>
      <c r="BC8" t="str">
        <f t="shared" si="13"/>
        <v>0-1</v>
      </c>
      <c r="BD8">
        <v>0</v>
      </c>
      <c r="BE8" t="str">
        <f t="shared" si="14"/>
        <v>0-1</v>
      </c>
    </row>
    <row r="9" spans="1:66" x14ac:dyDescent="0.3">
      <c r="A9">
        <v>11</v>
      </c>
      <c r="B9">
        <v>30</v>
      </c>
      <c r="C9" t="str">
        <f t="shared" si="1"/>
        <v>26-35</v>
      </c>
      <c r="D9" t="s">
        <v>71</v>
      </c>
      <c r="E9">
        <f t="shared" si="2"/>
        <v>0</v>
      </c>
      <c r="F9" t="s">
        <v>57</v>
      </c>
      <c r="G9">
        <v>1358</v>
      </c>
      <c r="H9" t="str">
        <f t="shared" si="3"/>
        <v>1001-1499</v>
      </c>
      <c r="I9" t="s">
        <v>73</v>
      </c>
      <c r="J9">
        <v>24</v>
      </c>
      <c r="K9" t="str">
        <f t="shared" si="4"/>
        <v>21-29</v>
      </c>
      <c r="L9">
        <v>1</v>
      </c>
      <c r="M9" t="s">
        <v>74</v>
      </c>
      <c r="N9" t="s">
        <v>60</v>
      </c>
      <c r="O9">
        <v>1</v>
      </c>
      <c r="P9">
        <v>4</v>
      </c>
      <c r="Q9" t="s">
        <v>65</v>
      </c>
      <c r="R9" t="s">
        <v>75</v>
      </c>
      <c r="S9">
        <v>67</v>
      </c>
      <c r="T9" t="str">
        <f t="shared" si="5"/>
        <v>51-75</v>
      </c>
      <c r="U9">
        <v>3</v>
      </c>
      <c r="V9" t="s">
        <v>63</v>
      </c>
      <c r="W9">
        <v>1</v>
      </c>
      <c r="X9" t="s">
        <v>81</v>
      </c>
      <c r="Y9">
        <v>3</v>
      </c>
      <c r="Z9" t="s">
        <v>63</v>
      </c>
      <c r="AA9" t="s">
        <v>86</v>
      </c>
      <c r="AB9" s="4">
        <v>2693</v>
      </c>
      <c r="AC9" s="4" t="str">
        <f t="shared" si="6"/>
        <v>$2,500-$4,000</v>
      </c>
      <c r="AD9">
        <v>13335</v>
      </c>
      <c r="AE9" t="str">
        <f t="shared" si="7"/>
        <v>$8,001-$16,000</v>
      </c>
      <c r="AF9">
        <v>1</v>
      </c>
      <c r="AG9" t="str">
        <f t="shared" si="8"/>
        <v>0-1</v>
      </c>
      <c r="AH9" t="s">
        <v>67</v>
      </c>
      <c r="AI9" t="s">
        <v>71</v>
      </c>
      <c r="AJ9">
        <v>22</v>
      </c>
      <c r="AK9" t="str">
        <f t="shared" si="9"/>
        <v>18-19%</v>
      </c>
      <c r="AL9">
        <v>4</v>
      </c>
      <c r="AM9" t="s">
        <v>78</v>
      </c>
      <c r="AN9">
        <v>2</v>
      </c>
      <c r="AO9" t="s">
        <v>61</v>
      </c>
      <c r="AP9">
        <v>80</v>
      </c>
      <c r="AQ9">
        <v>1</v>
      </c>
      <c r="AR9">
        <v>1</v>
      </c>
      <c r="AS9" t="str">
        <f t="shared" si="10"/>
        <v>0-2</v>
      </c>
      <c r="AT9">
        <v>2</v>
      </c>
      <c r="AU9" t="str">
        <f t="shared" si="11"/>
        <v>0-2</v>
      </c>
      <c r="AV9">
        <v>3</v>
      </c>
      <c r="AW9" t="s">
        <v>79</v>
      </c>
      <c r="AX9">
        <v>1</v>
      </c>
      <c r="AY9" t="str">
        <f t="shared" si="0"/>
        <v>0-1</v>
      </c>
      <c r="AZ9">
        <v>0</v>
      </c>
      <c r="BA9" t="str">
        <f t="shared" si="12"/>
        <v>0-1</v>
      </c>
      <c r="BB9">
        <v>0</v>
      </c>
      <c r="BC9" t="str">
        <f t="shared" si="13"/>
        <v>0-1</v>
      </c>
      <c r="BD9">
        <v>0</v>
      </c>
      <c r="BE9" t="str">
        <f t="shared" si="14"/>
        <v>0-1</v>
      </c>
    </row>
    <row r="10" spans="1:66" x14ac:dyDescent="0.3">
      <c r="A10">
        <v>12</v>
      </c>
      <c r="B10">
        <v>38</v>
      </c>
      <c r="C10" t="str">
        <f t="shared" si="1"/>
        <v>36-45</v>
      </c>
      <c r="D10" t="s">
        <v>71</v>
      </c>
      <c r="E10">
        <f t="shared" si="2"/>
        <v>0</v>
      </c>
      <c r="F10" t="s">
        <v>72</v>
      </c>
      <c r="G10">
        <v>216</v>
      </c>
      <c r="H10" t="str">
        <f t="shared" si="3"/>
        <v>102-500</v>
      </c>
      <c r="I10" t="s">
        <v>73</v>
      </c>
      <c r="J10">
        <v>23</v>
      </c>
      <c r="K10" t="str">
        <f t="shared" si="4"/>
        <v>21-29</v>
      </c>
      <c r="L10">
        <v>3</v>
      </c>
      <c r="M10" t="s">
        <v>85</v>
      </c>
      <c r="N10" t="s">
        <v>60</v>
      </c>
      <c r="O10">
        <v>1</v>
      </c>
      <c r="P10">
        <v>4</v>
      </c>
      <c r="Q10" t="s">
        <v>65</v>
      </c>
      <c r="R10" t="s">
        <v>75</v>
      </c>
      <c r="S10">
        <v>44</v>
      </c>
      <c r="T10" t="str">
        <f t="shared" si="5"/>
        <v>30-50</v>
      </c>
      <c r="U10">
        <v>2</v>
      </c>
      <c r="V10" t="s">
        <v>61</v>
      </c>
      <c r="W10">
        <v>3</v>
      </c>
      <c r="X10" t="s">
        <v>87</v>
      </c>
      <c r="Y10">
        <v>3</v>
      </c>
      <c r="Z10" t="s">
        <v>63</v>
      </c>
      <c r="AA10" t="s">
        <v>66</v>
      </c>
      <c r="AB10" s="4">
        <v>9526</v>
      </c>
      <c r="AC10" s="4" t="str">
        <f t="shared" si="6"/>
        <v>$8,500-$10,000</v>
      </c>
      <c r="AD10">
        <v>8787</v>
      </c>
      <c r="AE10" t="str">
        <f t="shared" si="7"/>
        <v>$8,001-$16,000</v>
      </c>
      <c r="AF10">
        <v>0</v>
      </c>
      <c r="AG10" t="str">
        <f t="shared" si="8"/>
        <v>0-1</v>
      </c>
      <c r="AH10" t="s">
        <v>67</v>
      </c>
      <c r="AI10" t="s">
        <v>71</v>
      </c>
      <c r="AJ10">
        <v>21</v>
      </c>
      <c r="AK10" t="str">
        <f t="shared" si="9"/>
        <v>18-19%</v>
      </c>
      <c r="AL10">
        <v>4</v>
      </c>
      <c r="AM10" t="s">
        <v>78</v>
      </c>
      <c r="AN10">
        <v>2</v>
      </c>
      <c r="AO10" t="s">
        <v>61</v>
      </c>
      <c r="AP10">
        <v>80</v>
      </c>
      <c r="AQ10">
        <v>0</v>
      </c>
      <c r="AR10">
        <v>10</v>
      </c>
      <c r="AS10" t="str">
        <f t="shared" si="10"/>
        <v>6-10</v>
      </c>
      <c r="AT10">
        <v>2</v>
      </c>
      <c r="AU10" t="str">
        <f t="shared" si="11"/>
        <v>0-2</v>
      </c>
      <c r="AV10">
        <v>3</v>
      </c>
      <c r="AW10" t="s">
        <v>79</v>
      </c>
      <c r="AX10">
        <v>9</v>
      </c>
      <c r="AY10" t="str">
        <f t="shared" si="0"/>
        <v>6-10</v>
      </c>
      <c r="AZ10">
        <v>7</v>
      </c>
      <c r="BA10" t="str">
        <f t="shared" si="12"/>
        <v>6-10</v>
      </c>
      <c r="BB10">
        <v>1</v>
      </c>
      <c r="BC10" t="str">
        <f t="shared" si="13"/>
        <v>0-1</v>
      </c>
      <c r="BD10">
        <v>8</v>
      </c>
      <c r="BE10" t="str">
        <f t="shared" si="14"/>
        <v>6-10</v>
      </c>
    </row>
    <row r="11" spans="1:66" x14ac:dyDescent="0.3">
      <c r="A11">
        <v>13</v>
      </c>
      <c r="B11">
        <v>36</v>
      </c>
      <c r="C11" t="str">
        <f t="shared" si="1"/>
        <v>36-45</v>
      </c>
      <c r="D11" t="s">
        <v>71</v>
      </c>
      <c r="E11">
        <f t="shared" si="2"/>
        <v>0</v>
      </c>
      <c r="F11" t="s">
        <v>57</v>
      </c>
      <c r="G11">
        <v>1299</v>
      </c>
      <c r="H11" t="str">
        <f t="shared" si="3"/>
        <v>1001-1499</v>
      </c>
      <c r="I11" t="s">
        <v>73</v>
      </c>
      <c r="J11">
        <v>27</v>
      </c>
      <c r="K11" t="str">
        <f t="shared" si="4"/>
        <v>21-29</v>
      </c>
      <c r="L11">
        <v>3</v>
      </c>
      <c r="M11" t="s">
        <v>85</v>
      </c>
      <c r="N11" t="s">
        <v>83</v>
      </c>
      <c r="O11">
        <v>1</v>
      </c>
      <c r="P11">
        <v>3</v>
      </c>
      <c r="Q11" t="s">
        <v>63</v>
      </c>
      <c r="R11" t="s">
        <v>75</v>
      </c>
      <c r="S11">
        <v>94</v>
      </c>
      <c r="T11" t="str">
        <f t="shared" si="5"/>
        <v>76-100</v>
      </c>
      <c r="U11">
        <v>3</v>
      </c>
      <c r="V11" t="s">
        <v>63</v>
      </c>
      <c r="W11">
        <v>2</v>
      </c>
      <c r="X11" t="s">
        <v>88</v>
      </c>
      <c r="Y11">
        <v>3</v>
      </c>
      <c r="Z11" t="s">
        <v>63</v>
      </c>
      <c r="AA11" t="s">
        <v>77</v>
      </c>
      <c r="AB11" s="4">
        <v>5237</v>
      </c>
      <c r="AC11" s="4" t="str">
        <f t="shared" si="6"/>
        <v>$4,000-$5,500</v>
      </c>
      <c r="AD11">
        <v>16577</v>
      </c>
      <c r="AE11" t="str">
        <f t="shared" si="7"/>
        <v>$16,001-$22,000</v>
      </c>
      <c r="AF11">
        <v>6</v>
      </c>
      <c r="AG11" t="str">
        <f t="shared" si="8"/>
        <v>4-6</v>
      </c>
      <c r="AH11" t="s">
        <v>67</v>
      </c>
      <c r="AI11" t="s">
        <v>71</v>
      </c>
      <c r="AJ11">
        <v>13</v>
      </c>
      <c r="AK11" t="str">
        <f t="shared" si="9"/>
        <v>13-15%</v>
      </c>
      <c r="AL11">
        <v>3</v>
      </c>
      <c r="AM11" t="s">
        <v>68</v>
      </c>
      <c r="AN11">
        <v>2</v>
      </c>
      <c r="AO11" t="s">
        <v>61</v>
      </c>
      <c r="AP11">
        <v>80</v>
      </c>
      <c r="AQ11">
        <v>2</v>
      </c>
      <c r="AR11">
        <v>17</v>
      </c>
      <c r="AS11" t="str">
        <f t="shared" si="10"/>
        <v>11-20</v>
      </c>
      <c r="AT11">
        <v>3</v>
      </c>
      <c r="AU11" t="str">
        <f t="shared" si="11"/>
        <v>3-4</v>
      </c>
      <c r="AV11">
        <v>2</v>
      </c>
      <c r="AW11" t="s">
        <v>84</v>
      </c>
      <c r="AX11">
        <v>7</v>
      </c>
      <c r="AY11" t="str">
        <f t="shared" si="0"/>
        <v>6-10</v>
      </c>
      <c r="AZ11">
        <v>7</v>
      </c>
      <c r="BA11" t="str">
        <f t="shared" si="12"/>
        <v>6-10</v>
      </c>
      <c r="BB11">
        <v>7</v>
      </c>
      <c r="BC11" t="str">
        <f t="shared" si="13"/>
        <v>6-10</v>
      </c>
      <c r="BD11">
        <v>7</v>
      </c>
      <c r="BE11" t="str">
        <f t="shared" si="14"/>
        <v>6-10</v>
      </c>
    </row>
    <row r="12" spans="1:66" x14ac:dyDescent="0.3">
      <c r="A12">
        <v>14</v>
      </c>
      <c r="B12">
        <v>35</v>
      </c>
      <c r="C12" t="str">
        <f t="shared" si="1"/>
        <v>26-35</v>
      </c>
      <c r="D12" t="s">
        <v>71</v>
      </c>
      <c r="E12">
        <f t="shared" si="2"/>
        <v>0</v>
      </c>
      <c r="F12" t="s">
        <v>57</v>
      </c>
      <c r="G12">
        <v>809</v>
      </c>
      <c r="H12" t="str">
        <f t="shared" si="3"/>
        <v>501-1000</v>
      </c>
      <c r="I12" t="s">
        <v>73</v>
      </c>
      <c r="J12">
        <v>16</v>
      </c>
      <c r="K12" t="str">
        <f t="shared" si="4"/>
        <v>11-20</v>
      </c>
      <c r="L12">
        <v>3</v>
      </c>
      <c r="M12" t="s">
        <v>85</v>
      </c>
      <c r="N12" t="s">
        <v>83</v>
      </c>
      <c r="O12">
        <v>1</v>
      </c>
      <c r="P12">
        <v>1</v>
      </c>
      <c r="Q12" t="s">
        <v>69</v>
      </c>
      <c r="R12" t="s">
        <v>75</v>
      </c>
      <c r="S12">
        <v>84</v>
      </c>
      <c r="T12" t="str">
        <f t="shared" si="5"/>
        <v>76-100</v>
      </c>
      <c r="U12">
        <v>4</v>
      </c>
      <c r="V12" t="s">
        <v>65</v>
      </c>
      <c r="W12">
        <v>1</v>
      </c>
      <c r="X12" t="s">
        <v>81</v>
      </c>
      <c r="Y12">
        <v>2</v>
      </c>
      <c r="Z12" t="s">
        <v>61</v>
      </c>
      <c r="AA12" t="s">
        <v>77</v>
      </c>
      <c r="AB12" s="4">
        <v>2426</v>
      </c>
      <c r="AC12" s="4" t="str">
        <f t="shared" si="6"/>
        <v>$1,000-$2,500</v>
      </c>
      <c r="AD12">
        <v>16479</v>
      </c>
      <c r="AE12" t="str">
        <f t="shared" si="7"/>
        <v>$16,001-$22,000</v>
      </c>
      <c r="AF12">
        <v>0</v>
      </c>
      <c r="AG12" t="str">
        <f t="shared" si="8"/>
        <v>0-1</v>
      </c>
      <c r="AH12" t="s">
        <v>67</v>
      </c>
      <c r="AI12" t="s">
        <v>71</v>
      </c>
      <c r="AJ12">
        <v>13</v>
      </c>
      <c r="AK12" t="str">
        <f t="shared" si="9"/>
        <v>13-15%</v>
      </c>
      <c r="AL12">
        <v>3</v>
      </c>
      <c r="AM12" t="s">
        <v>68</v>
      </c>
      <c r="AN12">
        <v>3</v>
      </c>
      <c r="AO12" t="s">
        <v>63</v>
      </c>
      <c r="AP12">
        <v>80</v>
      </c>
      <c r="AQ12">
        <v>1</v>
      </c>
      <c r="AR12">
        <v>6</v>
      </c>
      <c r="AS12" t="str">
        <f t="shared" si="10"/>
        <v>6-10</v>
      </c>
      <c r="AT12">
        <v>5</v>
      </c>
      <c r="AU12" t="str">
        <f t="shared" si="11"/>
        <v>5-6</v>
      </c>
      <c r="AV12">
        <v>3</v>
      </c>
      <c r="AW12" t="s">
        <v>79</v>
      </c>
      <c r="AX12">
        <v>5</v>
      </c>
      <c r="AY12" t="str">
        <f t="shared" si="0"/>
        <v>2-5</v>
      </c>
      <c r="AZ12">
        <v>4</v>
      </c>
      <c r="BA12" t="str">
        <f t="shared" si="12"/>
        <v>2-5</v>
      </c>
      <c r="BB12">
        <v>0</v>
      </c>
      <c r="BC12" t="str">
        <f t="shared" si="13"/>
        <v>0-1</v>
      </c>
      <c r="BD12">
        <v>3</v>
      </c>
      <c r="BE12" t="str">
        <f t="shared" si="14"/>
        <v>2-5</v>
      </c>
    </row>
    <row r="13" spans="1:66" x14ac:dyDescent="0.3">
      <c r="A13">
        <v>15</v>
      </c>
      <c r="B13">
        <v>29</v>
      </c>
      <c r="C13" t="str">
        <f t="shared" si="1"/>
        <v>26-35</v>
      </c>
      <c r="D13" t="s">
        <v>71</v>
      </c>
      <c r="E13">
        <f t="shared" si="2"/>
        <v>0</v>
      </c>
      <c r="F13" t="s">
        <v>57</v>
      </c>
      <c r="G13">
        <v>153</v>
      </c>
      <c r="H13" t="str">
        <f t="shared" si="3"/>
        <v>102-500</v>
      </c>
      <c r="I13" t="s">
        <v>73</v>
      </c>
      <c r="J13">
        <v>15</v>
      </c>
      <c r="K13" t="str">
        <f t="shared" si="4"/>
        <v>11-20</v>
      </c>
      <c r="L13">
        <v>2</v>
      </c>
      <c r="M13" t="s">
        <v>59</v>
      </c>
      <c r="N13" t="s">
        <v>60</v>
      </c>
      <c r="O13">
        <v>1</v>
      </c>
      <c r="P13">
        <v>4</v>
      </c>
      <c r="Q13" t="s">
        <v>65</v>
      </c>
      <c r="R13" t="s">
        <v>62</v>
      </c>
      <c r="S13">
        <v>49</v>
      </c>
      <c r="T13" t="str">
        <f t="shared" si="5"/>
        <v>30-50</v>
      </c>
      <c r="U13">
        <v>2</v>
      </c>
      <c r="V13" t="s">
        <v>61</v>
      </c>
      <c r="W13">
        <v>2</v>
      </c>
      <c r="X13" t="s">
        <v>81</v>
      </c>
      <c r="Y13">
        <v>3</v>
      </c>
      <c r="Z13" t="s">
        <v>63</v>
      </c>
      <c r="AA13" t="s">
        <v>66</v>
      </c>
      <c r="AB13" s="4">
        <v>4193</v>
      </c>
      <c r="AC13" s="4" t="str">
        <f t="shared" si="6"/>
        <v>$4,000-$5,500</v>
      </c>
      <c r="AD13">
        <v>12682</v>
      </c>
      <c r="AE13" t="str">
        <f t="shared" si="7"/>
        <v>$8,001-$16,000</v>
      </c>
      <c r="AF13">
        <v>0</v>
      </c>
      <c r="AG13" t="str">
        <f t="shared" si="8"/>
        <v>0-1</v>
      </c>
      <c r="AH13" t="s">
        <v>67</v>
      </c>
      <c r="AI13" t="s">
        <v>56</v>
      </c>
      <c r="AJ13">
        <v>12</v>
      </c>
      <c r="AK13" t="str">
        <f t="shared" si="9"/>
        <v>11-12%</v>
      </c>
      <c r="AL13">
        <v>3</v>
      </c>
      <c r="AM13" t="s">
        <v>68</v>
      </c>
      <c r="AN13">
        <v>4</v>
      </c>
      <c r="AO13" t="s">
        <v>65</v>
      </c>
      <c r="AP13">
        <v>80</v>
      </c>
      <c r="AQ13">
        <v>0</v>
      </c>
      <c r="AR13">
        <v>10</v>
      </c>
      <c r="AS13" t="str">
        <f t="shared" si="10"/>
        <v>6-10</v>
      </c>
      <c r="AT13">
        <v>3</v>
      </c>
      <c r="AU13" t="str">
        <f t="shared" si="11"/>
        <v>3-4</v>
      </c>
      <c r="AV13">
        <v>3</v>
      </c>
      <c r="AW13" t="s">
        <v>79</v>
      </c>
      <c r="AX13">
        <v>9</v>
      </c>
      <c r="AY13" t="str">
        <f t="shared" si="0"/>
        <v>6-10</v>
      </c>
      <c r="AZ13">
        <v>5</v>
      </c>
      <c r="BA13" t="str">
        <f t="shared" si="12"/>
        <v>2-5</v>
      </c>
      <c r="BB13">
        <v>0</v>
      </c>
      <c r="BC13" t="str">
        <f t="shared" si="13"/>
        <v>0-1</v>
      </c>
      <c r="BD13">
        <v>8</v>
      </c>
      <c r="BE13" t="str">
        <f t="shared" si="14"/>
        <v>6-10</v>
      </c>
    </row>
    <row r="14" spans="1:66" x14ac:dyDescent="0.3">
      <c r="A14">
        <v>16</v>
      </c>
      <c r="B14">
        <v>31</v>
      </c>
      <c r="C14" t="str">
        <f t="shared" si="1"/>
        <v>26-35</v>
      </c>
      <c r="D14" t="s">
        <v>71</v>
      </c>
      <c r="E14">
        <f t="shared" si="2"/>
        <v>0</v>
      </c>
      <c r="F14" t="s">
        <v>57</v>
      </c>
      <c r="G14">
        <v>670</v>
      </c>
      <c r="H14" t="str">
        <f t="shared" si="3"/>
        <v>501-1000</v>
      </c>
      <c r="I14" t="s">
        <v>73</v>
      </c>
      <c r="J14">
        <v>26</v>
      </c>
      <c r="K14" t="str">
        <f t="shared" si="4"/>
        <v>21-29</v>
      </c>
      <c r="L14">
        <v>1</v>
      </c>
      <c r="M14" t="s">
        <v>74</v>
      </c>
      <c r="N14" t="s">
        <v>60</v>
      </c>
      <c r="O14">
        <v>1</v>
      </c>
      <c r="P14">
        <v>1</v>
      </c>
      <c r="Q14" t="s">
        <v>69</v>
      </c>
      <c r="R14" t="s">
        <v>75</v>
      </c>
      <c r="S14">
        <v>31</v>
      </c>
      <c r="T14" t="str">
        <f t="shared" si="5"/>
        <v>30-50</v>
      </c>
      <c r="U14">
        <v>3</v>
      </c>
      <c r="V14" t="s">
        <v>63</v>
      </c>
      <c r="W14">
        <v>1</v>
      </c>
      <c r="X14" t="s">
        <v>76</v>
      </c>
      <c r="Y14">
        <v>3</v>
      </c>
      <c r="Z14" t="s">
        <v>63</v>
      </c>
      <c r="AA14" t="s">
        <v>86</v>
      </c>
      <c r="AB14" s="4">
        <v>2911</v>
      </c>
      <c r="AC14" s="4" t="str">
        <f t="shared" si="6"/>
        <v>$2,500-$4,000</v>
      </c>
      <c r="AD14">
        <v>15170</v>
      </c>
      <c r="AE14" t="str">
        <f t="shared" si="7"/>
        <v>$8,001-$16,000</v>
      </c>
      <c r="AF14">
        <v>1</v>
      </c>
      <c r="AG14" t="str">
        <f t="shared" si="8"/>
        <v>0-1</v>
      </c>
      <c r="AH14" t="s">
        <v>67</v>
      </c>
      <c r="AI14" t="s">
        <v>71</v>
      </c>
      <c r="AJ14">
        <v>17</v>
      </c>
      <c r="AK14" t="str">
        <f t="shared" si="9"/>
        <v>16-17%</v>
      </c>
      <c r="AL14">
        <v>3</v>
      </c>
      <c r="AM14" t="s">
        <v>68</v>
      </c>
      <c r="AN14">
        <v>4</v>
      </c>
      <c r="AO14" t="s">
        <v>65</v>
      </c>
      <c r="AP14">
        <v>80</v>
      </c>
      <c r="AQ14">
        <v>1</v>
      </c>
      <c r="AR14">
        <v>5</v>
      </c>
      <c r="AS14" t="str">
        <f t="shared" si="10"/>
        <v>3-5</v>
      </c>
      <c r="AT14">
        <v>1</v>
      </c>
      <c r="AU14" t="str">
        <f t="shared" si="11"/>
        <v>0-2</v>
      </c>
      <c r="AV14">
        <v>2</v>
      </c>
      <c r="AW14" t="s">
        <v>84</v>
      </c>
      <c r="AX14">
        <v>5</v>
      </c>
      <c r="AY14" t="str">
        <f t="shared" si="0"/>
        <v>2-5</v>
      </c>
      <c r="AZ14">
        <v>2</v>
      </c>
      <c r="BA14" t="str">
        <f t="shared" si="12"/>
        <v>2-5</v>
      </c>
      <c r="BB14">
        <v>4</v>
      </c>
      <c r="BC14" t="str">
        <f t="shared" si="13"/>
        <v>2-5</v>
      </c>
      <c r="BD14">
        <v>3</v>
      </c>
      <c r="BE14" t="str">
        <f t="shared" si="14"/>
        <v>2-5</v>
      </c>
    </row>
    <row r="15" spans="1:66" x14ac:dyDescent="0.3">
      <c r="A15">
        <v>18</v>
      </c>
      <c r="B15">
        <v>34</v>
      </c>
      <c r="C15" t="str">
        <f t="shared" si="1"/>
        <v>26-35</v>
      </c>
      <c r="D15" t="s">
        <v>71</v>
      </c>
      <c r="E15">
        <f t="shared" si="2"/>
        <v>0</v>
      </c>
      <c r="F15" t="s">
        <v>57</v>
      </c>
      <c r="G15">
        <v>1346</v>
      </c>
      <c r="H15" t="str">
        <f t="shared" si="3"/>
        <v>1001-1499</v>
      </c>
      <c r="I15" t="s">
        <v>73</v>
      </c>
      <c r="J15">
        <v>19</v>
      </c>
      <c r="K15" t="str">
        <f t="shared" si="4"/>
        <v>11-20</v>
      </c>
      <c r="L15">
        <v>2</v>
      </c>
      <c r="M15" t="s">
        <v>59</v>
      </c>
      <c r="N15" t="s">
        <v>83</v>
      </c>
      <c r="O15">
        <v>1</v>
      </c>
      <c r="P15">
        <v>2</v>
      </c>
      <c r="Q15" t="s">
        <v>61</v>
      </c>
      <c r="R15" t="s">
        <v>75</v>
      </c>
      <c r="S15">
        <v>93</v>
      </c>
      <c r="T15" t="str">
        <f t="shared" si="5"/>
        <v>76-100</v>
      </c>
      <c r="U15">
        <v>3</v>
      </c>
      <c r="V15" t="s">
        <v>63</v>
      </c>
      <c r="W15">
        <v>1</v>
      </c>
      <c r="X15" t="s">
        <v>81</v>
      </c>
      <c r="Y15">
        <v>4</v>
      </c>
      <c r="Z15" t="s">
        <v>65</v>
      </c>
      <c r="AA15" t="s">
        <v>86</v>
      </c>
      <c r="AB15" s="4">
        <v>2661</v>
      </c>
      <c r="AC15" s="4" t="str">
        <f t="shared" si="6"/>
        <v>$2,500-$4,000</v>
      </c>
      <c r="AD15">
        <v>8758</v>
      </c>
      <c r="AE15" t="str">
        <f t="shared" si="7"/>
        <v>$8,001-$16,000</v>
      </c>
      <c r="AF15">
        <v>0</v>
      </c>
      <c r="AG15" t="str">
        <f t="shared" si="8"/>
        <v>0-1</v>
      </c>
      <c r="AH15" t="s">
        <v>67</v>
      </c>
      <c r="AI15" t="s">
        <v>71</v>
      </c>
      <c r="AJ15">
        <v>11</v>
      </c>
      <c r="AK15" t="str">
        <f t="shared" si="9"/>
        <v>11-12%</v>
      </c>
      <c r="AL15">
        <v>3</v>
      </c>
      <c r="AM15" t="s">
        <v>68</v>
      </c>
      <c r="AN15">
        <v>3</v>
      </c>
      <c r="AO15" t="s">
        <v>63</v>
      </c>
      <c r="AP15">
        <v>80</v>
      </c>
      <c r="AQ15">
        <v>1</v>
      </c>
      <c r="AR15">
        <v>3</v>
      </c>
      <c r="AS15" t="str">
        <f t="shared" si="10"/>
        <v>3-5</v>
      </c>
      <c r="AT15">
        <v>2</v>
      </c>
      <c r="AU15" t="str">
        <f t="shared" si="11"/>
        <v>0-2</v>
      </c>
      <c r="AV15">
        <v>3</v>
      </c>
      <c r="AW15" t="s">
        <v>79</v>
      </c>
      <c r="AX15">
        <v>2</v>
      </c>
      <c r="AY15" t="str">
        <f t="shared" si="0"/>
        <v>2-5</v>
      </c>
      <c r="AZ15">
        <v>2</v>
      </c>
      <c r="BA15" t="str">
        <f t="shared" si="12"/>
        <v>2-5</v>
      </c>
      <c r="BB15">
        <v>1</v>
      </c>
      <c r="BC15" t="str">
        <f t="shared" si="13"/>
        <v>0-1</v>
      </c>
      <c r="BD15">
        <v>2</v>
      </c>
      <c r="BE15" t="str">
        <f t="shared" si="14"/>
        <v>2-5</v>
      </c>
    </row>
    <row r="16" spans="1:66" x14ac:dyDescent="0.3">
      <c r="A16">
        <v>19</v>
      </c>
      <c r="B16">
        <v>28</v>
      </c>
      <c r="C16" t="str">
        <f t="shared" si="1"/>
        <v>26-35</v>
      </c>
      <c r="D16" t="s">
        <v>56</v>
      </c>
      <c r="E16">
        <f t="shared" si="2"/>
        <v>1</v>
      </c>
      <c r="F16" t="s">
        <v>57</v>
      </c>
      <c r="G16">
        <v>103</v>
      </c>
      <c r="H16" t="str">
        <f t="shared" si="3"/>
        <v>102-500</v>
      </c>
      <c r="I16" t="s">
        <v>73</v>
      </c>
      <c r="J16">
        <v>24</v>
      </c>
      <c r="K16" t="str">
        <f t="shared" si="4"/>
        <v>21-29</v>
      </c>
      <c r="L16">
        <v>3</v>
      </c>
      <c r="M16" t="s">
        <v>85</v>
      </c>
      <c r="N16" t="s">
        <v>60</v>
      </c>
      <c r="O16">
        <v>1</v>
      </c>
      <c r="P16">
        <v>3</v>
      </c>
      <c r="Q16" t="s">
        <v>63</v>
      </c>
      <c r="R16" t="s">
        <v>75</v>
      </c>
      <c r="S16">
        <v>50</v>
      </c>
      <c r="T16" t="str">
        <f t="shared" si="5"/>
        <v>30-50</v>
      </c>
      <c r="U16">
        <v>2</v>
      </c>
      <c r="V16" t="s">
        <v>61</v>
      </c>
      <c r="W16">
        <v>1</v>
      </c>
      <c r="X16" t="s">
        <v>81</v>
      </c>
      <c r="Y16">
        <v>3</v>
      </c>
      <c r="Z16" t="s">
        <v>63</v>
      </c>
      <c r="AA16" t="s">
        <v>66</v>
      </c>
      <c r="AB16" s="4">
        <v>2028</v>
      </c>
      <c r="AC16" s="4" t="str">
        <f t="shared" si="6"/>
        <v>$1,000-$2,500</v>
      </c>
      <c r="AD16">
        <v>12947</v>
      </c>
      <c r="AE16" t="str">
        <f t="shared" si="7"/>
        <v>$8,001-$16,000</v>
      </c>
      <c r="AF16">
        <v>5</v>
      </c>
      <c r="AG16" t="str">
        <f t="shared" si="8"/>
        <v>4-6</v>
      </c>
      <c r="AH16" t="s">
        <v>67</v>
      </c>
      <c r="AI16" t="s">
        <v>56</v>
      </c>
      <c r="AJ16">
        <v>14</v>
      </c>
      <c r="AK16" t="str">
        <f t="shared" si="9"/>
        <v>13-15%</v>
      </c>
      <c r="AL16">
        <v>3</v>
      </c>
      <c r="AM16" t="s">
        <v>68</v>
      </c>
      <c r="AN16">
        <v>2</v>
      </c>
      <c r="AO16" t="s">
        <v>61</v>
      </c>
      <c r="AP16">
        <v>80</v>
      </c>
      <c r="AQ16">
        <v>0</v>
      </c>
      <c r="AR16">
        <v>6</v>
      </c>
      <c r="AS16" t="str">
        <f t="shared" si="10"/>
        <v>6-10</v>
      </c>
      <c r="AT16">
        <v>4</v>
      </c>
      <c r="AU16" t="str">
        <f t="shared" si="11"/>
        <v>3-4</v>
      </c>
      <c r="AV16">
        <v>3</v>
      </c>
      <c r="AW16" t="s">
        <v>79</v>
      </c>
      <c r="AX16">
        <v>4</v>
      </c>
      <c r="AY16" t="str">
        <f t="shared" si="0"/>
        <v>2-5</v>
      </c>
      <c r="AZ16">
        <v>2</v>
      </c>
      <c r="BA16" t="str">
        <f t="shared" si="12"/>
        <v>2-5</v>
      </c>
      <c r="BB16">
        <v>0</v>
      </c>
      <c r="BC16" t="str">
        <f t="shared" si="13"/>
        <v>0-1</v>
      </c>
      <c r="BD16">
        <v>3</v>
      </c>
      <c r="BE16" t="str">
        <f t="shared" si="14"/>
        <v>2-5</v>
      </c>
    </row>
    <row r="17" spans="1:57" x14ac:dyDescent="0.3">
      <c r="A17">
        <v>20</v>
      </c>
      <c r="B17">
        <v>29</v>
      </c>
      <c r="C17" t="str">
        <f t="shared" si="1"/>
        <v>26-35</v>
      </c>
      <c r="D17" t="s">
        <v>71</v>
      </c>
      <c r="E17">
        <f t="shared" si="2"/>
        <v>0</v>
      </c>
      <c r="F17" t="s">
        <v>57</v>
      </c>
      <c r="G17">
        <v>1389</v>
      </c>
      <c r="H17" t="str">
        <f t="shared" si="3"/>
        <v>1001-1499</v>
      </c>
      <c r="I17" t="s">
        <v>73</v>
      </c>
      <c r="J17">
        <v>21</v>
      </c>
      <c r="K17" t="str">
        <f t="shared" si="4"/>
        <v>21-29</v>
      </c>
      <c r="L17">
        <v>4</v>
      </c>
      <c r="M17" t="s">
        <v>82</v>
      </c>
      <c r="N17" t="s">
        <v>60</v>
      </c>
      <c r="O17">
        <v>1</v>
      </c>
      <c r="P17">
        <v>2</v>
      </c>
      <c r="Q17" t="s">
        <v>61</v>
      </c>
      <c r="R17" t="s">
        <v>62</v>
      </c>
      <c r="S17">
        <v>51</v>
      </c>
      <c r="T17" t="str">
        <f t="shared" si="5"/>
        <v>51-75</v>
      </c>
      <c r="U17">
        <v>4</v>
      </c>
      <c r="V17" t="s">
        <v>65</v>
      </c>
      <c r="W17">
        <v>3</v>
      </c>
      <c r="X17" t="s">
        <v>87</v>
      </c>
      <c r="Y17">
        <v>1</v>
      </c>
      <c r="Z17" t="s">
        <v>69</v>
      </c>
      <c r="AA17" t="s">
        <v>86</v>
      </c>
      <c r="AB17" s="4">
        <v>9980</v>
      </c>
      <c r="AC17" s="4" t="str">
        <f t="shared" si="6"/>
        <v>$8,500-$10,000</v>
      </c>
      <c r="AD17">
        <v>10195</v>
      </c>
      <c r="AE17" t="str">
        <f t="shared" si="7"/>
        <v>$8,001-$16,000</v>
      </c>
      <c r="AF17">
        <v>1</v>
      </c>
      <c r="AG17" t="str">
        <f t="shared" si="8"/>
        <v>0-1</v>
      </c>
      <c r="AH17" t="s">
        <v>67</v>
      </c>
      <c r="AI17" t="s">
        <v>71</v>
      </c>
      <c r="AJ17">
        <v>11</v>
      </c>
      <c r="AK17" t="str">
        <f t="shared" si="9"/>
        <v>11-12%</v>
      </c>
      <c r="AL17">
        <v>3</v>
      </c>
      <c r="AM17" t="s">
        <v>68</v>
      </c>
      <c r="AN17">
        <v>3</v>
      </c>
      <c r="AO17" t="s">
        <v>63</v>
      </c>
      <c r="AP17">
        <v>80</v>
      </c>
      <c r="AQ17">
        <v>1</v>
      </c>
      <c r="AR17">
        <v>10</v>
      </c>
      <c r="AS17" t="str">
        <f t="shared" si="10"/>
        <v>6-10</v>
      </c>
      <c r="AT17">
        <v>1</v>
      </c>
      <c r="AU17" t="str">
        <f t="shared" si="11"/>
        <v>0-2</v>
      </c>
      <c r="AV17">
        <v>3</v>
      </c>
      <c r="AW17" t="s">
        <v>79</v>
      </c>
      <c r="AX17">
        <v>10</v>
      </c>
      <c r="AY17" t="str">
        <f t="shared" si="0"/>
        <v>6-10</v>
      </c>
      <c r="AZ17">
        <v>9</v>
      </c>
      <c r="BA17" t="str">
        <f t="shared" si="12"/>
        <v>6-10</v>
      </c>
      <c r="BB17">
        <v>8</v>
      </c>
      <c r="BC17" t="str">
        <f t="shared" si="13"/>
        <v>6-10</v>
      </c>
      <c r="BD17">
        <v>8</v>
      </c>
      <c r="BE17" t="str">
        <f t="shared" si="14"/>
        <v>6-10</v>
      </c>
    </row>
    <row r="18" spans="1:57" x14ac:dyDescent="0.3">
      <c r="A18">
        <v>21</v>
      </c>
      <c r="B18">
        <v>32</v>
      </c>
      <c r="C18" t="str">
        <f t="shared" si="1"/>
        <v>26-35</v>
      </c>
      <c r="D18" t="s">
        <v>71</v>
      </c>
      <c r="E18">
        <f t="shared" si="2"/>
        <v>0</v>
      </c>
      <c r="F18" t="s">
        <v>57</v>
      </c>
      <c r="G18">
        <v>334</v>
      </c>
      <c r="H18" t="str">
        <f t="shared" si="3"/>
        <v>102-500</v>
      </c>
      <c r="I18" t="s">
        <v>73</v>
      </c>
      <c r="J18">
        <v>5</v>
      </c>
      <c r="K18" t="str">
        <f t="shared" si="4"/>
        <v>1-5</v>
      </c>
      <c r="L18">
        <v>2</v>
      </c>
      <c r="M18" t="s">
        <v>59</v>
      </c>
      <c r="N18" t="s">
        <v>60</v>
      </c>
      <c r="O18">
        <v>1</v>
      </c>
      <c r="P18">
        <v>1</v>
      </c>
      <c r="Q18" t="s">
        <v>69</v>
      </c>
      <c r="R18" t="s">
        <v>75</v>
      </c>
      <c r="S18">
        <v>80</v>
      </c>
      <c r="T18" t="str">
        <f t="shared" si="5"/>
        <v>76-100</v>
      </c>
      <c r="U18">
        <v>4</v>
      </c>
      <c r="V18" t="s">
        <v>65</v>
      </c>
      <c r="W18">
        <v>1</v>
      </c>
      <c r="X18" t="s">
        <v>76</v>
      </c>
      <c r="Y18">
        <v>2</v>
      </c>
      <c r="Z18" t="s">
        <v>61</v>
      </c>
      <c r="AA18" t="s">
        <v>86</v>
      </c>
      <c r="AB18" s="4">
        <v>3298</v>
      </c>
      <c r="AC18" s="4" t="str">
        <f t="shared" si="6"/>
        <v>$2,500-$4,000</v>
      </c>
      <c r="AD18">
        <v>15053</v>
      </c>
      <c r="AE18" t="str">
        <f t="shared" si="7"/>
        <v>$8,001-$16,000</v>
      </c>
      <c r="AF18">
        <v>0</v>
      </c>
      <c r="AG18" t="str">
        <f t="shared" si="8"/>
        <v>0-1</v>
      </c>
      <c r="AH18" t="s">
        <v>67</v>
      </c>
      <c r="AI18" t="s">
        <v>56</v>
      </c>
      <c r="AJ18">
        <v>12</v>
      </c>
      <c r="AK18" t="str">
        <f t="shared" si="9"/>
        <v>11-12%</v>
      </c>
      <c r="AL18">
        <v>3</v>
      </c>
      <c r="AM18" t="s">
        <v>68</v>
      </c>
      <c r="AN18">
        <v>4</v>
      </c>
      <c r="AO18" t="s">
        <v>65</v>
      </c>
      <c r="AP18">
        <v>80</v>
      </c>
      <c r="AQ18">
        <v>2</v>
      </c>
      <c r="AR18">
        <v>7</v>
      </c>
      <c r="AS18" t="str">
        <f t="shared" si="10"/>
        <v>6-10</v>
      </c>
      <c r="AT18">
        <v>5</v>
      </c>
      <c r="AU18" t="str">
        <f t="shared" si="11"/>
        <v>5-6</v>
      </c>
      <c r="AV18">
        <v>2</v>
      </c>
      <c r="AW18" t="s">
        <v>84</v>
      </c>
      <c r="AX18">
        <v>6</v>
      </c>
      <c r="AY18" t="str">
        <f t="shared" si="0"/>
        <v>6-10</v>
      </c>
      <c r="AZ18">
        <v>2</v>
      </c>
      <c r="BA18" t="str">
        <f t="shared" si="12"/>
        <v>2-5</v>
      </c>
      <c r="BB18">
        <v>0</v>
      </c>
      <c r="BC18" t="str">
        <f t="shared" si="13"/>
        <v>0-1</v>
      </c>
      <c r="BD18">
        <v>5</v>
      </c>
      <c r="BE18" t="str">
        <f t="shared" si="14"/>
        <v>2-5</v>
      </c>
    </row>
    <row r="19" spans="1:57" x14ac:dyDescent="0.3">
      <c r="A19">
        <v>22</v>
      </c>
      <c r="B19">
        <v>22</v>
      </c>
      <c r="C19" t="str">
        <f t="shared" si="1"/>
        <v>18-25</v>
      </c>
      <c r="D19" t="s">
        <v>71</v>
      </c>
      <c r="E19">
        <f t="shared" si="2"/>
        <v>0</v>
      </c>
      <c r="F19" t="s">
        <v>89</v>
      </c>
      <c r="G19">
        <v>1123</v>
      </c>
      <c r="H19" t="str">
        <f t="shared" si="3"/>
        <v>1001-1499</v>
      </c>
      <c r="I19" t="s">
        <v>73</v>
      </c>
      <c r="J19">
        <v>16</v>
      </c>
      <c r="K19" t="str">
        <f t="shared" si="4"/>
        <v>11-20</v>
      </c>
      <c r="L19">
        <v>2</v>
      </c>
      <c r="M19" t="s">
        <v>59</v>
      </c>
      <c r="N19" t="s">
        <v>83</v>
      </c>
      <c r="O19">
        <v>1</v>
      </c>
      <c r="P19">
        <v>4</v>
      </c>
      <c r="Q19" t="s">
        <v>65</v>
      </c>
      <c r="R19" t="s">
        <v>75</v>
      </c>
      <c r="S19">
        <v>96</v>
      </c>
      <c r="T19" t="str">
        <f t="shared" si="5"/>
        <v>76-100</v>
      </c>
      <c r="U19">
        <v>4</v>
      </c>
      <c r="V19" t="s">
        <v>65</v>
      </c>
      <c r="W19">
        <v>1</v>
      </c>
      <c r="X19" t="s">
        <v>81</v>
      </c>
      <c r="Y19">
        <v>4</v>
      </c>
      <c r="Z19" t="s">
        <v>65</v>
      </c>
      <c r="AA19" t="s">
        <v>86</v>
      </c>
      <c r="AB19" s="4">
        <v>2935</v>
      </c>
      <c r="AC19" s="4" t="str">
        <f t="shared" si="6"/>
        <v>$2,500-$4,000</v>
      </c>
      <c r="AD19">
        <v>7324</v>
      </c>
      <c r="AE19" t="str">
        <f t="shared" si="7"/>
        <v>$2,094-$8,000</v>
      </c>
      <c r="AF19">
        <v>1</v>
      </c>
      <c r="AG19" t="str">
        <f t="shared" si="8"/>
        <v>0-1</v>
      </c>
      <c r="AH19" t="s">
        <v>67</v>
      </c>
      <c r="AI19" t="s">
        <v>56</v>
      </c>
      <c r="AJ19">
        <v>13</v>
      </c>
      <c r="AK19" t="str">
        <f t="shared" si="9"/>
        <v>13-15%</v>
      </c>
      <c r="AL19">
        <v>3</v>
      </c>
      <c r="AM19" t="s">
        <v>68</v>
      </c>
      <c r="AN19">
        <v>2</v>
      </c>
      <c r="AO19" t="s">
        <v>61</v>
      </c>
      <c r="AP19">
        <v>80</v>
      </c>
      <c r="AQ19">
        <v>2</v>
      </c>
      <c r="AR19">
        <v>1</v>
      </c>
      <c r="AS19" t="str">
        <f t="shared" si="10"/>
        <v>0-2</v>
      </c>
      <c r="AT19">
        <v>2</v>
      </c>
      <c r="AU19" t="str">
        <f t="shared" si="11"/>
        <v>0-2</v>
      </c>
      <c r="AV19">
        <v>2</v>
      </c>
      <c r="AW19" t="s">
        <v>84</v>
      </c>
      <c r="AX19">
        <v>1</v>
      </c>
      <c r="AY19" t="str">
        <f t="shared" si="0"/>
        <v>0-1</v>
      </c>
      <c r="AZ19">
        <v>0</v>
      </c>
      <c r="BA19" t="str">
        <f t="shared" si="12"/>
        <v>0-1</v>
      </c>
      <c r="BB19">
        <v>0</v>
      </c>
      <c r="BC19" t="str">
        <f t="shared" si="13"/>
        <v>0-1</v>
      </c>
      <c r="BD19">
        <v>0</v>
      </c>
      <c r="BE19" t="str">
        <f t="shared" si="14"/>
        <v>0-1</v>
      </c>
    </row>
    <row r="20" spans="1:57" x14ac:dyDescent="0.3">
      <c r="A20">
        <v>23</v>
      </c>
      <c r="B20">
        <v>53</v>
      </c>
      <c r="C20" t="str">
        <f t="shared" si="1"/>
        <v>46-55</v>
      </c>
      <c r="D20" t="s">
        <v>71</v>
      </c>
      <c r="E20">
        <f t="shared" si="2"/>
        <v>0</v>
      </c>
      <c r="F20" t="s">
        <v>57</v>
      </c>
      <c r="G20">
        <v>1219</v>
      </c>
      <c r="H20" t="str">
        <f t="shared" si="3"/>
        <v>1001-1499</v>
      </c>
      <c r="I20" t="s">
        <v>58</v>
      </c>
      <c r="J20">
        <v>2</v>
      </c>
      <c r="K20" t="str">
        <f t="shared" si="4"/>
        <v>1-5</v>
      </c>
      <c r="L20">
        <v>4</v>
      </c>
      <c r="M20" t="s">
        <v>82</v>
      </c>
      <c r="N20" t="s">
        <v>60</v>
      </c>
      <c r="O20">
        <v>1</v>
      </c>
      <c r="P20">
        <v>1</v>
      </c>
      <c r="Q20" t="s">
        <v>69</v>
      </c>
      <c r="R20" t="s">
        <v>62</v>
      </c>
      <c r="S20">
        <v>78</v>
      </c>
      <c r="T20" t="str">
        <f t="shared" si="5"/>
        <v>76-100</v>
      </c>
      <c r="U20">
        <v>2</v>
      </c>
      <c r="V20" t="s">
        <v>61</v>
      </c>
      <c r="W20">
        <v>4</v>
      </c>
      <c r="X20" t="s">
        <v>90</v>
      </c>
      <c r="Y20">
        <v>4</v>
      </c>
      <c r="Z20" t="s">
        <v>65</v>
      </c>
      <c r="AA20" t="s">
        <v>77</v>
      </c>
      <c r="AB20" s="4">
        <v>15427</v>
      </c>
      <c r="AC20" s="4" t="str">
        <f t="shared" si="6"/>
        <v>$14,500-$16,000</v>
      </c>
      <c r="AD20">
        <v>22021</v>
      </c>
      <c r="AE20" t="str">
        <f t="shared" si="7"/>
        <v>$22,001-$26,999</v>
      </c>
      <c r="AF20">
        <v>2</v>
      </c>
      <c r="AG20" t="str">
        <f t="shared" si="8"/>
        <v>2-3</v>
      </c>
      <c r="AH20" t="s">
        <v>67</v>
      </c>
      <c r="AI20" t="s">
        <v>71</v>
      </c>
      <c r="AJ20">
        <v>16</v>
      </c>
      <c r="AK20" t="str">
        <f t="shared" si="9"/>
        <v>16-17%</v>
      </c>
      <c r="AL20">
        <v>3</v>
      </c>
      <c r="AM20" t="s">
        <v>68</v>
      </c>
      <c r="AN20">
        <v>3</v>
      </c>
      <c r="AO20" t="s">
        <v>63</v>
      </c>
      <c r="AP20">
        <v>80</v>
      </c>
      <c r="AQ20">
        <v>0</v>
      </c>
      <c r="AR20">
        <v>31</v>
      </c>
      <c r="AS20" t="str">
        <f t="shared" si="10"/>
        <v>21-40</v>
      </c>
      <c r="AT20">
        <v>3</v>
      </c>
      <c r="AU20" t="str">
        <f t="shared" si="11"/>
        <v>3-4</v>
      </c>
      <c r="AV20">
        <v>3</v>
      </c>
      <c r="AW20" t="s">
        <v>79</v>
      </c>
      <c r="AX20">
        <v>25</v>
      </c>
      <c r="AY20" t="str">
        <f t="shared" si="0"/>
        <v>21-40</v>
      </c>
      <c r="AZ20">
        <v>8</v>
      </c>
      <c r="BA20" t="str">
        <f t="shared" si="12"/>
        <v>6-10</v>
      </c>
      <c r="BB20">
        <v>3</v>
      </c>
      <c r="BC20" t="str">
        <f t="shared" si="13"/>
        <v>2-5</v>
      </c>
      <c r="BD20">
        <v>7</v>
      </c>
      <c r="BE20" t="str">
        <f t="shared" si="14"/>
        <v>6-10</v>
      </c>
    </row>
    <row r="21" spans="1:57" x14ac:dyDescent="0.3">
      <c r="A21">
        <v>24</v>
      </c>
      <c r="B21">
        <v>38</v>
      </c>
      <c r="C21" t="str">
        <f t="shared" si="1"/>
        <v>36-45</v>
      </c>
      <c r="D21" t="s">
        <v>71</v>
      </c>
      <c r="E21">
        <f t="shared" si="2"/>
        <v>0</v>
      </c>
      <c r="F21" t="s">
        <v>57</v>
      </c>
      <c r="G21">
        <v>371</v>
      </c>
      <c r="H21" t="str">
        <f t="shared" si="3"/>
        <v>102-500</v>
      </c>
      <c r="I21" t="s">
        <v>73</v>
      </c>
      <c r="J21">
        <v>2</v>
      </c>
      <c r="K21" t="str">
        <f t="shared" si="4"/>
        <v>1-5</v>
      </c>
      <c r="L21">
        <v>3</v>
      </c>
      <c r="M21" t="s">
        <v>85</v>
      </c>
      <c r="N21" t="s">
        <v>60</v>
      </c>
      <c r="O21">
        <v>1</v>
      </c>
      <c r="P21">
        <v>4</v>
      </c>
      <c r="Q21" t="s">
        <v>65</v>
      </c>
      <c r="R21" t="s">
        <v>75</v>
      </c>
      <c r="S21">
        <v>45</v>
      </c>
      <c r="T21" t="str">
        <f t="shared" si="5"/>
        <v>30-50</v>
      </c>
      <c r="U21">
        <v>3</v>
      </c>
      <c r="V21" t="s">
        <v>63</v>
      </c>
      <c r="W21">
        <v>1</v>
      </c>
      <c r="X21" t="s">
        <v>76</v>
      </c>
      <c r="Y21">
        <v>4</v>
      </c>
      <c r="Z21" t="s">
        <v>65</v>
      </c>
      <c r="AA21" t="s">
        <v>66</v>
      </c>
      <c r="AB21" s="4">
        <v>3944</v>
      </c>
      <c r="AC21" s="4" t="str">
        <f t="shared" si="6"/>
        <v>$2,500-$4,000</v>
      </c>
      <c r="AD21">
        <v>4306</v>
      </c>
      <c r="AE21" t="str">
        <f t="shared" si="7"/>
        <v>$2,094-$8,000</v>
      </c>
      <c r="AF21">
        <v>5</v>
      </c>
      <c r="AG21" t="str">
        <f t="shared" si="8"/>
        <v>4-6</v>
      </c>
      <c r="AH21" t="s">
        <v>67</v>
      </c>
      <c r="AI21" t="s">
        <v>56</v>
      </c>
      <c r="AJ21">
        <v>11</v>
      </c>
      <c r="AK21" t="str">
        <f t="shared" si="9"/>
        <v>11-12%</v>
      </c>
      <c r="AL21">
        <v>3</v>
      </c>
      <c r="AM21" t="s">
        <v>68</v>
      </c>
      <c r="AN21">
        <v>3</v>
      </c>
      <c r="AO21" t="s">
        <v>63</v>
      </c>
      <c r="AP21">
        <v>80</v>
      </c>
      <c r="AQ21">
        <v>0</v>
      </c>
      <c r="AR21">
        <v>6</v>
      </c>
      <c r="AS21" t="str">
        <f t="shared" si="10"/>
        <v>6-10</v>
      </c>
      <c r="AT21">
        <v>3</v>
      </c>
      <c r="AU21" t="str">
        <f t="shared" si="11"/>
        <v>3-4</v>
      </c>
      <c r="AV21">
        <v>3</v>
      </c>
      <c r="AW21" t="s">
        <v>79</v>
      </c>
      <c r="AX21">
        <v>3</v>
      </c>
      <c r="AY21" t="str">
        <f t="shared" si="0"/>
        <v>2-5</v>
      </c>
      <c r="AZ21">
        <v>2</v>
      </c>
      <c r="BA21" t="str">
        <f t="shared" si="12"/>
        <v>2-5</v>
      </c>
      <c r="BB21">
        <v>1</v>
      </c>
      <c r="BC21" t="str">
        <f t="shared" si="13"/>
        <v>0-1</v>
      </c>
      <c r="BD21">
        <v>2</v>
      </c>
      <c r="BE21" t="str">
        <f t="shared" si="14"/>
        <v>2-5</v>
      </c>
    </row>
    <row r="22" spans="1:57" x14ac:dyDescent="0.3">
      <c r="A22">
        <v>26</v>
      </c>
      <c r="B22">
        <v>24</v>
      </c>
      <c r="C22" t="str">
        <f t="shared" si="1"/>
        <v>18-25</v>
      </c>
      <c r="D22" t="s">
        <v>71</v>
      </c>
      <c r="E22">
        <f t="shared" si="2"/>
        <v>0</v>
      </c>
      <c r="F22" t="s">
        <v>89</v>
      </c>
      <c r="G22">
        <v>673</v>
      </c>
      <c r="H22" t="str">
        <f t="shared" si="3"/>
        <v>501-1000</v>
      </c>
      <c r="I22" t="s">
        <v>73</v>
      </c>
      <c r="J22">
        <v>11</v>
      </c>
      <c r="K22" t="str">
        <f t="shared" si="4"/>
        <v>11-20</v>
      </c>
      <c r="L22">
        <v>2</v>
      </c>
      <c r="M22" t="s">
        <v>59</v>
      </c>
      <c r="N22" t="s">
        <v>80</v>
      </c>
      <c r="O22">
        <v>1</v>
      </c>
      <c r="P22">
        <v>1</v>
      </c>
      <c r="Q22" t="s">
        <v>69</v>
      </c>
      <c r="R22" t="s">
        <v>62</v>
      </c>
      <c r="S22">
        <v>96</v>
      </c>
      <c r="T22" t="str">
        <f t="shared" si="5"/>
        <v>76-100</v>
      </c>
      <c r="U22">
        <v>4</v>
      </c>
      <c r="V22" t="s">
        <v>65</v>
      </c>
      <c r="W22">
        <v>2</v>
      </c>
      <c r="X22" t="s">
        <v>87</v>
      </c>
      <c r="Y22">
        <v>3</v>
      </c>
      <c r="Z22" t="s">
        <v>63</v>
      </c>
      <c r="AA22" t="s">
        <v>86</v>
      </c>
      <c r="AB22" s="4">
        <v>4011</v>
      </c>
      <c r="AC22" s="4" t="str">
        <f t="shared" si="6"/>
        <v>$4,000-$5,500</v>
      </c>
      <c r="AD22">
        <v>8232</v>
      </c>
      <c r="AE22" t="str">
        <f t="shared" si="7"/>
        <v>$8,001-$16,000</v>
      </c>
      <c r="AF22">
        <v>0</v>
      </c>
      <c r="AG22" t="str">
        <f t="shared" si="8"/>
        <v>0-1</v>
      </c>
      <c r="AH22" t="s">
        <v>67</v>
      </c>
      <c r="AI22" t="s">
        <v>71</v>
      </c>
      <c r="AJ22">
        <v>18</v>
      </c>
      <c r="AK22" t="str">
        <f t="shared" si="9"/>
        <v>18-19%</v>
      </c>
      <c r="AL22">
        <v>3</v>
      </c>
      <c r="AM22" t="s">
        <v>68</v>
      </c>
      <c r="AN22">
        <v>4</v>
      </c>
      <c r="AO22" t="s">
        <v>65</v>
      </c>
      <c r="AP22">
        <v>80</v>
      </c>
      <c r="AQ22">
        <v>1</v>
      </c>
      <c r="AR22">
        <v>5</v>
      </c>
      <c r="AS22" t="str">
        <f t="shared" si="10"/>
        <v>3-5</v>
      </c>
      <c r="AT22">
        <v>5</v>
      </c>
      <c r="AU22" t="str">
        <f t="shared" si="11"/>
        <v>5-6</v>
      </c>
      <c r="AV22">
        <v>2</v>
      </c>
      <c r="AW22" t="s">
        <v>84</v>
      </c>
      <c r="AX22">
        <v>4</v>
      </c>
      <c r="AY22" t="str">
        <f t="shared" si="0"/>
        <v>2-5</v>
      </c>
      <c r="AZ22">
        <v>2</v>
      </c>
      <c r="BA22" t="str">
        <f t="shared" si="12"/>
        <v>2-5</v>
      </c>
      <c r="BB22">
        <v>1</v>
      </c>
      <c r="BC22" t="str">
        <f t="shared" si="13"/>
        <v>0-1</v>
      </c>
      <c r="BD22">
        <v>3</v>
      </c>
      <c r="BE22" t="str">
        <f t="shared" si="14"/>
        <v>2-5</v>
      </c>
    </row>
    <row r="23" spans="1:57" x14ac:dyDescent="0.3">
      <c r="A23">
        <v>27</v>
      </c>
      <c r="B23">
        <v>36</v>
      </c>
      <c r="C23" t="str">
        <f t="shared" si="1"/>
        <v>36-45</v>
      </c>
      <c r="D23" t="s">
        <v>56</v>
      </c>
      <c r="E23">
        <f t="shared" si="2"/>
        <v>1</v>
      </c>
      <c r="F23" t="s">
        <v>57</v>
      </c>
      <c r="G23">
        <v>1218</v>
      </c>
      <c r="H23" t="str">
        <f t="shared" si="3"/>
        <v>1001-1499</v>
      </c>
      <c r="I23" t="s">
        <v>58</v>
      </c>
      <c r="J23">
        <v>9</v>
      </c>
      <c r="K23" t="str">
        <f t="shared" si="4"/>
        <v>6-10</v>
      </c>
      <c r="L23">
        <v>4</v>
      </c>
      <c r="M23" t="s">
        <v>82</v>
      </c>
      <c r="N23" t="s">
        <v>60</v>
      </c>
      <c r="O23">
        <v>1</v>
      </c>
      <c r="P23">
        <v>3</v>
      </c>
      <c r="Q23" t="s">
        <v>63</v>
      </c>
      <c r="R23" t="s">
        <v>75</v>
      </c>
      <c r="S23">
        <v>82</v>
      </c>
      <c r="T23" t="str">
        <f t="shared" si="5"/>
        <v>76-100</v>
      </c>
      <c r="U23">
        <v>2</v>
      </c>
      <c r="V23" t="s">
        <v>61</v>
      </c>
      <c r="W23">
        <v>1</v>
      </c>
      <c r="X23" t="s">
        <v>91</v>
      </c>
      <c r="Y23">
        <v>1</v>
      </c>
      <c r="Z23" t="s">
        <v>69</v>
      </c>
      <c r="AA23" t="s">
        <v>66</v>
      </c>
      <c r="AB23" s="4">
        <v>3407</v>
      </c>
      <c r="AC23" s="4" t="str">
        <f t="shared" si="6"/>
        <v>$2,500-$4,000</v>
      </c>
      <c r="AD23">
        <v>6986</v>
      </c>
      <c r="AE23" t="str">
        <f t="shared" si="7"/>
        <v>$2,094-$8,000</v>
      </c>
      <c r="AF23">
        <v>7</v>
      </c>
      <c r="AG23" t="str">
        <f t="shared" si="8"/>
        <v>7-9</v>
      </c>
      <c r="AH23" t="s">
        <v>67</v>
      </c>
      <c r="AI23" t="s">
        <v>71</v>
      </c>
      <c r="AJ23">
        <v>23</v>
      </c>
      <c r="AK23" t="str">
        <f t="shared" si="9"/>
        <v>18-19%</v>
      </c>
      <c r="AL23">
        <v>4</v>
      </c>
      <c r="AM23" t="s">
        <v>78</v>
      </c>
      <c r="AN23">
        <v>2</v>
      </c>
      <c r="AO23" t="s">
        <v>61</v>
      </c>
      <c r="AP23">
        <v>80</v>
      </c>
      <c r="AQ23">
        <v>0</v>
      </c>
      <c r="AR23">
        <v>10</v>
      </c>
      <c r="AS23" t="str">
        <f t="shared" si="10"/>
        <v>6-10</v>
      </c>
      <c r="AT23">
        <v>4</v>
      </c>
      <c r="AU23" t="str">
        <f t="shared" si="11"/>
        <v>3-4</v>
      </c>
      <c r="AV23">
        <v>3</v>
      </c>
      <c r="AW23" t="s">
        <v>79</v>
      </c>
      <c r="AX23">
        <v>5</v>
      </c>
      <c r="AY23" t="str">
        <f t="shared" si="0"/>
        <v>2-5</v>
      </c>
      <c r="AZ23">
        <v>3</v>
      </c>
      <c r="BA23" t="str">
        <f t="shared" si="12"/>
        <v>2-5</v>
      </c>
      <c r="BB23">
        <v>0</v>
      </c>
      <c r="BC23" t="str">
        <f t="shared" si="13"/>
        <v>0-1</v>
      </c>
      <c r="BD23">
        <v>3</v>
      </c>
      <c r="BE23" t="str">
        <f t="shared" si="14"/>
        <v>2-5</v>
      </c>
    </row>
    <row r="24" spans="1:57" x14ac:dyDescent="0.3">
      <c r="A24">
        <v>28</v>
      </c>
      <c r="B24">
        <v>34</v>
      </c>
      <c r="C24" t="str">
        <f t="shared" si="1"/>
        <v>26-35</v>
      </c>
      <c r="D24" t="s">
        <v>71</v>
      </c>
      <c r="E24">
        <f t="shared" si="2"/>
        <v>0</v>
      </c>
      <c r="F24" t="s">
        <v>57</v>
      </c>
      <c r="G24">
        <v>419</v>
      </c>
      <c r="H24" t="str">
        <f t="shared" si="3"/>
        <v>102-500</v>
      </c>
      <c r="I24" t="s">
        <v>73</v>
      </c>
      <c r="J24">
        <v>7</v>
      </c>
      <c r="K24" t="str">
        <f t="shared" si="4"/>
        <v>6-10</v>
      </c>
      <c r="L24">
        <v>4</v>
      </c>
      <c r="M24" t="s">
        <v>82</v>
      </c>
      <c r="N24" t="s">
        <v>60</v>
      </c>
      <c r="O24">
        <v>1</v>
      </c>
      <c r="P24">
        <v>1</v>
      </c>
      <c r="Q24" t="s">
        <v>69</v>
      </c>
      <c r="R24" t="s">
        <v>62</v>
      </c>
      <c r="S24">
        <v>53</v>
      </c>
      <c r="T24" t="str">
        <f t="shared" si="5"/>
        <v>51-75</v>
      </c>
      <c r="U24">
        <v>3</v>
      </c>
      <c r="V24" t="s">
        <v>63</v>
      </c>
      <c r="W24">
        <v>3</v>
      </c>
      <c r="X24" t="s">
        <v>92</v>
      </c>
      <c r="Y24">
        <v>2</v>
      </c>
      <c r="Z24" t="s">
        <v>61</v>
      </c>
      <c r="AA24" t="s">
        <v>66</v>
      </c>
      <c r="AB24" s="4">
        <v>11994</v>
      </c>
      <c r="AC24" s="4" t="str">
        <f t="shared" si="6"/>
        <v>$11,500-$13,000</v>
      </c>
      <c r="AD24">
        <v>21293</v>
      </c>
      <c r="AE24" t="str">
        <f t="shared" si="7"/>
        <v>$16,001-$22,000</v>
      </c>
      <c r="AF24">
        <v>0</v>
      </c>
      <c r="AG24" t="str">
        <f t="shared" si="8"/>
        <v>0-1</v>
      </c>
      <c r="AH24" t="s">
        <v>67</v>
      </c>
      <c r="AI24" t="s">
        <v>71</v>
      </c>
      <c r="AJ24">
        <v>11</v>
      </c>
      <c r="AK24" t="str">
        <f t="shared" si="9"/>
        <v>11-12%</v>
      </c>
      <c r="AL24">
        <v>3</v>
      </c>
      <c r="AM24" t="s">
        <v>68</v>
      </c>
      <c r="AN24">
        <v>3</v>
      </c>
      <c r="AO24" t="s">
        <v>63</v>
      </c>
      <c r="AP24">
        <v>80</v>
      </c>
      <c r="AQ24">
        <v>0</v>
      </c>
      <c r="AR24">
        <v>13</v>
      </c>
      <c r="AS24" t="str">
        <f t="shared" si="10"/>
        <v>11-20</v>
      </c>
      <c r="AT24">
        <v>4</v>
      </c>
      <c r="AU24" t="str">
        <f t="shared" si="11"/>
        <v>3-4</v>
      </c>
      <c r="AV24">
        <v>3</v>
      </c>
      <c r="AW24" t="s">
        <v>79</v>
      </c>
      <c r="AX24">
        <v>12</v>
      </c>
      <c r="AY24" t="str">
        <f t="shared" si="0"/>
        <v>11-20</v>
      </c>
      <c r="AZ24">
        <v>6</v>
      </c>
      <c r="BA24" t="str">
        <f t="shared" si="12"/>
        <v>6-10</v>
      </c>
      <c r="BB24">
        <v>2</v>
      </c>
      <c r="BC24" t="str">
        <f t="shared" si="13"/>
        <v>2-5</v>
      </c>
      <c r="BD24">
        <v>11</v>
      </c>
      <c r="BE24" t="str">
        <f t="shared" si="14"/>
        <v>11-17</v>
      </c>
    </row>
    <row r="25" spans="1:57" x14ac:dyDescent="0.3">
      <c r="A25">
        <v>30</v>
      </c>
      <c r="B25">
        <v>21</v>
      </c>
      <c r="C25" t="str">
        <f t="shared" si="1"/>
        <v>18-25</v>
      </c>
      <c r="D25" t="s">
        <v>71</v>
      </c>
      <c r="E25">
        <f t="shared" si="2"/>
        <v>0</v>
      </c>
      <c r="F25" t="s">
        <v>57</v>
      </c>
      <c r="G25">
        <v>391</v>
      </c>
      <c r="H25" t="str">
        <f t="shared" si="3"/>
        <v>102-500</v>
      </c>
      <c r="I25" t="s">
        <v>73</v>
      </c>
      <c r="J25">
        <v>15</v>
      </c>
      <c r="K25" t="str">
        <f t="shared" si="4"/>
        <v>11-20</v>
      </c>
      <c r="L25">
        <v>2</v>
      </c>
      <c r="M25" t="s">
        <v>59</v>
      </c>
      <c r="N25" t="s">
        <v>60</v>
      </c>
      <c r="O25">
        <v>1</v>
      </c>
      <c r="P25">
        <v>3</v>
      </c>
      <c r="Q25" t="s">
        <v>63</v>
      </c>
      <c r="R25" t="s">
        <v>75</v>
      </c>
      <c r="S25">
        <v>96</v>
      </c>
      <c r="T25" t="str">
        <f t="shared" si="5"/>
        <v>76-100</v>
      </c>
      <c r="U25">
        <v>3</v>
      </c>
      <c r="V25" t="s">
        <v>63</v>
      </c>
      <c r="W25">
        <v>1</v>
      </c>
      <c r="X25" t="s">
        <v>76</v>
      </c>
      <c r="Y25">
        <v>4</v>
      </c>
      <c r="Z25" t="s">
        <v>65</v>
      </c>
      <c r="AA25" t="s">
        <v>66</v>
      </c>
      <c r="AB25" s="4">
        <v>1232</v>
      </c>
      <c r="AC25" s="4" t="str">
        <f t="shared" si="6"/>
        <v>$1,000-$2,500</v>
      </c>
      <c r="AD25">
        <v>19281</v>
      </c>
      <c r="AE25" t="str">
        <f t="shared" si="7"/>
        <v>$16,001-$22,000</v>
      </c>
      <c r="AF25">
        <v>1</v>
      </c>
      <c r="AG25" t="str">
        <f t="shared" si="8"/>
        <v>0-1</v>
      </c>
      <c r="AH25" t="s">
        <v>67</v>
      </c>
      <c r="AI25" t="s">
        <v>71</v>
      </c>
      <c r="AJ25">
        <v>14</v>
      </c>
      <c r="AK25" t="str">
        <f t="shared" si="9"/>
        <v>13-15%</v>
      </c>
      <c r="AL25">
        <v>3</v>
      </c>
      <c r="AM25" t="s">
        <v>68</v>
      </c>
      <c r="AN25">
        <v>4</v>
      </c>
      <c r="AO25" t="s">
        <v>65</v>
      </c>
      <c r="AP25">
        <v>80</v>
      </c>
      <c r="AQ25">
        <v>0</v>
      </c>
      <c r="AR25">
        <v>0</v>
      </c>
      <c r="AS25" t="str">
        <f t="shared" si="10"/>
        <v>0-2</v>
      </c>
      <c r="AT25">
        <v>6</v>
      </c>
      <c r="AU25" t="str">
        <f t="shared" si="11"/>
        <v>5-6</v>
      </c>
      <c r="AV25">
        <v>3</v>
      </c>
      <c r="AW25" t="s">
        <v>79</v>
      </c>
      <c r="AX25">
        <v>0</v>
      </c>
      <c r="AY25" t="str">
        <f t="shared" si="0"/>
        <v>0-1</v>
      </c>
      <c r="AZ25">
        <v>0</v>
      </c>
      <c r="BA25" t="str">
        <f t="shared" si="12"/>
        <v>0-1</v>
      </c>
      <c r="BB25">
        <v>0</v>
      </c>
      <c r="BC25" t="str">
        <f t="shared" si="13"/>
        <v>0-1</v>
      </c>
      <c r="BD25">
        <v>0</v>
      </c>
      <c r="BE25" t="str">
        <f t="shared" si="14"/>
        <v>0-1</v>
      </c>
    </row>
    <row r="26" spans="1:57" x14ac:dyDescent="0.3">
      <c r="A26">
        <v>31</v>
      </c>
      <c r="B26">
        <v>34</v>
      </c>
      <c r="C26" t="str">
        <f t="shared" si="1"/>
        <v>26-35</v>
      </c>
      <c r="D26" t="s">
        <v>56</v>
      </c>
      <c r="E26">
        <f t="shared" si="2"/>
        <v>1</v>
      </c>
      <c r="F26" t="s">
        <v>57</v>
      </c>
      <c r="G26">
        <v>699</v>
      </c>
      <c r="H26" t="str">
        <f t="shared" si="3"/>
        <v>501-1000</v>
      </c>
      <c r="I26" t="s">
        <v>73</v>
      </c>
      <c r="J26">
        <v>6</v>
      </c>
      <c r="K26" t="str">
        <f t="shared" si="4"/>
        <v>6-10</v>
      </c>
      <c r="L26">
        <v>1</v>
      </c>
      <c r="M26" t="s">
        <v>74</v>
      </c>
      <c r="N26" t="s">
        <v>83</v>
      </c>
      <c r="O26">
        <v>1</v>
      </c>
      <c r="P26">
        <v>2</v>
      </c>
      <c r="Q26" t="s">
        <v>61</v>
      </c>
      <c r="R26" t="s">
        <v>75</v>
      </c>
      <c r="S26">
        <v>83</v>
      </c>
      <c r="T26" t="str">
        <f t="shared" si="5"/>
        <v>76-100</v>
      </c>
      <c r="U26">
        <v>3</v>
      </c>
      <c r="V26" t="s">
        <v>63</v>
      </c>
      <c r="W26">
        <v>1</v>
      </c>
      <c r="X26" t="s">
        <v>76</v>
      </c>
      <c r="Y26">
        <v>1</v>
      </c>
      <c r="Z26" t="s">
        <v>69</v>
      </c>
      <c r="AA26" t="s">
        <v>66</v>
      </c>
      <c r="AB26" s="4">
        <v>2960</v>
      </c>
      <c r="AC26" s="4" t="str">
        <f t="shared" si="6"/>
        <v>$2,500-$4,000</v>
      </c>
      <c r="AD26">
        <v>17102</v>
      </c>
      <c r="AE26" t="str">
        <f t="shared" si="7"/>
        <v>$16,001-$22,000</v>
      </c>
      <c r="AF26">
        <v>2</v>
      </c>
      <c r="AG26" t="str">
        <f t="shared" si="8"/>
        <v>2-3</v>
      </c>
      <c r="AH26" t="s">
        <v>67</v>
      </c>
      <c r="AI26" t="s">
        <v>71</v>
      </c>
      <c r="AJ26">
        <v>11</v>
      </c>
      <c r="AK26" t="str">
        <f t="shared" si="9"/>
        <v>11-12%</v>
      </c>
      <c r="AL26">
        <v>3</v>
      </c>
      <c r="AM26" t="s">
        <v>68</v>
      </c>
      <c r="AN26">
        <v>3</v>
      </c>
      <c r="AO26" t="s">
        <v>63</v>
      </c>
      <c r="AP26">
        <v>80</v>
      </c>
      <c r="AQ26">
        <v>0</v>
      </c>
      <c r="AR26">
        <v>8</v>
      </c>
      <c r="AS26" t="str">
        <f t="shared" si="10"/>
        <v>6-10</v>
      </c>
      <c r="AT26">
        <v>2</v>
      </c>
      <c r="AU26" t="str">
        <f t="shared" si="11"/>
        <v>0-2</v>
      </c>
      <c r="AV26">
        <v>3</v>
      </c>
      <c r="AW26" t="s">
        <v>79</v>
      </c>
      <c r="AX26">
        <v>4</v>
      </c>
      <c r="AY26" t="str">
        <f t="shared" si="0"/>
        <v>2-5</v>
      </c>
      <c r="AZ26">
        <v>2</v>
      </c>
      <c r="BA26" t="str">
        <f t="shared" si="12"/>
        <v>2-5</v>
      </c>
      <c r="BB26">
        <v>1</v>
      </c>
      <c r="BC26" t="str">
        <f t="shared" si="13"/>
        <v>0-1</v>
      </c>
      <c r="BD26">
        <v>3</v>
      </c>
      <c r="BE26" t="str">
        <f t="shared" si="14"/>
        <v>2-5</v>
      </c>
    </row>
    <row r="27" spans="1:57" x14ac:dyDescent="0.3">
      <c r="A27">
        <v>32</v>
      </c>
      <c r="B27">
        <v>53</v>
      </c>
      <c r="C27" t="str">
        <f t="shared" si="1"/>
        <v>46-55</v>
      </c>
      <c r="D27" t="s">
        <v>71</v>
      </c>
      <c r="E27">
        <f t="shared" si="2"/>
        <v>0</v>
      </c>
      <c r="F27" t="s">
        <v>57</v>
      </c>
      <c r="G27">
        <v>1282</v>
      </c>
      <c r="H27" t="str">
        <f t="shared" si="3"/>
        <v>1001-1499</v>
      </c>
      <c r="I27" t="s">
        <v>73</v>
      </c>
      <c r="J27">
        <v>5</v>
      </c>
      <c r="K27" t="str">
        <f t="shared" si="4"/>
        <v>1-5</v>
      </c>
      <c r="L27">
        <v>3</v>
      </c>
      <c r="M27" t="s">
        <v>85</v>
      </c>
      <c r="N27" t="s">
        <v>80</v>
      </c>
      <c r="O27">
        <v>1</v>
      </c>
      <c r="P27">
        <v>3</v>
      </c>
      <c r="Q27" t="s">
        <v>63</v>
      </c>
      <c r="R27" t="s">
        <v>62</v>
      </c>
      <c r="S27">
        <v>58</v>
      </c>
      <c r="T27" t="str">
        <f t="shared" si="5"/>
        <v>51-75</v>
      </c>
      <c r="U27">
        <v>3</v>
      </c>
      <c r="V27" t="s">
        <v>63</v>
      </c>
      <c r="W27">
        <v>5</v>
      </c>
      <c r="X27" t="s">
        <v>90</v>
      </c>
      <c r="Y27">
        <v>3</v>
      </c>
      <c r="Z27" t="s">
        <v>63</v>
      </c>
      <c r="AA27" t="s">
        <v>86</v>
      </c>
      <c r="AB27" s="4">
        <v>19094</v>
      </c>
      <c r="AC27" s="4" t="str">
        <f t="shared" si="6"/>
        <v>$19,000-$20,500</v>
      </c>
      <c r="AD27">
        <v>10735</v>
      </c>
      <c r="AE27" t="str">
        <f t="shared" si="7"/>
        <v>$8,001-$16,000</v>
      </c>
      <c r="AF27">
        <v>4</v>
      </c>
      <c r="AG27" t="str">
        <f t="shared" si="8"/>
        <v>4-6</v>
      </c>
      <c r="AH27" t="s">
        <v>67</v>
      </c>
      <c r="AI27" t="s">
        <v>71</v>
      </c>
      <c r="AJ27">
        <v>11</v>
      </c>
      <c r="AK27" t="str">
        <f t="shared" si="9"/>
        <v>11-12%</v>
      </c>
      <c r="AL27">
        <v>3</v>
      </c>
      <c r="AM27" t="s">
        <v>68</v>
      </c>
      <c r="AN27">
        <v>4</v>
      </c>
      <c r="AO27" t="s">
        <v>65</v>
      </c>
      <c r="AP27">
        <v>80</v>
      </c>
      <c r="AQ27">
        <v>1</v>
      </c>
      <c r="AR27">
        <v>26</v>
      </c>
      <c r="AS27" t="str">
        <f t="shared" si="10"/>
        <v>21-40</v>
      </c>
      <c r="AT27">
        <v>3</v>
      </c>
      <c r="AU27" t="str">
        <f t="shared" si="11"/>
        <v>3-4</v>
      </c>
      <c r="AV27">
        <v>2</v>
      </c>
      <c r="AW27" t="s">
        <v>84</v>
      </c>
      <c r="AX27">
        <v>14</v>
      </c>
      <c r="AY27" t="str">
        <f t="shared" si="0"/>
        <v>11-20</v>
      </c>
      <c r="AZ27">
        <v>13</v>
      </c>
      <c r="BA27" t="str">
        <f t="shared" si="12"/>
        <v>11-18</v>
      </c>
      <c r="BB27">
        <v>4</v>
      </c>
      <c r="BC27" t="str">
        <f t="shared" si="13"/>
        <v>2-5</v>
      </c>
      <c r="BD27">
        <v>8</v>
      </c>
      <c r="BE27" t="str">
        <f t="shared" si="14"/>
        <v>6-10</v>
      </c>
    </row>
    <row r="28" spans="1:57" x14ac:dyDescent="0.3">
      <c r="A28">
        <v>33</v>
      </c>
      <c r="B28">
        <v>32</v>
      </c>
      <c r="C28" t="str">
        <f t="shared" si="1"/>
        <v>26-35</v>
      </c>
      <c r="D28" t="s">
        <v>56</v>
      </c>
      <c r="E28">
        <f t="shared" si="2"/>
        <v>1</v>
      </c>
      <c r="F28" t="s">
        <v>72</v>
      </c>
      <c r="G28">
        <v>1125</v>
      </c>
      <c r="H28" t="str">
        <f t="shared" si="3"/>
        <v>1001-1499</v>
      </c>
      <c r="I28" t="s">
        <v>73</v>
      </c>
      <c r="J28">
        <v>16</v>
      </c>
      <c r="K28" t="str">
        <f t="shared" si="4"/>
        <v>11-20</v>
      </c>
      <c r="L28">
        <v>1</v>
      </c>
      <c r="M28" t="s">
        <v>74</v>
      </c>
      <c r="N28" t="s">
        <v>60</v>
      </c>
      <c r="O28">
        <v>1</v>
      </c>
      <c r="P28">
        <v>2</v>
      </c>
      <c r="Q28" t="s">
        <v>61</v>
      </c>
      <c r="R28" t="s">
        <v>62</v>
      </c>
      <c r="S28">
        <v>72</v>
      </c>
      <c r="T28" t="str">
        <f t="shared" si="5"/>
        <v>51-75</v>
      </c>
      <c r="U28">
        <v>1</v>
      </c>
      <c r="V28" t="s">
        <v>69</v>
      </c>
      <c r="W28">
        <v>1</v>
      </c>
      <c r="X28" t="s">
        <v>76</v>
      </c>
      <c r="Y28">
        <v>1</v>
      </c>
      <c r="Z28" t="s">
        <v>69</v>
      </c>
      <c r="AA28" t="s">
        <v>66</v>
      </c>
      <c r="AB28" s="4">
        <v>3919</v>
      </c>
      <c r="AC28" s="4" t="str">
        <f t="shared" si="6"/>
        <v>$2,500-$4,000</v>
      </c>
      <c r="AD28">
        <v>4681</v>
      </c>
      <c r="AE28" t="str">
        <f t="shared" si="7"/>
        <v>$2,094-$8,000</v>
      </c>
      <c r="AF28">
        <v>1</v>
      </c>
      <c r="AG28" t="str">
        <f t="shared" si="8"/>
        <v>0-1</v>
      </c>
      <c r="AH28" t="s">
        <v>67</v>
      </c>
      <c r="AI28" t="s">
        <v>56</v>
      </c>
      <c r="AJ28">
        <v>22</v>
      </c>
      <c r="AK28" t="str">
        <f t="shared" si="9"/>
        <v>18-19%</v>
      </c>
      <c r="AL28">
        <v>4</v>
      </c>
      <c r="AM28" t="s">
        <v>78</v>
      </c>
      <c r="AN28">
        <v>2</v>
      </c>
      <c r="AO28" t="s">
        <v>61</v>
      </c>
      <c r="AP28">
        <v>80</v>
      </c>
      <c r="AQ28">
        <v>0</v>
      </c>
      <c r="AR28">
        <v>10</v>
      </c>
      <c r="AS28" t="str">
        <f t="shared" si="10"/>
        <v>6-10</v>
      </c>
      <c r="AT28">
        <v>5</v>
      </c>
      <c r="AU28" t="str">
        <f t="shared" si="11"/>
        <v>5-6</v>
      </c>
      <c r="AV28">
        <v>3</v>
      </c>
      <c r="AW28" t="s">
        <v>79</v>
      </c>
      <c r="AX28">
        <v>10</v>
      </c>
      <c r="AY28" t="str">
        <f t="shared" si="0"/>
        <v>6-10</v>
      </c>
      <c r="AZ28">
        <v>2</v>
      </c>
      <c r="BA28" t="str">
        <f t="shared" si="12"/>
        <v>2-5</v>
      </c>
      <c r="BB28">
        <v>6</v>
      </c>
      <c r="BC28" t="str">
        <f t="shared" si="13"/>
        <v>6-10</v>
      </c>
      <c r="BD28">
        <v>7</v>
      </c>
      <c r="BE28" t="str">
        <f t="shared" si="14"/>
        <v>6-10</v>
      </c>
    </row>
    <row r="29" spans="1:57" x14ac:dyDescent="0.3">
      <c r="A29">
        <v>35</v>
      </c>
      <c r="B29">
        <v>42</v>
      </c>
      <c r="C29" t="str">
        <f t="shared" si="1"/>
        <v>36-45</v>
      </c>
      <c r="D29" t="s">
        <v>71</v>
      </c>
      <c r="E29">
        <f t="shared" si="2"/>
        <v>0</v>
      </c>
      <c r="F29" t="s">
        <v>57</v>
      </c>
      <c r="G29">
        <v>691</v>
      </c>
      <c r="H29" t="str">
        <f t="shared" si="3"/>
        <v>501-1000</v>
      </c>
      <c r="I29" t="s">
        <v>58</v>
      </c>
      <c r="J29">
        <v>8</v>
      </c>
      <c r="K29" t="str">
        <f t="shared" si="4"/>
        <v>6-10</v>
      </c>
      <c r="L29">
        <v>4</v>
      </c>
      <c r="M29" t="s">
        <v>82</v>
      </c>
      <c r="N29" t="s">
        <v>93</v>
      </c>
      <c r="O29">
        <v>1</v>
      </c>
      <c r="P29">
        <v>3</v>
      </c>
      <c r="Q29" t="s">
        <v>63</v>
      </c>
      <c r="R29" t="s">
        <v>75</v>
      </c>
      <c r="S29">
        <v>48</v>
      </c>
      <c r="T29" t="str">
        <f t="shared" si="5"/>
        <v>30-50</v>
      </c>
      <c r="U29">
        <v>3</v>
      </c>
      <c r="V29" t="s">
        <v>63</v>
      </c>
      <c r="W29">
        <v>2</v>
      </c>
      <c r="X29" t="s">
        <v>64</v>
      </c>
      <c r="Y29">
        <v>2</v>
      </c>
      <c r="Z29" t="s">
        <v>61</v>
      </c>
      <c r="AA29" t="s">
        <v>77</v>
      </c>
      <c r="AB29" s="4">
        <v>6825</v>
      </c>
      <c r="AC29" s="4" t="str">
        <f t="shared" si="6"/>
        <v>$5,500-$7,000</v>
      </c>
      <c r="AD29">
        <v>21173</v>
      </c>
      <c r="AE29" t="str">
        <f t="shared" si="7"/>
        <v>$16,001-$22,000</v>
      </c>
      <c r="AF29">
        <v>0</v>
      </c>
      <c r="AG29" t="str">
        <f t="shared" si="8"/>
        <v>0-1</v>
      </c>
      <c r="AH29" t="s">
        <v>67</v>
      </c>
      <c r="AI29" t="s">
        <v>71</v>
      </c>
      <c r="AJ29">
        <v>11</v>
      </c>
      <c r="AK29" t="str">
        <f t="shared" si="9"/>
        <v>11-12%</v>
      </c>
      <c r="AL29">
        <v>3</v>
      </c>
      <c r="AM29" t="s">
        <v>68</v>
      </c>
      <c r="AN29">
        <v>4</v>
      </c>
      <c r="AO29" t="s">
        <v>65</v>
      </c>
      <c r="AP29">
        <v>80</v>
      </c>
      <c r="AQ29">
        <v>1</v>
      </c>
      <c r="AR29">
        <v>10</v>
      </c>
      <c r="AS29" t="str">
        <f t="shared" si="10"/>
        <v>6-10</v>
      </c>
      <c r="AT29">
        <v>2</v>
      </c>
      <c r="AU29" t="str">
        <f t="shared" si="11"/>
        <v>0-2</v>
      </c>
      <c r="AV29">
        <v>3</v>
      </c>
      <c r="AW29" t="s">
        <v>79</v>
      </c>
      <c r="AX29">
        <v>9</v>
      </c>
      <c r="AY29" t="str">
        <f t="shared" si="0"/>
        <v>6-10</v>
      </c>
      <c r="AZ29">
        <v>7</v>
      </c>
      <c r="BA29" t="str">
        <f t="shared" si="12"/>
        <v>6-10</v>
      </c>
      <c r="BB29">
        <v>4</v>
      </c>
      <c r="BC29" t="str">
        <f t="shared" si="13"/>
        <v>2-5</v>
      </c>
      <c r="BD29">
        <v>2</v>
      </c>
      <c r="BE29" t="str">
        <f t="shared" si="14"/>
        <v>2-5</v>
      </c>
    </row>
    <row r="30" spans="1:57" x14ac:dyDescent="0.3">
      <c r="A30">
        <v>36</v>
      </c>
      <c r="B30">
        <v>44</v>
      </c>
      <c r="C30" t="str">
        <f t="shared" si="1"/>
        <v>36-45</v>
      </c>
      <c r="D30" t="s">
        <v>71</v>
      </c>
      <c r="E30">
        <f t="shared" si="2"/>
        <v>0</v>
      </c>
      <c r="F30" t="s">
        <v>57</v>
      </c>
      <c r="G30">
        <v>477</v>
      </c>
      <c r="H30" t="str">
        <f t="shared" si="3"/>
        <v>102-500</v>
      </c>
      <c r="I30" t="s">
        <v>73</v>
      </c>
      <c r="J30">
        <v>7</v>
      </c>
      <c r="K30" t="str">
        <f t="shared" si="4"/>
        <v>6-10</v>
      </c>
      <c r="L30">
        <v>4</v>
      </c>
      <c r="M30" t="s">
        <v>82</v>
      </c>
      <c r="N30" t="s">
        <v>83</v>
      </c>
      <c r="O30">
        <v>1</v>
      </c>
      <c r="P30">
        <v>1</v>
      </c>
      <c r="Q30" t="s">
        <v>69</v>
      </c>
      <c r="R30" t="s">
        <v>62</v>
      </c>
      <c r="S30">
        <v>42</v>
      </c>
      <c r="T30" t="str">
        <f t="shared" si="5"/>
        <v>30-50</v>
      </c>
      <c r="U30">
        <v>2</v>
      </c>
      <c r="V30" t="s">
        <v>61</v>
      </c>
      <c r="W30">
        <v>3</v>
      </c>
      <c r="X30" t="s">
        <v>88</v>
      </c>
      <c r="Y30">
        <v>4</v>
      </c>
      <c r="Z30" t="s">
        <v>65</v>
      </c>
      <c r="AA30" t="s">
        <v>77</v>
      </c>
      <c r="AB30" s="4">
        <v>10248</v>
      </c>
      <c r="AC30" s="4" t="str">
        <f t="shared" si="6"/>
        <v>$10,000-$11,500</v>
      </c>
      <c r="AD30">
        <v>2094</v>
      </c>
      <c r="AE30" t="str">
        <f t="shared" si="7"/>
        <v>$2,094-$8,000</v>
      </c>
      <c r="AF30">
        <v>3</v>
      </c>
      <c r="AG30" t="str">
        <f t="shared" si="8"/>
        <v>2-3</v>
      </c>
      <c r="AH30" t="s">
        <v>67</v>
      </c>
      <c r="AI30" t="s">
        <v>71</v>
      </c>
      <c r="AJ30">
        <v>14</v>
      </c>
      <c r="AK30" t="str">
        <f t="shared" si="9"/>
        <v>13-15%</v>
      </c>
      <c r="AL30">
        <v>3</v>
      </c>
      <c r="AM30" t="s">
        <v>68</v>
      </c>
      <c r="AN30">
        <v>4</v>
      </c>
      <c r="AO30" t="s">
        <v>65</v>
      </c>
      <c r="AP30">
        <v>80</v>
      </c>
      <c r="AQ30">
        <v>1</v>
      </c>
      <c r="AR30">
        <v>24</v>
      </c>
      <c r="AS30" t="str">
        <f t="shared" si="10"/>
        <v>21-40</v>
      </c>
      <c r="AT30">
        <v>4</v>
      </c>
      <c r="AU30" t="str">
        <f t="shared" si="11"/>
        <v>3-4</v>
      </c>
      <c r="AV30">
        <v>3</v>
      </c>
      <c r="AW30" t="s">
        <v>79</v>
      </c>
      <c r="AX30">
        <v>22</v>
      </c>
      <c r="AY30" t="str">
        <f t="shared" si="0"/>
        <v>21-40</v>
      </c>
      <c r="AZ30">
        <v>6</v>
      </c>
      <c r="BA30" t="str">
        <f t="shared" si="12"/>
        <v>6-10</v>
      </c>
      <c r="BB30">
        <v>5</v>
      </c>
      <c r="BC30" t="str">
        <f t="shared" si="13"/>
        <v>2-5</v>
      </c>
      <c r="BD30">
        <v>17</v>
      </c>
      <c r="BE30" t="str">
        <f t="shared" si="14"/>
        <v>11-17</v>
      </c>
    </row>
    <row r="31" spans="1:57" x14ac:dyDescent="0.3">
      <c r="A31">
        <v>38</v>
      </c>
      <c r="B31">
        <v>46</v>
      </c>
      <c r="C31" t="str">
        <f t="shared" si="1"/>
        <v>46-55</v>
      </c>
      <c r="D31" t="s">
        <v>71</v>
      </c>
      <c r="E31">
        <f t="shared" si="2"/>
        <v>0</v>
      </c>
      <c r="F31" t="s">
        <v>57</v>
      </c>
      <c r="G31">
        <v>705</v>
      </c>
      <c r="H31" t="str">
        <f t="shared" si="3"/>
        <v>501-1000</v>
      </c>
      <c r="I31" t="s">
        <v>58</v>
      </c>
      <c r="J31">
        <v>2</v>
      </c>
      <c r="K31" t="str">
        <f t="shared" si="4"/>
        <v>1-5</v>
      </c>
      <c r="L31">
        <v>4</v>
      </c>
      <c r="M31" t="s">
        <v>82</v>
      </c>
      <c r="N31" t="s">
        <v>93</v>
      </c>
      <c r="O31">
        <v>1</v>
      </c>
      <c r="P31">
        <v>2</v>
      </c>
      <c r="Q31" t="s">
        <v>61</v>
      </c>
      <c r="R31" t="s">
        <v>62</v>
      </c>
      <c r="S31">
        <v>83</v>
      </c>
      <c r="T31" t="str">
        <f t="shared" si="5"/>
        <v>76-100</v>
      </c>
      <c r="U31">
        <v>3</v>
      </c>
      <c r="V31" t="s">
        <v>63</v>
      </c>
      <c r="W31">
        <v>5</v>
      </c>
      <c r="X31" t="s">
        <v>90</v>
      </c>
      <c r="Y31">
        <v>1</v>
      </c>
      <c r="Z31" t="s">
        <v>69</v>
      </c>
      <c r="AA31" t="s">
        <v>66</v>
      </c>
      <c r="AB31" s="4">
        <v>18947</v>
      </c>
      <c r="AC31" s="4" t="str">
        <f t="shared" si="6"/>
        <v>$17,500-$19,000</v>
      </c>
      <c r="AD31">
        <v>22822</v>
      </c>
      <c r="AE31" t="str">
        <f t="shared" si="7"/>
        <v>$22,001-$26,999</v>
      </c>
      <c r="AF31">
        <v>3</v>
      </c>
      <c r="AG31" t="str">
        <f t="shared" si="8"/>
        <v>2-3</v>
      </c>
      <c r="AH31" t="s">
        <v>67</v>
      </c>
      <c r="AI31" t="s">
        <v>71</v>
      </c>
      <c r="AJ31">
        <v>12</v>
      </c>
      <c r="AK31" t="str">
        <f t="shared" si="9"/>
        <v>11-12%</v>
      </c>
      <c r="AL31">
        <v>3</v>
      </c>
      <c r="AM31" t="s">
        <v>68</v>
      </c>
      <c r="AN31">
        <v>4</v>
      </c>
      <c r="AO31" t="s">
        <v>65</v>
      </c>
      <c r="AP31">
        <v>80</v>
      </c>
      <c r="AQ31">
        <v>0</v>
      </c>
      <c r="AR31">
        <v>22</v>
      </c>
      <c r="AS31" t="str">
        <f t="shared" si="10"/>
        <v>21-40</v>
      </c>
      <c r="AT31">
        <v>2</v>
      </c>
      <c r="AU31" t="str">
        <f t="shared" si="11"/>
        <v>0-2</v>
      </c>
      <c r="AV31">
        <v>2</v>
      </c>
      <c r="AW31" t="s">
        <v>84</v>
      </c>
      <c r="AX31">
        <v>2</v>
      </c>
      <c r="AY31" t="str">
        <f t="shared" si="0"/>
        <v>2-5</v>
      </c>
      <c r="AZ31">
        <v>2</v>
      </c>
      <c r="BA31" t="str">
        <f t="shared" si="12"/>
        <v>2-5</v>
      </c>
      <c r="BB31">
        <v>2</v>
      </c>
      <c r="BC31" t="str">
        <f t="shared" si="13"/>
        <v>2-5</v>
      </c>
      <c r="BD31">
        <v>1</v>
      </c>
      <c r="BE31" t="str">
        <f t="shared" si="14"/>
        <v>0-1</v>
      </c>
    </row>
    <row r="32" spans="1:57" x14ac:dyDescent="0.3">
      <c r="A32">
        <v>39</v>
      </c>
      <c r="B32">
        <v>33</v>
      </c>
      <c r="C32" t="str">
        <f t="shared" si="1"/>
        <v>26-35</v>
      </c>
      <c r="D32" t="s">
        <v>71</v>
      </c>
      <c r="E32">
        <f t="shared" si="2"/>
        <v>0</v>
      </c>
      <c r="F32" t="s">
        <v>57</v>
      </c>
      <c r="G32">
        <v>924</v>
      </c>
      <c r="H32" t="str">
        <f t="shared" si="3"/>
        <v>501-1000</v>
      </c>
      <c r="I32" t="s">
        <v>73</v>
      </c>
      <c r="J32">
        <v>2</v>
      </c>
      <c r="K32" t="str">
        <f t="shared" si="4"/>
        <v>1-5</v>
      </c>
      <c r="L32">
        <v>3</v>
      </c>
      <c r="M32" t="s">
        <v>85</v>
      </c>
      <c r="N32" t="s">
        <v>83</v>
      </c>
      <c r="O32">
        <v>1</v>
      </c>
      <c r="P32">
        <v>3</v>
      </c>
      <c r="Q32" t="s">
        <v>63</v>
      </c>
      <c r="R32" t="s">
        <v>75</v>
      </c>
      <c r="S32">
        <v>78</v>
      </c>
      <c r="T32" t="str">
        <f t="shared" si="5"/>
        <v>76-100</v>
      </c>
      <c r="U32">
        <v>3</v>
      </c>
      <c r="V32" t="s">
        <v>63</v>
      </c>
      <c r="W32">
        <v>1</v>
      </c>
      <c r="X32" t="s">
        <v>81</v>
      </c>
      <c r="Y32">
        <v>4</v>
      </c>
      <c r="Z32" t="s">
        <v>65</v>
      </c>
      <c r="AA32" t="s">
        <v>66</v>
      </c>
      <c r="AB32" s="4">
        <v>2496</v>
      </c>
      <c r="AC32" s="4" t="str">
        <f t="shared" si="6"/>
        <v>$1,000-$2,500</v>
      </c>
      <c r="AD32">
        <v>6670</v>
      </c>
      <c r="AE32" t="str">
        <f t="shared" si="7"/>
        <v>$2,094-$8,000</v>
      </c>
      <c r="AF32">
        <v>4</v>
      </c>
      <c r="AG32" t="str">
        <f t="shared" si="8"/>
        <v>4-6</v>
      </c>
      <c r="AH32" t="s">
        <v>67</v>
      </c>
      <c r="AI32" t="s">
        <v>71</v>
      </c>
      <c r="AJ32">
        <v>11</v>
      </c>
      <c r="AK32" t="str">
        <f t="shared" si="9"/>
        <v>11-12%</v>
      </c>
      <c r="AL32">
        <v>3</v>
      </c>
      <c r="AM32" t="s">
        <v>68</v>
      </c>
      <c r="AN32">
        <v>4</v>
      </c>
      <c r="AO32" t="s">
        <v>65</v>
      </c>
      <c r="AP32">
        <v>80</v>
      </c>
      <c r="AQ32">
        <v>0</v>
      </c>
      <c r="AR32">
        <v>7</v>
      </c>
      <c r="AS32" t="str">
        <f t="shared" si="10"/>
        <v>6-10</v>
      </c>
      <c r="AT32">
        <v>3</v>
      </c>
      <c r="AU32" t="str">
        <f t="shared" si="11"/>
        <v>3-4</v>
      </c>
      <c r="AV32">
        <v>3</v>
      </c>
      <c r="AW32" t="s">
        <v>79</v>
      </c>
      <c r="AX32">
        <v>1</v>
      </c>
      <c r="AY32" t="str">
        <f t="shared" si="0"/>
        <v>0-1</v>
      </c>
      <c r="AZ32">
        <v>1</v>
      </c>
      <c r="BA32" t="str">
        <f t="shared" si="12"/>
        <v>0-1</v>
      </c>
      <c r="BB32">
        <v>0</v>
      </c>
      <c r="BC32" t="str">
        <f t="shared" si="13"/>
        <v>0-1</v>
      </c>
      <c r="BD32">
        <v>0</v>
      </c>
      <c r="BE32" t="str">
        <f t="shared" si="14"/>
        <v>0-1</v>
      </c>
    </row>
    <row r="33" spans="1:57" x14ac:dyDescent="0.3">
      <c r="A33">
        <v>40</v>
      </c>
      <c r="B33">
        <v>44</v>
      </c>
      <c r="C33" t="str">
        <f t="shared" si="1"/>
        <v>36-45</v>
      </c>
      <c r="D33" t="s">
        <v>71</v>
      </c>
      <c r="E33">
        <f t="shared" si="2"/>
        <v>0</v>
      </c>
      <c r="F33" t="s">
        <v>57</v>
      </c>
      <c r="G33">
        <v>1459</v>
      </c>
      <c r="H33" t="str">
        <f t="shared" si="3"/>
        <v>1001-1499</v>
      </c>
      <c r="I33" t="s">
        <v>73</v>
      </c>
      <c r="J33">
        <v>10</v>
      </c>
      <c r="K33" t="str">
        <f t="shared" si="4"/>
        <v>6-10</v>
      </c>
      <c r="L33">
        <v>4</v>
      </c>
      <c r="M33" t="s">
        <v>82</v>
      </c>
      <c r="N33" t="s">
        <v>80</v>
      </c>
      <c r="O33">
        <v>1</v>
      </c>
      <c r="P33">
        <v>4</v>
      </c>
      <c r="Q33" t="s">
        <v>65</v>
      </c>
      <c r="R33" t="s">
        <v>75</v>
      </c>
      <c r="S33">
        <v>41</v>
      </c>
      <c r="T33" t="str">
        <f t="shared" si="5"/>
        <v>30-50</v>
      </c>
      <c r="U33">
        <v>3</v>
      </c>
      <c r="V33" t="s">
        <v>63</v>
      </c>
      <c r="W33">
        <v>2</v>
      </c>
      <c r="X33" t="s">
        <v>88</v>
      </c>
      <c r="Y33">
        <v>4</v>
      </c>
      <c r="Z33" t="s">
        <v>65</v>
      </c>
      <c r="AA33" t="s">
        <v>77</v>
      </c>
      <c r="AB33" s="4">
        <v>6465</v>
      </c>
      <c r="AC33" s="4" t="str">
        <f t="shared" si="6"/>
        <v>$5,500-$7,000</v>
      </c>
      <c r="AD33">
        <v>19121</v>
      </c>
      <c r="AE33" t="str">
        <f t="shared" si="7"/>
        <v>$16,001-$22,000</v>
      </c>
      <c r="AF33">
        <v>2</v>
      </c>
      <c r="AG33" t="str">
        <f t="shared" si="8"/>
        <v>2-3</v>
      </c>
      <c r="AH33" t="s">
        <v>67</v>
      </c>
      <c r="AI33" t="s">
        <v>56</v>
      </c>
      <c r="AJ33">
        <v>13</v>
      </c>
      <c r="AK33" t="str">
        <f t="shared" si="9"/>
        <v>13-15%</v>
      </c>
      <c r="AL33">
        <v>3</v>
      </c>
      <c r="AM33" t="s">
        <v>68</v>
      </c>
      <c r="AN33">
        <v>4</v>
      </c>
      <c r="AO33" t="s">
        <v>65</v>
      </c>
      <c r="AP33">
        <v>80</v>
      </c>
      <c r="AQ33">
        <v>0</v>
      </c>
      <c r="AR33">
        <v>9</v>
      </c>
      <c r="AS33" t="str">
        <f t="shared" si="10"/>
        <v>6-10</v>
      </c>
      <c r="AT33">
        <v>5</v>
      </c>
      <c r="AU33" t="str">
        <f t="shared" si="11"/>
        <v>5-6</v>
      </c>
      <c r="AV33">
        <v>4</v>
      </c>
      <c r="AW33" t="s">
        <v>94</v>
      </c>
      <c r="AX33">
        <v>4</v>
      </c>
      <c r="AY33" t="str">
        <f t="shared" si="0"/>
        <v>2-5</v>
      </c>
      <c r="AZ33">
        <v>2</v>
      </c>
      <c r="BA33" t="str">
        <f t="shared" si="12"/>
        <v>2-5</v>
      </c>
      <c r="BB33">
        <v>1</v>
      </c>
      <c r="BC33" t="str">
        <f t="shared" si="13"/>
        <v>0-1</v>
      </c>
      <c r="BD33">
        <v>3</v>
      </c>
      <c r="BE33" t="str">
        <f t="shared" si="14"/>
        <v>2-5</v>
      </c>
    </row>
    <row r="34" spans="1:57" x14ac:dyDescent="0.3">
      <c r="A34">
        <v>41</v>
      </c>
      <c r="B34">
        <v>30</v>
      </c>
      <c r="C34" t="str">
        <f t="shared" si="1"/>
        <v>26-35</v>
      </c>
      <c r="D34" t="s">
        <v>71</v>
      </c>
      <c r="E34">
        <f t="shared" si="2"/>
        <v>0</v>
      </c>
      <c r="F34" t="s">
        <v>57</v>
      </c>
      <c r="G34">
        <v>125</v>
      </c>
      <c r="H34" t="str">
        <f t="shared" si="3"/>
        <v>102-500</v>
      </c>
      <c r="I34" t="s">
        <v>73</v>
      </c>
      <c r="J34">
        <v>9</v>
      </c>
      <c r="K34" t="str">
        <f t="shared" si="4"/>
        <v>6-10</v>
      </c>
      <c r="L34">
        <v>2</v>
      </c>
      <c r="M34" t="s">
        <v>59</v>
      </c>
      <c r="N34" t="s">
        <v>83</v>
      </c>
      <c r="O34">
        <v>1</v>
      </c>
      <c r="P34">
        <v>4</v>
      </c>
      <c r="Q34" t="s">
        <v>65</v>
      </c>
      <c r="R34" t="s">
        <v>75</v>
      </c>
      <c r="S34">
        <v>83</v>
      </c>
      <c r="T34" t="str">
        <f t="shared" si="5"/>
        <v>76-100</v>
      </c>
      <c r="U34">
        <v>2</v>
      </c>
      <c r="V34" t="s">
        <v>61</v>
      </c>
      <c r="W34">
        <v>1</v>
      </c>
      <c r="X34" t="s">
        <v>81</v>
      </c>
      <c r="Y34">
        <v>3</v>
      </c>
      <c r="Z34" t="s">
        <v>63</v>
      </c>
      <c r="AA34" t="s">
        <v>66</v>
      </c>
      <c r="AB34" s="4">
        <v>2206</v>
      </c>
      <c r="AC34" s="4" t="str">
        <f t="shared" si="6"/>
        <v>$1,000-$2,500</v>
      </c>
      <c r="AD34">
        <v>16117</v>
      </c>
      <c r="AE34" t="str">
        <f t="shared" si="7"/>
        <v>$16,001-$22,000</v>
      </c>
      <c r="AF34">
        <v>1</v>
      </c>
      <c r="AG34" t="str">
        <f t="shared" si="8"/>
        <v>0-1</v>
      </c>
      <c r="AH34" t="s">
        <v>67</v>
      </c>
      <c r="AI34" t="s">
        <v>71</v>
      </c>
      <c r="AJ34">
        <v>13</v>
      </c>
      <c r="AK34" t="str">
        <f t="shared" si="9"/>
        <v>13-15%</v>
      </c>
      <c r="AL34">
        <v>3</v>
      </c>
      <c r="AM34" t="s">
        <v>68</v>
      </c>
      <c r="AN34">
        <v>1</v>
      </c>
      <c r="AO34" t="s">
        <v>69</v>
      </c>
      <c r="AP34">
        <v>80</v>
      </c>
      <c r="AQ34">
        <v>0</v>
      </c>
      <c r="AR34">
        <v>10</v>
      </c>
      <c r="AS34" t="str">
        <f t="shared" si="10"/>
        <v>6-10</v>
      </c>
      <c r="AT34">
        <v>5</v>
      </c>
      <c r="AU34" t="str">
        <f t="shared" si="11"/>
        <v>5-6</v>
      </c>
      <c r="AV34">
        <v>3</v>
      </c>
      <c r="AW34" t="s">
        <v>79</v>
      </c>
      <c r="AX34">
        <v>10</v>
      </c>
      <c r="AY34" t="str">
        <f t="shared" si="0"/>
        <v>6-10</v>
      </c>
      <c r="AZ34">
        <v>0</v>
      </c>
      <c r="BA34" t="str">
        <f t="shared" si="12"/>
        <v>0-1</v>
      </c>
      <c r="BB34">
        <v>1</v>
      </c>
      <c r="BC34" t="str">
        <f t="shared" si="13"/>
        <v>0-1</v>
      </c>
      <c r="BD34">
        <v>8</v>
      </c>
      <c r="BE34" t="str">
        <f t="shared" si="14"/>
        <v>6-10</v>
      </c>
    </row>
    <row r="35" spans="1:57" x14ac:dyDescent="0.3">
      <c r="A35">
        <v>42</v>
      </c>
      <c r="B35">
        <v>39</v>
      </c>
      <c r="C35" t="str">
        <f t="shared" si="1"/>
        <v>36-45</v>
      </c>
      <c r="D35" t="s">
        <v>56</v>
      </c>
      <c r="E35">
        <f t="shared" si="2"/>
        <v>1</v>
      </c>
      <c r="F35" t="s">
        <v>57</v>
      </c>
      <c r="G35">
        <v>895</v>
      </c>
      <c r="H35" t="str">
        <f t="shared" si="3"/>
        <v>501-1000</v>
      </c>
      <c r="I35" t="s">
        <v>58</v>
      </c>
      <c r="J35">
        <v>5</v>
      </c>
      <c r="K35" t="str">
        <f t="shared" si="4"/>
        <v>1-5</v>
      </c>
      <c r="L35">
        <v>3</v>
      </c>
      <c r="M35" t="s">
        <v>85</v>
      </c>
      <c r="N35" t="s">
        <v>95</v>
      </c>
      <c r="O35">
        <v>1</v>
      </c>
      <c r="P35">
        <v>4</v>
      </c>
      <c r="Q35" t="s">
        <v>65</v>
      </c>
      <c r="R35" t="s">
        <v>75</v>
      </c>
      <c r="S35">
        <v>56</v>
      </c>
      <c r="T35" t="str">
        <f t="shared" si="5"/>
        <v>51-75</v>
      </c>
      <c r="U35">
        <v>3</v>
      </c>
      <c r="V35" t="s">
        <v>63</v>
      </c>
      <c r="W35">
        <v>2</v>
      </c>
      <c r="X35" t="s">
        <v>91</v>
      </c>
      <c r="Y35">
        <v>4</v>
      </c>
      <c r="Z35" t="s">
        <v>65</v>
      </c>
      <c r="AA35" t="s">
        <v>77</v>
      </c>
      <c r="AB35" s="4">
        <v>2086</v>
      </c>
      <c r="AC35" s="4" t="str">
        <f t="shared" si="6"/>
        <v>$1,000-$2,500</v>
      </c>
      <c r="AD35">
        <v>3335</v>
      </c>
      <c r="AE35" t="str">
        <f t="shared" si="7"/>
        <v>$2,094-$8,000</v>
      </c>
      <c r="AF35">
        <v>3</v>
      </c>
      <c r="AG35" t="str">
        <f t="shared" si="8"/>
        <v>2-3</v>
      </c>
      <c r="AH35" t="s">
        <v>67</v>
      </c>
      <c r="AI35" t="s">
        <v>71</v>
      </c>
      <c r="AJ35">
        <v>14</v>
      </c>
      <c r="AK35" t="str">
        <f t="shared" si="9"/>
        <v>13-15%</v>
      </c>
      <c r="AL35">
        <v>3</v>
      </c>
      <c r="AM35" t="s">
        <v>68</v>
      </c>
      <c r="AN35">
        <v>3</v>
      </c>
      <c r="AO35" t="s">
        <v>63</v>
      </c>
      <c r="AP35">
        <v>80</v>
      </c>
      <c r="AQ35">
        <v>1</v>
      </c>
      <c r="AR35">
        <v>19</v>
      </c>
      <c r="AS35" t="str">
        <f t="shared" si="10"/>
        <v>11-20</v>
      </c>
      <c r="AT35">
        <v>6</v>
      </c>
      <c r="AU35" t="str">
        <f t="shared" si="11"/>
        <v>5-6</v>
      </c>
      <c r="AV35">
        <v>4</v>
      </c>
      <c r="AW35" t="s">
        <v>94</v>
      </c>
      <c r="AX35">
        <v>1</v>
      </c>
      <c r="AY35" t="str">
        <f t="shared" si="0"/>
        <v>0-1</v>
      </c>
      <c r="AZ35">
        <v>0</v>
      </c>
      <c r="BA35" t="str">
        <f t="shared" si="12"/>
        <v>0-1</v>
      </c>
      <c r="BB35">
        <v>0</v>
      </c>
      <c r="BC35" t="str">
        <f t="shared" si="13"/>
        <v>0-1</v>
      </c>
      <c r="BD35">
        <v>0</v>
      </c>
      <c r="BE35" t="str">
        <f t="shared" si="14"/>
        <v>0-1</v>
      </c>
    </row>
    <row r="36" spans="1:57" x14ac:dyDescent="0.3">
      <c r="A36">
        <v>45</v>
      </c>
      <c r="B36">
        <v>24</v>
      </c>
      <c r="C36" t="str">
        <f t="shared" si="1"/>
        <v>18-25</v>
      </c>
      <c r="D36" t="s">
        <v>56</v>
      </c>
      <c r="E36">
        <f t="shared" si="2"/>
        <v>1</v>
      </c>
      <c r="F36" t="s">
        <v>57</v>
      </c>
      <c r="G36">
        <v>813</v>
      </c>
      <c r="H36" t="str">
        <f t="shared" si="3"/>
        <v>501-1000</v>
      </c>
      <c r="I36" t="s">
        <v>73</v>
      </c>
      <c r="J36">
        <v>1</v>
      </c>
      <c r="K36" t="str">
        <f t="shared" si="4"/>
        <v>1-5</v>
      </c>
      <c r="L36">
        <v>3</v>
      </c>
      <c r="M36" t="s">
        <v>85</v>
      </c>
      <c r="N36" t="s">
        <v>83</v>
      </c>
      <c r="O36">
        <v>1</v>
      </c>
      <c r="P36">
        <v>2</v>
      </c>
      <c r="Q36" t="s">
        <v>61</v>
      </c>
      <c r="R36" t="s">
        <v>75</v>
      </c>
      <c r="S36">
        <v>61</v>
      </c>
      <c r="T36" t="str">
        <f t="shared" si="5"/>
        <v>51-75</v>
      </c>
      <c r="U36">
        <v>3</v>
      </c>
      <c r="V36" t="s">
        <v>63</v>
      </c>
      <c r="W36">
        <v>1</v>
      </c>
      <c r="X36" t="s">
        <v>76</v>
      </c>
      <c r="Y36">
        <v>4</v>
      </c>
      <c r="Z36" t="s">
        <v>65</v>
      </c>
      <c r="AA36" t="s">
        <v>77</v>
      </c>
      <c r="AB36" s="4">
        <v>2293</v>
      </c>
      <c r="AC36" s="4" t="str">
        <f t="shared" si="6"/>
        <v>$1,000-$2,500</v>
      </c>
      <c r="AD36">
        <v>3020</v>
      </c>
      <c r="AE36" t="str">
        <f t="shared" si="7"/>
        <v>$2,094-$8,000</v>
      </c>
      <c r="AF36">
        <v>2</v>
      </c>
      <c r="AG36" t="str">
        <f t="shared" si="8"/>
        <v>2-3</v>
      </c>
      <c r="AH36" t="s">
        <v>67</v>
      </c>
      <c r="AI36" t="s">
        <v>56</v>
      </c>
      <c r="AJ36">
        <v>16</v>
      </c>
      <c r="AK36" t="str">
        <f t="shared" si="9"/>
        <v>16-17%</v>
      </c>
      <c r="AL36">
        <v>3</v>
      </c>
      <c r="AM36" t="s">
        <v>68</v>
      </c>
      <c r="AN36">
        <v>1</v>
      </c>
      <c r="AO36" t="s">
        <v>69</v>
      </c>
      <c r="AP36">
        <v>80</v>
      </c>
      <c r="AQ36">
        <v>1</v>
      </c>
      <c r="AR36">
        <v>6</v>
      </c>
      <c r="AS36" t="str">
        <f t="shared" si="10"/>
        <v>6-10</v>
      </c>
      <c r="AT36">
        <v>2</v>
      </c>
      <c r="AU36" t="str">
        <f t="shared" si="11"/>
        <v>0-2</v>
      </c>
      <c r="AV36">
        <v>2</v>
      </c>
      <c r="AW36" t="s">
        <v>84</v>
      </c>
      <c r="AX36">
        <v>2</v>
      </c>
      <c r="AY36" t="str">
        <f t="shared" si="0"/>
        <v>2-5</v>
      </c>
      <c r="AZ36">
        <v>0</v>
      </c>
      <c r="BA36" t="str">
        <f t="shared" si="12"/>
        <v>0-1</v>
      </c>
      <c r="BB36">
        <v>2</v>
      </c>
      <c r="BC36" t="str">
        <f t="shared" si="13"/>
        <v>2-5</v>
      </c>
      <c r="BD36">
        <v>0</v>
      </c>
      <c r="BE36" t="str">
        <f t="shared" si="14"/>
        <v>0-1</v>
      </c>
    </row>
    <row r="37" spans="1:57" x14ac:dyDescent="0.3">
      <c r="A37">
        <v>46</v>
      </c>
      <c r="B37">
        <v>43</v>
      </c>
      <c r="C37" t="str">
        <f t="shared" si="1"/>
        <v>36-45</v>
      </c>
      <c r="D37" t="s">
        <v>71</v>
      </c>
      <c r="E37">
        <f t="shared" si="2"/>
        <v>0</v>
      </c>
      <c r="F37" t="s">
        <v>57</v>
      </c>
      <c r="G37">
        <v>1273</v>
      </c>
      <c r="H37" t="str">
        <f t="shared" si="3"/>
        <v>1001-1499</v>
      </c>
      <c r="I37" t="s">
        <v>73</v>
      </c>
      <c r="J37">
        <v>2</v>
      </c>
      <c r="K37" t="str">
        <f t="shared" si="4"/>
        <v>1-5</v>
      </c>
      <c r="L37">
        <v>2</v>
      </c>
      <c r="M37" t="s">
        <v>59</v>
      </c>
      <c r="N37" t="s">
        <v>83</v>
      </c>
      <c r="O37">
        <v>1</v>
      </c>
      <c r="P37">
        <v>4</v>
      </c>
      <c r="Q37" t="s">
        <v>65</v>
      </c>
      <c r="R37" t="s">
        <v>62</v>
      </c>
      <c r="S37">
        <v>72</v>
      </c>
      <c r="T37" t="str">
        <f t="shared" si="5"/>
        <v>51-75</v>
      </c>
      <c r="U37">
        <v>4</v>
      </c>
      <c r="V37" t="s">
        <v>65</v>
      </c>
      <c r="W37">
        <v>1</v>
      </c>
      <c r="X37" t="s">
        <v>76</v>
      </c>
      <c r="Y37">
        <v>3</v>
      </c>
      <c r="Z37" t="s">
        <v>63</v>
      </c>
      <c r="AA37" t="s">
        <v>86</v>
      </c>
      <c r="AB37" s="4">
        <v>2645</v>
      </c>
      <c r="AC37" s="4" t="str">
        <f t="shared" si="6"/>
        <v>$2,500-$4,000</v>
      </c>
      <c r="AD37">
        <v>21923</v>
      </c>
      <c r="AE37" t="str">
        <f t="shared" si="7"/>
        <v>$16,001-$22,000</v>
      </c>
      <c r="AF37">
        <v>1</v>
      </c>
      <c r="AG37" t="str">
        <f t="shared" si="8"/>
        <v>0-1</v>
      </c>
      <c r="AH37" t="s">
        <v>67</v>
      </c>
      <c r="AI37" t="s">
        <v>71</v>
      </c>
      <c r="AJ37">
        <v>12</v>
      </c>
      <c r="AK37" t="str">
        <f t="shared" si="9"/>
        <v>11-12%</v>
      </c>
      <c r="AL37">
        <v>3</v>
      </c>
      <c r="AM37" t="s">
        <v>68</v>
      </c>
      <c r="AN37">
        <v>4</v>
      </c>
      <c r="AO37" t="s">
        <v>65</v>
      </c>
      <c r="AP37">
        <v>80</v>
      </c>
      <c r="AQ37">
        <v>2</v>
      </c>
      <c r="AR37">
        <v>6</v>
      </c>
      <c r="AS37" t="str">
        <f t="shared" si="10"/>
        <v>6-10</v>
      </c>
      <c r="AT37">
        <v>3</v>
      </c>
      <c r="AU37" t="str">
        <f t="shared" si="11"/>
        <v>3-4</v>
      </c>
      <c r="AV37">
        <v>2</v>
      </c>
      <c r="AW37" t="s">
        <v>84</v>
      </c>
      <c r="AX37">
        <v>5</v>
      </c>
      <c r="AY37" t="str">
        <f t="shared" si="0"/>
        <v>2-5</v>
      </c>
      <c r="AZ37">
        <v>3</v>
      </c>
      <c r="BA37" t="str">
        <f t="shared" si="12"/>
        <v>2-5</v>
      </c>
      <c r="BB37">
        <v>1</v>
      </c>
      <c r="BC37" t="str">
        <f t="shared" si="13"/>
        <v>0-1</v>
      </c>
      <c r="BD37">
        <v>4</v>
      </c>
      <c r="BE37" t="str">
        <f t="shared" si="14"/>
        <v>2-5</v>
      </c>
    </row>
    <row r="38" spans="1:57" x14ac:dyDescent="0.3">
      <c r="A38">
        <v>47</v>
      </c>
      <c r="B38">
        <v>50</v>
      </c>
      <c r="C38" t="str">
        <f t="shared" si="1"/>
        <v>46-55</v>
      </c>
      <c r="D38" t="s">
        <v>56</v>
      </c>
      <c r="E38">
        <f t="shared" si="2"/>
        <v>1</v>
      </c>
      <c r="F38" t="s">
        <v>57</v>
      </c>
      <c r="G38">
        <v>869</v>
      </c>
      <c r="H38" t="str">
        <f t="shared" si="3"/>
        <v>501-1000</v>
      </c>
      <c r="I38" t="s">
        <v>58</v>
      </c>
      <c r="J38">
        <v>3</v>
      </c>
      <c r="K38" t="str">
        <f t="shared" si="4"/>
        <v>1-5</v>
      </c>
      <c r="L38">
        <v>2</v>
      </c>
      <c r="M38" t="s">
        <v>59</v>
      </c>
      <c r="N38" t="s">
        <v>93</v>
      </c>
      <c r="O38">
        <v>1</v>
      </c>
      <c r="P38">
        <v>1</v>
      </c>
      <c r="Q38" t="s">
        <v>69</v>
      </c>
      <c r="R38" t="s">
        <v>75</v>
      </c>
      <c r="S38">
        <v>86</v>
      </c>
      <c r="T38" t="str">
        <f t="shared" si="5"/>
        <v>76-100</v>
      </c>
      <c r="U38">
        <v>2</v>
      </c>
      <c r="V38" t="s">
        <v>61</v>
      </c>
      <c r="W38">
        <v>1</v>
      </c>
      <c r="X38" t="s">
        <v>91</v>
      </c>
      <c r="Y38">
        <v>3</v>
      </c>
      <c r="Z38" t="s">
        <v>63</v>
      </c>
      <c r="AA38" t="s">
        <v>77</v>
      </c>
      <c r="AB38" s="4">
        <v>2683</v>
      </c>
      <c r="AC38" s="4" t="str">
        <f t="shared" si="6"/>
        <v>$2,500-$4,000</v>
      </c>
      <c r="AD38">
        <v>3810</v>
      </c>
      <c r="AE38" t="str">
        <f t="shared" si="7"/>
        <v>$2,094-$8,000</v>
      </c>
      <c r="AF38">
        <v>1</v>
      </c>
      <c r="AG38" t="str">
        <f t="shared" si="8"/>
        <v>0-1</v>
      </c>
      <c r="AH38" t="s">
        <v>67</v>
      </c>
      <c r="AI38" t="s">
        <v>56</v>
      </c>
      <c r="AJ38">
        <v>14</v>
      </c>
      <c r="AK38" t="str">
        <f t="shared" si="9"/>
        <v>13-15%</v>
      </c>
      <c r="AL38">
        <v>3</v>
      </c>
      <c r="AM38" t="s">
        <v>68</v>
      </c>
      <c r="AN38">
        <v>3</v>
      </c>
      <c r="AO38" t="s">
        <v>63</v>
      </c>
      <c r="AP38">
        <v>80</v>
      </c>
      <c r="AQ38">
        <v>0</v>
      </c>
      <c r="AR38">
        <v>3</v>
      </c>
      <c r="AS38" t="str">
        <f t="shared" si="10"/>
        <v>3-5</v>
      </c>
      <c r="AT38">
        <v>2</v>
      </c>
      <c r="AU38" t="str">
        <f t="shared" si="11"/>
        <v>0-2</v>
      </c>
      <c r="AV38">
        <v>3</v>
      </c>
      <c r="AW38" t="s">
        <v>79</v>
      </c>
      <c r="AX38">
        <v>3</v>
      </c>
      <c r="AY38" t="str">
        <f t="shared" si="0"/>
        <v>2-5</v>
      </c>
      <c r="AZ38">
        <v>2</v>
      </c>
      <c r="BA38" t="str">
        <f t="shared" si="12"/>
        <v>2-5</v>
      </c>
      <c r="BB38">
        <v>0</v>
      </c>
      <c r="BC38" t="str">
        <f t="shared" si="13"/>
        <v>0-1</v>
      </c>
      <c r="BD38">
        <v>2</v>
      </c>
      <c r="BE38" t="str">
        <f t="shared" si="14"/>
        <v>2-5</v>
      </c>
    </row>
    <row r="39" spans="1:57" x14ac:dyDescent="0.3">
      <c r="A39">
        <v>49</v>
      </c>
      <c r="B39">
        <v>35</v>
      </c>
      <c r="C39" t="str">
        <f t="shared" si="1"/>
        <v>26-35</v>
      </c>
      <c r="D39" t="s">
        <v>71</v>
      </c>
      <c r="E39">
        <f t="shared" si="2"/>
        <v>0</v>
      </c>
      <c r="F39" t="s">
        <v>57</v>
      </c>
      <c r="G39">
        <v>890</v>
      </c>
      <c r="H39" t="str">
        <f t="shared" si="3"/>
        <v>501-1000</v>
      </c>
      <c r="I39" t="s">
        <v>58</v>
      </c>
      <c r="J39">
        <v>2</v>
      </c>
      <c r="K39" t="str">
        <f t="shared" si="4"/>
        <v>1-5</v>
      </c>
      <c r="L39">
        <v>3</v>
      </c>
      <c r="M39" t="s">
        <v>85</v>
      </c>
      <c r="N39" t="s">
        <v>93</v>
      </c>
      <c r="O39">
        <v>1</v>
      </c>
      <c r="P39">
        <v>4</v>
      </c>
      <c r="Q39" t="s">
        <v>65</v>
      </c>
      <c r="R39" t="s">
        <v>62</v>
      </c>
      <c r="S39">
        <v>97</v>
      </c>
      <c r="T39" t="str">
        <f t="shared" si="5"/>
        <v>76-100</v>
      </c>
      <c r="U39">
        <v>3</v>
      </c>
      <c r="V39" t="s">
        <v>63</v>
      </c>
      <c r="W39">
        <v>1</v>
      </c>
      <c r="X39" t="s">
        <v>91</v>
      </c>
      <c r="Y39">
        <v>4</v>
      </c>
      <c r="Z39" t="s">
        <v>65</v>
      </c>
      <c r="AA39" t="s">
        <v>77</v>
      </c>
      <c r="AB39" s="4">
        <v>2014</v>
      </c>
      <c r="AC39" s="4" t="str">
        <f t="shared" si="6"/>
        <v>$1,000-$2,500</v>
      </c>
      <c r="AD39">
        <v>9687</v>
      </c>
      <c r="AE39" t="str">
        <f t="shared" si="7"/>
        <v>$8,001-$16,000</v>
      </c>
      <c r="AF39">
        <v>1</v>
      </c>
      <c r="AG39" t="str">
        <f t="shared" si="8"/>
        <v>0-1</v>
      </c>
      <c r="AH39" t="s">
        <v>67</v>
      </c>
      <c r="AI39" t="s">
        <v>71</v>
      </c>
      <c r="AJ39">
        <v>13</v>
      </c>
      <c r="AK39" t="str">
        <f t="shared" si="9"/>
        <v>13-15%</v>
      </c>
      <c r="AL39">
        <v>3</v>
      </c>
      <c r="AM39" t="s">
        <v>68</v>
      </c>
      <c r="AN39">
        <v>1</v>
      </c>
      <c r="AO39" t="s">
        <v>69</v>
      </c>
      <c r="AP39">
        <v>80</v>
      </c>
      <c r="AQ39">
        <v>0</v>
      </c>
      <c r="AR39">
        <v>2</v>
      </c>
      <c r="AS39" t="str">
        <f t="shared" si="10"/>
        <v>0-2</v>
      </c>
      <c r="AT39">
        <v>3</v>
      </c>
      <c r="AU39" t="str">
        <f t="shared" si="11"/>
        <v>3-4</v>
      </c>
      <c r="AV39">
        <v>3</v>
      </c>
      <c r="AW39" t="s">
        <v>79</v>
      </c>
      <c r="AX39">
        <v>2</v>
      </c>
      <c r="AY39" t="str">
        <f t="shared" si="0"/>
        <v>2-5</v>
      </c>
      <c r="AZ39">
        <v>2</v>
      </c>
      <c r="BA39" t="str">
        <f t="shared" si="12"/>
        <v>2-5</v>
      </c>
      <c r="BB39">
        <v>2</v>
      </c>
      <c r="BC39" t="str">
        <f t="shared" si="13"/>
        <v>2-5</v>
      </c>
      <c r="BD39">
        <v>2</v>
      </c>
      <c r="BE39" t="str">
        <f t="shared" si="14"/>
        <v>2-5</v>
      </c>
    </row>
    <row r="40" spans="1:57" x14ac:dyDescent="0.3">
      <c r="A40">
        <v>51</v>
      </c>
      <c r="B40">
        <v>36</v>
      </c>
      <c r="C40" t="str">
        <f t="shared" si="1"/>
        <v>36-45</v>
      </c>
      <c r="D40" t="s">
        <v>71</v>
      </c>
      <c r="E40">
        <f t="shared" si="2"/>
        <v>0</v>
      </c>
      <c r="F40" t="s">
        <v>57</v>
      </c>
      <c r="G40">
        <v>852</v>
      </c>
      <c r="H40" t="str">
        <f t="shared" si="3"/>
        <v>501-1000</v>
      </c>
      <c r="I40" t="s">
        <v>73</v>
      </c>
      <c r="J40">
        <v>5</v>
      </c>
      <c r="K40" t="str">
        <f t="shared" si="4"/>
        <v>1-5</v>
      </c>
      <c r="L40">
        <v>4</v>
      </c>
      <c r="M40" t="s">
        <v>82</v>
      </c>
      <c r="N40" t="s">
        <v>60</v>
      </c>
      <c r="O40">
        <v>1</v>
      </c>
      <c r="P40">
        <v>2</v>
      </c>
      <c r="Q40" t="s">
        <v>61</v>
      </c>
      <c r="R40" t="s">
        <v>62</v>
      </c>
      <c r="S40">
        <v>82</v>
      </c>
      <c r="T40" t="str">
        <f t="shared" si="5"/>
        <v>76-100</v>
      </c>
      <c r="U40">
        <v>2</v>
      </c>
      <c r="V40" t="s">
        <v>61</v>
      </c>
      <c r="W40">
        <v>1</v>
      </c>
      <c r="X40" t="s">
        <v>76</v>
      </c>
      <c r="Y40">
        <v>1</v>
      </c>
      <c r="Z40" t="s">
        <v>69</v>
      </c>
      <c r="AA40" t="s">
        <v>77</v>
      </c>
      <c r="AB40" s="4">
        <v>3419</v>
      </c>
      <c r="AC40" s="4" t="str">
        <f t="shared" si="6"/>
        <v>$2,500-$4,000</v>
      </c>
      <c r="AD40">
        <v>13072</v>
      </c>
      <c r="AE40" t="str">
        <f t="shared" si="7"/>
        <v>$8,001-$16,000</v>
      </c>
      <c r="AF40">
        <v>9</v>
      </c>
      <c r="AG40" t="str">
        <f t="shared" si="8"/>
        <v>7-9</v>
      </c>
      <c r="AH40" t="s">
        <v>67</v>
      </c>
      <c r="AI40" t="s">
        <v>56</v>
      </c>
      <c r="AJ40">
        <v>14</v>
      </c>
      <c r="AK40" t="str">
        <f t="shared" si="9"/>
        <v>13-15%</v>
      </c>
      <c r="AL40">
        <v>3</v>
      </c>
      <c r="AM40" t="s">
        <v>68</v>
      </c>
      <c r="AN40">
        <v>4</v>
      </c>
      <c r="AO40" t="s">
        <v>65</v>
      </c>
      <c r="AP40">
        <v>80</v>
      </c>
      <c r="AQ40">
        <v>1</v>
      </c>
      <c r="AR40">
        <v>6</v>
      </c>
      <c r="AS40" t="str">
        <f t="shared" si="10"/>
        <v>6-10</v>
      </c>
      <c r="AT40">
        <v>3</v>
      </c>
      <c r="AU40" t="str">
        <f t="shared" si="11"/>
        <v>3-4</v>
      </c>
      <c r="AV40">
        <v>4</v>
      </c>
      <c r="AW40" t="s">
        <v>94</v>
      </c>
      <c r="AX40">
        <v>1</v>
      </c>
      <c r="AY40" t="str">
        <f t="shared" si="0"/>
        <v>0-1</v>
      </c>
      <c r="AZ40">
        <v>1</v>
      </c>
      <c r="BA40" t="str">
        <f t="shared" si="12"/>
        <v>0-1</v>
      </c>
      <c r="BB40">
        <v>0</v>
      </c>
      <c r="BC40" t="str">
        <f t="shared" si="13"/>
        <v>0-1</v>
      </c>
      <c r="BD40">
        <v>0</v>
      </c>
      <c r="BE40" t="str">
        <f t="shared" si="14"/>
        <v>0-1</v>
      </c>
    </row>
    <row r="41" spans="1:57" x14ac:dyDescent="0.3">
      <c r="A41">
        <v>52</v>
      </c>
      <c r="B41">
        <v>33</v>
      </c>
      <c r="C41" t="str">
        <f t="shared" si="1"/>
        <v>26-35</v>
      </c>
      <c r="D41" t="s">
        <v>71</v>
      </c>
      <c r="E41">
        <f t="shared" si="2"/>
        <v>0</v>
      </c>
      <c r="F41" t="s">
        <v>72</v>
      </c>
      <c r="G41">
        <v>1141</v>
      </c>
      <c r="H41" t="str">
        <f t="shared" si="3"/>
        <v>1001-1499</v>
      </c>
      <c r="I41" t="s">
        <v>58</v>
      </c>
      <c r="J41">
        <v>1</v>
      </c>
      <c r="K41" t="str">
        <f t="shared" si="4"/>
        <v>1-5</v>
      </c>
      <c r="L41">
        <v>3</v>
      </c>
      <c r="M41" t="s">
        <v>85</v>
      </c>
      <c r="N41" t="s">
        <v>60</v>
      </c>
      <c r="O41">
        <v>1</v>
      </c>
      <c r="P41">
        <v>3</v>
      </c>
      <c r="Q41" t="s">
        <v>63</v>
      </c>
      <c r="R41" t="s">
        <v>62</v>
      </c>
      <c r="S41">
        <v>42</v>
      </c>
      <c r="T41" t="str">
        <f t="shared" si="5"/>
        <v>30-50</v>
      </c>
      <c r="U41">
        <v>4</v>
      </c>
      <c r="V41" t="s">
        <v>65</v>
      </c>
      <c r="W41">
        <v>2</v>
      </c>
      <c r="X41" t="s">
        <v>64</v>
      </c>
      <c r="Y41">
        <v>1</v>
      </c>
      <c r="Z41" t="s">
        <v>69</v>
      </c>
      <c r="AA41" t="s">
        <v>77</v>
      </c>
      <c r="AB41" s="4">
        <v>5376</v>
      </c>
      <c r="AC41" s="4" t="str">
        <f t="shared" si="6"/>
        <v>$4,000-$5,500</v>
      </c>
      <c r="AD41">
        <v>3193</v>
      </c>
      <c r="AE41" t="str">
        <f t="shared" si="7"/>
        <v>$2,094-$8,000</v>
      </c>
      <c r="AF41">
        <v>2</v>
      </c>
      <c r="AG41" t="str">
        <f t="shared" si="8"/>
        <v>2-3</v>
      </c>
      <c r="AH41" t="s">
        <v>67</v>
      </c>
      <c r="AI41" t="s">
        <v>71</v>
      </c>
      <c r="AJ41">
        <v>19</v>
      </c>
      <c r="AK41" t="str">
        <f t="shared" si="9"/>
        <v>18-19%</v>
      </c>
      <c r="AL41">
        <v>3</v>
      </c>
      <c r="AM41" t="s">
        <v>68</v>
      </c>
      <c r="AN41">
        <v>1</v>
      </c>
      <c r="AO41" t="s">
        <v>69</v>
      </c>
      <c r="AP41">
        <v>80</v>
      </c>
      <c r="AQ41">
        <v>2</v>
      </c>
      <c r="AR41">
        <v>10</v>
      </c>
      <c r="AS41" t="str">
        <f t="shared" si="10"/>
        <v>6-10</v>
      </c>
      <c r="AT41">
        <v>3</v>
      </c>
      <c r="AU41" t="str">
        <f t="shared" si="11"/>
        <v>3-4</v>
      </c>
      <c r="AV41">
        <v>3</v>
      </c>
      <c r="AW41" t="s">
        <v>79</v>
      </c>
      <c r="AX41">
        <v>5</v>
      </c>
      <c r="AY41" t="str">
        <f t="shared" si="0"/>
        <v>2-5</v>
      </c>
      <c r="AZ41">
        <v>3</v>
      </c>
      <c r="BA41" t="str">
        <f t="shared" si="12"/>
        <v>2-5</v>
      </c>
      <c r="BB41">
        <v>1</v>
      </c>
      <c r="BC41" t="str">
        <f t="shared" si="13"/>
        <v>0-1</v>
      </c>
      <c r="BD41">
        <v>3</v>
      </c>
      <c r="BE41" t="str">
        <f t="shared" si="14"/>
        <v>2-5</v>
      </c>
    </row>
    <row r="42" spans="1:57" x14ac:dyDescent="0.3">
      <c r="A42">
        <v>53</v>
      </c>
      <c r="B42">
        <v>35</v>
      </c>
      <c r="C42" t="str">
        <f t="shared" si="1"/>
        <v>26-35</v>
      </c>
      <c r="D42" t="s">
        <v>71</v>
      </c>
      <c r="E42">
        <f t="shared" si="2"/>
        <v>0</v>
      </c>
      <c r="F42" t="s">
        <v>57</v>
      </c>
      <c r="G42">
        <v>464</v>
      </c>
      <c r="H42" t="str">
        <f t="shared" si="3"/>
        <v>102-500</v>
      </c>
      <c r="I42" t="s">
        <v>73</v>
      </c>
      <c r="J42">
        <v>4</v>
      </c>
      <c r="K42" t="str">
        <f t="shared" si="4"/>
        <v>1-5</v>
      </c>
      <c r="L42">
        <v>2</v>
      </c>
      <c r="M42" t="s">
        <v>59</v>
      </c>
      <c r="N42" t="s">
        <v>80</v>
      </c>
      <c r="O42">
        <v>1</v>
      </c>
      <c r="P42">
        <v>3</v>
      </c>
      <c r="Q42" t="s">
        <v>63</v>
      </c>
      <c r="R42" t="s">
        <v>75</v>
      </c>
      <c r="S42">
        <v>75</v>
      </c>
      <c r="T42" t="str">
        <f t="shared" si="5"/>
        <v>51-75</v>
      </c>
      <c r="U42">
        <v>3</v>
      </c>
      <c r="V42" t="s">
        <v>63</v>
      </c>
      <c r="W42">
        <v>1</v>
      </c>
      <c r="X42" t="s">
        <v>81</v>
      </c>
      <c r="Y42">
        <v>4</v>
      </c>
      <c r="Z42" t="s">
        <v>65</v>
      </c>
      <c r="AA42" t="s">
        <v>86</v>
      </c>
      <c r="AB42" s="4">
        <v>1951</v>
      </c>
      <c r="AC42" s="4" t="str">
        <f t="shared" si="6"/>
        <v>$1,000-$2,500</v>
      </c>
      <c r="AD42">
        <v>10910</v>
      </c>
      <c r="AE42" t="str">
        <f t="shared" si="7"/>
        <v>$8,001-$16,000</v>
      </c>
      <c r="AF42">
        <v>1</v>
      </c>
      <c r="AG42" t="str">
        <f t="shared" si="8"/>
        <v>0-1</v>
      </c>
      <c r="AH42" t="s">
        <v>67</v>
      </c>
      <c r="AI42" t="s">
        <v>71</v>
      </c>
      <c r="AJ42">
        <v>12</v>
      </c>
      <c r="AK42" t="str">
        <f t="shared" si="9"/>
        <v>11-12%</v>
      </c>
      <c r="AL42">
        <v>3</v>
      </c>
      <c r="AM42" t="s">
        <v>68</v>
      </c>
      <c r="AN42">
        <v>3</v>
      </c>
      <c r="AO42" t="s">
        <v>63</v>
      </c>
      <c r="AP42">
        <v>80</v>
      </c>
      <c r="AQ42">
        <v>1</v>
      </c>
      <c r="AR42">
        <v>1</v>
      </c>
      <c r="AS42" t="str">
        <f t="shared" si="10"/>
        <v>0-2</v>
      </c>
      <c r="AT42">
        <v>3</v>
      </c>
      <c r="AU42" t="str">
        <f t="shared" si="11"/>
        <v>3-4</v>
      </c>
      <c r="AV42">
        <v>3</v>
      </c>
      <c r="AW42" t="s">
        <v>79</v>
      </c>
      <c r="AX42">
        <v>1</v>
      </c>
      <c r="AY42" t="str">
        <f t="shared" si="0"/>
        <v>0-1</v>
      </c>
      <c r="AZ42">
        <v>0</v>
      </c>
      <c r="BA42" t="str">
        <f t="shared" si="12"/>
        <v>0-1</v>
      </c>
      <c r="BB42">
        <v>0</v>
      </c>
      <c r="BC42" t="str">
        <f t="shared" si="13"/>
        <v>0-1</v>
      </c>
      <c r="BD42">
        <v>0</v>
      </c>
      <c r="BE42" t="str">
        <f t="shared" si="14"/>
        <v>0-1</v>
      </c>
    </row>
    <row r="43" spans="1:57" x14ac:dyDescent="0.3">
      <c r="A43">
        <v>54</v>
      </c>
      <c r="B43">
        <v>27</v>
      </c>
      <c r="C43" t="str">
        <f t="shared" si="1"/>
        <v>26-35</v>
      </c>
      <c r="D43" t="s">
        <v>71</v>
      </c>
      <c r="E43">
        <f t="shared" si="2"/>
        <v>0</v>
      </c>
      <c r="F43" t="s">
        <v>57</v>
      </c>
      <c r="G43">
        <v>1240</v>
      </c>
      <c r="H43" t="str">
        <f t="shared" si="3"/>
        <v>1001-1499</v>
      </c>
      <c r="I43" t="s">
        <v>73</v>
      </c>
      <c r="J43">
        <v>2</v>
      </c>
      <c r="K43" t="str">
        <f t="shared" si="4"/>
        <v>1-5</v>
      </c>
      <c r="L43">
        <v>4</v>
      </c>
      <c r="M43" t="s">
        <v>82</v>
      </c>
      <c r="N43" t="s">
        <v>60</v>
      </c>
      <c r="O43">
        <v>1</v>
      </c>
      <c r="P43">
        <v>4</v>
      </c>
      <c r="Q43" t="s">
        <v>65</v>
      </c>
      <c r="R43" t="s">
        <v>62</v>
      </c>
      <c r="S43">
        <v>33</v>
      </c>
      <c r="T43" t="str">
        <f t="shared" si="5"/>
        <v>30-50</v>
      </c>
      <c r="U43">
        <v>3</v>
      </c>
      <c r="V43" t="s">
        <v>63</v>
      </c>
      <c r="W43">
        <v>1</v>
      </c>
      <c r="X43" t="s">
        <v>81</v>
      </c>
      <c r="Y43">
        <v>1</v>
      </c>
      <c r="Z43" t="s">
        <v>69</v>
      </c>
      <c r="AA43" t="s">
        <v>86</v>
      </c>
      <c r="AB43" s="4">
        <v>2341</v>
      </c>
      <c r="AC43" s="4" t="str">
        <f t="shared" si="6"/>
        <v>$1,000-$2,500</v>
      </c>
      <c r="AD43">
        <v>19715</v>
      </c>
      <c r="AE43" t="str">
        <f t="shared" si="7"/>
        <v>$16,001-$22,000</v>
      </c>
      <c r="AF43">
        <v>1</v>
      </c>
      <c r="AG43" t="str">
        <f t="shared" si="8"/>
        <v>0-1</v>
      </c>
      <c r="AH43" t="s">
        <v>67</v>
      </c>
      <c r="AI43" t="s">
        <v>71</v>
      </c>
      <c r="AJ43">
        <v>13</v>
      </c>
      <c r="AK43" t="str">
        <f t="shared" si="9"/>
        <v>13-15%</v>
      </c>
      <c r="AL43">
        <v>3</v>
      </c>
      <c r="AM43" t="s">
        <v>68</v>
      </c>
      <c r="AN43">
        <v>4</v>
      </c>
      <c r="AO43" t="s">
        <v>65</v>
      </c>
      <c r="AP43">
        <v>80</v>
      </c>
      <c r="AQ43">
        <v>1</v>
      </c>
      <c r="AR43">
        <v>1</v>
      </c>
      <c r="AS43" t="str">
        <f t="shared" si="10"/>
        <v>0-2</v>
      </c>
      <c r="AT43">
        <v>6</v>
      </c>
      <c r="AU43" t="str">
        <f t="shared" si="11"/>
        <v>5-6</v>
      </c>
      <c r="AV43">
        <v>3</v>
      </c>
      <c r="AW43" t="s">
        <v>79</v>
      </c>
      <c r="AX43">
        <v>1</v>
      </c>
      <c r="AY43" t="str">
        <f t="shared" si="0"/>
        <v>0-1</v>
      </c>
      <c r="AZ43">
        <v>0</v>
      </c>
      <c r="BA43" t="str">
        <f t="shared" si="12"/>
        <v>0-1</v>
      </c>
      <c r="BB43">
        <v>0</v>
      </c>
      <c r="BC43" t="str">
        <f t="shared" si="13"/>
        <v>0-1</v>
      </c>
      <c r="BD43">
        <v>0</v>
      </c>
      <c r="BE43" t="str">
        <f t="shared" si="14"/>
        <v>0-1</v>
      </c>
    </row>
    <row r="44" spans="1:57" x14ac:dyDescent="0.3">
      <c r="A44">
        <v>55</v>
      </c>
      <c r="B44">
        <v>26</v>
      </c>
      <c r="C44" t="str">
        <f t="shared" si="1"/>
        <v>26-35</v>
      </c>
      <c r="D44" t="s">
        <v>56</v>
      </c>
      <c r="E44">
        <f t="shared" si="2"/>
        <v>1</v>
      </c>
      <c r="F44" t="s">
        <v>57</v>
      </c>
      <c r="G44">
        <v>1357</v>
      </c>
      <c r="H44" t="str">
        <f t="shared" si="3"/>
        <v>1001-1499</v>
      </c>
      <c r="I44" t="s">
        <v>73</v>
      </c>
      <c r="J44">
        <v>25</v>
      </c>
      <c r="K44" t="str">
        <f t="shared" si="4"/>
        <v>21-29</v>
      </c>
      <c r="L44">
        <v>3</v>
      </c>
      <c r="M44" t="s">
        <v>85</v>
      </c>
      <c r="N44" t="s">
        <v>60</v>
      </c>
      <c r="O44">
        <v>1</v>
      </c>
      <c r="P44">
        <v>1</v>
      </c>
      <c r="Q44" t="s">
        <v>69</v>
      </c>
      <c r="R44" t="s">
        <v>75</v>
      </c>
      <c r="S44">
        <v>48</v>
      </c>
      <c r="T44" t="str">
        <f t="shared" si="5"/>
        <v>30-50</v>
      </c>
      <c r="U44">
        <v>1</v>
      </c>
      <c r="V44" t="s">
        <v>69</v>
      </c>
      <c r="W44">
        <v>1</v>
      </c>
      <c r="X44" t="s">
        <v>81</v>
      </c>
      <c r="Y44">
        <v>3</v>
      </c>
      <c r="Z44" t="s">
        <v>63</v>
      </c>
      <c r="AA44" t="s">
        <v>66</v>
      </c>
      <c r="AB44" s="4">
        <v>2293</v>
      </c>
      <c r="AC44" s="4" t="str">
        <f t="shared" si="6"/>
        <v>$1,000-$2,500</v>
      </c>
      <c r="AD44">
        <v>10558</v>
      </c>
      <c r="AE44" t="str">
        <f t="shared" si="7"/>
        <v>$8,001-$16,000</v>
      </c>
      <c r="AF44">
        <v>1</v>
      </c>
      <c r="AG44" t="str">
        <f t="shared" si="8"/>
        <v>0-1</v>
      </c>
      <c r="AH44" t="s">
        <v>67</v>
      </c>
      <c r="AI44" t="s">
        <v>71</v>
      </c>
      <c r="AJ44">
        <v>12</v>
      </c>
      <c r="AK44" t="str">
        <f t="shared" si="9"/>
        <v>11-12%</v>
      </c>
      <c r="AL44">
        <v>3</v>
      </c>
      <c r="AM44" t="s">
        <v>68</v>
      </c>
      <c r="AN44">
        <v>3</v>
      </c>
      <c r="AO44" t="s">
        <v>63</v>
      </c>
      <c r="AP44">
        <v>80</v>
      </c>
      <c r="AQ44">
        <v>0</v>
      </c>
      <c r="AR44">
        <v>1</v>
      </c>
      <c r="AS44" t="str">
        <f t="shared" si="10"/>
        <v>0-2</v>
      </c>
      <c r="AT44">
        <v>2</v>
      </c>
      <c r="AU44" t="str">
        <f t="shared" si="11"/>
        <v>0-2</v>
      </c>
      <c r="AV44">
        <v>2</v>
      </c>
      <c r="AW44" t="s">
        <v>84</v>
      </c>
      <c r="AX44">
        <v>1</v>
      </c>
      <c r="AY44" t="str">
        <f t="shared" si="0"/>
        <v>0-1</v>
      </c>
      <c r="AZ44">
        <v>0</v>
      </c>
      <c r="BA44" t="str">
        <f t="shared" si="12"/>
        <v>0-1</v>
      </c>
      <c r="BB44">
        <v>0</v>
      </c>
      <c r="BC44" t="str">
        <f t="shared" si="13"/>
        <v>0-1</v>
      </c>
      <c r="BD44">
        <v>1</v>
      </c>
      <c r="BE44" t="str">
        <f t="shared" si="14"/>
        <v>0-1</v>
      </c>
    </row>
    <row r="45" spans="1:57" x14ac:dyDescent="0.3">
      <c r="A45">
        <v>56</v>
      </c>
      <c r="B45">
        <v>27</v>
      </c>
      <c r="C45" t="str">
        <f t="shared" si="1"/>
        <v>26-35</v>
      </c>
      <c r="D45" t="s">
        <v>71</v>
      </c>
      <c r="E45">
        <f t="shared" si="2"/>
        <v>0</v>
      </c>
      <c r="F45" t="s">
        <v>72</v>
      </c>
      <c r="G45">
        <v>994</v>
      </c>
      <c r="H45" t="str">
        <f t="shared" si="3"/>
        <v>501-1000</v>
      </c>
      <c r="I45" t="s">
        <v>58</v>
      </c>
      <c r="J45">
        <v>8</v>
      </c>
      <c r="K45" t="str">
        <f t="shared" si="4"/>
        <v>6-10</v>
      </c>
      <c r="L45">
        <v>3</v>
      </c>
      <c r="M45" t="s">
        <v>85</v>
      </c>
      <c r="N45" t="s">
        <v>60</v>
      </c>
      <c r="O45">
        <v>1</v>
      </c>
      <c r="P45">
        <v>4</v>
      </c>
      <c r="Q45" t="s">
        <v>65</v>
      </c>
      <c r="R45" t="s">
        <v>75</v>
      </c>
      <c r="S45">
        <v>37</v>
      </c>
      <c r="T45" t="str">
        <f t="shared" si="5"/>
        <v>30-50</v>
      </c>
      <c r="U45">
        <v>3</v>
      </c>
      <c r="V45" t="s">
        <v>63</v>
      </c>
      <c r="W45">
        <v>3</v>
      </c>
      <c r="X45" t="s">
        <v>64</v>
      </c>
      <c r="Y45">
        <v>3</v>
      </c>
      <c r="Z45" t="s">
        <v>63</v>
      </c>
      <c r="AA45" t="s">
        <v>66</v>
      </c>
      <c r="AB45" s="4">
        <v>8726</v>
      </c>
      <c r="AC45" s="4" t="str">
        <f t="shared" si="6"/>
        <v>$8,500-$10,000</v>
      </c>
      <c r="AD45">
        <v>2975</v>
      </c>
      <c r="AE45" t="str">
        <f t="shared" si="7"/>
        <v>$2,094-$8,000</v>
      </c>
      <c r="AF45">
        <v>1</v>
      </c>
      <c r="AG45" t="str">
        <f t="shared" si="8"/>
        <v>0-1</v>
      </c>
      <c r="AH45" t="s">
        <v>67</v>
      </c>
      <c r="AI45" t="s">
        <v>71</v>
      </c>
      <c r="AJ45">
        <v>15</v>
      </c>
      <c r="AK45" t="str">
        <f t="shared" si="9"/>
        <v>13-15%</v>
      </c>
      <c r="AL45">
        <v>3</v>
      </c>
      <c r="AM45" t="s">
        <v>68</v>
      </c>
      <c r="AN45">
        <v>4</v>
      </c>
      <c r="AO45" t="s">
        <v>65</v>
      </c>
      <c r="AP45">
        <v>80</v>
      </c>
      <c r="AQ45">
        <v>0</v>
      </c>
      <c r="AR45">
        <v>9</v>
      </c>
      <c r="AS45" t="str">
        <f t="shared" si="10"/>
        <v>6-10</v>
      </c>
      <c r="AT45">
        <v>0</v>
      </c>
      <c r="AU45" t="str">
        <f t="shared" si="11"/>
        <v>0-2</v>
      </c>
      <c r="AV45">
        <v>3</v>
      </c>
      <c r="AW45" t="s">
        <v>79</v>
      </c>
      <c r="AX45">
        <v>9</v>
      </c>
      <c r="AY45" t="str">
        <f t="shared" si="0"/>
        <v>6-10</v>
      </c>
      <c r="AZ45">
        <v>8</v>
      </c>
      <c r="BA45" t="str">
        <f t="shared" si="12"/>
        <v>6-10</v>
      </c>
      <c r="BB45">
        <v>1</v>
      </c>
      <c r="BC45" t="str">
        <f t="shared" si="13"/>
        <v>0-1</v>
      </c>
      <c r="BD45">
        <v>7</v>
      </c>
      <c r="BE45" t="str">
        <f t="shared" si="14"/>
        <v>6-10</v>
      </c>
    </row>
    <row r="46" spans="1:57" x14ac:dyDescent="0.3">
      <c r="A46">
        <v>57</v>
      </c>
      <c r="B46">
        <v>30</v>
      </c>
      <c r="C46" t="str">
        <f t="shared" si="1"/>
        <v>26-35</v>
      </c>
      <c r="D46" t="s">
        <v>71</v>
      </c>
      <c r="E46">
        <f t="shared" si="2"/>
        <v>0</v>
      </c>
      <c r="F46" t="s">
        <v>72</v>
      </c>
      <c r="G46">
        <v>721</v>
      </c>
      <c r="H46" t="str">
        <f t="shared" si="3"/>
        <v>501-1000</v>
      </c>
      <c r="I46" t="s">
        <v>73</v>
      </c>
      <c r="J46">
        <v>1</v>
      </c>
      <c r="K46" t="str">
        <f t="shared" si="4"/>
        <v>1-5</v>
      </c>
      <c r="L46">
        <v>2</v>
      </c>
      <c r="M46" t="s">
        <v>59</v>
      </c>
      <c r="N46" t="s">
        <v>83</v>
      </c>
      <c r="O46">
        <v>1</v>
      </c>
      <c r="P46">
        <v>3</v>
      </c>
      <c r="Q46" t="s">
        <v>63</v>
      </c>
      <c r="R46" t="s">
        <v>62</v>
      </c>
      <c r="S46">
        <v>58</v>
      </c>
      <c r="T46" t="str">
        <f t="shared" si="5"/>
        <v>51-75</v>
      </c>
      <c r="U46">
        <v>3</v>
      </c>
      <c r="V46" t="s">
        <v>63</v>
      </c>
      <c r="W46">
        <v>2</v>
      </c>
      <c r="X46" t="s">
        <v>81</v>
      </c>
      <c r="Y46">
        <v>4</v>
      </c>
      <c r="Z46" t="s">
        <v>65</v>
      </c>
      <c r="AA46" t="s">
        <v>66</v>
      </c>
      <c r="AB46" s="4">
        <v>4011</v>
      </c>
      <c r="AC46" s="4" t="str">
        <f t="shared" si="6"/>
        <v>$4,000-$5,500</v>
      </c>
      <c r="AD46">
        <v>10781</v>
      </c>
      <c r="AE46" t="str">
        <f t="shared" si="7"/>
        <v>$8,001-$16,000</v>
      </c>
      <c r="AF46">
        <v>1</v>
      </c>
      <c r="AG46" t="str">
        <f t="shared" si="8"/>
        <v>0-1</v>
      </c>
      <c r="AH46" t="s">
        <v>67</v>
      </c>
      <c r="AI46" t="s">
        <v>71</v>
      </c>
      <c r="AJ46">
        <v>23</v>
      </c>
      <c r="AK46" t="str">
        <f t="shared" si="9"/>
        <v>18-19%</v>
      </c>
      <c r="AL46">
        <v>4</v>
      </c>
      <c r="AM46" t="s">
        <v>78</v>
      </c>
      <c r="AN46">
        <v>4</v>
      </c>
      <c r="AO46" t="s">
        <v>65</v>
      </c>
      <c r="AP46">
        <v>80</v>
      </c>
      <c r="AQ46">
        <v>0</v>
      </c>
      <c r="AR46">
        <v>12</v>
      </c>
      <c r="AS46" t="str">
        <f t="shared" si="10"/>
        <v>11-20</v>
      </c>
      <c r="AT46">
        <v>2</v>
      </c>
      <c r="AU46" t="str">
        <f t="shared" si="11"/>
        <v>0-2</v>
      </c>
      <c r="AV46">
        <v>3</v>
      </c>
      <c r="AW46" t="s">
        <v>79</v>
      </c>
      <c r="AX46">
        <v>12</v>
      </c>
      <c r="AY46" t="str">
        <f t="shared" si="0"/>
        <v>11-20</v>
      </c>
      <c r="AZ46">
        <v>8</v>
      </c>
      <c r="BA46" t="str">
        <f t="shared" si="12"/>
        <v>6-10</v>
      </c>
      <c r="BB46">
        <v>3</v>
      </c>
      <c r="BC46" t="str">
        <f t="shared" si="13"/>
        <v>2-5</v>
      </c>
      <c r="BD46">
        <v>7</v>
      </c>
      <c r="BE46" t="str">
        <f t="shared" si="14"/>
        <v>6-10</v>
      </c>
    </row>
    <row r="47" spans="1:57" x14ac:dyDescent="0.3">
      <c r="A47">
        <v>58</v>
      </c>
      <c r="B47">
        <v>41</v>
      </c>
      <c r="C47" t="str">
        <f t="shared" si="1"/>
        <v>36-45</v>
      </c>
      <c r="D47" t="s">
        <v>56</v>
      </c>
      <c r="E47">
        <f t="shared" si="2"/>
        <v>1</v>
      </c>
      <c r="F47" t="s">
        <v>57</v>
      </c>
      <c r="G47">
        <v>1360</v>
      </c>
      <c r="H47" t="str">
        <f t="shared" si="3"/>
        <v>1001-1499</v>
      </c>
      <c r="I47" t="s">
        <v>73</v>
      </c>
      <c r="J47">
        <v>12</v>
      </c>
      <c r="K47" t="str">
        <f t="shared" si="4"/>
        <v>11-20</v>
      </c>
      <c r="L47">
        <v>3</v>
      </c>
      <c r="M47" t="s">
        <v>85</v>
      </c>
      <c r="N47" t="s">
        <v>95</v>
      </c>
      <c r="O47">
        <v>1</v>
      </c>
      <c r="P47">
        <v>2</v>
      </c>
      <c r="Q47" t="s">
        <v>61</v>
      </c>
      <c r="R47" t="s">
        <v>62</v>
      </c>
      <c r="S47">
        <v>49</v>
      </c>
      <c r="T47" t="str">
        <f t="shared" si="5"/>
        <v>30-50</v>
      </c>
      <c r="U47">
        <v>3</v>
      </c>
      <c r="V47" t="s">
        <v>63</v>
      </c>
      <c r="W47">
        <v>5</v>
      </c>
      <c r="X47" t="s">
        <v>92</v>
      </c>
      <c r="Y47">
        <v>3</v>
      </c>
      <c r="Z47" t="s">
        <v>63</v>
      </c>
      <c r="AA47" t="s">
        <v>77</v>
      </c>
      <c r="AB47" s="4">
        <v>19545</v>
      </c>
      <c r="AC47" s="4" t="str">
        <f t="shared" si="6"/>
        <v>$19,000-$20,500</v>
      </c>
      <c r="AD47">
        <v>16280</v>
      </c>
      <c r="AE47" t="str">
        <f t="shared" si="7"/>
        <v>$16,001-$22,000</v>
      </c>
      <c r="AF47">
        <v>1</v>
      </c>
      <c r="AG47" t="str">
        <f t="shared" si="8"/>
        <v>0-1</v>
      </c>
      <c r="AH47" t="s">
        <v>67</v>
      </c>
      <c r="AI47" t="s">
        <v>71</v>
      </c>
      <c r="AJ47">
        <v>12</v>
      </c>
      <c r="AK47" t="str">
        <f t="shared" si="9"/>
        <v>11-12%</v>
      </c>
      <c r="AL47">
        <v>3</v>
      </c>
      <c r="AM47" t="s">
        <v>68</v>
      </c>
      <c r="AN47">
        <v>4</v>
      </c>
      <c r="AO47" t="s">
        <v>65</v>
      </c>
      <c r="AP47">
        <v>80</v>
      </c>
      <c r="AQ47">
        <v>0</v>
      </c>
      <c r="AR47">
        <v>23</v>
      </c>
      <c r="AS47" t="str">
        <f t="shared" si="10"/>
        <v>21-40</v>
      </c>
      <c r="AT47">
        <v>0</v>
      </c>
      <c r="AU47" t="str">
        <f t="shared" si="11"/>
        <v>0-2</v>
      </c>
      <c r="AV47">
        <v>3</v>
      </c>
      <c r="AW47" t="s">
        <v>79</v>
      </c>
      <c r="AX47">
        <v>22</v>
      </c>
      <c r="AY47" t="str">
        <f t="shared" si="0"/>
        <v>21-40</v>
      </c>
      <c r="AZ47">
        <v>15</v>
      </c>
      <c r="BA47" t="str">
        <f t="shared" si="12"/>
        <v>11-18</v>
      </c>
      <c r="BB47">
        <v>15</v>
      </c>
      <c r="BC47" t="str">
        <f t="shared" si="13"/>
        <v>11-15</v>
      </c>
      <c r="BD47">
        <v>8</v>
      </c>
      <c r="BE47" t="str">
        <f t="shared" si="14"/>
        <v>6-10</v>
      </c>
    </row>
    <row r="48" spans="1:57" x14ac:dyDescent="0.3">
      <c r="A48">
        <v>60</v>
      </c>
      <c r="B48">
        <v>34</v>
      </c>
      <c r="C48" t="str">
        <f t="shared" si="1"/>
        <v>26-35</v>
      </c>
      <c r="D48" t="s">
        <v>71</v>
      </c>
      <c r="E48">
        <f t="shared" si="2"/>
        <v>0</v>
      </c>
      <c r="F48" t="s">
        <v>89</v>
      </c>
      <c r="G48">
        <v>1065</v>
      </c>
      <c r="H48" t="str">
        <f t="shared" si="3"/>
        <v>1001-1499</v>
      </c>
      <c r="I48" t="s">
        <v>58</v>
      </c>
      <c r="J48">
        <v>23</v>
      </c>
      <c r="K48" t="str">
        <f t="shared" si="4"/>
        <v>21-29</v>
      </c>
      <c r="L48">
        <v>4</v>
      </c>
      <c r="M48" t="s">
        <v>82</v>
      </c>
      <c r="N48" t="s">
        <v>93</v>
      </c>
      <c r="O48">
        <v>1</v>
      </c>
      <c r="P48">
        <v>2</v>
      </c>
      <c r="Q48" t="s">
        <v>61</v>
      </c>
      <c r="R48" t="s">
        <v>75</v>
      </c>
      <c r="S48">
        <v>72</v>
      </c>
      <c r="T48" t="str">
        <f t="shared" si="5"/>
        <v>51-75</v>
      </c>
      <c r="U48">
        <v>3</v>
      </c>
      <c r="V48" t="s">
        <v>63</v>
      </c>
      <c r="W48">
        <v>2</v>
      </c>
      <c r="X48" t="s">
        <v>64</v>
      </c>
      <c r="Y48">
        <v>3</v>
      </c>
      <c r="Z48" t="s">
        <v>63</v>
      </c>
      <c r="AA48" t="s">
        <v>66</v>
      </c>
      <c r="AB48" s="4">
        <v>4568</v>
      </c>
      <c r="AC48" s="4" t="str">
        <f t="shared" si="6"/>
        <v>$4,000-$5,500</v>
      </c>
      <c r="AD48">
        <v>10034</v>
      </c>
      <c r="AE48" t="str">
        <f t="shared" si="7"/>
        <v>$8,001-$16,000</v>
      </c>
      <c r="AF48">
        <v>0</v>
      </c>
      <c r="AG48" t="str">
        <f t="shared" si="8"/>
        <v>0-1</v>
      </c>
      <c r="AH48" t="s">
        <v>67</v>
      </c>
      <c r="AI48" t="s">
        <v>71</v>
      </c>
      <c r="AJ48">
        <v>20</v>
      </c>
      <c r="AK48" t="str">
        <f t="shared" si="9"/>
        <v>18-19%</v>
      </c>
      <c r="AL48">
        <v>4</v>
      </c>
      <c r="AM48" t="s">
        <v>78</v>
      </c>
      <c r="AN48">
        <v>3</v>
      </c>
      <c r="AO48" t="s">
        <v>63</v>
      </c>
      <c r="AP48">
        <v>80</v>
      </c>
      <c r="AQ48">
        <v>0</v>
      </c>
      <c r="AR48">
        <v>10</v>
      </c>
      <c r="AS48" t="str">
        <f t="shared" si="10"/>
        <v>6-10</v>
      </c>
      <c r="AT48">
        <v>2</v>
      </c>
      <c r="AU48" t="str">
        <f t="shared" si="11"/>
        <v>0-2</v>
      </c>
      <c r="AV48">
        <v>3</v>
      </c>
      <c r="AW48" t="s">
        <v>79</v>
      </c>
      <c r="AX48">
        <v>9</v>
      </c>
      <c r="AY48" t="str">
        <f t="shared" si="0"/>
        <v>6-10</v>
      </c>
      <c r="AZ48">
        <v>5</v>
      </c>
      <c r="BA48" t="str">
        <f t="shared" si="12"/>
        <v>2-5</v>
      </c>
      <c r="BB48">
        <v>8</v>
      </c>
      <c r="BC48" t="str">
        <f t="shared" si="13"/>
        <v>6-10</v>
      </c>
      <c r="BD48">
        <v>7</v>
      </c>
      <c r="BE48" t="str">
        <f t="shared" si="14"/>
        <v>6-10</v>
      </c>
    </row>
    <row r="49" spans="1:57" x14ac:dyDescent="0.3">
      <c r="A49">
        <v>61</v>
      </c>
      <c r="B49">
        <v>37</v>
      </c>
      <c r="C49" t="str">
        <f t="shared" si="1"/>
        <v>36-45</v>
      </c>
      <c r="D49" t="s">
        <v>71</v>
      </c>
      <c r="E49">
        <f t="shared" si="2"/>
        <v>0</v>
      </c>
      <c r="F49" t="s">
        <v>57</v>
      </c>
      <c r="G49">
        <v>408</v>
      </c>
      <c r="H49" t="str">
        <f t="shared" si="3"/>
        <v>102-500</v>
      </c>
      <c r="I49" t="s">
        <v>73</v>
      </c>
      <c r="J49">
        <v>19</v>
      </c>
      <c r="K49" t="str">
        <f t="shared" si="4"/>
        <v>11-20</v>
      </c>
      <c r="L49">
        <v>2</v>
      </c>
      <c r="M49" t="s">
        <v>59</v>
      </c>
      <c r="N49" t="s">
        <v>60</v>
      </c>
      <c r="O49">
        <v>1</v>
      </c>
      <c r="P49">
        <v>2</v>
      </c>
      <c r="Q49" t="s">
        <v>61</v>
      </c>
      <c r="R49" t="s">
        <v>75</v>
      </c>
      <c r="S49">
        <v>73</v>
      </c>
      <c r="T49" t="str">
        <f t="shared" si="5"/>
        <v>51-75</v>
      </c>
      <c r="U49">
        <v>3</v>
      </c>
      <c r="V49" t="s">
        <v>63</v>
      </c>
      <c r="W49">
        <v>1</v>
      </c>
      <c r="X49" t="s">
        <v>76</v>
      </c>
      <c r="Y49">
        <v>2</v>
      </c>
      <c r="Z49" t="s">
        <v>61</v>
      </c>
      <c r="AA49" t="s">
        <v>77</v>
      </c>
      <c r="AB49" s="4">
        <v>3022</v>
      </c>
      <c r="AC49" s="4" t="str">
        <f t="shared" si="6"/>
        <v>$2,500-$4,000</v>
      </c>
      <c r="AD49">
        <v>10227</v>
      </c>
      <c r="AE49" t="str">
        <f t="shared" si="7"/>
        <v>$8,001-$16,000</v>
      </c>
      <c r="AF49">
        <v>4</v>
      </c>
      <c r="AG49" t="str">
        <f t="shared" si="8"/>
        <v>4-6</v>
      </c>
      <c r="AH49" t="s">
        <v>67</v>
      </c>
      <c r="AI49" t="s">
        <v>71</v>
      </c>
      <c r="AJ49">
        <v>21</v>
      </c>
      <c r="AK49" t="str">
        <f t="shared" si="9"/>
        <v>18-19%</v>
      </c>
      <c r="AL49">
        <v>4</v>
      </c>
      <c r="AM49" t="s">
        <v>78</v>
      </c>
      <c r="AN49">
        <v>1</v>
      </c>
      <c r="AO49" t="s">
        <v>69</v>
      </c>
      <c r="AP49">
        <v>80</v>
      </c>
      <c r="AQ49">
        <v>0</v>
      </c>
      <c r="AR49">
        <v>8</v>
      </c>
      <c r="AS49" t="str">
        <f t="shared" si="10"/>
        <v>6-10</v>
      </c>
      <c r="AT49">
        <v>1</v>
      </c>
      <c r="AU49" t="str">
        <f t="shared" si="11"/>
        <v>0-2</v>
      </c>
      <c r="AV49">
        <v>3</v>
      </c>
      <c r="AW49" t="s">
        <v>79</v>
      </c>
      <c r="AX49">
        <v>1</v>
      </c>
      <c r="AY49" t="str">
        <f t="shared" si="0"/>
        <v>0-1</v>
      </c>
      <c r="AZ49">
        <v>0</v>
      </c>
      <c r="BA49" t="str">
        <f t="shared" si="12"/>
        <v>0-1</v>
      </c>
      <c r="BB49">
        <v>0</v>
      </c>
      <c r="BC49" t="str">
        <f t="shared" si="13"/>
        <v>0-1</v>
      </c>
      <c r="BD49">
        <v>0</v>
      </c>
      <c r="BE49" t="str">
        <f t="shared" si="14"/>
        <v>0-1</v>
      </c>
    </row>
    <row r="50" spans="1:57" x14ac:dyDescent="0.3">
      <c r="A50">
        <v>62</v>
      </c>
      <c r="B50">
        <v>46</v>
      </c>
      <c r="C50" t="str">
        <f t="shared" si="1"/>
        <v>46-55</v>
      </c>
      <c r="D50" t="s">
        <v>71</v>
      </c>
      <c r="E50">
        <f t="shared" si="2"/>
        <v>0</v>
      </c>
      <c r="F50" t="s">
        <v>72</v>
      </c>
      <c r="G50">
        <v>1211</v>
      </c>
      <c r="H50" t="str">
        <f t="shared" si="3"/>
        <v>1001-1499</v>
      </c>
      <c r="I50" t="s">
        <v>58</v>
      </c>
      <c r="J50">
        <v>5</v>
      </c>
      <c r="K50" t="str">
        <f t="shared" si="4"/>
        <v>1-5</v>
      </c>
      <c r="L50">
        <v>4</v>
      </c>
      <c r="M50" t="s">
        <v>82</v>
      </c>
      <c r="N50" t="s">
        <v>93</v>
      </c>
      <c r="O50">
        <v>1</v>
      </c>
      <c r="P50">
        <v>1</v>
      </c>
      <c r="Q50" t="s">
        <v>69</v>
      </c>
      <c r="R50" t="s">
        <v>75</v>
      </c>
      <c r="S50">
        <v>98</v>
      </c>
      <c r="T50" t="str">
        <f t="shared" si="5"/>
        <v>76-100</v>
      </c>
      <c r="U50">
        <v>3</v>
      </c>
      <c r="V50" t="s">
        <v>63</v>
      </c>
      <c r="W50">
        <v>2</v>
      </c>
      <c r="X50" t="s">
        <v>64</v>
      </c>
      <c r="Y50">
        <v>4</v>
      </c>
      <c r="Z50" t="s">
        <v>65</v>
      </c>
      <c r="AA50" t="s">
        <v>66</v>
      </c>
      <c r="AB50" s="4">
        <v>5772</v>
      </c>
      <c r="AC50" s="4" t="str">
        <f t="shared" si="6"/>
        <v>$5,500-$7,000</v>
      </c>
      <c r="AD50">
        <v>20445</v>
      </c>
      <c r="AE50" t="str">
        <f t="shared" si="7"/>
        <v>$16,001-$22,000</v>
      </c>
      <c r="AF50">
        <v>4</v>
      </c>
      <c r="AG50" t="str">
        <f t="shared" si="8"/>
        <v>4-6</v>
      </c>
      <c r="AH50" t="s">
        <v>67</v>
      </c>
      <c r="AI50" t="s">
        <v>56</v>
      </c>
      <c r="AJ50">
        <v>21</v>
      </c>
      <c r="AK50" t="str">
        <f t="shared" si="9"/>
        <v>18-19%</v>
      </c>
      <c r="AL50">
        <v>4</v>
      </c>
      <c r="AM50" t="s">
        <v>78</v>
      </c>
      <c r="AN50">
        <v>3</v>
      </c>
      <c r="AO50" t="s">
        <v>63</v>
      </c>
      <c r="AP50">
        <v>80</v>
      </c>
      <c r="AQ50">
        <v>0</v>
      </c>
      <c r="AR50">
        <v>14</v>
      </c>
      <c r="AS50" t="str">
        <f t="shared" si="10"/>
        <v>11-20</v>
      </c>
      <c r="AT50">
        <v>4</v>
      </c>
      <c r="AU50" t="str">
        <f t="shared" si="11"/>
        <v>3-4</v>
      </c>
      <c r="AV50">
        <v>3</v>
      </c>
      <c r="AW50" t="s">
        <v>79</v>
      </c>
      <c r="AX50">
        <v>9</v>
      </c>
      <c r="AY50" t="str">
        <f t="shared" si="0"/>
        <v>6-10</v>
      </c>
      <c r="AZ50">
        <v>6</v>
      </c>
      <c r="BA50" t="str">
        <f t="shared" si="12"/>
        <v>6-10</v>
      </c>
      <c r="BB50">
        <v>0</v>
      </c>
      <c r="BC50" t="str">
        <f t="shared" si="13"/>
        <v>0-1</v>
      </c>
      <c r="BD50">
        <v>8</v>
      </c>
      <c r="BE50" t="str">
        <f t="shared" si="14"/>
        <v>6-10</v>
      </c>
    </row>
    <row r="51" spans="1:57" x14ac:dyDescent="0.3">
      <c r="A51">
        <v>63</v>
      </c>
      <c r="B51">
        <v>35</v>
      </c>
      <c r="C51" t="str">
        <f t="shared" si="1"/>
        <v>26-35</v>
      </c>
      <c r="D51" t="s">
        <v>71</v>
      </c>
      <c r="E51">
        <f t="shared" si="2"/>
        <v>0</v>
      </c>
      <c r="F51" t="s">
        <v>57</v>
      </c>
      <c r="G51">
        <v>1229</v>
      </c>
      <c r="H51" t="str">
        <f t="shared" si="3"/>
        <v>1001-1499</v>
      </c>
      <c r="I51" t="s">
        <v>73</v>
      </c>
      <c r="J51">
        <v>8</v>
      </c>
      <c r="K51" t="str">
        <f t="shared" si="4"/>
        <v>6-10</v>
      </c>
      <c r="L51">
        <v>1</v>
      </c>
      <c r="M51" t="s">
        <v>74</v>
      </c>
      <c r="N51" t="s">
        <v>60</v>
      </c>
      <c r="O51">
        <v>1</v>
      </c>
      <c r="P51">
        <v>4</v>
      </c>
      <c r="Q51" t="s">
        <v>65</v>
      </c>
      <c r="R51" t="s">
        <v>75</v>
      </c>
      <c r="S51">
        <v>36</v>
      </c>
      <c r="T51" t="str">
        <f t="shared" si="5"/>
        <v>30-50</v>
      </c>
      <c r="U51">
        <v>4</v>
      </c>
      <c r="V51" t="s">
        <v>65</v>
      </c>
      <c r="W51">
        <v>1</v>
      </c>
      <c r="X51" t="s">
        <v>81</v>
      </c>
      <c r="Y51">
        <v>4</v>
      </c>
      <c r="Z51" t="s">
        <v>65</v>
      </c>
      <c r="AA51" t="s">
        <v>77</v>
      </c>
      <c r="AB51" s="4">
        <v>2269</v>
      </c>
      <c r="AC51" s="4" t="str">
        <f t="shared" si="6"/>
        <v>$1,000-$2,500</v>
      </c>
      <c r="AD51">
        <v>4892</v>
      </c>
      <c r="AE51" t="str">
        <f t="shared" si="7"/>
        <v>$2,094-$8,000</v>
      </c>
      <c r="AF51">
        <v>1</v>
      </c>
      <c r="AG51" t="str">
        <f t="shared" si="8"/>
        <v>0-1</v>
      </c>
      <c r="AH51" t="s">
        <v>67</v>
      </c>
      <c r="AI51" t="s">
        <v>71</v>
      </c>
      <c r="AJ51">
        <v>19</v>
      </c>
      <c r="AK51" t="str">
        <f t="shared" si="9"/>
        <v>18-19%</v>
      </c>
      <c r="AL51">
        <v>3</v>
      </c>
      <c r="AM51" t="s">
        <v>68</v>
      </c>
      <c r="AN51">
        <v>4</v>
      </c>
      <c r="AO51" t="s">
        <v>65</v>
      </c>
      <c r="AP51">
        <v>80</v>
      </c>
      <c r="AQ51">
        <v>0</v>
      </c>
      <c r="AR51">
        <v>1</v>
      </c>
      <c r="AS51" t="str">
        <f t="shared" si="10"/>
        <v>0-2</v>
      </c>
      <c r="AT51">
        <v>2</v>
      </c>
      <c r="AU51" t="str">
        <f t="shared" si="11"/>
        <v>0-2</v>
      </c>
      <c r="AV51">
        <v>3</v>
      </c>
      <c r="AW51" t="s">
        <v>79</v>
      </c>
      <c r="AX51">
        <v>1</v>
      </c>
      <c r="AY51" t="str">
        <f t="shared" si="0"/>
        <v>0-1</v>
      </c>
      <c r="AZ51">
        <v>0</v>
      </c>
      <c r="BA51" t="str">
        <f t="shared" si="12"/>
        <v>0-1</v>
      </c>
      <c r="BB51">
        <v>0</v>
      </c>
      <c r="BC51" t="str">
        <f t="shared" si="13"/>
        <v>0-1</v>
      </c>
      <c r="BD51">
        <v>1</v>
      </c>
      <c r="BE51" t="str">
        <f t="shared" si="14"/>
        <v>0-1</v>
      </c>
    </row>
    <row r="52" spans="1:57" x14ac:dyDescent="0.3">
      <c r="A52">
        <v>64</v>
      </c>
      <c r="B52">
        <v>48</v>
      </c>
      <c r="C52" t="str">
        <f t="shared" si="1"/>
        <v>46-55</v>
      </c>
      <c r="D52" t="s">
        <v>56</v>
      </c>
      <c r="E52">
        <f t="shared" si="2"/>
        <v>1</v>
      </c>
      <c r="F52" t="s">
        <v>57</v>
      </c>
      <c r="G52">
        <v>626</v>
      </c>
      <c r="H52" t="str">
        <f t="shared" si="3"/>
        <v>501-1000</v>
      </c>
      <c r="I52" t="s">
        <v>73</v>
      </c>
      <c r="J52">
        <v>1</v>
      </c>
      <c r="K52" t="str">
        <f t="shared" si="4"/>
        <v>1-5</v>
      </c>
      <c r="L52">
        <v>2</v>
      </c>
      <c r="M52" t="s">
        <v>59</v>
      </c>
      <c r="N52" t="s">
        <v>60</v>
      </c>
      <c r="O52">
        <v>1</v>
      </c>
      <c r="P52">
        <v>1</v>
      </c>
      <c r="Q52" t="s">
        <v>69</v>
      </c>
      <c r="R52" t="s">
        <v>75</v>
      </c>
      <c r="S52">
        <v>98</v>
      </c>
      <c r="T52" t="str">
        <f t="shared" si="5"/>
        <v>76-100</v>
      </c>
      <c r="U52">
        <v>2</v>
      </c>
      <c r="V52" t="s">
        <v>61</v>
      </c>
      <c r="W52">
        <v>3</v>
      </c>
      <c r="X52" t="s">
        <v>81</v>
      </c>
      <c r="Y52">
        <v>3</v>
      </c>
      <c r="Z52" t="s">
        <v>63</v>
      </c>
      <c r="AA52" t="s">
        <v>66</v>
      </c>
      <c r="AB52" s="4">
        <v>5381</v>
      </c>
      <c r="AC52" s="4" t="str">
        <f t="shared" si="6"/>
        <v>$4,000-$5,500</v>
      </c>
      <c r="AD52">
        <v>19294</v>
      </c>
      <c r="AE52" t="str">
        <f t="shared" si="7"/>
        <v>$16,001-$22,000</v>
      </c>
      <c r="AF52">
        <v>9</v>
      </c>
      <c r="AG52" t="str">
        <f t="shared" si="8"/>
        <v>7-9</v>
      </c>
      <c r="AH52" t="s">
        <v>67</v>
      </c>
      <c r="AI52" t="s">
        <v>56</v>
      </c>
      <c r="AJ52">
        <v>13</v>
      </c>
      <c r="AK52" t="str">
        <f t="shared" si="9"/>
        <v>13-15%</v>
      </c>
      <c r="AL52">
        <v>3</v>
      </c>
      <c r="AM52" t="s">
        <v>68</v>
      </c>
      <c r="AN52">
        <v>4</v>
      </c>
      <c r="AO52" t="s">
        <v>65</v>
      </c>
      <c r="AP52">
        <v>80</v>
      </c>
      <c r="AQ52">
        <v>0</v>
      </c>
      <c r="AR52">
        <v>23</v>
      </c>
      <c r="AS52" t="str">
        <f t="shared" si="10"/>
        <v>21-40</v>
      </c>
      <c r="AT52">
        <v>2</v>
      </c>
      <c r="AU52" t="str">
        <f t="shared" si="11"/>
        <v>0-2</v>
      </c>
      <c r="AV52">
        <v>3</v>
      </c>
      <c r="AW52" t="s">
        <v>79</v>
      </c>
      <c r="AX52">
        <v>1</v>
      </c>
      <c r="AY52" t="str">
        <f t="shared" si="0"/>
        <v>0-1</v>
      </c>
      <c r="AZ52">
        <v>0</v>
      </c>
      <c r="BA52" t="str">
        <f t="shared" si="12"/>
        <v>0-1</v>
      </c>
      <c r="BB52">
        <v>0</v>
      </c>
      <c r="BC52" t="str">
        <f t="shared" si="13"/>
        <v>0-1</v>
      </c>
      <c r="BD52">
        <v>0</v>
      </c>
      <c r="BE52" t="str">
        <f t="shared" si="14"/>
        <v>0-1</v>
      </c>
    </row>
    <row r="53" spans="1:57" x14ac:dyDescent="0.3">
      <c r="A53">
        <v>65</v>
      </c>
      <c r="B53">
        <v>28</v>
      </c>
      <c r="C53" t="str">
        <f t="shared" si="1"/>
        <v>26-35</v>
      </c>
      <c r="D53" t="s">
        <v>56</v>
      </c>
      <c r="E53">
        <f t="shared" si="2"/>
        <v>1</v>
      </c>
      <c r="F53" t="s">
        <v>57</v>
      </c>
      <c r="G53">
        <v>1434</v>
      </c>
      <c r="H53" t="str">
        <f t="shared" si="3"/>
        <v>1001-1499</v>
      </c>
      <c r="I53" t="s">
        <v>73</v>
      </c>
      <c r="J53">
        <v>5</v>
      </c>
      <c r="K53" t="str">
        <f t="shared" si="4"/>
        <v>1-5</v>
      </c>
      <c r="L53">
        <v>4</v>
      </c>
      <c r="M53" t="s">
        <v>82</v>
      </c>
      <c r="N53" t="s">
        <v>95</v>
      </c>
      <c r="O53">
        <v>1</v>
      </c>
      <c r="P53">
        <v>3</v>
      </c>
      <c r="Q53" t="s">
        <v>63</v>
      </c>
      <c r="R53" t="s">
        <v>75</v>
      </c>
      <c r="S53">
        <v>50</v>
      </c>
      <c r="T53" t="str">
        <f t="shared" si="5"/>
        <v>30-50</v>
      </c>
      <c r="U53">
        <v>3</v>
      </c>
      <c r="V53" t="s">
        <v>63</v>
      </c>
      <c r="W53">
        <v>1</v>
      </c>
      <c r="X53" t="s">
        <v>81</v>
      </c>
      <c r="Y53">
        <v>3</v>
      </c>
      <c r="Z53" t="s">
        <v>63</v>
      </c>
      <c r="AA53" t="s">
        <v>66</v>
      </c>
      <c r="AB53" s="4">
        <v>3441</v>
      </c>
      <c r="AC53" s="4" t="str">
        <f t="shared" si="6"/>
        <v>$2,500-$4,000</v>
      </c>
      <c r="AD53">
        <v>11179</v>
      </c>
      <c r="AE53" t="str">
        <f t="shared" si="7"/>
        <v>$8,001-$16,000</v>
      </c>
      <c r="AF53">
        <v>1</v>
      </c>
      <c r="AG53" t="str">
        <f t="shared" si="8"/>
        <v>0-1</v>
      </c>
      <c r="AH53" t="s">
        <v>67</v>
      </c>
      <c r="AI53" t="s">
        <v>56</v>
      </c>
      <c r="AJ53">
        <v>13</v>
      </c>
      <c r="AK53" t="str">
        <f t="shared" si="9"/>
        <v>13-15%</v>
      </c>
      <c r="AL53">
        <v>3</v>
      </c>
      <c r="AM53" t="s">
        <v>68</v>
      </c>
      <c r="AN53">
        <v>3</v>
      </c>
      <c r="AO53" t="s">
        <v>63</v>
      </c>
      <c r="AP53">
        <v>80</v>
      </c>
      <c r="AQ53">
        <v>0</v>
      </c>
      <c r="AR53">
        <v>2</v>
      </c>
      <c r="AS53" t="str">
        <f t="shared" si="10"/>
        <v>0-2</v>
      </c>
      <c r="AT53">
        <v>3</v>
      </c>
      <c r="AU53" t="str">
        <f t="shared" si="11"/>
        <v>3-4</v>
      </c>
      <c r="AV53">
        <v>2</v>
      </c>
      <c r="AW53" t="s">
        <v>84</v>
      </c>
      <c r="AX53">
        <v>2</v>
      </c>
      <c r="AY53" t="str">
        <f t="shared" si="0"/>
        <v>2-5</v>
      </c>
      <c r="AZ53">
        <v>2</v>
      </c>
      <c r="BA53" t="str">
        <f t="shared" si="12"/>
        <v>2-5</v>
      </c>
      <c r="BB53">
        <v>2</v>
      </c>
      <c r="BC53" t="str">
        <f t="shared" si="13"/>
        <v>2-5</v>
      </c>
      <c r="BD53">
        <v>2</v>
      </c>
      <c r="BE53" t="str">
        <f t="shared" si="14"/>
        <v>2-5</v>
      </c>
    </row>
    <row r="54" spans="1:57" x14ac:dyDescent="0.3">
      <c r="A54">
        <v>68</v>
      </c>
      <c r="B54">
        <v>44</v>
      </c>
      <c r="C54" t="str">
        <f t="shared" si="1"/>
        <v>36-45</v>
      </c>
      <c r="D54" t="s">
        <v>71</v>
      </c>
      <c r="E54">
        <f t="shared" si="2"/>
        <v>0</v>
      </c>
      <c r="F54" t="s">
        <v>57</v>
      </c>
      <c r="G54">
        <v>1488</v>
      </c>
      <c r="H54" t="str">
        <f t="shared" si="3"/>
        <v>1001-1499</v>
      </c>
      <c r="I54" t="s">
        <v>58</v>
      </c>
      <c r="J54">
        <v>1</v>
      </c>
      <c r="K54" t="str">
        <f t="shared" si="4"/>
        <v>1-5</v>
      </c>
      <c r="L54">
        <v>5</v>
      </c>
      <c r="M54" t="s">
        <v>96</v>
      </c>
      <c r="N54" t="s">
        <v>93</v>
      </c>
      <c r="O54">
        <v>1</v>
      </c>
      <c r="P54">
        <v>2</v>
      </c>
      <c r="Q54" t="s">
        <v>61</v>
      </c>
      <c r="R54" t="s">
        <v>62</v>
      </c>
      <c r="S54">
        <v>75</v>
      </c>
      <c r="T54" t="str">
        <f t="shared" si="5"/>
        <v>51-75</v>
      </c>
      <c r="U54">
        <v>3</v>
      </c>
      <c r="V54" t="s">
        <v>63</v>
      </c>
      <c r="W54">
        <v>2</v>
      </c>
      <c r="X54" t="s">
        <v>64</v>
      </c>
      <c r="Y54">
        <v>1</v>
      </c>
      <c r="Z54" t="s">
        <v>69</v>
      </c>
      <c r="AA54" t="s">
        <v>86</v>
      </c>
      <c r="AB54" s="4">
        <v>5454</v>
      </c>
      <c r="AC54" s="4" t="str">
        <f t="shared" si="6"/>
        <v>$4,000-$5,500</v>
      </c>
      <c r="AD54">
        <v>4009</v>
      </c>
      <c r="AE54" t="str">
        <f t="shared" si="7"/>
        <v>$2,094-$8,000</v>
      </c>
      <c r="AF54">
        <v>5</v>
      </c>
      <c r="AG54" t="str">
        <f t="shared" si="8"/>
        <v>4-6</v>
      </c>
      <c r="AH54" t="s">
        <v>67</v>
      </c>
      <c r="AI54" t="s">
        <v>56</v>
      </c>
      <c r="AJ54">
        <v>21</v>
      </c>
      <c r="AK54" t="str">
        <f t="shared" si="9"/>
        <v>18-19%</v>
      </c>
      <c r="AL54">
        <v>4</v>
      </c>
      <c r="AM54" t="s">
        <v>78</v>
      </c>
      <c r="AN54">
        <v>3</v>
      </c>
      <c r="AO54" t="s">
        <v>63</v>
      </c>
      <c r="AP54">
        <v>80</v>
      </c>
      <c r="AQ54">
        <v>1</v>
      </c>
      <c r="AR54">
        <v>9</v>
      </c>
      <c r="AS54" t="str">
        <f t="shared" si="10"/>
        <v>6-10</v>
      </c>
      <c r="AT54">
        <v>2</v>
      </c>
      <c r="AU54" t="str">
        <f t="shared" si="11"/>
        <v>0-2</v>
      </c>
      <c r="AV54">
        <v>2</v>
      </c>
      <c r="AW54" t="s">
        <v>84</v>
      </c>
      <c r="AX54">
        <v>4</v>
      </c>
      <c r="AY54" t="str">
        <f t="shared" si="0"/>
        <v>2-5</v>
      </c>
      <c r="AZ54">
        <v>3</v>
      </c>
      <c r="BA54" t="str">
        <f t="shared" si="12"/>
        <v>2-5</v>
      </c>
      <c r="BB54">
        <v>1</v>
      </c>
      <c r="BC54" t="str">
        <f t="shared" si="13"/>
        <v>0-1</v>
      </c>
      <c r="BD54">
        <v>3</v>
      </c>
      <c r="BE54" t="str">
        <f t="shared" si="14"/>
        <v>2-5</v>
      </c>
    </row>
    <row r="55" spans="1:57" x14ac:dyDescent="0.3">
      <c r="A55">
        <v>70</v>
      </c>
      <c r="B55">
        <v>35</v>
      </c>
      <c r="C55" t="str">
        <f t="shared" si="1"/>
        <v>26-35</v>
      </c>
      <c r="D55" t="s">
        <v>71</v>
      </c>
      <c r="E55">
        <f t="shared" si="2"/>
        <v>0</v>
      </c>
      <c r="F55" t="s">
        <v>89</v>
      </c>
      <c r="G55">
        <v>1097</v>
      </c>
      <c r="H55" t="str">
        <f t="shared" si="3"/>
        <v>1001-1499</v>
      </c>
      <c r="I55" t="s">
        <v>73</v>
      </c>
      <c r="J55">
        <v>11</v>
      </c>
      <c r="K55" t="str">
        <f t="shared" si="4"/>
        <v>11-20</v>
      </c>
      <c r="L55">
        <v>2</v>
      </c>
      <c r="M55" t="s">
        <v>59</v>
      </c>
      <c r="N55" t="s">
        <v>83</v>
      </c>
      <c r="O55">
        <v>1</v>
      </c>
      <c r="P55">
        <v>3</v>
      </c>
      <c r="Q55" t="s">
        <v>63</v>
      </c>
      <c r="R55" t="s">
        <v>75</v>
      </c>
      <c r="S55">
        <v>79</v>
      </c>
      <c r="T55" t="str">
        <f t="shared" si="5"/>
        <v>76-100</v>
      </c>
      <c r="U55">
        <v>2</v>
      </c>
      <c r="V55" t="s">
        <v>61</v>
      </c>
      <c r="W55">
        <v>3</v>
      </c>
      <c r="X55" t="s">
        <v>88</v>
      </c>
      <c r="Y55">
        <v>1</v>
      </c>
      <c r="Z55" t="s">
        <v>69</v>
      </c>
      <c r="AA55" t="s">
        <v>77</v>
      </c>
      <c r="AB55" s="4">
        <v>9884</v>
      </c>
      <c r="AC55" s="4" t="str">
        <f t="shared" si="6"/>
        <v>$8,500-$10,000</v>
      </c>
      <c r="AD55">
        <v>8302</v>
      </c>
      <c r="AE55" t="str">
        <f t="shared" si="7"/>
        <v>$8,001-$16,000</v>
      </c>
      <c r="AF55">
        <v>2</v>
      </c>
      <c r="AG55" t="str">
        <f t="shared" si="8"/>
        <v>2-3</v>
      </c>
      <c r="AH55" t="s">
        <v>67</v>
      </c>
      <c r="AI55" t="s">
        <v>56</v>
      </c>
      <c r="AJ55">
        <v>13</v>
      </c>
      <c r="AK55" t="str">
        <f t="shared" si="9"/>
        <v>13-15%</v>
      </c>
      <c r="AL55">
        <v>3</v>
      </c>
      <c r="AM55" t="s">
        <v>68</v>
      </c>
      <c r="AN55">
        <v>3</v>
      </c>
      <c r="AO55" t="s">
        <v>63</v>
      </c>
      <c r="AP55">
        <v>80</v>
      </c>
      <c r="AQ55">
        <v>1</v>
      </c>
      <c r="AR55">
        <v>10</v>
      </c>
      <c r="AS55" t="str">
        <f t="shared" si="10"/>
        <v>6-10</v>
      </c>
      <c r="AT55">
        <v>3</v>
      </c>
      <c r="AU55" t="str">
        <f t="shared" si="11"/>
        <v>3-4</v>
      </c>
      <c r="AV55">
        <v>3</v>
      </c>
      <c r="AW55" t="s">
        <v>79</v>
      </c>
      <c r="AX55">
        <v>4</v>
      </c>
      <c r="AY55" t="str">
        <f t="shared" si="0"/>
        <v>2-5</v>
      </c>
      <c r="AZ55">
        <v>0</v>
      </c>
      <c r="BA55" t="str">
        <f t="shared" si="12"/>
        <v>0-1</v>
      </c>
      <c r="BB55">
        <v>2</v>
      </c>
      <c r="BC55" t="str">
        <f t="shared" si="13"/>
        <v>2-5</v>
      </c>
      <c r="BD55">
        <v>3</v>
      </c>
      <c r="BE55" t="str">
        <f t="shared" si="14"/>
        <v>2-5</v>
      </c>
    </row>
    <row r="56" spans="1:57" x14ac:dyDescent="0.3">
      <c r="A56">
        <v>72</v>
      </c>
      <c r="B56">
        <v>26</v>
      </c>
      <c r="C56" t="str">
        <f t="shared" si="1"/>
        <v>26-35</v>
      </c>
      <c r="D56" t="s">
        <v>71</v>
      </c>
      <c r="E56">
        <f t="shared" si="2"/>
        <v>0</v>
      </c>
      <c r="F56" t="s">
        <v>57</v>
      </c>
      <c r="G56">
        <v>1443</v>
      </c>
      <c r="H56" t="str">
        <f t="shared" si="3"/>
        <v>1001-1499</v>
      </c>
      <c r="I56" t="s">
        <v>58</v>
      </c>
      <c r="J56">
        <v>23</v>
      </c>
      <c r="K56" t="str">
        <f t="shared" si="4"/>
        <v>21-29</v>
      </c>
      <c r="L56">
        <v>3</v>
      </c>
      <c r="M56" t="s">
        <v>85</v>
      </c>
      <c r="N56" t="s">
        <v>93</v>
      </c>
      <c r="O56">
        <v>1</v>
      </c>
      <c r="P56">
        <v>3</v>
      </c>
      <c r="Q56" t="s">
        <v>63</v>
      </c>
      <c r="R56" t="s">
        <v>62</v>
      </c>
      <c r="S56">
        <v>47</v>
      </c>
      <c r="T56" t="str">
        <f t="shared" si="5"/>
        <v>30-50</v>
      </c>
      <c r="U56">
        <v>2</v>
      </c>
      <c r="V56" t="s">
        <v>61</v>
      </c>
      <c r="W56">
        <v>2</v>
      </c>
      <c r="X56" t="s">
        <v>64</v>
      </c>
      <c r="Y56">
        <v>4</v>
      </c>
      <c r="Z56" t="s">
        <v>65</v>
      </c>
      <c r="AA56" t="s">
        <v>77</v>
      </c>
      <c r="AB56" s="4">
        <v>4157</v>
      </c>
      <c r="AC56" s="4" t="str">
        <f t="shared" si="6"/>
        <v>$4,000-$5,500</v>
      </c>
      <c r="AD56">
        <v>21436</v>
      </c>
      <c r="AE56" t="str">
        <f t="shared" si="7"/>
        <v>$16,001-$22,000</v>
      </c>
      <c r="AF56">
        <v>7</v>
      </c>
      <c r="AG56" t="str">
        <f t="shared" si="8"/>
        <v>7-9</v>
      </c>
      <c r="AH56" t="s">
        <v>67</v>
      </c>
      <c r="AI56" t="s">
        <v>56</v>
      </c>
      <c r="AJ56">
        <v>19</v>
      </c>
      <c r="AK56" t="str">
        <f t="shared" si="9"/>
        <v>18-19%</v>
      </c>
      <c r="AL56">
        <v>3</v>
      </c>
      <c r="AM56" t="s">
        <v>68</v>
      </c>
      <c r="AN56">
        <v>3</v>
      </c>
      <c r="AO56" t="s">
        <v>63</v>
      </c>
      <c r="AP56">
        <v>80</v>
      </c>
      <c r="AQ56">
        <v>1</v>
      </c>
      <c r="AR56">
        <v>5</v>
      </c>
      <c r="AS56" t="str">
        <f t="shared" si="10"/>
        <v>3-5</v>
      </c>
      <c r="AT56">
        <v>2</v>
      </c>
      <c r="AU56" t="str">
        <f t="shared" si="11"/>
        <v>0-2</v>
      </c>
      <c r="AV56">
        <v>2</v>
      </c>
      <c r="AW56" t="s">
        <v>84</v>
      </c>
      <c r="AX56">
        <v>2</v>
      </c>
      <c r="AY56" t="str">
        <f t="shared" si="0"/>
        <v>2-5</v>
      </c>
      <c r="AZ56">
        <v>2</v>
      </c>
      <c r="BA56" t="str">
        <f t="shared" si="12"/>
        <v>2-5</v>
      </c>
      <c r="BB56">
        <v>0</v>
      </c>
      <c r="BC56" t="str">
        <f t="shared" si="13"/>
        <v>0-1</v>
      </c>
      <c r="BD56">
        <v>0</v>
      </c>
      <c r="BE56" t="str">
        <f t="shared" si="14"/>
        <v>0-1</v>
      </c>
    </row>
    <row r="57" spans="1:57" x14ac:dyDescent="0.3">
      <c r="A57">
        <v>73</v>
      </c>
      <c r="B57">
        <v>33</v>
      </c>
      <c r="C57" t="str">
        <f t="shared" si="1"/>
        <v>26-35</v>
      </c>
      <c r="D57" t="s">
        <v>71</v>
      </c>
      <c r="E57">
        <f t="shared" si="2"/>
        <v>0</v>
      </c>
      <c r="F57" t="s">
        <v>72</v>
      </c>
      <c r="G57">
        <v>515</v>
      </c>
      <c r="H57" t="str">
        <f t="shared" si="3"/>
        <v>501-1000</v>
      </c>
      <c r="I57" t="s">
        <v>73</v>
      </c>
      <c r="J57">
        <v>1</v>
      </c>
      <c r="K57" t="str">
        <f t="shared" si="4"/>
        <v>1-5</v>
      </c>
      <c r="L57">
        <v>2</v>
      </c>
      <c r="M57" t="s">
        <v>59</v>
      </c>
      <c r="N57" t="s">
        <v>60</v>
      </c>
      <c r="O57">
        <v>1</v>
      </c>
      <c r="P57">
        <v>1</v>
      </c>
      <c r="Q57" t="s">
        <v>69</v>
      </c>
      <c r="R57" t="s">
        <v>62</v>
      </c>
      <c r="S57">
        <v>98</v>
      </c>
      <c r="T57" t="str">
        <f t="shared" si="5"/>
        <v>76-100</v>
      </c>
      <c r="U57">
        <v>3</v>
      </c>
      <c r="V57" t="s">
        <v>63</v>
      </c>
      <c r="W57">
        <v>3</v>
      </c>
      <c r="X57" t="s">
        <v>92</v>
      </c>
      <c r="Y57">
        <v>4</v>
      </c>
      <c r="Z57" t="s">
        <v>65</v>
      </c>
      <c r="AA57" t="s">
        <v>66</v>
      </c>
      <c r="AB57" s="4">
        <v>13458</v>
      </c>
      <c r="AC57" s="4" t="str">
        <f t="shared" si="6"/>
        <v>$13,000-$14,500</v>
      </c>
      <c r="AD57">
        <v>15146</v>
      </c>
      <c r="AE57" t="str">
        <f t="shared" si="7"/>
        <v>$8,001-$16,000</v>
      </c>
      <c r="AF57">
        <v>1</v>
      </c>
      <c r="AG57" t="str">
        <f t="shared" si="8"/>
        <v>0-1</v>
      </c>
      <c r="AH57" t="s">
        <v>67</v>
      </c>
      <c r="AI57" t="s">
        <v>56</v>
      </c>
      <c r="AJ57">
        <v>12</v>
      </c>
      <c r="AK57" t="str">
        <f t="shared" si="9"/>
        <v>11-12%</v>
      </c>
      <c r="AL57">
        <v>3</v>
      </c>
      <c r="AM57" t="s">
        <v>68</v>
      </c>
      <c r="AN57">
        <v>3</v>
      </c>
      <c r="AO57" t="s">
        <v>63</v>
      </c>
      <c r="AP57">
        <v>80</v>
      </c>
      <c r="AQ57">
        <v>0</v>
      </c>
      <c r="AR57">
        <v>15</v>
      </c>
      <c r="AS57" t="str">
        <f t="shared" si="10"/>
        <v>11-20</v>
      </c>
      <c r="AT57">
        <v>1</v>
      </c>
      <c r="AU57" t="str">
        <f t="shared" si="11"/>
        <v>0-2</v>
      </c>
      <c r="AV57">
        <v>3</v>
      </c>
      <c r="AW57" t="s">
        <v>79</v>
      </c>
      <c r="AX57">
        <v>15</v>
      </c>
      <c r="AY57" t="str">
        <f t="shared" si="0"/>
        <v>11-20</v>
      </c>
      <c r="AZ57">
        <v>14</v>
      </c>
      <c r="BA57" t="str">
        <f t="shared" si="12"/>
        <v>11-18</v>
      </c>
      <c r="BB57">
        <v>8</v>
      </c>
      <c r="BC57" t="str">
        <f t="shared" si="13"/>
        <v>6-10</v>
      </c>
      <c r="BD57">
        <v>12</v>
      </c>
      <c r="BE57" t="str">
        <f t="shared" si="14"/>
        <v>11-17</v>
      </c>
    </row>
    <row r="58" spans="1:57" x14ac:dyDescent="0.3">
      <c r="A58">
        <v>74</v>
      </c>
      <c r="B58">
        <v>35</v>
      </c>
      <c r="C58" t="str">
        <f t="shared" si="1"/>
        <v>26-35</v>
      </c>
      <c r="D58" t="s">
        <v>71</v>
      </c>
      <c r="E58">
        <f t="shared" si="2"/>
        <v>0</v>
      </c>
      <c r="F58" t="s">
        <v>72</v>
      </c>
      <c r="G58">
        <v>853</v>
      </c>
      <c r="H58" t="str">
        <f t="shared" si="3"/>
        <v>501-1000</v>
      </c>
      <c r="I58" t="s">
        <v>58</v>
      </c>
      <c r="J58">
        <v>18</v>
      </c>
      <c r="K58" t="str">
        <f t="shared" si="4"/>
        <v>11-20</v>
      </c>
      <c r="L58">
        <v>5</v>
      </c>
      <c r="M58" t="s">
        <v>96</v>
      </c>
      <c r="N58" t="s">
        <v>60</v>
      </c>
      <c r="O58">
        <v>1</v>
      </c>
      <c r="P58">
        <v>2</v>
      </c>
      <c r="Q58" t="s">
        <v>61</v>
      </c>
      <c r="R58" t="s">
        <v>75</v>
      </c>
      <c r="S58">
        <v>71</v>
      </c>
      <c r="T58" t="str">
        <f t="shared" si="5"/>
        <v>51-75</v>
      </c>
      <c r="U58">
        <v>3</v>
      </c>
      <c r="V58" t="s">
        <v>63</v>
      </c>
      <c r="W58">
        <v>3</v>
      </c>
      <c r="X58" t="s">
        <v>64</v>
      </c>
      <c r="Y58">
        <v>1</v>
      </c>
      <c r="Z58" t="s">
        <v>69</v>
      </c>
      <c r="AA58" t="s">
        <v>77</v>
      </c>
      <c r="AB58" s="4">
        <v>9069</v>
      </c>
      <c r="AC58" s="4" t="str">
        <f t="shared" si="6"/>
        <v>$8,500-$10,000</v>
      </c>
      <c r="AD58">
        <v>11031</v>
      </c>
      <c r="AE58" t="str">
        <f t="shared" si="7"/>
        <v>$8,001-$16,000</v>
      </c>
      <c r="AF58">
        <v>1</v>
      </c>
      <c r="AG58" t="str">
        <f t="shared" si="8"/>
        <v>0-1</v>
      </c>
      <c r="AH58" t="s">
        <v>67</v>
      </c>
      <c r="AI58" t="s">
        <v>71</v>
      </c>
      <c r="AJ58">
        <v>22</v>
      </c>
      <c r="AK58" t="str">
        <f t="shared" si="9"/>
        <v>18-19%</v>
      </c>
      <c r="AL58">
        <v>4</v>
      </c>
      <c r="AM58" t="s">
        <v>78</v>
      </c>
      <c r="AN58">
        <v>4</v>
      </c>
      <c r="AO58" t="s">
        <v>65</v>
      </c>
      <c r="AP58">
        <v>80</v>
      </c>
      <c r="AQ58">
        <v>1</v>
      </c>
      <c r="AR58">
        <v>9</v>
      </c>
      <c r="AS58" t="str">
        <f t="shared" si="10"/>
        <v>6-10</v>
      </c>
      <c r="AT58">
        <v>3</v>
      </c>
      <c r="AU58" t="str">
        <f t="shared" si="11"/>
        <v>3-4</v>
      </c>
      <c r="AV58">
        <v>2</v>
      </c>
      <c r="AW58" t="s">
        <v>84</v>
      </c>
      <c r="AX58">
        <v>9</v>
      </c>
      <c r="AY58" t="str">
        <f t="shared" si="0"/>
        <v>6-10</v>
      </c>
      <c r="AZ58">
        <v>8</v>
      </c>
      <c r="BA58" t="str">
        <f t="shared" si="12"/>
        <v>6-10</v>
      </c>
      <c r="BB58">
        <v>1</v>
      </c>
      <c r="BC58" t="str">
        <f t="shared" si="13"/>
        <v>0-1</v>
      </c>
      <c r="BD58">
        <v>8</v>
      </c>
      <c r="BE58" t="str">
        <f t="shared" si="14"/>
        <v>6-10</v>
      </c>
    </row>
    <row r="59" spans="1:57" x14ac:dyDescent="0.3">
      <c r="A59">
        <v>75</v>
      </c>
      <c r="B59">
        <v>35</v>
      </c>
      <c r="C59" t="str">
        <f t="shared" si="1"/>
        <v>26-35</v>
      </c>
      <c r="D59" t="s">
        <v>71</v>
      </c>
      <c r="E59">
        <f t="shared" si="2"/>
        <v>0</v>
      </c>
      <c r="F59" t="s">
        <v>57</v>
      </c>
      <c r="G59">
        <v>1142</v>
      </c>
      <c r="H59" t="str">
        <f t="shared" si="3"/>
        <v>1001-1499</v>
      </c>
      <c r="I59" t="s">
        <v>73</v>
      </c>
      <c r="J59">
        <v>23</v>
      </c>
      <c r="K59" t="str">
        <f t="shared" si="4"/>
        <v>21-29</v>
      </c>
      <c r="L59">
        <v>4</v>
      </c>
      <c r="M59" t="s">
        <v>82</v>
      </c>
      <c r="N59" t="s">
        <v>83</v>
      </c>
      <c r="O59">
        <v>1</v>
      </c>
      <c r="P59">
        <v>3</v>
      </c>
      <c r="Q59" t="s">
        <v>63</v>
      </c>
      <c r="R59" t="s">
        <v>62</v>
      </c>
      <c r="S59">
        <v>30</v>
      </c>
      <c r="T59" t="str">
        <f t="shared" si="5"/>
        <v>30-50</v>
      </c>
      <c r="U59">
        <v>3</v>
      </c>
      <c r="V59" t="s">
        <v>63</v>
      </c>
      <c r="W59">
        <v>1</v>
      </c>
      <c r="X59" t="s">
        <v>81</v>
      </c>
      <c r="Y59">
        <v>1</v>
      </c>
      <c r="Z59" t="s">
        <v>69</v>
      </c>
      <c r="AA59" t="s">
        <v>77</v>
      </c>
      <c r="AB59" s="4">
        <v>4014</v>
      </c>
      <c r="AC59" s="4" t="str">
        <f t="shared" si="6"/>
        <v>$4,000-$5,500</v>
      </c>
      <c r="AD59">
        <v>16002</v>
      </c>
      <c r="AE59" t="str">
        <f t="shared" si="7"/>
        <v>$16,001-$22,000</v>
      </c>
      <c r="AF59">
        <v>3</v>
      </c>
      <c r="AG59" t="str">
        <f t="shared" si="8"/>
        <v>2-3</v>
      </c>
      <c r="AH59" t="s">
        <v>67</v>
      </c>
      <c r="AI59" t="s">
        <v>56</v>
      </c>
      <c r="AJ59">
        <v>15</v>
      </c>
      <c r="AK59" t="str">
        <f t="shared" si="9"/>
        <v>13-15%</v>
      </c>
      <c r="AL59">
        <v>3</v>
      </c>
      <c r="AM59" t="s">
        <v>68</v>
      </c>
      <c r="AN59">
        <v>3</v>
      </c>
      <c r="AO59" t="s">
        <v>63</v>
      </c>
      <c r="AP59">
        <v>80</v>
      </c>
      <c r="AQ59">
        <v>1</v>
      </c>
      <c r="AR59">
        <v>4</v>
      </c>
      <c r="AS59" t="str">
        <f t="shared" si="10"/>
        <v>3-5</v>
      </c>
      <c r="AT59">
        <v>3</v>
      </c>
      <c r="AU59" t="str">
        <f t="shared" si="11"/>
        <v>3-4</v>
      </c>
      <c r="AV59">
        <v>3</v>
      </c>
      <c r="AW59" t="s">
        <v>79</v>
      </c>
      <c r="AX59">
        <v>2</v>
      </c>
      <c r="AY59" t="str">
        <f t="shared" si="0"/>
        <v>2-5</v>
      </c>
      <c r="AZ59">
        <v>2</v>
      </c>
      <c r="BA59" t="str">
        <f t="shared" si="12"/>
        <v>2-5</v>
      </c>
      <c r="BB59">
        <v>2</v>
      </c>
      <c r="BC59" t="str">
        <f t="shared" si="13"/>
        <v>2-5</v>
      </c>
      <c r="BD59">
        <v>2</v>
      </c>
      <c r="BE59" t="str">
        <f t="shared" si="14"/>
        <v>2-5</v>
      </c>
    </row>
    <row r="60" spans="1:57" x14ac:dyDescent="0.3">
      <c r="A60">
        <v>76</v>
      </c>
      <c r="B60">
        <v>31</v>
      </c>
      <c r="C60" t="str">
        <f t="shared" si="1"/>
        <v>26-35</v>
      </c>
      <c r="D60" t="s">
        <v>71</v>
      </c>
      <c r="E60">
        <f t="shared" si="2"/>
        <v>0</v>
      </c>
      <c r="F60" t="s">
        <v>57</v>
      </c>
      <c r="G60">
        <v>655</v>
      </c>
      <c r="H60" t="str">
        <f t="shared" si="3"/>
        <v>501-1000</v>
      </c>
      <c r="I60" t="s">
        <v>73</v>
      </c>
      <c r="J60">
        <v>7</v>
      </c>
      <c r="K60" t="str">
        <f t="shared" si="4"/>
        <v>6-10</v>
      </c>
      <c r="L60">
        <v>4</v>
      </c>
      <c r="M60" t="s">
        <v>82</v>
      </c>
      <c r="N60" t="s">
        <v>60</v>
      </c>
      <c r="O60">
        <v>1</v>
      </c>
      <c r="P60">
        <v>4</v>
      </c>
      <c r="Q60" t="s">
        <v>65</v>
      </c>
      <c r="R60" t="s">
        <v>75</v>
      </c>
      <c r="S60">
        <v>48</v>
      </c>
      <c r="T60" t="str">
        <f t="shared" si="5"/>
        <v>30-50</v>
      </c>
      <c r="U60">
        <v>3</v>
      </c>
      <c r="V60" t="s">
        <v>63</v>
      </c>
      <c r="W60">
        <v>2</v>
      </c>
      <c r="X60" t="s">
        <v>81</v>
      </c>
      <c r="Y60">
        <v>4</v>
      </c>
      <c r="Z60" t="s">
        <v>65</v>
      </c>
      <c r="AA60" t="s">
        <v>86</v>
      </c>
      <c r="AB60" s="4">
        <v>5915</v>
      </c>
      <c r="AC60" s="4" t="str">
        <f t="shared" si="6"/>
        <v>$5,500-$7,000</v>
      </c>
      <c r="AD60">
        <v>9528</v>
      </c>
      <c r="AE60" t="str">
        <f t="shared" si="7"/>
        <v>$8,001-$16,000</v>
      </c>
      <c r="AF60">
        <v>3</v>
      </c>
      <c r="AG60" t="str">
        <f t="shared" si="8"/>
        <v>2-3</v>
      </c>
      <c r="AH60" t="s">
        <v>67</v>
      </c>
      <c r="AI60" t="s">
        <v>71</v>
      </c>
      <c r="AJ60">
        <v>22</v>
      </c>
      <c r="AK60" t="str">
        <f t="shared" si="9"/>
        <v>18-19%</v>
      </c>
      <c r="AL60">
        <v>4</v>
      </c>
      <c r="AM60" t="s">
        <v>78</v>
      </c>
      <c r="AN60">
        <v>4</v>
      </c>
      <c r="AO60" t="s">
        <v>65</v>
      </c>
      <c r="AP60">
        <v>80</v>
      </c>
      <c r="AQ60">
        <v>1</v>
      </c>
      <c r="AR60">
        <v>10</v>
      </c>
      <c r="AS60" t="str">
        <f t="shared" si="10"/>
        <v>6-10</v>
      </c>
      <c r="AT60">
        <v>3</v>
      </c>
      <c r="AU60" t="str">
        <f t="shared" si="11"/>
        <v>3-4</v>
      </c>
      <c r="AV60">
        <v>2</v>
      </c>
      <c r="AW60" t="s">
        <v>84</v>
      </c>
      <c r="AX60">
        <v>7</v>
      </c>
      <c r="AY60" t="str">
        <f t="shared" si="0"/>
        <v>6-10</v>
      </c>
      <c r="AZ60">
        <v>7</v>
      </c>
      <c r="BA60" t="str">
        <f t="shared" si="12"/>
        <v>6-10</v>
      </c>
      <c r="BB60">
        <v>1</v>
      </c>
      <c r="BC60" t="str">
        <f t="shared" si="13"/>
        <v>0-1</v>
      </c>
      <c r="BD60">
        <v>7</v>
      </c>
      <c r="BE60" t="str">
        <f t="shared" si="14"/>
        <v>6-10</v>
      </c>
    </row>
    <row r="61" spans="1:57" x14ac:dyDescent="0.3">
      <c r="A61">
        <v>77</v>
      </c>
      <c r="B61">
        <v>37</v>
      </c>
      <c r="C61" t="str">
        <f t="shared" si="1"/>
        <v>36-45</v>
      </c>
      <c r="D61" t="s">
        <v>71</v>
      </c>
      <c r="E61">
        <f t="shared" si="2"/>
        <v>0</v>
      </c>
      <c r="F61" t="s">
        <v>57</v>
      </c>
      <c r="G61">
        <v>1115</v>
      </c>
      <c r="H61" t="str">
        <f t="shared" si="3"/>
        <v>1001-1499</v>
      </c>
      <c r="I61" t="s">
        <v>73</v>
      </c>
      <c r="J61">
        <v>1</v>
      </c>
      <c r="K61" t="str">
        <f t="shared" si="4"/>
        <v>1-5</v>
      </c>
      <c r="L61">
        <v>4</v>
      </c>
      <c r="M61" t="s">
        <v>82</v>
      </c>
      <c r="N61" t="s">
        <v>60</v>
      </c>
      <c r="O61">
        <v>1</v>
      </c>
      <c r="P61">
        <v>1</v>
      </c>
      <c r="Q61" t="s">
        <v>69</v>
      </c>
      <c r="R61" t="s">
        <v>75</v>
      </c>
      <c r="S61">
        <v>51</v>
      </c>
      <c r="T61" t="str">
        <f t="shared" si="5"/>
        <v>51-75</v>
      </c>
      <c r="U61">
        <v>2</v>
      </c>
      <c r="V61" t="s">
        <v>61</v>
      </c>
      <c r="W61">
        <v>2</v>
      </c>
      <c r="X61" t="s">
        <v>87</v>
      </c>
      <c r="Y61">
        <v>3</v>
      </c>
      <c r="Z61" t="s">
        <v>63</v>
      </c>
      <c r="AA61" t="s">
        <v>86</v>
      </c>
      <c r="AB61" s="4">
        <v>5993</v>
      </c>
      <c r="AC61" s="4" t="str">
        <f t="shared" si="6"/>
        <v>$5,500-$7,000</v>
      </c>
      <c r="AD61">
        <v>2689</v>
      </c>
      <c r="AE61" t="str">
        <f t="shared" si="7"/>
        <v>$2,094-$8,000</v>
      </c>
      <c r="AF61">
        <v>1</v>
      </c>
      <c r="AG61" t="str">
        <f t="shared" si="8"/>
        <v>0-1</v>
      </c>
      <c r="AH61" t="s">
        <v>67</v>
      </c>
      <c r="AI61" t="s">
        <v>71</v>
      </c>
      <c r="AJ61">
        <v>18</v>
      </c>
      <c r="AK61" t="str">
        <f t="shared" si="9"/>
        <v>18-19%</v>
      </c>
      <c r="AL61">
        <v>3</v>
      </c>
      <c r="AM61" t="s">
        <v>68</v>
      </c>
      <c r="AN61">
        <v>3</v>
      </c>
      <c r="AO61" t="s">
        <v>63</v>
      </c>
      <c r="AP61">
        <v>80</v>
      </c>
      <c r="AQ61">
        <v>1</v>
      </c>
      <c r="AR61">
        <v>7</v>
      </c>
      <c r="AS61" t="str">
        <f t="shared" si="10"/>
        <v>6-10</v>
      </c>
      <c r="AT61">
        <v>2</v>
      </c>
      <c r="AU61" t="str">
        <f t="shared" si="11"/>
        <v>0-2</v>
      </c>
      <c r="AV61">
        <v>4</v>
      </c>
      <c r="AW61" t="s">
        <v>94</v>
      </c>
      <c r="AX61">
        <v>7</v>
      </c>
      <c r="AY61" t="str">
        <f t="shared" si="0"/>
        <v>6-10</v>
      </c>
      <c r="AZ61">
        <v>5</v>
      </c>
      <c r="BA61" t="str">
        <f t="shared" si="12"/>
        <v>2-5</v>
      </c>
      <c r="BB61">
        <v>0</v>
      </c>
      <c r="BC61" t="str">
        <f t="shared" si="13"/>
        <v>0-1</v>
      </c>
      <c r="BD61">
        <v>7</v>
      </c>
      <c r="BE61" t="str">
        <f t="shared" si="14"/>
        <v>6-10</v>
      </c>
    </row>
    <row r="62" spans="1:57" x14ac:dyDescent="0.3">
      <c r="A62">
        <v>78</v>
      </c>
      <c r="B62">
        <v>32</v>
      </c>
      <c r="C62" t="str">
        <f t="shared" si="1"/>
        <v>26-35</v>
      </c>
      <c r="D62" t="s">
        <v>71</v>
      </c>
      <c r="E62">
        <f t="shared" si="2"/>
        <v>0</v>
      </c>
      <c r="F62" t="s">
        <v>57</v>
      </c>
      <c r="G62">
        <v>427</v>
      </c>
      <c r="H62" t="str">
        <f t="shared" si="3"/>
        <v>102-500</v>
      </c>
      <c r="I62" t="s">
        <v>73</v>
      </c>
      <c r="J62">
        <v>1</v>
      </c>
      <c r="K62" t="str">
        <f t="shared" si="4"/>
        <v>1-5</v>
      </c>
      <c r="L62">
        <v>3</v>
      </c>
      <c r="M62" t="s">
        <v>85</v>
      </c>
      <c r="N62" t="s">
        <v>83</v>
      </c>
      <c r="O62">
        <v>1</v>
      </c>
      <c r="P62">
        <v>1</v>
      </c>
      <c r="Q62" t="s">
        <v>69</v>
      </c>
      <c r="R62" t="s">
        <v>75</v>
      </c>
      <c r="S62">
        <v>33</v>
      </c>
      <c r="T62" t="str">
        <f t="shared" si="5"/>
        <v>30-50</v>
      </c>
      <c r="U62">
        <v>3</v>
      </c>
      <c r="V62" t="s">
        <v>63</v>
      </c>
      <c r="W62">
        <v>2</v>
      </c>
      <c r="X62" t="s">
        <v>87</v>
      </c>
      <c r="Y62">
        <v>4</v>
      </c>
      <c r="Z62" t="s">
        <v>65</v>
      </c>
      <c r="AA62" t="s">
        <v>77</v>
      </c>
      <c r="AB62" s="4">
        <v>6162</v>
      </c>
      <c r="AC62" s="4" t="str">
        <f t="shared" si="6"/>
        <v>$5,500-$7,000</v>
      </c>
      <c r="AD62">
        <v>10877</v>
      </c>
      <c r="AE62" t="str">
        <f t="shared" si="7"/>
        <v>$8,001-$16,000</v>
      </c>
      <c r="AF62">
        <v>1</v>
      </c>
      <c r="AG62" t="str">
        <f t="shared" si="8"/>
        <v>0-1</v>
      </c>
      <c r="AH62" t="s">
        <v>67</v>
      </c>
      <c r="AI62" t="s">
        <v>56</v>
      </c>
      <c r="AJ62">
        <v>22</v>
      </c>
      <c r="AK62" t="str">
        <f t="shared" si="9"/>
        <v>18-19%</v>
      </c>
      <c r="AL62">
        <v>4</v>
      </c>
      <c r="AM62" t="s">
        <v>78</v>
      </c>
      <c r="AN62">
        <v>2</v>
      </c>
      <c r="AO62" t="s">
        <v>61</v>
      </c>
      <c r="AP62">
        <v>80</v>
      </c>
      <c r="AQ62">
        <v>1</v>
      </c>
      <c r="AR62">
        <v>9</v>
      </c>
      <c r="AS62" t="str">
        <f t="shared" si="10"/>
        <v>6-10</v>
      </c>
      <c r="AT62">
        <v>3</v>
      </c>
      <c r="AU62" t="str">
        <f t="shared" si="11"/>
        <v>3-4</v>
      </c>
      <c r="AV62">
        <v>3</v>
      </c>
      <c r="AW62" t="s">
        <v>79</v>
      </c>
      <c r="AX62">
        <v>9</v>
      </c>
      <c r="AY62" t="str">
        <f t="shared" si="0"/>
        <v>6-10</v>
      </c>
      <c r="AZ62">
        <v>8</v>
      </c>
      <c r="BA62" t="str">
        <f t="shared" si="12"/>
        <v>6-10</v>
      </c>
      <c r="BB62">
        <v>7</v>
      </c>
      <c r="BC62" t="str">
        <f t="shared" si="13"/>
        <v>6-10</v>
      </c>
      <c r="BD62">
        <v>8</v>
      </c>
      <c r="BE62" t="str">
        <f t="shared" si="14"/>
        <v>6-10</v>
      </c>
    </row>
    <row r="63" spans="1:57" x14ac:dyDescent="0.3">
      <c r="A63">
        <v>79</v>
      </c>
      <c r="B63">
        <v>38</v>
      </c>
      <c r="C63" t="str">
        <f t="shared" si="1"/>
        <v>36-45</v>
      </c>
      <c r="D63" t="s">
        <v>71</v>
      </c>
      <c r="E63">
        <f t="shared" si="2"/>
        <v>0</v>
      </c>
      <c r="F63" t="s">
        <v>72</v>
      </c>
      <c r="G63">
        <v>653</v>
      </c>
      <c r="H63" t="str">
        <f t="shared" si="3"/>
        <v>501-1000</v>
      </c>
      <c r="I63" t="s">
        <v>73</v>
      </c>
      <c r="J63">
        <v>29</v>
      </c>
      <c r="K63" t="str">
        <f t="shared" si="4"/>
        <v>21-29</v>
      </c>
      <c r="L63">
        <v>5</v>
      </c>
      <c r="M63" t="s">
        <v>96</v>
      </c>
      <c r="N63" t="s">
        <v>60</v>
      </c>
      <c r="O63">
        <v>1</v>
      </c>
      <c r="P63">
        <v>4</v>
      </c>
      <c r="Q63" t="s">
        <v>65</v>
      </c>
      <c r="R63" t="s">
        <v>62</v>
      </c>
      <c r="S63">
        <v>50</v>
      </c>
      <c r="T63" t="str">
        <f t="shared" si="5"/>
        <v>30-50</v>
      </c>
      <c r="U63">
        <v>3</v>
      </c>
      <c r="V63" t="s">
        <v>63</v>
      </c>
      <c r="W63">
        <v>2</v>
      </c>
      <c r="X63" t="s">
        <v>81</v>
      </c>
      <c r="Y63">
        <v>4</v>
      </c>
      <c r="Z63" t="s">
        <v>65</v>
      </c>
      <c r="AA63" t="s">
        <v>66</v>
      </c>
      <c r="AB63" s="4">
        <v>2406</v>
      </c>
      <c r="AC63" s="4" t="str">
        <f t="shared" si="6"/>
        <v>$1,000-$2,500</v>
      </c>
      <c r="AD63">
        <v>5456</v>
      </c>
      <c r="AE63" t="str">
        <f t="shared" si="7"/>
        <v>$2,094-$8,000</v>
      </c>
      <c r="AF63">
        <v>1</v>
      </c>
      <c r="AG63" t="str">
        <f t="shared" si="8"/>
        <v>0-1</v>
      </c>
      <c r="AH63" t="s">
        <v>67</v>
      </c>
      <c r="AI63" t="s">
        <v>71</v>
      </c>
      <c r="AJ63">
        <v>11</v>
      </c>
      <c r="AK63" t="str">
        <f t="shared" si="9"/>
        <v>11-12%</v>
      </c>
      <c r="AL63">
        <v>3</v>
      </c>
      <c r="AM63" t="s">
        <v>68</v>
      </c>
      <c r="AN63">
        <v>4</v>
      </c>
      <c r="AO63" t="s">
        <v>65</v>
      </c>
      <c r="AP63">
        <v>80</v>
      </c>
      <c r="AQ63">
        <v>0</v>
      </c>
      <c r="AR63">
        <v>10</v>
      </c>
      <c r="AS63" t="str">
        <f t="shared" si="10"/>
        <v>6-10</v>
      </c>
      <c r="AT63">
        <v>2</v>
      </c>
      <c r="AU63" t="str">
        <f t="shared" si="11"/>
        <v>0-2</v>
      </c>
      <c r="AV63">
        <v>3</v>
      </c>
      <c r="AW63" t="s">
        <v>79</v>
      </c>
      <c r="AX63">
        <v>10</v>
      </c>
      <c r="AY63" t="str">
        <f t="shared" si="0"/>
        <v>6-10</v>
      </c>
      <c r="AZ63">
        <v>3</v>
      </c>
      <c r="BA63" t="str">
        <f t="shared" si="12"/>
        <v>2-5</v>
      </c>
      <c r="BB63">
        <v>9</v>
      </c>
      <c r="BC63" t="str">
        <f t="shared" si="13"/>
        <v>6-10</v>
      </c>
      <c r="BD63">
        <v>9</v>
      </c>
      <c r="BE63" t="str">
        <f t="shared" si="14"/>
        <v>6-10</v>
      </c>
    </row>
    <row r="64" spans="1:57" x14ac:dyDescent="0.3">
      <c r="A64">
        <v>80</v>
      </c>
      <c r="B64">
        <v>50</v>
      </c>
      <c r="C64" t="str">
        <f t="shared" si="1"/>
        <v>46-55</v>
      </c>
      <c r="D64" t="s">
        <v>71</v>
      </c>
      <c r="E64">
        <f t="shared" si="2"/>
        <v>0</v>
      </c>
      <c r="F64" t="s">
        <v>57</v>
      </c>
      <c r="G64">
        <v>989</v>
      </c>
      <c r="H64" t="str">
        <f t="shared" si="3"/>
        <v>501-1000</v>
      </c>
      <c r="I64" t="s">
        <v>73</v>
      </c>
      <c r="J64">
        <v>7</v>
      </c>
      <c r="K64" t="str">
        <f t="shared" si="4"/>
        <v>6-10</v>
      </c>
      <c r="L64">
        <v>2</v>
      </c>
      <c r="M64" t="s">
        <v>59</v>
      </c>
      <c r="N64" t="s">
        <v>83</v>
      </c>
      <c r="O64">
        <v>1</v>
      </c>
      <c r="P64">
        <v>2</v>
      </c>
      <c r="Q64" t="s">
        <v>61</v>
      </c>
      <c r="R64" t="s">
        <v>62</v>
      </c>
      <c r="S64">
        <v>43</v>
      </c>
      <c r="T64" t="str">
        <f t="shared" si="5"/>
        <v>30-50</v>
      </c>
      <c r="U64">
        <v>2</v>
      </c>
      <c r="V64" t="s">
        <v>61</v>
      </c>
      <c r="W64">
        <v>5</v>
      </c>
      <c r="X64" t="s">
        <v>92</v>
      </c>
      <c r="Y64">
        <v>3</v>
      </c>
      <c r="Z64" t="s">
        <v>63</v>
      </c>
      <c r="AA64" t="s">
        <v>86</v>
      </c>
      <c r="AB64" s="4">
        <v>18740</v>
      </c>
      <c r="AC64" s="4" t="str">
        <f t="shared" si="6"/>
        <v>$17,500-$19,000</v>
      </c>
      <c r="AD64">
        <v>16701</v>
      </c>
      <c r="AE64" t="str">
        <f t="shared" si="7"/>
        <v>$16,001-$22,000</v>
      </c>
      <c r="AF64">
        <v>5</v>
      </c>
      <c r="AG64" t="str">
        <f t="shared" si="8"/>
        <v>4-6</v>
      </c>
      <c r="AH64" t="s">
        <v>67</v>
      </c>
      <c r="AI64" t="s">
        <v>56</v>
      </c>
      <c r="AJ64">
        <v>12</v>
      </c>
      <c r="AK64" t="str">
        <f t="shared" si="9"/>
        <v>11-12%</v>
      </c>
      <c r="AL64">
        <v>3</v>
      </c>
      <c r="AM64" t="s">
        <v>68</v>
      </c>
      <c r="AN64">
        <v>4</v>
      </c>
      <c r="AO64" t="s">
        <v>65</v>
      </c>
      <c r="AP64">
        <v>80</v>
      </c>
      <c r="AQ64">
        <v>1</v>
      </c>
      <c r="AR64">
        <v>29</v>
      </c>
      <c r="AS64" t="str">
        <f t="shared" si="10"/>
        <v>21-40</v>
      </c>
      <c r="AT64">
        <v>2</v>
      </c>
      <c r="AU64" t="str">
        <f t="shared" si="11"/>
        <v>0-2</v>
      </c>
      <c r="AV64">
        <v>2</v>
      </c>
      <c r="AW64" t="s">
        <v>84</v>
      </c>
      <c r="AX64">
        <v>27</v>
      </c>
      <c r="AY64" t="str">
        <f t="shared" si="0"/>
        <v>21-40</v>
      </c>
      <c r="AZ64">
        <v>3</v>
      </c>
      <c r="BA64" t="str">
        <f t="shared" si="12"/>
        <v>2-5</v>
      </c>
      <c r="BB64">
        <v>13</v>
      </c>
      <c r="BC64" t="str">
        <f t="shared" si="13"/>
        <v>11-15</v>
      </c>
      <c r="BD64">
        <v>8</v>
      </c>
      <c r="BE64" t="str">
        <f t="shared" si="14"/>
        <v>6-10</v>
      </c>
    </row>
    <row r="65" spans="1:57" x14ac:dyDescent="0.3">
      <c r="A65">
        <v>81</v>
      </c>
      <c r="B65">
        <v>59</v>
      </c>
      <c r="C65" t="str">
        <f t="shared" si="1"/>
        <v>56+</v>
      </c>
      <c r="D65" t="s">
        <v>71</v>
      </c>
      <c r="E65">
        <f t="shared" si="2"/>
        <v>0</v>
      </c>
      <c r="F65" t="s">
        <v>57</v>
      </c>
      <c r="G65">
        <v>1435</v>
      </c>
      <c r="H65" t="str">
        <f t="shared" si="3"/>
        <v>1001-1499</v>
      </c>
      <c r="I65" t="s">
        <v>58</v>
      </c>
      <c r="J65">
        <v>25</v>
      </c>
      <c r="K65" t="str">
        <f t="shared" si="4"/>
        <v>21-29</v>
      </c>
      <c r="L65">
        <v>3</v>
      </c>
      <c r="M65" t="s">
        <v>85</v>
      </c>
      <c r="N65" t="s">
        <v>60</v>
      </c>
      <c r="O65">
        <v>1</v>
      </c>
      <c r="P65">
        <v>1</v>
      </c>
      <c r="Q65" t="s">
        <v>69</v>
      </c>
      <c r="R65" t="s">
        <v>62</v>
      </c>
      <c r="S65">
        <v>99</v>
      </c>
      <c r="T65" t="str">
        <f t="shared" si="5"/>
        <v>76-100</v>
      </c>
      <c r="U65">
        <v>3</v>
      </c>
      <c r="V65" t="s">
        <v>63</v>
      </c>
      <c r="W65">
        <v>3</v>
      </c>
      <c r="X65" t="s">
        <v>64</v>
      </c>
      <c r="Y65">
        <v>1</v>
      </c>
      <c r="Z65" t="s">
        <v>69</v>
      </c>
      <c r="AA65" t="s">
        <v>66</v>
      </c>
      <c r="AB65" s="4">
        <v>7637</v>
      </c>
      <c r="AC65" s="4" t="str">
        <f t="shared" si="6"/>
        <v>$7,000-$8,500</v>
      </c>
      <c r="AD65">
        <v>2354</v>
      </c>
      <c r="AE65" t="str">
        <f t="shared" si="7"/>
        <v>$2,094-$8,000</v>
      </c>
      <c r="AF65">
        <v>7</v>
      </c>
      <c r="AG65" t="str">
        <f t="shared" si="8"/>
        <v>7-9</v>
      </c>
      <c r="AH65" t="s">
        <v>67</v>
      </c>
      <c r="AI65" t="s">
        <v>71</v>
      </c>
      <c r="AJ65">
        <v>11</v>
      </c>
      <c r="AK65" t="str">
        <f t="shared" si="9"/>
        <v>11-12%</v>
      </c>
      <c r="AL65">
        <v>3</v>
      </c>
      <c r="AM65" t="s">
        <v>68</v>
      </c>
      <c r="AN65">
        <v>4</v>
      </c>
      <c r="AO65" t="s">
        <v>65</v>
      </c>
      <c r="AP65">
        <v>80</v>
      </c>
      <c r="AQ65">
        <v>0</v>
      </c>
      <c r="AR65">
        <v>28</v>
      </c>
      <c r="AS65" t="str">
        <f t="shared" si="10"/>
        <v>21-40</v>
      </c>
      <c r="AT65">
        <v>3</v>
      </c>
      <c r="AU65" t="str">
        <f t="shared" si="11"/>
        <v>3-4</v>
      </c>
      <c r="AV65">
        <v>2</v>
      </c>
      <c r="AW65" t="s">
        <v>84</v>
      </c>
      <c r="AX65">
        <v>21</v>
      </c>
      <c r="AY65" t="str">
        <f t="shared" si="0"/>
        <v>21-40</v>
      </c>
      <c r="AZ65">
        <v>16</v>
      </c>
      <c r="BA65" t="str">
        <f t="shared" si="12"/>
        <v>11-18</v>
      </c>
      <c r="BB65">
        <v>7</v>
      </c>
      <c r="BC65" t="str">
        <f t="shared" si="13"/>
        <v>6-10</v>
      </c>
      <c r="BD65">
        <v>9</v>
      </c>
      <c r="BE65" t="str">
        <f t="shared" si="14"/>
        <v>6-10</v>
      </c>
    </row>
    <row r="66" spans="1:57" x14ac:dyDescent="0.3">
      <c r="A66">
        <v>83</v>
      </c>
      <c r="B66">
        <v>36</v>
      </c>
      <c r="C66" t="str">
        <f t="shared" si="1"/>
        <v>36-45</v>
      </c>
      <c r="D66" t="s">
        <v>71</v>
      </c>
      <c r="E66">
        <f t="shared" si="2"/>
        <v>0</v>
      </c>
      <c r="F66" t="s">
        <v>57</v>
      </c>
      <c r="G66">
        <v>1223</v>
      </c>
      <c r="H66" t="str">
        <f t="shared" si="3"/>
        <v>1001-1499</v>
      </c>
      <c r="I66" t="s">
        <v>73</v>
      </c>
      <c r="J66">
        <v>8</v>
      </c>
      <c r="K66" t="str">
        <f t="shared" si="4"/>
        <v>6-10</v>
      </c>
      <c r="L66">
        <v>3</v>
      </c>
      <c r="M66" t="s">
        <v>85</v>
      </c>
      <c r="N66" t="s">
        <v>95</v>
      </c>
      <c r="O66">
        <v>1</v>
      </c>
      <c r="P66">
        <v>3</v>
      </c>
      <c r="Q66" t="s">
        <v>63</v>
      </c>
      <c r="R66" t="s">
        <v>62</v>
      </c>
      <c r="S66">
        <v>59</v>
      </c>
      <c r="T66" t="str">
        <f t="shared" si="5"/>
        <v>51-75</v>
      </c>
      <c r="U66">
        <v>3</v>
      </c>
      <c r="V66" t="s">
        <v>63</v>
      </c>
      <c r="W66">
        <v>3</v>
      </c>
      <c r="X66" t="s">
        <v>88</v>
      </c>
      <c r="Y66">
        <v>3</v>
      </c>
      <c r="Z66" t="s">
        <v>63</v>
      </c>
      <c r="AA66" t="s">
        <v>86</v>
      </c>
      <c r="AB66" s="4">
        <v>10096</v>
      </c>
      <c r="AC66" s="4" t="str">
        <f t="shared" si="6"/>
        <v>$10,000-$11,500</v>
      </c>
      <c r="AD66">
        <v>8202</v>
      </c>
      <c r="AE66" t="str">
        <f t="shared" si="7"/>
        <v>$8,001-$16,000</v>
      </c>
      <c r="AF66">
        <v>1</v>
      </c>
      <c r="AG66" t="str">
        <f t="shared" si="8"/>
        <v>0-1</v>
      </c>
      <c r="AH66" t="s">
        <v>67</v>
      </c>
      <c r="AI66" t="s">
        <v>71</v>
      </c>
      <c r="AJ66">
        <v>13</v>
      </c>
      <c r="AK66" t="str">
        <f t="shared" si="9"/>
        <v>13-15%</v>
      </c>
      <c r="AL66">
        <v>3</v>
      </c>
      <c r="AM66" t="s">
        <v>68</v>
      </c>
      <c r="AN66">
        <v>2</v>
      </c>
      <c r="AO66" t="s">
        <v>61</v>
      </c>
      <c r="AP66">
        <v>80</v>
      </c>
      <c r="AQ66">
        <v>3</v>
      </c>
      <c r="AR66">
        <v>17</v>
      </c>
      <c r="AS66" t="str">
        <f t="shared" si="10"/>
        <v>11-20</v>
      </c>
      <c r="AT66">
        <v>2</v>
      </c>
      <c r="AU66" t="str">
        <f t="shared" si="11"/>
        <v>0-2</v>
      </c>
      <c r="AV66">
        <v>3</v>
      </c>
      <c r="AW66" t="s">
        <v>79</v>
      </c>
      <c r="AX66">
        <v>17</v>
      </c>
      <c r="AY66" t="str">
        <f t="shared" ref="AY66:AY129" si="15">IF(AX66&lt;=1,"0-1",IF(AX66&lt;=5,"2-5",IF(AX66&lt;=10,"6-10",IF(AX66&lt;=20,"11-20","21-40"))))</f>
        <v>11-20</v>
      </c>
      <c r="AZ66">
        <v>14</v>
      </c>
      <c r="BA66" t="str">
        <f t="shared" si="12"/>
        <v>11-18</v>
      </c>
      <c r="BB66">
        <v>12</v>
      </c>
      <c r="BC66" t="str">
        <f t="shared" si="13"/>
        <v>11-15</v>
      </c>
      <c r="BD66">
        <v>8</v>
      </c>
      <c r="BE66" t="str">
        <f t="shared" si="14"/>
        <v>6-10</v>
      </c>
    </row>
    <row r="67" spans="1:57" x14ac:dyDescent="0.3">
      <c r="A67">
        <v>84</v>
      </c>
      <c r="B67">
        <v>55</v>
      </c>
      <c r="C67" t="str">
        <f t="shared" ref="C67:C130" si="16">IF(B67&lt;=25, "18-25", IF(B67&lt;=35, "26-35", IF(B67&lt;=45, "36-45", IF(B67&lt;=55, "46-55", "56+"))))</f>
        <v>46-55</v>
      </c>
      <c r="D67" t="s">
        <v>71</v>
      </c>
      <c r="E67">
        <f t="shared" ref="E67:E130" si="17">IF(D67="Yes",1,0)</f>
        <v>0</v>
      </c>
      <c r="F67" t="s">
        <v>57</v>
      </c>
      <c r="G67">
        <v>836</v>
      </c>
      <c r="H67" t="str">
        <f t="shared" ref="H67:H130" si="18">IF(G67&lt;=500,"102-500",IF(G67&lt;=1000,"501-1000","1001-1499"))</f>
        <v>501-1000</v>
      </c>
      <c r="I67" t="s">
        <v>73</v>
      </c>
      <c r="J67">
        <v>8</v>
      </c>
      <c r="K67" t="str">
        <f t="shared" ref="K67:K130" si="19">IF(J67&lt;=5,"1-5",IF(J67&lt;=10,"6-10",IF(J67&lt;=20,"11-20","21-29")))</f>
        <v>6-10</v>
      </c>
      <c r="L67">
        <v>3</v>
      </c>
      <c r="M67" t="s">
        <v>85</v>
      </c>
      <c r="N67" t="s">
        <v>83</v>
      </c>
      <c r="O67">
        <v>1</v>
      </c>
      <c r="P67">
        <v>4</v>
      </c>
      <c r="Q67" t="s">
        <v>65</v>
      </c>
      <c r="R67" t="s">
        <v>62</v>
      </c>
      <c r="S67">
        <v>33</v>
      </c>
      <c r="T67" t="str">
        <f t="shared" ref="T67:T130" si="20">IF(S67&lt;=50,"30-50",IF(S67&lt;=75,"51-75","76-100"))</f>
        <v>30-50</v>
      </c>
      <c r="U67">
        <v>3</v>
      </c>
      <c r="V67" t="s">
        <v>63</v>
      </c>
      <c r="W67">
        <v>4</v>
      </c>
      <c r="X67" t="s">
        <v>90</v>
      </c>
      <c r="Y67">
        <v>3</v>
      </c>
      <c r="Z67" t="s">
        <v>63</v>
      </c>
      <c r="AA67" t="s">
        <v>86</v>
      </c>
      <c r="AB67" s="4">
        <v>14756</v>
      </c>
      <c r="AC67" s="4" t="str">
        <f t="shared" ref="AC67:AC130" si="21">IF(AB67&lt;2500,"$1,000-$2,500",IF(AB67&lt;4000,"$2,500-$4,000",IF(AB67&lt;5500,"$4,000-$5,500",IF(AB67&lt;7000,"$5,500-$7,000",IF(AB67&lt;8500,"$7,000-$8,500",IF(AB67&lt;10000,"$8,500-$10,000",IF(AB67&lt;11500,"$10,000-$11,500",IF(AB67&lt;13000,"$11,500-$13,000",IF(AB67&lt;14500,"$13,000-$14,500",IF(AB67&lt;16000,"$14,500-$16,000",IF(AB67&lt;17500,"$16,000-$17,500",IF(AB67&lt;19000,"$17,500-$19,000",IF(AB67&lt;20500,"$19,000-$20,500",IF(AB67&lt;22000,"$20,500-$22,000",IF(AB67&lt;23500,"$22,000-$23,500",IF(AB67&lt;25000,"$23,500-$25,000",IF(AB67&lt;26500,"$25,000-$26,500",IF(AB67&lt;28000,"$26,500-$28,000",IF(AB67&lt;29500,"$28,000-$29,500","$29,500+")))))))))))))))))))</f>
        <v>$14,500-$16,000</v>
      </c>
      <c r="AD67">
        <v>19730</v>
      </c>
      <c r="AE67" t="str">
        <f t="shared" ref="AE67:AE130" si="22">IF(AD67&lt;=8000,"$2,094-$8,000",IF(AD67&lt;=16000,"$8,001-$16,000",IF(AD67&lt;=22000,"$16,001-$22,000","$22,001-$26,999")))</f>
        <v>$16,001-$22,000</v>
      </c>
      <c r="AF67">
        <v>2</v>
      </c>
      <c r="AG67" t="str">
        <f t="shared" ref="AG67:AG130" si="23">IF(AF67&lt;=1,"0-1",IF(AF67&lt;=3,"2-3",IF(AF67&lt;=6,"4-6","7-9")))</f>
        <v>2-3</v>
      </c>
      <c r="AH67" t="s">
        <v>67</v>
      </c>
      <c r="AI67" t="s">
        <v>56</v>
      </c>
      <c r="AJ67">
        <v>14</v>
      </c>
      <c r="AK67" t="str">
        <f t="shared" ref="AK67:AK130" si="24">IF(AJ67&lt;=12,"11-12%",IF(AJ67&lt;=15,"13-15%",IF(AJ67&lt;=17,"16-17%","18-19%")))</f>
        <v>13-15%</v>
      </c>
      <c r="AL67">
        <v>3</v>
      </c>
      <c r="AM67" t="s">
        <v>68</v>
      </c>
      <c r="AN67">
        <v>3</v>
      </c>
      <c r="AO67" t="s">
        <v>63</v>
      </c>
      <c r="AP67">
        <v>80</v>
      </c>
      <c r="AQ67">
        <v>3</v>
      </c>
      <c r="AR67">
        <v>21</v>
      </c>
      <c r="AS67" t="str">
        <f t="shared" ref="AS67:AS130" si="25">IF(AR67&lt;=2,"0-2",IF(AR67&lt;=5,"3-5",IF(AR67&lt;=10,"6-10",IF(AR67&lt;=20,"11-20","21-40"))))</f>
        <v>21-40</v>
      </c>
      <c r="AT67">
        <v>2</v>
      </c>
      <c r="AU67" t="str">
        <f t="shared" ref="AU67:AU130" si="26">IF(AT67&lt;=2,"0-2",IF(AT67&lt;=4,"3-4","5-6"))</f>
        <v>0-2</v>
      </c>
      <c r="AV67">
        <v>3</v>
      </c>
      <c r="AW67" t="s">
        <v>79</v>
      </c>
      <c r="AX67">
        <v>5</v>
      </c>
      <c r="AY67" t="str">
        <f t="shared" si="15"/>
        <v>2-5</v>
      </c>
      <c r="AZ67">
        <v>0</v>
      </c>
      <c r="BA67" t="str">
        <f t="shared" ref="BA67:BA130" si="27">IF(AZ67&lt;=1,"0-1",IF(AZ67&lt;=5,"2-5",IF(AZ67&lt;=10,"6-10","11-18")))</f>
        <v>0-1</v>
      </c>
      <c r="BB67">
        <v>0</v>
      </c>
      <c r="BC67" t="str">
        <f t="shared" ref="BC67:BC130" si="28">IF(BB67&lt;=1,"0-1",IF(BB67&lt;=5,"2-5",IF(BB67&lt;=10,"6-10","11-15")))</f>
        <v>0-1</v>
      </c>
      <c r="BD67">
        <v>2</v>
      </c>
      <c r="BE67" t="str">
        <f t="shared" ref="BE67:BE130" si="29">IF(BD67&lt;=1,"0-1",IF(BD67&lt;=5,"2-5",IF(BD67&lt;=10,"6-10","11-17")))</f>
        <v>2-5</v>
      </c>
    </row>
    <row r="68" spans="1:57" x14ac:dyDescent="0.3">
      <c r="A68">
        <v>85</v>
      </c>
      <c r="B68">
        <v>36</v>
      </c>
      <c r="C68" t="str">
        <f t="shared" si="16"/>
        <v>36-45</v>
      </c>
      <c r="D68" t="s">
        <v>71</v>
      </c>
      <c r="E68">
        <f t="shared" si="17"/>
        <v>0</v>
      </c>
      <c r="F68" t="s">
        <v>72</v>
      </c>
      <c r="G68">
        <v>1195</v>
      </c>
      <c r="H68" t="str">
        <f t="shared" si="18"/>
        <v>1001-1499</v>
      </c>
      <c r="I68" t="s">
        <v>73</v>
      </c>
      <c r="J68">
        <v>11</v>
      </c>
      <c r="K68" t="str">
        <f t="shared" si="19"/>
        <v>11-20</v>
      </c>
      <c r="L68">
        <v>3</v>
      </c>
      <c r="M68" t="s">
        <v>85</v>
      </c>
      <c r="N68" t="s">
        <v>60</v>
      </c>
      <c r="O68">
        <v>1</v>
      </c>
      <c r="P68">
        <v>2</v>
      </c>
      <c r="Q68" t="s">
        <v>61</v>
      </c>
      <c r="R68" t="s">
        <v>75</v>
      </c>
      <c r="S68">
        <v>95</v>
      </c>
      <c r="T68" t="str">
        <f t="shared" si="20"/>
        <v>76-100</v>
      </c>
      <c r="U68">
        <v>2</v>
      </c>
      <c r="V68" t="s">
        <v>61</v>
      </c>
      <c r="W68">
        <v>2</v>
      </c>
      <c r="X68" t="s">
        <v>87</v>
      </c>
      <c r="Y68">
        <v>2</v>
      </c>
      <c r="Z68" t="s">
        <v>61</v>
      </c>
      <c r="AA68" t="s">
        <v>66</v>
      </c>
      <c r="AB68" s="4">
        <v>6499</v>
      </c>
      <c r="AC68" s="4" t="str">
        <f t="shared" si="21"/>
        <v>$5,500-$7,000</v>
      </c>
      <c r="AD68">
        <v>22656</v>
      </c>
      <c r="AE68" t="str">
        <f t="shared" si="22"/>
        <v>$22,001-$26,999</v>
      </c>
      <c r="AF68">
        <v>1</v>
      </c>
      <c r="AG68" t="str">
        <f t="shared" si="23"/>
        <v>0-1</v>
      </c>
      <c r="AH68" t="s">
        <v>67</v>
      </c>
      <c r="AI68" t="s">
        <v>71</v>
      </c>
      <c r="AJ68">
        <v>13</v>
      </c>
      <c r="AK68" t="str">
        <f t="shared" si="24"/>
        <v>13-15%</v>
      </c>
      <c r="AL68">
        <v>3</v>
      </c>
      <c r="AM68" t="s">
        <v>68</v>
      </c>
      <c r="AN68">
        <v>3</v>
      </c>
      <c r="AO68" t="s">
        <v>63</v>
      </c>
      <c r="AP68">
        <v>80</v>
      </c>
      <c r="AQ68">
        <v>0</v>
      </c>
      <c r="AR68">
        <v>6</v>
      </c>
      <c r="AS68" t="str">
        <f t="shared" si="25"/>
        <v>6-10</v>
      </c>
      <c r="AT68">
        <v>3</v>
      </c>
      <c r="AU68" t="str">
        <f t="shared" si="26"/>
        <v>3-4</v>
      </c>
      <c r="AV68">
        <v>3</v>
      </c>
      <c r="AW68" t="s">
        <v>79</v>
      </c>
      <c r="AX68">
        <v>6</v>
      </c>
      <c r="AY68" t="str">
        <f t="shared" si="15"/>
        <v>6-10</v>
      </c>
      <c r="AZ68">
        <v>5</v>
      </c>
      <c r="BA68" t="str">
        <f t="shared" si="27"/>
        <v>2-5</v>
      </c>
      <c r="BB68">
        <v>0</v>
      </c>
      <c r="BC68" t="str">
        <f t="shared" si="28"/>
        <v>0-1</v>
      </c>
      <c r="BD68">
        <v>3</v>
      </c>
      <c r="BE68" t="str">
        <f t="shared" si="29"/>
        <v>2-5</v>
      </c>
    </row>
    <row r="69" spans="1:57" x14ac:dyDescent="0.3">
      <c r="A69">
        <v>86</v>
      </c>
      <c r="B69">
        <v>45</v>
      </c>
      <c r="C69" t="str">
        <f t="shared" si="16"/>
        <v>36-45</v>
      </c>
      <c r="D69" t="s">
        <v>71</v>
      </c>
      <c r="E69">
        <f t="shared" si="17"/>
        <v>0</v>
      </c>
      <c r="F69" t="s">
        <v>57</v>
      </c>
      <c r="G69">
        <v>1339</v>
      </c>
      <c r="H69" t="str">
        <f t="shared" si="18"/>
        <v>1001-1499</v>
      </c>
      <c r="I69" t="s">
        <v>73</v>
      </c>
      <c r="J69">
        <v>7</v>
      </c>
      <c r="K69" t="str">
        <f t="shared" si="19"/>
        <v>6-10</v>
      </c>
      <c r="L69">
        <v>3</v>
      </c>
      <c r="M69" t="s">
        <v>85</v>
      </c>
      <c r="N69" t="s">
        <v>60</v>
      </c>
      <c r="O69">
        <v>1</v>
      </c>
      <c r="P69">
        <v>2</v>
      </c>
      <c r="Q69" t="s">
        <v>61</v>
      </c>
      <c r="R69" t="s">
        <v>75</v>
      </c>
      <c r="S69">
        <v>59</v>
      </c>
      <c r="T69" t="str">
        <f t="shared" si="20"/>
        <v>51-75</v>
      </c>
      <c r="U69">
        <v>3</v>
      </c>
      <c r="V69" t="s">
        <v>63</v>
      </c>
      <c r="W69">
        <v>3</v>
      </c>
      <c r="X69" t="s">
        <v>76</v>
      </c>
      <c r="Y69">
        <v>1</v>
      </c>
      <c r="Z69" t="s">
        <v>69</v>
      </c>
      <c r="AA69" t="s">
        <v>86</v>
      </c>
      <c r="AB69" s="4">
        <v>9724</v>
      </c>
      <c r="AC69" s="4" t="str">
        <f t="shared" si="21"/>
        <v>$8,500-$10,000</v>
      </c>
      <c r="AD69">
        <v>18787</v>
      </c>
      <c r="AE69" t="str">
        <f t="shared" si="22"/>
        <v>$16,001-$22,000</v>
      </c>
      <c r="AF69">
        <v>2</v>
      </c>
      <c r="AG69" t="str">
        <f t="shared" si="23"/>
        <v>2-3</v>
      </c>
      <c r="AH69" t="s">
        <v>67</v>
      </c>
      <c r="AI69" t="s">
        <v>71</v>
      </c>
      <c r="AJ69">
        <v>17</v>
      </c>
      <c r="AK69" t="str">
        <f t="shared" si="24"/>
        <v>16-17%</v>
      </c>
      <c r="AL69">
        <v>3</v>
      </c>
      <c r="AM69" t="s">
        <v>68</v>
      </c>
      <c r="AN69">
        <v>3</v>
      </c>
      <c r="AO69" t="s">
        <v>63</v>
      </c>
      <c r="AP69">
        <v>80</v>
      </c>
      <c r="AQ69">
        <v>1</v>
      </c>
      <c r="AR69">
        <v>25</v>
      </c>
      <c r="AS69" t="str">
        <f t="shared" si="25"/>
        <v>21-40</v>
      </c>
      <c r="AT69">
        <v>2</v>
      </c>
      <c r="AU69" t="str">
        <f t="shared" si="26"/>
        <v>0-2</v>
      </c>
      <c r="AV69">
        <v>3</v>
      </c>
      <c r="AW69" t="s">
        <v>79</v>
      </c>
      <c r="AX69">
        <v>1</v>
      </c>
      <c r="AY69" t="str">
        <f t="shared" si="15"/>
        <v>0-1</v>
      </c>
      <c r="AZ69">
        <v>0</v>
      </c>
      <c r="BA69" t="str">
        <f t="shared" si="27"/>
        <v>0-1</v>
      </c>
      <c r="BB69">
        <v>0</v>
      </c>
      <c r="BC69" t="str">
        <f t="shared" si="28"/>
        <v>0-1</v>
      </c>
      <c r="BD69">
        <v>0</v>
      </c>
      <c r="BE69" t="str">
        <f t="shared" si="29"/>
        <v>0-1</v>
      </c>
    </row>
    <row r="70" spans="1:57" x14ac:dyDescent="0.3">
      <c r="A70">
        <v>88</v>
      </c>
      <c r="B70">
        <v>35</v>
      </c>
      <c r="C70" t="str">
        <f t="shared" si="16"/>
        <v>26-35</v>
      </c>
      <c r="D70" t="s">
        <v>71</v>
      </c>
      <c r="E70">
        <f t="shared" si="17"/>
        <v>0</v>
      </c>
      <c r="F70" t="s">
        <v>72</v>
      </c>
      <c r="G70">
        <v>664</v>
      </c>
      <c r="H70" t="str">
        <f t="shared" si="18"/>
        <v>501-1000</v>
      </c>
      <c r="I70" t="s">
        <v>73</v>
      </c>
      <c r="J70">
        <v>1</v>
      </c>
      <c r="K70" t="str">
        <f t="shared" si="19"/>
        <v>1-5</v>
      </c>
      <c r="L70">
        <v>3</v>
      </c>
      <c r="M70" t="s">
        <v>85</v>
      </c>
      <c r="N70" t="s">
        <v>83</v>
      </c>
      <c r="O70">
        <v>1</v>
      </c>
      <c r="P70">
        <v>2</v>
      </c>
      <c r="Q70" t="s">
        <v>61</v>
      </c>
      <c r="R70" t="s">
        <v>75</v>
      </c>
      <c r="S70">
        <v>79</v>
      </c>
      <c r="T70" t="str">
        <f t="shared" si="20"/>
        <v>76-100</v>
      </c>
      <c r="U70">
        <v>3</v>
      </c>
      <c r="V70" t="s">
        <v>63</v>
      </c>
      <c r="W70">
        <v>1</v>
      </c>
      <c r="X70" t="s">
        <v>76</v>
      </c>
      <c r="Y70">
        <v>1</v>
      </c>
      <c r="Z70" t="s">
        <v>69</v>
      </c>
      <c r="AA70" t="s">
        <v>77</v>
      </c>
      <c r="AB70" s="4">
        <v>2194</v>
      </c>
      <c r="AC70" s="4" t="str">
        <f t="shared" si="21"/>
        <v>$1,000-$2,500</v>
      </c>
      <c r="AD70">
        <v>5868</v>
      </c>
      <c r="AE70" t="str">
        <f t="shared" si="22"/>
        <v>$2,094-$8,000</v>
      </c>
      <c r="AF70">
        <v>4</v>
      </c>
      <c r="AG70" t="str">
        <f t="shared" si="23"/>
        <v>4-6</v>
      </c>
      <c r="AH70" t="s">
        <v>67</v>
      </c>
      <c r="AI70" t="s">
        <v>71</v>
      </c>
      <c r="AJ70">
        <v>13</v>
      </c>
      <c r="AK70" t="str">
        <f t="shared" si="24"/>
        <v>13-15%</v>
      </c>
      <c r="AL70">
        <v>3</v>
      </c>
      <c r="AM70" t="s">
        <v>68</v>
      </c>
      <c r="AN70">
        <v>4</v>
      </c>
      <c r="AO70" t="s">
        <v>65</v>
      </c>
      <c r="AP70">
        <v>80</v>
      </c>
      <c r="AQ70">
        <v>1</v>
      </c>
      <c r="AR70">
        <v>5</v>
      </c>
      <c r="AS70" t="str">
        <f t="shared" si="25"/>
        <v>3-5</v>
      </c>
      <c r="AT70">
        <v>2</v>
      </c>
      <c r="AU70" t="str">
        <f t="shared" si="26"/>
        <v>0-2</v>
      </c>
      <c r="AV70">
        <v>2</v>
      </c>
      <c r="AW70" t="s">
        <v>84</v>
      </c>
      <c r="AX70">
        <v>3</v>
      </c>
      <c r="AY70" t="str">
        <f t="shared" si="15"/>
        <v>2-5</v>
      </c>
      <c r="AZ70">
        <v>2</v>
      </c>
      <c r="BA70" t="str">
        <f t="shared" si="27"/>
        <v>2-5</v>
      </c>
      <c r="BB70">
        <v>1</v>
      </c>
      <c r="BC70" t="str">
        <f t="shared" si="28"/>
        <v>0-1</v>
      </c>
      <c r="BD70">
        <v>2</v>
      </c>
      <c r="BE70" t="str">
        <f t="shared" si="29"/>
        <v>2-5</v>
      </c>
    </row>
    <row r="71" spans="1:57" x14ac:dyDescent="0.3">
      <c r="A71">
        <v>90</v>
      </c>
      <c r="B71">
        <v>36</v>
      </c>
      <c r="C71" t="str">
        <f t="shared" si="16"/>
        <v>36-45</v>
      </c>
      <c r="D71" t="s">
        <v>56</v>
      </c>
      <c r="E71">
        <f t="shared" si="17"/>
        <v>1</v>
      </c>
      <c r="F71" t="s">
        <v>57</v>
      </c>
      <c r="G71">
        <v>318</v>
      </c>
      <c r="H71" t="str">
        <f t="shared" si="18"/>
        <v>102-500</v>
      </c>
      <c r="I71" t="s">
        <v>73</v>
      </c>
      <c r="J71">
        <v>9</v>
      </c>
      <c r="K71" t="str">
        <f t="shared" si="19"/>
        <v>6-10</v>
      </c>
      <c r="L71">
        <v>3</v>
      </c>
      <c r="M71" t="s">
        <v>85</v>
      </c>
      <c r="N71" t="s">
        <v>83</v>
      </c>
      <c r="O71">
        <v>1</v>
      </c>
      <c r="P71">
        <v>4</v>
      </c>
      <c r="Q71" t="s">
        <v>65</v>
      </c>
      <c r="R71" t="s">
        <v>75</v>
      </c>
      <c r="S71">
        <v>79</v>
      </c>
      <c r="T71" t="str">
        <f t="shared" si="20"/>
        <v>76-100</v>
      </c>
      <c r="U71">
        <v>2</v>
      </c>
      <c r="V71" t="s">
        <v>61</v>
      </c>
      <c r="W71">
        <v>1</v>
      </c>
      <c r="X71" t="s">
        <v>76</v>
      </c>
      <c r="Y71">
        <v>3</v>
      </c>
      <c r="Z71" t="s">
        <v>63</v>
      </c>
      <c r="AA71" t="s">
        <v>77</v>
      </c>
      <c r="AB71" s="4">
        <v>3388</v>
      </c>
      <c r="AC71" s="4" t="str">
        <f t="shared" si="21"/>
        <v>$2,500-$4,000</v>
      </c>
      <c r="AD71">
        <v>21777</v>
      </c>
      <c r="AE71" t="str">
        <f t="shared" si="22"/>
        <v>$16,001-$22,000</v>
      </c>
      <c r="AF71">
        <v>0</v>
      </c>
      <c r="AG71" t="str">
        <f t="shared" si="23"/>
        <v>0-1</v>
      </c>
      <c r="AH71" t="s">
        <v>67</v>
      </c>
      <c r="AI71" t="s">
        <v>56</v>
      </c>
      <c r="AJ71">
        <v>17</v>
      </c>
      <c r="AK71" t="str">
        <f t="shared" si="24"/>
        <v>16-17%</v>
      </c>
      <c r="AL71">
        <v>3</v>
      </c>
      <c r="AM71" t="s">
        <v>68</v>
      </c>
      <c r="AN71">
        <v>1</v>
      </c>
      <c r="AO71" t="s">
        <v>69</v>
      </c>
      <c r="AP71">
        <v>80</v>
      </c>
      <c r="AQ71">
        <v>1</v>
      </c>
      <c r="AR71">
        <v>2</v>
      </c>
      <c r="AS71" t="str">
        <f t="shared" si="25"/>
        <v>0-2</v>
      </c>
      <c r="AT71">
        <v>0</v>
      </c>
      <c r="AU71" t="str">
        <f t="shared" si="26"/>
        <v>0-2</v>
      </c>
      <c r="AV71">
        <v>2</v>
      </c>
      <c r="AW71" t="s">
        <v>84</v>
      </c>
      <c r="AX71">
        <v>1</v>
      </c>
      <c r="AY71" t="str">
        <f t="shared" si="15"/>
        <v>0-1</v>
      </c>
      <c r="AZ71">
        <v>0</v>
      </c>
      <c r="BA71" t="str">
        <f t="shared" si="27"/>
        <v>0-1</v>
      </c>
      <c r="BB71">
        <v>0</v>
      </c>
      <c r="BC71" t="str">
        <f t="shared" si="28"/>
        <v>0-1</v>
      </c>
      <c r="BD71">
        <v>0</v>
      </c>
      <c r="BE71" t="str">
        <f t="shared" si="29"/>
        <v>0-1</v>
      </c>
    </row>
    <row r="72" spans="1:57" x14ac:dyDescent="0.3">
      <c r="A72">
        <v>91</v>
      </c>
      <c r="B72">
        <v>59</v>
      </c>
      <c r="C72" t="str">
        <f t="shared" si="16"/>
        <v>56+</v>
      </c>
      <c r="D72" t="s">
        <v>71</v>
      </c>
      <c r="E72">
        <f t="shared" si="17"/>
        <v>0</v>
      </c>
      <c r="F72" t="s">
        <v>72</v>
      </c>
      <c r="G72">
        <v>1225</v>
      </c>
      <c r="H72" t="str">
        <f t="shared" si="18"/>
        <v>1001-1499</v>
      </c>
      <c r="I72" t="s">
        <v>58</v>
      </c>
      <c r="J72">
        <v>1</v>
      </c>
      <c r="K72" t="str">
        <f t="shared" si="19"/>
        <v>1-5</v>
      </c>
      <c r="L72">
        <v>1</v>
      </c>
      <c r="M72" t="s">
        <v>74</v>
      </c>
      <c r="N72" t="s">
        <v>60</v>
      </c>
      <c r="O72">
        <v>1</v>
      </c>
      <c r="P72">
        <v>1</v>
      </c>
      <c r="Q72" t="s">
        <v>69</v>
      </c>
      <c r="R72" t="s">
        <v>62</v>
      </c>
      <c r="S72">
        <v>57</v>
      </c>
      <c r="T72" t="str">
        <f t="shared" si="20"/>
        <v>51-75</v>
      </c>
      <c r="U72">
        <v>2</v>
      </c>
      <c r="V72" t="s">
        <v>61</v>
      </c>
      <c r="W72">
        <v>2</v>
      </c>
      <c r="X72" t="s">
        <v>64</v>
      </c>
      <c r="Y72">
        <v>3</v>
      </c>
      <c r="Z72" t="s">
        <v>63</v>
      </c>
      <c r="AA72" t="s">
        <v>66</v>
      </c>
      <c r="AB72" s="4">
        <v>5473</v>
      </c>
      <c r="AC72" s="4" t="str">
        <f t="shared" si="21"/>
        <v>$4,000-$5,500</v>
      </c>
      <c r="AD72">
        <v>24668</v>
      </c>
      <c r="AE72" t="str">
        <f t="shared" si="22"/>
        <v>$22,001-$26,999</v>
      </c>
      <c r="AF72">
        <v>7</v>
      </c>
      <c r="AG72" t="str">
        <f t="shared" si="23"/>
        <v>7-9</v>
      </c>
      <c r="AH72" t="s">
        <v>67</v>
      </c>
      <c r="AI72" t="s">
        <v>71</v>
      </c>
      <c r="AJ72">
        <v>11</v>
      </c>
      <c r="AK72" t="str">
        <f t="shared" si="24"/>
        <v>11-12%</v>
      </c>
      <c r="AL72">
        <v>3</v>
      </c>
      <c r="AM72" t="s">
        <v>68</v>
      </c>
      <c r="AN72">
        <v>4</v>
      </c>
      <c r="AO72" t="s">
        <v>65</v>
      </c>
      <c r="AP72">
        <v>80</v>
      </c>
      <c r="AQ72">
        <v>0</v>
      </c>
      <c r="AR72">
        <v>20</v>
      </c>
      <c r="AS72" t="str">
        <f t="shared" si="25"/>
        <v>11-20</v>
      </c>
      <c r="AT72">
        <v>2</v>
      </c>
      <c r="AU72" t="str">
        <f t="shared" si="26"/>
        <v>0-2</v>
      </c>
      <c r="AV72">
        <v>2</v>
      </c>
      <c r="AW72" t="s">
        <v>84</v>
      </c>
      <c r="AX72">
        <v>4</v>
      </c>
      <c r="AY72" t="str">
        <f t="shared" si="15"/>
        <v>2-5</v>
      </c>
      <c r="AZ72">
        <v>3</v>
      </c>
      <c r="BA72" t="str">
        <f t="shared" si="27"/>
        <v>2-5</v>
      </c>
      <c r="BB72">
        <v>1</v>
      </c>
      <c r="BC72" t="str">
        <f t="shared" si="28"/>
        <v>0-1</v>
      </c>
      <c r="BD72">
        <v>3</v>
      </c>
      <c r="BE72" t="str">
        <f t="shared" si="29"/>
        <v>2-5</v>
      </c>
    </row>
    <row r="73" spans="1:57" x14ac:dyDescent="0.3">
      <c r="A73">
        <v>94</v>
      </c>
      <c r="B73">
        <v>29</v>
      </c>
      <c r="C73" t="str">
        <f t="shared" si="16"/>
        <v>26-35</v>
      </c>
      <c r="D73" t="s">
        <v>71</v>
      </c>
      <c r="E73">
        <f t="shared" si="17"/>
        <v>0</v>
      </c>
      <c r="F73" t="s">
        <v>57</v>
      </c>
      <c r="G73">
        <v>1328</v>
      </c>
      <c r="H73" t="str">
        <f t="shared" si="18"/>
        <v>1001-1499</v>
      </c>
      <c r="I73" t="s">
        <v>73</v>
      </c>
      <c r="J73">
        <v>2</v>
      </c>
      <c r="K73" t="str">
        <f t="shared" si="19"/>
        <v>1-5</v>
      </c>
      <c r="L73">
        <v>3</v>
      </c>
      <c r="M73" t="s">
        <v>85</v>
      </c>
      <c r="N73" t="s">
        <v>60</v>
      </c>
      <c r="O73">
        <v>1</v>
      </c>
      <c r="P73">
        <v>3</v>
      </c>
      <c r="Q73" t="s">
        <v>63</v>
      </c>
      <c r="R73" t="s">
        <v>75</v>
      </c>
      <c r="S73">
        <v>76</v>
      </c>
      <c r="T73" t="str">
        <f t="shared" si="20"/>
        <v>76-100</v>
      </c>
      <c r="U73">
        <v>3</v>
      </c>
      <c r="V73" t="s">
        <v>63</v>
      </c>
      <c r="W73">
        <v>1</v>
      </c>
      <c r="X73" t="s">
        <v>76</v>
      </c>
      <c r="Y73">
        <v>2</v>
      </c>
      <c r="Z73" t="s">
        <v>61</v>
      </c>
      <c r="AA73" t="s">
        <v>77</v>
      </c>
      <c r="AB73" s="4">
        <v>2703</v>
      </c>
      <c r="AC73" s="4" t="str">
        <f t="shared" si="21"/>
        <v>$2,500-$4,000</v>
      </c>
      <c r="AD73">
        <v>4956</v>
      </c>
      <c r="AE73" t="str">
        <f t="shared" si="22"/>
        <v>$2,094-$8,000</v>
      </c>
      <c r="AF73">
        <v>0</v>
      </c>
      <c r="AG73" t="str">
        <f t="shared" si="23"/>
        <v>0-1</v>
      </c>
      <c r="AH73" t="s">
        <v>67</v>
      </c>
      <c r="AI73" t="s">
        <v>71</v>
      </c>
      <c r="AJ73">
        <v>23</v>
      </c>
      <c r="AK73" t="str">
        <f t="shared" si="24"/>
        <v>18-19%</v>
      </c>
      <c r="AL73">
        <v>4</v>
      </c>
      <c r="AM73" t="s">
        <v>78</v>
      </c>
      <c r="AN73">
        <v>4</v>
      </c>
      <c r="AO73" t="s">
        <v>65</v>
      </c>
      <c r="AP73">
        <v>80</v>
      </c>
      <c r="AQ73">
        <v>1</v>
      </c>
      <c r="AR73">
        <v>6</v>
      </c>
      <c r="AS73" t="str">
        <f t="shared" si="25"/>
        <v>6-10</v>
      </c>
      <c r="AT73">
        <v>3</v>
      </c>
      <c r="AU73" t="str">
        <f t="shared" si="26"/>
        <v>3-4</v>
      </c>
      <c r="AV73">
        <v>3</v>
      </c>
      <c r="AW73" t="s">
        <v>79</v>
      </c>
      <c r="AX73">
        <v>5</v>
      </c>
      <c r="AY73" t="str">
        <f t="shared" si="15"/>
        <v>2-5</v>
      </c>
      <c r="AZ73">
        <v>4</v>
      </c>
      <c r="BA73" t="str">
        <f t="shared" si="27"/>
        <v>2-5</v>
      </c>
      <c r="BB73">
        <v>0</v>
      </c>
      <c r="BC73" t="str">
        <f t="shared" si="28"/>
        <v>0-1</v>
      </c>
      <c r="BD73">
        <v>4</v>
      </c>
      <c r="BE73" t="str">
        <f t="shared" si="29"/>
        <v>2-5</v>
      </c>
    </row>
    <row r="74" spans="1:57" x14ac:dyDescent="0.3">
      <c r="A74">
        <v>95</v>
      </c>
      <c r="B74">
        <v>31</v>
      </c>
      <c r="C74" t="str">
        <f t="shared" si="16"/>
        <v>26-35</v>
      </c>
      <c r="D74" t="s">
        <v>71</v>
      </c>
      <c r="E74">
        <f t="shared" si="17"/>
        <v>0</v>
      </c>
      <c r="F74" t="s">
        <v>57</v>
      </c>
      <c r="G74">
        <v>1082</v>
      </c>
      <c r="H74" t="str">
        <f t="shared" si="18"/>
        <v>1001-1499</v>
      </c>
      <c r="I74" t="s">
        <v>73</v>
      </c>
      <c r="J74">
        <v>1</v>
      </c>
      <c r="K74" t="str">
        <f t="shared" si="19"/>
        <v>1-5</v>
      </c>
      <c r="L74">
        <v>4</v>
      </c>
      <c r="M74" t="s">
        <v>82</v>
      </c>
      <c r="N74" t="s">
        <v>83</v>
      </c>
      <c r="O74">
        <v>1</v>
      </c>
      <c r="P74">
        <v>3</v>
      </c>
      <c r="Q74" t="s">
        <v>63</v>
      </c>
      <c r="R74" t="s">
        <v>75</v>
      </c>
      <c r="S74">
        <v>87</v>
      </c>
      <c r="T74" t="str">
        <f t="shared" si="20"/>
        <v>76-100</v>
      </c>
      <c r="U74">
        <v>3</v>
      </c>
      <c r="V74" t="s">
        <v>63</v>
      </c>
      <c r="W74">
        <v>1</v>
      </c>
      <c r="X74" t="s">
        <v>76</v>
      </c>
      <c r="Y74">
        <v>2</v>
      </c>
      <c r="Z74" t="s">
        <v>61</v>
      </c>
      <c r="AA74" t="s">
        <v>66</v>
      </c>
      <c r="AB74" s="4">
        <v>2501</v>
      </c>
      <c r="AC74" s="4" t="str">
        <f t="shared" si="21"/>
        <v>$2,500-$4,000</v>
      </c>
      <c r="AD74">
        <v>18775</v>
      </c>
      <c r="AE74" t="str">
        <f t="shared" si="22"/>
        <v>$16,001-$22,000</v>
      </c>
      <c r="AF74">
        <v>1</v>
      </c>
      <c r="AG74" t="str">
        <f t="shared" si="23"/>
        <v>0-1</v>
      </c>
      <c r="AH74" t="s">
        <v>67</v>
      </c>
      <c r="AI74" t="s">
        <v>71</v>
      </c>
      <c r="AJ74">
        <v>17</v>
      </c>
      <c r="AK74" t="str">
        <f t="shared" si="24"/>
        <v>16-17%</v>
      </c>
      <c r="AL74">
        <v>3</v>
      </c>
      <c r="AM74" t="s">
        <v>68</v>
      </c>
      <c r="AN74">
        <v>2</v>
      </c>
      <c r="AO74" t="s">
        <v>61</v>
      </c>
      <c r="AP74">
        <v>80</v>
      </c>
      <c r="AQ74">
        <v>0</v>
      </c>
      <c r="AR74">
        <v>1</v>
      </c>
      <c r="AS74" t="str">
        <f t="shared" si="25"/>
        <v>0-2</v>
      </c>
      <c r="AT74">
        <v>4</v>
      </c>
      <c r="AU74" t="str">
        <f t="shared" si="26"/>
        <v>3-4</v>
      </c>
      <c r="AV74">
        <v>3</v>
      </c>
      <c r="AW74" t="s">
        <v>79</v>
      </c>
      <c r="AX74">
        <v>1</v>
      </c>
      <c r="AY74" t="str">
        <f t="shared" si="15"/>
        <v>0-1</v>
      </c>
      <c r="AZ74">
        <v>1</v>
      </c>
      <c r="BA74" t="str">
        <f t="shared" si="27"/>
        <v>0-1</v>
      </c>
      <c r="BB74">
        <v>1</v>
      </c>
      <c r="BC74" t="str">
        <f t="shared" si="28"/>
        <v>0-1</v>
      </c>
      <c r="BD74">
        <v>0</v>
      </c>
      <c r="BE74" t="str">
        <f t="shared" si="29"/>
        <v>0-1</v>
      </c>
    </row>
    <row r="75" spans="1:57" x14ac:dyDescent="0.3">
      <c r="A75">
        <v>96</v>
      </c>
      <c r="B75">
        <v>32</v>
      </c>
      <c r="C75" t="str">
        <f t="shared" si="16"/>
        <v>26-35</v>
      </c>
      <c r="D75" t="s">
        <v>71</v>
      </c>
      <c r="E75">
        <f t="shared" si="17"/>
        <v>0</v>
      </c>
      <c r="F75" t="s">
        <v>57</v>
      </c>
      <c r="G75">
        <v>548</v>
      </c>
      <c r="H75" t="str">
        <f t="shared" si="18"/>
        <v>501-1000</v>
      </c>
      <c r="I75" t="s">
        <v>73</v>
      </c>
      <c r="J75">
        <v>1</v>
      </c>
      <c r="K75" t="str">
        <f t="shared" si="19"/>
        <v>1-5</v>
      </c>
      <c r="L75">
        <v>3</v>
      </c>
      <c r="M75" t="s">
        <v>85</v>
      </c>
      <c r="N75" t="s">
        <v>60</v>
      </c>
      <c r="O75">
        <v>1</v>
      </c>
      <c r="P75">
        <v>2</v>
      </c>
      <c r="Q75" t="s">
        <v>61</v>
      </c>
      <c r="R75" t="s">
        <v>75</v>
      </c>
      <c r="S75">
        <v>66</v>
      </c>
      <c r="T75" t="str">
        <f t="shared" si="20"/>
        <v>51-75</v>
      </c>
      <c r="U75">
        <v>3</v>
      </c>
      <c r="V75" t="s">
        <v>63</v>
      </c>
      <c r="W75">
        <v>2</v>
      </c>
      <c r="X75" t="s">
        <v>76</v>
      </c>
      <c r="Y75">
        <v>2</v>
      </c>
      <c r="Z75" t="s">
        <v>61</v>
      </c>
      <c r="AA75" t="s">
        <v>77</v>
      </c>
      <c r="AB75" s="4">
        <v>6220</v>
      </c>
      <c r="AC75" s="4" t="str">
        <f t="shared" si="21"/>
        <v>$5,500-$7,000</v>
      </c>
      <c r="AD75">
        <v>7346</v>
      </c>
      <c r="AE75" t="str">
        <f t="shared" si="22"/>
        <v>$2,094-$8,000</v>
      </c>
      <c r="AF75">
        <v>1</v>
      </c>
      <c r="AG75" t="str">
        <f t="shared" si="23"/>
        <v>0-1</v>
      </c>
      <c r="AH75" t="s">
        <v>67</v>
      </c>
      <c r="AI75" t="s">
        <v>71</v>
      </c>
      <c r="AJ75">
        <v>17</v>
      </c>
      <c r="AK75" t="str">
        <f t="shared" si="24"/>
        <v>16-17%</v>
      </c>
      <c r="AL75">
        <v>3</v>
      </c>
      <c r="AM75" t="s">
        <v>68</v>
      </c>
      <c r="AN75">
        <v>2</v>
      </c>
      <c r="AO75" t="s">
        <v>61</v>
      </c>
      <c r="AP75">
        <v>80</v>
      </c>
      <c r="AQ75">
        <v>2</v>
      </c>
      <c r="AR75">
        <v>10</v>
      </c>
      <c r="AS75" t="str">
        <f t="shared" si="25"/>
        <v>6-10</v>
      </c>
      <c r="AT75">
        <v>3</v>
      </c>
      <c r="AU75" t="str">
        <f t="shared" si="26"/>
        <v>3-4</v>
      </c>
      <c r="AV75">
        <v>3</v>
      </c>
      <c r="AW75" t="s">
        <v>79</v>
      </c>
      <c r="AX75">
        <v>10</v>
      </c>
      <c r="AY75" t="str">
        <f t="shared" si="15"/>
        <v>6-10</v>
      </c>
      <c r="AZ75">
        <v>4</v>
      </c>
      <c r="BA75" t="str">
        <f t="shared" si="27"/>
        <v>2-5</v>
      </c>
      <c r="BB75">
        <v>0</v>
      </c>
      <c r="BC75" t="str">
        <f t="shared" si="28"/>
        <v>0-1</v>
      </c>
      <c r="BD75">
        <v>9</v>
      </c>
      <c r="BE75" t="str">
        <f t="shared" si="29"/>
        <v>6-10</v>
      </c>
    </row>
    <row r="76" spans="1:57" x14ac:dyDescent="0.3">
      <c r="A76">
        <v>97</v>
      </c>
      <c r="B76">
        <v>36</v>
      </c>
      <c r="C76" t="str">
        <f t="shared" si="16"/>
        <v>36-45</v>
      </c>
      <c r="D76" t="s">
        <v>71</v>
      </c>
      <c r="E76">
        <f t="shared" si="17"/>
        <v>0</v>
      </c>
      <c r="F76" t="s">
        <v>57</v>
      </c>
      <c r="G76">
        <v>132</v>
      </c>
      <c r="H76" t="str">
        <f t="shared" si="18"/>
        <v>102-500</v>
      </c>
      <c r="I76" t="s">
        <v>73</v>
      </c>
      <c r="J76">
        <v>6</v>
      </c>
      <c r="K76" t="str">
        <f t="shared" si="19"/>
        <v>6-10</v>
      </c>
      <c r="L76">
        <v>3</v>
      </c>
      <c r="M76" t="s">
        <v>85</v>
      </c>
      <c r="N76" t="s">
        <v>60</v>
      </c>
      <c r="O76">
        <v>1</v>
      </c>
      <c r="P76">
        <v>2</v>
      </c>
      <c r="Q76" t="s">
        <v>61</v>
      </c>
      <c r="R76" t="s">
        <v>62</v>
      </c>
      <c r="S76">
        <v>55</v>
      </c>
      <c r="T76" t="str">
        <f t="shared" si="20"/>
        <v>51-75</v>
      </c>
      <c r="U76">
        <v>4</v>
      </c>
      <c r="V76" t="s">
        <v>65</v>
      </c>
      <c r="W76">
        <v>1</v>
      </c>
      <c r="X76" t="s">
        <v>81</v>
      </c>
      <c r="Y76">
        <v>4</v>
      </c>
      <c r="Z76" t="s">
        <v>65</v>
      </c>
      <c r="AA76" t="s">
        <v>77</v>
      </c>
      <c r="AB76" s="4">
        <v>3038</v>
      </c>
      <c r="AC76" s="4" t="str">
        <f t="shared" si="21"/>
        <v>$2,500-$4,000</v>
      </c>
      <c r="AD76">
        <v>22002</v>
      </c>
      <c r="AE76" t="str">
        <f t="shared" si="22"/>
        <v>$22,001-$26,999</v>
      </c>
      <c r="AF76">
        <v>3</v>
      </c>
      <c r="AG76" t="str">
        <f t="shared" si="23"/>
        <v>2-3</v>
      </c>
      <c r="AH76" t="s">
        <v>67</v>
      </c>
      <c r="AI76" t="s">
        <v>71</v>
      </c>
      <c r="AJ76">
        <v>12</v>
      </c>
      <c r="AK76" t="str">
        <f t="shared" si="24"/>
        <v>11-12%</v>
      </c>
      <c r="AL76">
        <v>3</v>
      </c>
      <c r="AM76" t="s">
        <v>68</v>
      </c>
      <c r="AN76">
        <v>2</v>
      </c>
      <c r="AO76" t="s">
        <v>61</v>
      </c>
      <c r="AP76">
        <v>80</v>
      </c>
      <c r="AQ76">
        <v>0</v>
      </c>
      <c r="AR76">
        <v>5</v>
      </c>
      <c r="AS76" t="str">
        <f t="shared" si="25"/>
        <v>3-5</v>
      </c>
      <c r="AT76">
        <v>3</v>
      </c>
      <c r="AU76" t="str">
        <f t="shared" si="26"/>
        <v>3-4</v>
      </c>
      <c r="AV76">
        <v>3</v>
      </c>
      <c r="AW76" t="s">
        <v>79</v>
      </c>
      <c r="AX76">
        <v>1</v>
      </c>
      <c r="AY76" t="str">
        <f t="shared" si="15"/>
        <v>0-1</v>
      </c>
      <c r="AZ76">
        <v>0</v>
      </c>
      <c r="BA76" t="str">
        <f t="shared" si="27"/>
        <v>0-1</v>
      </c>
      <c r="BB76">
        <v>0</v>
      </c>
      <c r="BC76" t="str">
        <f t="shared" si="28"/>
        <v>0-1</v>
      </c>
      <c r="BD76">
        <v>0</v>
      </c>
      <c r="BE76" t="str">
        <f t="shared" si="29"/>
        <v>0-1</v>
      </c>
    </row>
    <row r="77" spans="1:57" x14ac:dyDescent="0.3">
      <c r="A77">
        <v>98</v>
      </c>
      <c r="B77">
        <v>31</v>
      </c>
      <c r="C77" t="str">
        <f t="shared" si="16"/>
        <v>26-35</v>
      </c>
      <c r="D77" t="s">
        <v>71</v>
      </c>
      <c r="E77">
        <f t="shared" si="17"/>
        <v>0</v>
      </c>
      <c r="F77" t="s">
        <v>57</v>
      </c>
      <c r="G77">
        <v>746</v>
      </c>
      <c r="H77" t="str">
        <f t="shared" si="18"/>
        <v>501-1000</v>
      </c>
      <c r="I77" t="s">
        <v>73</v>
      </c>
      <c r="J77">
        <v>8</v>
      </c>
      <c r="K77" t="str">
        <f t="shared" si="19"/>
        <v>6-10</v>
      </c>
      <c r="L77">
        <v>4</v>
      </c>
      <c r="M77" t="s">
        <v>82</v>
      </c>
      <c r="N77" t="s">
        <v>60</v>
      </c>
      <c r="O77">
        <v>1</v>
      </c>
      <c r="P77">
        <v>3</v>
      </c>
      <c r="Q77" t="s">
        <v>63</v>
      </c>
      <c r="R77" t="s">
        <v>62</v>
      </c>
      <c r="S77">
        <v>61</v>
      </c>
      <c r="T77" t="str">
        <f t="shared" si="20"/>
        <v>51-75</v>
      </c>
      <c r="U77">
        <v>3</v>
      </c>
      <c r="V77" t="s">
        <v>63</v>
      </c>
      <c r="W77">
        <v>2</v>
      </c>
      <c r="X77" t="s">
        <v>87</v>
      </c>
      <c r="Y77">
        <v>4</v>
      </c>
      <c r="Z77" t="s">
        <v>65</v>
      </c>
      <c r="AA77" t="s">
        <v>66</v>
      </c>
      <c r="AB77" s="4">
        <v>4424</v>
      </c>
      <c r="AC77" s="4" t="str">
        <f t="shared" si="21"/>
        <v>$4,000-$5,500</v>
      </c>
      <c r="AD77">
        <v>20682</v>
      </c>
      <c r="AE77" t="str">
        <f t="shared" si="22"/>
        <v>$16,001-$22,000</v>
      </c>
      <c r="AF77">
        <v>1</v>
      </c>
      <c r="AG77" t="str">
        <f t="shared" si="23"/>
        <v>0-1</v>
      </c>
      <c r="AH77" t="s">
        <v>67</v>
      </c>
      <c r="AI77" t="s">
        <v>71</v>
      </c>
      <c r="AJ77">
        <v>23</v>
      </c>
      <c r="AK77" t="str">
        <f t="shared" si="24"/>
        <v>18-19%</v>
      </c>
      <c r="AL77">
        <v>4</v>
      </c>
      <c r="AM77" t="s">
        <v>78</v>
      </c>
      <c r="AN77">
        <v>4</v>
      </c>
      <c r="AO77" t="s">
        <v>65</v>
      </c>
      <c r="AP77">
        <v>80</v>
      </c>
      <c r="AQ77">
        <v>0</v>
      </c>
      <c r="AR77">
        <v>11</v>
      </c>
      <c r="AS77" t="str">
        <f t="shared" si="25"/>
        <v>11-20</v>
      </c>
      <c r="AT77">
        <v>2</v>
      </c>
      <c r="AU77" t="str">
        <f t="shared" si="26"/>
        <v>0-2</v>
      </c>
      <c r="AV77">
        <v>3</v>
      </c>
      <c r="AW77" t="s">
        <v>79</v>
      </c>
      <c r="AX77">
        <v>11</v>
      </c>
      <c r="AY77" t="str">
        <f t="shared" si="15"/>
        <v>11-20</v>
      </c>
      <c r="AZ77">
        <v>7</v>
      </c>
      <c r="BA77" t="str">
        <f t="shared" si="27"/>
        <v>6-10</v>
      </c>
      <c r="BB77">
        <v>1</v>
      </c>
      <c r="BC77" t="str">
        <f t="shared" si="28"/>
        <v>0-1</v>
      </c>
      <c r="BD77">
        <v>8</v>
      </c>
      <c r="BE77" t="str">
        <f t="shared" si="29"/>
        <v>6-10</v>
      </c>
    </row>
    <row r="78" spans="1:57" x14ac:dyDescent="0.3">
      <c r="A78">
        <v>100</v>
      </c>
      <c r="B78">
        <v>35</v>
      </c>
      <c r="C78" t="str">
        <f t="shared" si="16"/>
        <v>26-35</v>
      </c>
      <c r="D78" t="s">
        <v>71</v>
      </c>
      <c r="E78">
        <f t="shared" si="17"/>
        <v>0</v>
      </c>
      <c r="F78" t="s">
        <v>57</v>
      </c>
      <c r="G78">
        <v>776</v>
      </c>
      <c r="H78" t="str">
        <f t="shared" si="18"/>
        <v>501-1000</v>
      </c>
      <c r="I78" t="s">
        <v>58</v>
      </c>
      <c r="J78">
        <v>1</v>
      </c>
      <c r="K78" t="str">
        <f t="shared" si="19"/>
        <v>1-5</v>
      </c>
      <c r="L78">
        <v>4</v>
      </c>
      <c r="M78" t="s">
        <v>82</v>
      </c>
      <c r="N78" t="s">
        <v>93</v>
      </c>
      <c r="O78">
        <v>1</v>
      </c>
      <c r="P78">
        <v>3</v>
      </c>
      <c r="Q78" t="s">
        <v>63</v>
      </c>
      <c r="R78" t="s">
        <v>75</v>
      </c>
      <c r="S78">
        <v>32</v>
      </c>
      <c r="T78" t="str">
        <f t="shared" si="20"/>
        <v>30-50</v>
      </c>
      <c r="U78">
        <v>2</v>
      </c>
      <c r="V78" t="s">
        <v>61</v>
      </c>
      <c r="W78">
        <v>2</v>
      </c>
      <c r="X78" t="s">
        <v>64</v>
      </c>
      <c r="Y78">
        <v>1</v>
      </c>
      <c r="Z78" t="s">
        <v>69</v>
      </c>
      <c r="AA78" t="s">
        <v>66</v>
      </c>
      <c r="AB78" s="4">
        <v>4312</v>
      </c>
      <c r="AC78" s="4" t="str">
        <f t="shared" si="21"/>
        <v>$4,000-$5,500</v>
      </c>
      <c r="AD78">
        <v>23016</v>
      </c>
      <c r="AE78" t="str">
        <f t="shared" si="22"/>
        <v>$22,001-$26,999</v>
      </c>
      <c r="AF78">
        <v>0</v>
      </c>
      <c r="AG78" t="str">
        <f t="shared" si="23"/>
        <v>0-1</v>
      </c>
      <c r="AH78" t="s">
        <v>67</v>
      </c>
      <c r="AI78" t="s">
        <v>71</v>
      </c>
      <c r="AJ78">
        <v>14</v>
      </c>
      <c r="AK78" t="str">
        <f t="shared" si="24"/>
        <v>13-15%</v>
      </c>
      <c r="AL78">
        <v>3</v>
      </c>
      <c r="AM78" t="s">
        <v>68</v>
      </c>
      <c r="AN78">
        <v>2</v>
      </c>
      <c r="AO78" t="s">
        <v>61</v>
      </c>
      <c r="AP78">
        <v>80</v>
      </c>
      <c r="AQ78">
        <v>0</v>
      </c>
      <c r="AR78">
        <v>16</v>
      </c>
      <c r="AS78" t="str">
        <f t="shared" si="25"/>
        <v>11-20</v>
      </c>
      <c r="AT78">
        <v>2</v>
      </c>
      <c r="AU78" t="str">
        <f t="shared" si="26"/>
        <v>0-2</v>
      </c>
      <c r="AV78">
        <v>3</v>
      </c>
      <c r="AW78" t="s">
        <v>79</v>
      </c>
      <c r="AX78">
        <v>15</v>
      </c>
      <c r="AY78" t="str">
        <f t="shared" si="15"/>
        <v>11-20</v>
      </c>
      <c r="AZ78">
        <v>13</v>
      </c>
      <c r="BA78" t="str">
        <f t="shared" si="27"/>
        <v>11-18</v>
      </c>
      <c r="BB78">
        <v>2</v>
      </c>
      <c r="BC78" t="str">
        <f t="shared" si="28"/>
        <v>2-5</v>
      </c>
      <c r="BD78">
        <v>8</v>
      </c>
      <c r="BE78" t="str">
        <f t="shared" si="29"/>
        <v>6-10</v>
      </c>
    </row>
    <row r="79" spans="1:57" x14ac:dyDescent="0.3">
      <c r="A79">
        <v>101</v>
      </c>
      <c r="B79">
        <v>45</v>
      </c>
      <c r="C79" t="str">
        <f t="shared" si="16"/>
        <v>36-45</v>
      </c>
      <c r="D79" t="s">
        <v>71</v>
      </c>
      <c r="E79">
        <f t="shared" si="17"/>
        <v>0</v>
      </c>
      <c r="F79" t="s">
        <v>57</v>
      </c>
      <c r="G79">
        <v>193</v>
      </c>
      <c r="H79" t="str">
        <f t="shared" si="18"/>
        <v>102-500</v>
      </c>
      <c r="I79" t="s">
        <v>73</v>
      </c>
      <c r="J79">
        <v>6</v>
      </c>
      <c r="K79" t="str">
        <f t="shared" si="19"/>
        <v>6-10</v>
      </c>
      <c r="L79">
        <v>4</v>
      </c>
      <c r="M79" t="s">
        <v>82</v>
      </c>
      <c r="N79" t="s">
        <v>80</v>
      </c>
      <c r="O79">
        <v>1</v>
      </c>
      <c r="P79">
        <v>4</v>
      </c>
      <c r="Q79" t="s">
        <v>65</v>
      </c>
      <c r="R79" t="s">
        <v>75</v>
      </c>
      <c r="S79">
        <v>52</v>
      </c>
      <c r="T79" t="str">
        <f t="shared" si="20"/>
        <v>51-75</v>
      </c>
      <c r="U79">
        <v>3</v>
      </c>
      <c r="V79" t="s">
        <v>63</v>
      </c>
      <c r="W79">
        <v>3</v>
      </c>
      <c r="X79" t="s">
        <v>92</v>
      </c>
      <c r="Y79">
        <v>1</v>
      </c>
      <c r="Z79" t="s">
        <v>69</v>
      </c>
      <c r="AA79" t="s">
        <v>77</v>
      </c>
      <c r="AB79" s="4">
        <v>13245</v>
      </c>
      <c r="AC79" s="4" t="str">
        <f t="shared" si="21"/>
        <v>$13,000-$14,500</v>
      </c>
      <c r="AD79">
        <v>15067</v>
      </c>
      <c r="AE79" t="str">
        <f t="shared" si="22"/>
        <v>$8,001-$16,000</v>
      </c>
      <c r="AF79">
        <v>4</v>
      </c>
      <c r="AG79" t="str">
        <f t="shared" si="23"/>
        <v>4-6</v>
      </c>
      <c r="AH79" t="s">
        <v>67</v>
      </c>
      <c r="AI79" t="s">
        <v>56</v>
      </c>
      <c r="AJ79">
        <v>14</v>
      </c>
      <c r="AK79" t="str">
        <f t="shared" si="24"/>
        <v>13-15%</v>
      </c>
      <c r="AL79">
        <v>3</v>
      </c>
      <c r="AM79" t="s">
        <v>68</v>
      </c>
      <c r="AN79">
        <v>2</v>
      </c>
      <c r="AO79" t="s">
        <v>61</v>
      </c>
      <c r="AP79">
        <v>80</v>
      </c>
      <c r="AQ79">
        <v>0</v>
      </c>
      <c r="AR79">
        <v>17</v>
      </c>
      <c r="AS79" t="str">
        <f t="shared" si="25"/>
        <v>11-20</v>
      </c>
      <c r="AT79">
        <v>3</v>
      </c>
      <c r="AU79" t="str">
        <f t="shared" si="26"/>
        <v>3-4</v>
      </c>
      <c r="AV79">
        <v>4</v>
      </c>
      <c r="AW79" t="s">
        <v>94</v>
      </c>
      <c r="AX79">
        <v>0</v>
      </c>
      <c r="AY79" t="str">
        <f t="shared" si="15"/>
        <v>0-1</v>
      </c>
      <c r="AZ79">
        <v>0</v>
      </c>
      <c r="BA79" t="str">
        <f t="shared" si="27"/>
        <v>0-1</v>
      </c>
      <c r="BB79">
        <v>0</v>
      </c>
      <c r="BC79" t="str">
        <f t="shared" si="28"/>
        <v>0-1</v>
      </c>
      <c r="BD79">
        <v>0</v>
      </c>
      <c r="BE79" t="str">
        <f t="shared" si="29"/>
        <v>0-1</v>
      </c>
    </row>
    <row r="80" spans="1:57" x14ac:dyDescent="0.3">
      <c r="A80">
        <v>102</v>
      </c>
      <c r="B80">
        <v>37</v>
      </c>
      <c r="C80" t="str">
        <f t="shared" si="16"/>
        <v>36-45</v>
      </c>
      <c r="D80" t="s">
        <v>71</v>
      </c>
      <c r="E80">
        <f t="shared" si="17"/>
        <v>0</v>
      </c>
      <c r="F80" t="s">
        <v>57</v>
      </c>
      <c r="G80">
        <v>397</v>
      </c>
      <c r="H80" t="str">
        <f t="shared" si="18"/>
        <v>102-500</v>
      </c>
      <c r="I80" t="s">
        <v>73</v>
      </c>
      <c r="J80">
        <v>7</v>
      </c>
      <c r="K80" t="str">
        <f t="shared" si="19"/>
        <v>6-10</v>
      </c>
      <c r="L80">
        <v>4</v>
      </c>
      <c r="M80" t="s">
        <v>82</v>
      </c>
      <c r="N80" t="s">
        <v>83</v>
      </c>
      <c r="O80">
        <v>1</v>
      </c>
      <c r="P80">
        <v>1</v>
      </c>
      <c r="Q80" t="s">
        <v>69</v>
      </c>
      <c r="R80" t="s">
        <v>75</v>
      </c>
      <c r="S80">
        <v>30</v>
      </c>
      <c r="T80" t="str">
        <f t="shared" si="20"/>
        <v>30-50</v>
      </c>
      <c r="U80">
        <v>3</v>
      </c>
      <c r="V80" t="s">
        <v>63</v>
      </c>
      <c r="W80">
        <v>3</v>
      </c>
      <c r="X80" t="s">
        <v>92</v>
      </c>
      <c r="Y80">
        <v>3</v>
      </c>
      <c r="Z80" t="s">
        <v>63</v>
      </c>
      <c r="AA80" t="s">
        <v>66</v>
      </c>
      <c r="AB80" s="4">
        <v>13664</v>
      </c>
      <c r="AC80" s="4" t="str">
        <f t="shared" si="21"/>
        <v>$13,000-$14,500</v>
      </c>
      <c r="AD80">
        <v>25258</v>
      </c>
      <c r="AE80" t="str">
        <f t="shared" si="22"/>
        <v>$22,001-$26,999</v>
      </c>
      <c r="AF80">
        <v>4</v>
      </c>
      <c r="AG80" t="str">
        <f t="shared" si="23"/>
        <v>4-6</v>
      </c>
      <c r="AH80" t="s">
        <v>67</v>
      </c>
      <c r="AI80" t="s">
        <v>71</v>
      </c>
      <c r="AJ80">
        <v>13</v>
      </c>
      <c r="AK80" t="str">
        <f t="shared" si="24"/>
        <v>13-15%</v>
      </c>
      <c r="AL80">
        <v>3</v>
      </c>
      <c r="AM80" t="s">
        <v>68</v>
      </c>
      <c r="AN80">
        <v>1</v>
      </c>
      <c r="AO80" t="s">
        <v>69</v>
      </c>
      <c r="AP80">
        <v>80</v>
      </c>
      <c r="AQ80">
        <v>0</v>
      </c>
      <c r="AR80">
        <v>16</v>
      </c>
      <c r="AS80" t="str">
        <f t="shared" si="25"/>
        <v>11-20</v>
      </c>
      <c r="AT80">
        <v>3</v>
      </c>
      <c r="AU80" t="str">
        <f t="shared" si="26"/>
        <v>3-4</v>
      </c>
      <c r="AV80">
        <v>4</v>
      </c>
      <c r="AW80" t="s">
        <v>94</v>
      </c>
      <c r="AX80">
        <v>5</v>
      </c>
      <c r="AY80" t="str">
        <f t="shared" si="15"/>
        <v>2-5</v>
      </c>
      <c r="AZ80">
        <v>2</v>
      </c>
      <c r="BA80" t="str">
        <f t="shared" si="27"/>
        <v>2-5</v>
      </c>
      <c r="BB80">
        <v>0</v>
      </c>
      <c r="BC80" t="str">
        <f t="shared" si="28"/>
        <v>0-1</v>
      </c>
      <c r="BD80">
        <v>2</v>
      </c>
      <c r="BE80" t="str">
        <f t="shared" si="29"/>
        <v>2-5</v>
      </c>
    </row>
    <row r="81" spans="1:57" x14ac:dyDescent="0.3">
      <c r="A81">
        <v>103</v>
      </c>
      <c r="B81">
        <v>46</v>
      </c>
      <c r="C81" t="str">
        <f t="shared" si="16"/>
        <v>46-55</v>
      </c>
      <c r="D81" t="s">
        <v>71</v>
      </c>
      <c r="E81">
        <f t="shared" si="17"/>
        <v>0</v>
      </c>
      <c r="F81" t="s">
        <v>57</v>
      </c>
      <c r="G81">
        <v>945</v>
      </c>
      <c r="H81" t="str">
        <f t="shared" si="18"/>
        <v>501-1000</v>
      </c>
      <c r="I81" t="s">
        <v>97</v>
      </c>
      <c r="J81">
        <v>5</v>
      </c>
      <c r="K81" t="str">
        <f t="shared" si="19"/>
        <v>1-5</v>
      </c>
      <c r="L81">
        <v>2</v>
      </c>
      <c r="M81" t="s">
        <v>59</v>
      </c>
      <c r="N81" t="s">
        <v>83</v>
      </c>
      <c r="O81">
        <v>1</v>
      </c>
      <c r="P81">
        <v>2</v>
      </c>
      <c r="Q81" t="s">
        <v>61</v>
      </c>
      <c r="R81" t="s">
        <v>75</v>
      </c>
      <c r="S81">
        <v>80</v>
      </c>
      <c r="T81" t="str">
        <f t="shared" si="20"/>
        <v>76-100</v>
      </c>
      <c r="U81">
        <v>3</v>
      </c>
      <c r="V81" t="s">
        <v>63</v>
      </c>
      <c r="W81">
        <v>2</v>
      </c>
      <c r="X81" t="s">
        <v>97</v>
      </c>
      <c r="Y81">
        <v>2</v>
      </c>
      <c r="Z81" t="s">
        <v>61</v>
      </c>
      <c r="AA81" t="s">
        <v>86</v>
      </c>
      <c r="AB81" s="4">
        <v>5021</v>
      </c>
      <c r="AC81" s="4" t="str">
        <f t="shared" si="21"/>
        <v>$4,000-$5,500</v>
      </c>
      <c r="AD81">
        <v>10425</v>
      </c>
      <c r="AE81" t="str">
        <f t="shared" si="22"/>
        <v>$8,001-$16,000</v>
      </c>
      <c r="AF81">
        <v>8</v>
      </c>
      <c r="AG81" t="str">
        <f t="shared" si="23"/>
        <v>7-9</v>
      </c>
      <c r="AH81" t="s">
        <v>67</v>
      </c>
      <c r="AI81" t="s">
        <v>56</v>
      </c>
      <c r="AJ81">
        <v>22</v>
      </c>
      <c r="AK81" t="str">
        <f t="shared" si="24"/>
        <v>18-19%</v>
      </c>
      <c r="AL81">
        <v>4</v>
      </c>
      <c r="AM81" t="s">
        <v>78</v>
      </c>
      <c r="AN81">
        <v>4</v>
      </c>
      <c r="AO81" t="s">
        <v>65</v>
      </c>
      <c r="AP81">
        <v>80</v>
      </c>
      <c r="AQ81">
        <v>1</v>
      </c>
      <c r="AR81">
        <v>16</v>
      </c>
      <c r="AS81" t="str">
        <f t="shared" si="25"/>
        <v>11-20</v>
      </c>
      <c r="AT81">
        <v>2</v>
      </c>
      <c r="AU81" t="str">
        <f t="shared" si="26"/>
        <v>0-2</v>
      </c>
      <c r="AV81">
        <v>3</v>
      </c>
      <c r="AW81" t="s">
        <v>79</v>
      </c>
      <c r="AX81">
        <v>4</v>
      </c>
      <c r="AY81" t="str">
        <f t="shared" si="15"/>
        <v>2-5</v>
      </c>
      <c r="AZ81">
        <v>2</v>
      </c>
      <c r="BA81" t="str">
        <f t="shared" si="27"/>
        <v>2-5</v>
      </c>
      <c r="BB81">
        <v>0</v>
      </c>
      <c r="BC81" t="str">
        <f t="shared" si="28"/>
        <v>0-1</v>
      </c>
      <c r="BD81">
        <v>2</v>
      </c>
      <c r="BE81" t="str">
        <f t="shared" si="29"/>
        <v>2-5</v>
      </c>
    </row>
    <row r="82" spans="1:57" x14ac:dyDescent="0.3">
      <c r="A82">
        <v>104</v>
      </c>
      <c r="B82">
        <v>30</v>
      </c>
      <c r="C82" t="str">
        <f t="shared" si="16"/>
        <v>26-35</v>
      </c>
      <c r="D82" t="s">
        <v>71</v>
      </c>
      <c r="E82">
        <f t="shared" si="17"/>
        <v>0</v>
      </c>
      <c r="F82" t="s">
        <v>57</v>
      </c>
      <c r="G82">
        <v>852</v>
      </c>
      <c r="H82" t="str">
        <f t="shared" si="18"/>
        <v>501-1000</v>
      </c>
      <c r="I82" t="s">
        <v>73</v>
      </c>
      <c r="J82">
        <v>1</v>
      </c>
      <c r="K82" t="str">
        <f t="shared" si="19"/>
        <v>1-5</v>
      </c>
      <c r="L82">
        <v>1</v>
      </c>
      <c r="M82" t="s">
        <v>74</v>
      </c>
      <c r="N82" t="s">
        <v>60</v>
      </c>
      <c r="O82">
        <v>1</v>
      </c>
      <c r="P82">
        <v>4</v>
      </c>
      <c r="Q82" t="s">
        <v>65</v>
      </c>
      <c r="R82" t="s">
        <v>75</v>
      </c>
      <c r="S82">
        <v>55</v>
      </c>
      <c r="T82" t="str">
        <f t="shared" si="20"/>
        <v>51-75</v>
      </c>
      <c r="U82">
        <v>2</v>
      </c>
      <c r="V82" t="s">
        <v>61</v>
      </c>
      <c r="W82">
        <v>2</v>
      </c>
      <c r="X82" t="s">
        <v>81</v>
      </c>
      <c r="Y82">
        <v>4</v>
      </c>
      <c r="Z82" t="s">
        <v>65</v>
      </c>
      <c r="AA82" t="s">
        <v>77</v>
      </c>
      <c r="AB82" s="4">
        <v>5126</v>
      </c>
      <c r="AC82" s="4" t="str">
        <f t="shared" si="21"/>
        <v>$4,000-$5,500</v>
      </c>
      <c r="AD82">
        <v>15998</v>
      </c>
      <c r="AE82" t="str">
        <f t="shared" si="22"/>
        <v>$8,001-$16,000</v>
      </c>
      <c r="AF82">
        <v>1</v>
      </c>
      <c r="AG82" t="str">
        <f t="shared" si="23"/>
        <v>0-1</v>
      </c>
      <c r="AH82" t="s">
        <v>67</v>
      </c>
      <c r="AI82" t="s">
        <v>56</v>
      </c>
      <c r="AJ82">
        <v>12</v>
      </c>
      <c r="AK82" t="str">
        <f t="shared" si="24"/>
        <v>11-12%</v>
      </c>
      <c r="AL82">
        <v>3</v>
      </c>
      <c r="AM82" t="s">
        <v>68</v>
      </c>
      <c r="AN82">
        <v>3</v>
      </c>
      <c r="AO82" t="s">
        <v>63</v>
      </c>
      <c r="AP82">
        <v>80</v>
      </c>
      <c r="AQ82">
        <v>2</v>
      </c>
      <c r="AR82">
        <v>10</v>
      </c>
      <c r="AS82" t="str">
        <f t="shared" si="25"/>
        <v>6-10</v>
      </c>
      <c r="AT82">
        <v>1</v>
      </c>
      <c r="AU82" t="str">
        <f t="shared" si="26"/>
        <v>0-2</v>
      </c>
      <c r="AV82">
        <v>2</v>
      </c>
      <c r="AW82" t="s">
        <v>84</v>
      </c>
      <c r="AX82">
        <v>10</v>
      </c>
      <c r="AY82" t="str">
        <f t="shared" si="15"/>
        <v>6-10</v>
      </c>
      <c r="AZ82">
        <v>8</v>
      </c>
      <c r="BA82" t="str">
        <f t="shared" si="27"/>
        <v>6-10</v>
      </c>
      <c r="BB82">
        <v>3</v>
      </c>
      <c r="BC82" t="str">
        <f t="shared" si="28"/>
        <v>2-5</v>
      </c>
      <c r="BD82">
        <v>0</v>
      </c>
      <c r="BE82" t="str">
        <f t="shared" si="29"/>
        <v>0-1</v>
      </c>
    </row>
    <row r="83" spans="1:57" x14ac:dyDescent="0.3">
      <c r="A83">
        <v>105</v>
      </c>
      <c r="B83">
        <v>35</v>
      </c>
      <c r="C83" t="str">
        <f t="shared" si="16"/>
        <v>26-35</v>
      </c>
      <c r="D83" t="s">
        <v>71</v>
      </c>
      <c r="E83">
        <f t="shared" si="17"/>
        <v>0</v>
      </c>
      <c r="F83" t="s">
        <v>57</v>
      </c>
      <c r="G83">
        <v>1214</v>
      </c>
      <c r="H83" t="str">
        <f t="shared" si="18"/>
        <v>1001-1499</v>
      </c>
      <c r="I83" t="s">
        <v>73</v>
      </c>
      <c r="J83">
        <v>1</v>
      </c>
      <c r="K83" t="str">
        <f t="shared" si="19"/>
        <v>1-5</v>
      </c>
      <c r="L83">
        <v>3</v>
      </c>
      <c r="M83" t="s">
        <v>85</v>
      </c>
      <c r="N83" t="s">
        <v>83</v>
      </c>
      <c r="O83">
        <v>1</v>
      </c>
      <c r="P83">
        <v>2</v>
      </c>
      <c r="Q83" t="s">
        <v>61</v>
      </c>
      <c r="R83" t="s">
        <v>75</v>
      </c>
      <c r="S83">
        <v>30</v>
      </c>
      <c r="T83" t="str">
        <f t="shared" si="20"/>
        <v>30-50</v>
      </c>
      <c r="U83">
        <v>2</v>
      </c>
      <c r="V83" t="s">
        <v>61</v>
      </c>
      <c r="W83">
        <v>1</v>
      </c>
      <c r="X83" t="s">
        <v>76</v>
      </c>
      <c r="Y83">
        <v>3</v>
      </c>
      <c r="Z83" t="s">
        <v>63</v>
      </c>
      <c r="AA83" t="s">
        <v>66</v>
      </c>
      <c r="AB83" s="4">
        <v>2859</v>
      </c>
      <c r="AC83" s="4" t="str">
        <f t="shared" si="21"/>
        <v>$2,500-$4,000</v>
      </c>
      <c r="AD83">
        <v>26278</v>
      </c>
      <c r="AE83" t="str">
        <f t="shared" si="22"/>
        <v>$22,001-$26,999</v>
      </c>
      <c r="AF83">
        <v>1</v>
      </c>
      <c r="AG83" t="str">
        <f t="shared" si="23"/>
        <v>0-1</v>
      </c>
      <c r="AH83" t="s">
        <v>67</v>
      </c>
      <c r="AI83" t="s">
        <v>71</v>
      </c>
      <c r="AJ83">
        <v>18</v>
      </c>
      <c r="AK83" t="str">
        <f t="shared" si="24"/>
        <v>18-19%</v>
      </c>
      <c r="AL83">
        <v>3</v>
      </c>
      <c r="AM83" t="s">
        <v>68</v>
      </c>
      <c r="AN83">
        <v>1</v>
      </c>
      <c r="AO83" t="s">
        <v>69</v>
      </c>
      <c r="AP83">
        <v>80</v>
      </c>
      <c r="AQ83">
        <v>0</v>
      </c>
      <c r="AR83">
        <v>6</v>
      </c>
      <c r="AS83" t="str">
        <f t="shared" si="25"/>
        <v>6-10</v>
      </c>
      <c r="AT83">
        <v>3</v>
      </c>
      <c r="AU83" t="str">
        <f t="shared" si="26"/>
        <v>3-4</v>
      </c>
      <c r="AV83">
        <v>3</v>
      </c>
      <c r="AW83" t="s">
        <v>79</v>
      </c>
      <c r="AX83">
        <v>6</v>
      </c>
      <c r="AY83" t="str">
        <f t="shared" si="15"/>
        <v>6-10</v>
      </c>
      <c r="AZ83">
        <v>4</v>
      </c>
      <c r="BA83" t="str">
        <f t="shared" si="27"/>
        <v>2-5</v>
      </c>
      <c r="BB83">
        <v>0</v>
      </c>
      <c r="BC83" t="str">
        <f t="shared" si="28"/>
        <v>0-1</v>
      </c>
      <c r="BD83">
        <v>4</v>
      </c>
      <c r="BE83" t="str">
        <f t="shared" si="29"/>
        <v>2-5</v>
      </c>
    </row>
    <row r="84" spans="1:57" x14ac:dyDescent="0.3">
      <c r="A84">
        <v>106</v>
      </c>
      <c r="B84">
        <v>55</v>
      </c>
      <c r="C84" t="str">
        <f t="shared" si="16"/>
        <v>46-55</v>
      </c>
      <c r="D84" t="s">
        <v>71</v>
      </c>
      <c r="E84">
        <f t="shared" si="17"/>
        <v>0</v>
      </c>
      <c r="F84" t="s">
        <v>57</v>
      </c>
      <c r="G84">
        <v>111</v>
      </c>
      <c r="H84" t="str">
        <f t="shared" si="18"/>
        <v>102-500</v>
      </c>
      <c r="I84" t="s">
        <v>58</v>
      </c>
      <c r="J84">
        <v>1</v>
      </c>
      <c r="K84" t="str">
        <f t="shared" si="19"/>
        <v>1-5</v>
      </c>
      <c r="L84">
        <v>2</v>
      </c>
      <c r="M84" t="s">
        <v>59</v>
      </c>
      <c r="N84" t="s">
        <v>60</v>
      </c>
      <c r="O84">
        <v>1</v>
      </c>
      <c r="P84">
        <v>1</v>
      </c>
      <c r="Q84" t="s">
        <v>69</v>
      </c>
      <c r="R84" t="s">
        <v>75</v>
      </c>
      <c r="S84">
        <v>70</v>
      </c>
      <c r="T84" t="str">
        <f t="shared" si="20"/>
        <v>51-75</v>
      </c>
      <c r="U84">
        <v>3</v>
      </c>
      <c r="V84" t="s">
        <v>63</v>
      </c>
      <c r="W84">
        <v>3</v>
      </c>
      <c r="X84" t="s">
        <v>64</v>
      </c>
      <c r="Y84">
        <v>4</v>
      </c>
      <c r="Z84" t="s">
        <v>65</v>
      </c>
      <c r="AA84" t="s">
        <v>77</v>
      </c>
      <c r="AB84" s="4">
        <v>10239</v>
      </c>
      <c r="AC84" s="4" t="str">
        <f t="shared" si="21"/>
        <v>$10,000-$11,500</v>
      </c>
      <c r="AD84">
        <v>18092</v>
      </c>
      <c r="AE84" t="str">
        <f t="shared" si="22"/>
        <v>$16,001-$22,000</v>
      </c>
      <c r="AF84">
        <v>3</v>
      </c>
      <c r="AG84" t="str">
        <f t="shared" si="23"/>
        <v>2-3</v>
      </c>
      <c r="AH84" t="s">
        <v>67</v>
      </c>
      <c r="AI84" t="s">
        <v>71</v>
      </c>
      <c r="AJ84">
        <v>14</v>
      </c>
      <c r="AK84" t="str">
        <f t="shared" si="24"/>
        <v>13-15%</v>
      </c>
      <c r="AL84">
        <v>3</v>
      </c>
      <c r="AM84" t="s">
        <v>68</v>
      </c>
      <c r="AN84">
        <v>4</v>
      </c>
      <c r="AO84" t="s">
        <v>65</v>
      </c>
      <c r="AP84">
        <v>80</v>
      </c>
      <c r="AQ84">
        <v>1</v>
      </c>
      <c r="AR84">
        <v>24</v>
      </c>
      <c r="AS84" t="str">
        <f t="shared" si="25"/>
        <v>21-40</v>
      </c>
      <c r="AT84">
        <v>4</v>
      </c>
      <c r="AU84" t="str">
        <f t="shared" si="26"/>
        <v>3-4</v>
      </c>
      <c r="AV84">
        <v>3</v>
      </c>
      <c r="AW84" t="s">
        <v>79</v>
      </c>
      <c r="AX84">
        <v>1</v>
      </c>
      <c r="AY84" t="str">
        <f t="shared" si="15"/>
        <v>0-1</v>
      </c>
      <c r="AZ84">
        <v>0</v>
      </c>
      <c r="BA84" t="str">
        <f t="shared" si="27"/>
        <v>0-1</v>
      </c>
      <c r="BB84">
        <v>1</v>
      </c>
      <c r="BC84" t="str">
        <f t="shared" si="28"/>
        <v>0-1</v>
      </c>
      <c r="BD84">
        <v>0</v>
      </c>
      <c r="BE84" t="str">
        <f t="shared" si="29"/>
        <v>0-1</v>
      </c>
    </row>
    <row r="85" spans="1:57" x14ac:dyDescent="0.3">
      <c r="A85">
        <v>107</v>
      </c>
      <c r="B85">
        <v>38</v>
      </c>
      <c r="C85" t="str">
        <f t="shared" si="16"/>
        <v>36-45</v>
      </c>
      <c r="D85" t="s">
        <v>71</v>
      </c>
      <c r="E85">
        <f t="shared" si="17"/>
        <v>0</v>
      </c>
      <c r="F85" t="s">
        <v>89</v>
      </c>
      <c r="G85">
        <v>573</v>
      </c>
      <c r="H85" t="str">
        <f t="shared" si="18"/>
        <v>501-1000</v>
      </c>
      <c r="I85" t="s">
        <v>73</v>
      </c>
      <c r="J85">
        <v>6</v>
      </c>
      <c r="K85" t="str">
        <f t="shared" si="19"/>
        <v>6-10</v>
      </c>
      <c r="L85">
        <v>3</v>
      </c>
      <c r="M85" t="s">
        <v>85</v>
      </c>
      <c r="N85" t="s">
        <v>83</v>
      </c>
      <c r="O85">
        <v>1</v>
      </c>
      <c r="P85">
        <v>2</v>
      </c>
      <c r="Q85" t="s">
        <v>61</v>
      </c>
      <c r="R85" t="s">
        <v>62</v>
      </c>
      <c r="S85">
        <v>79</v>
      </c>
      <c r="T85" t="str">
        <f t="shared" si="20"/>
        <v>76-100</v>
      </c>
      <c r="U85">
        <v>1</v>
      </c>
      <c r="V85" t="s">
        <v>69</v>
      </c>
      <c r="W85">
        <v>2</v>
      </c>
      <c r="X85" t="s">
        <v>76</v>
      </c>
      <c r="Y85">
        <v>4</v>
      </c>
      <c r="Z85" t="s">
        <v>65</v>
      </c>
      <c r="AA85" t="s">
        <v>86</v>
      </c>
      <c r="AB85" s="4">
        <v>5329</v>
      </c>
      <c r="AC85" s="4" t="str">
        <f t="shared" si="21"/>
        <v>$4,000-$5,500</v>
      </c>
      <c r="AD85">
        <v>15717</v>
      </c>
      <c r="AE85" t="str">
        <f t="shared" si="22"/>
        <v>$8,001-$16,000</v>
      </c>
      <c r="AF85">
        <v>7</v>
      </c>
      <c r="AG85" t="str">
        <f t="shared" si="23"/>
        <v>7-9</v>
      </c>
      <c r="AH85" t="s">
        <v>67</v>
      </c>
      <c r="AI85" t="s">
        <v>56</v>
      </c>
      <c r="AJ85">
        <v>12</v>
      </c>
      <c r="AK85" t="str">
        <f t="shared" si="24"/>
        <v>11-12%</v>
      </c>
      <c r="AL85">
        <v>3</v>
      </c>
      <c r="AM85" t="s">
        <v>68</v>
      </c>
      <c r="AN85">
        <v>4</v>
      </c>
      <c r="AO85" t="s">
        <v>65</v>
      </c>
      <c r="AP85">
        <v>80</v>
      </c>
      <c r="AQ85">
        <v>3</v>
      </c>
      <c r="AR85">
        <v>17</v>
      </c>
      <c r="AS85" t="str">
        <f t="shared" si="25"/>
        <v>11-20</v>
      </c>
      <c r="AT85">
        <v>3</v>
      </c>
      <c r="AU85" t="str">
        <f t="shared" si="26"/>
        <v>3-4</v>
      </c>
      <c r="AV85">
        <v>3</v>
      </c>
      <c r="AW85" t="s">
        <v>79</v>
      </c>
      <c r="AX85">
        <v>13</v>
      </c>
      <c r="AY85" t="str">
        <f t="shared" si="15"/>
        <v>11-20</v>
      </c>
      <c r="AZ85">
        <v>11</v>
      </c>
      <c r="BA85" t="str">
        <f t="shared" si="27"/>
        <v>11-18</v>
      </c>
      <c r="BB85">
        <v>1</v>
      </c>
      <c r="BC85" t="str">
        <f t="shared" si="28"/>
        <v>0-1</v>
      </c>
      <c r="BD85">
        <v>9</v>
      </c>
      <c r="BE85" t="str">
        <f t="shared" si="29"/>
        <v>6-10</v>
      </c>
    </row>
    <row r="86" spans="1:57" x14ac:dyDescent="0.3">
      <c r="A86">
        <v>110</v>
      </c>
      <c r="B86">
        <v>34</v>
      </c>
      <c r="C86" t="str">
        <f t="shared" si="16"/>
        <v>26-35</v>
      </c>
      <c r="D86" t="s">
        <v>71</v>
      </c>
      <c r="E86">
        <f t="shared" si="17"/>
        <v>0</v>
      </c>
      <c r="F86" t="s">
        <v>57</v>
      </c>
      <c r="G86">
        <v>1153</v>
      </c>
      <c r="H86" t="str">
        <f t="shared" si="18"/>
        <v>1001-1499</v>
      </c>
      <c r="I86" t="s">
        <v>73</v>
      </c>
      <c r="J86">
        <v>1</v>
      </c>
      <c r="K86" t="str">
        <f t="shared" si="19"/>
        <v>1-5</v>
      </c>
      <c r="L86">
        <v>2</v>
      </c>
      <c r="M86" t="s">
        <v>59</v>
      </c>
      <c r="N86" t="s">
        <v>83</v>
      </c>
      <c r="O86">
        <v>1</v>
      </c>
      <c r="P86">
        <v>1</v>
      </c>
      <c r="Q86" t="s">
        <v>69</v>
      </c>
      <c r="R86" t="s">
        <v>75</v>
      </c>
      <c r="S86">
        <v>94</v>
      </c>
      <c r="T86" t="str">
        <f t="shared" si="20"/>
        <v>76-100</v>
      </c>
      <c r="U86">
        <v>3</v>
      </c>
      <c r="V86" t="s">
        <v>63</v>
      </c>
      <c r="W86">
        <v>2</v>
      </c>
      <c r="X86" t="s">
        <v>87</v>
      </c>
      <c r="Y86">
        <v>2</v>
      </c>
      <c r="Z86" t="s">
        <v>61</v>
      </c>
      <c r="AA86" t="s">
        <v>77</v>
      </c>
      <c r="AB86" s="4">
        <v>4325</v>
      </c>
      <c r="AC86" s="4" t="str">
        <f t="shared" si="21"/>
        <v>$4,000-$5,500</v>
      </c>
      <c r="AD86">
        <v>17736</v>
      </c>
      <c r="AE86" t="str">
        <f t="shared" si="22"/>
        <v>$16,001-$22,000</v>
      </c>
      <c r="AF86">
        <v>1</v>
      </c>
      <c r="AG86" t="str">
        <f t="shared" si="23"/>
        <v>0-1</v>
      </c>
      <c r="AH86" t="s">
        <v>67</v>
      </c>
      <c r="AI86" t="s">
        <v>71</v>
      </c>
      <c r="AJ86">
        <v>15</v>
      </c>
      <c r="AK86" t="str">
        <f t="shared" si="24"/>
        <v>13-15%</v>
      </c>
      <c r="AL86">
        <v>3</v>
      </c>
      <c r="AM86" t="s">
        <v>68</v>
      </c>
      <c r="AN86">
        <v>3</v>
      </c>
      <c r="AO86" t="s">
        <v>63</v>
      </c>
      <c r="AP86">
        <v>80</v>
      </c>
      <c r="AQ86">
        <v>0</v>
      </c>
      <c r="AR86">
        <v>5</v>
      </c>
      <c r="AS86" t="str">
        <f t="shared" si="25"/>
        <v>3-5</v>
      </c>
      <c r="AT86">
        <v>2</v>
      </c>
      <c r="AU86" t="str">
        <f t="shared" si="26"/>
        <v>0-2</v>
      </c>
      <c r="AV86">
        <v>3</v>
      </c>
      <c r="AW86" t="s">
        <v>79</v>
      </c>
      <c r="AX86">
        <v>5</v>
      </c>
      <c r="AY86" t="str">
        <f t="shared" si="15"/>
        <v>2-5</v>
      </c>
      <c r="AZ86">
        <v>2</v>
      </c>
      <c r="BA86" t="str">
        <f t="shared" si="27"/>
        <v>2-5</v>
      </c>
      <c r="BB86">
        <v>1</v>
      </c>
      <c r="BC86" t="str">
        <f t="shared" si="28"/>
        <v>0-1</v>
      </c>
      <c r="BD86">
        <v>3</v>
      </c>
      <c r="BE86" t="str">
        <f t="shared" si="29"/>
        <v>2-5</v>
      </c>
    </row>
    <row r="87" spans="1:57" x14ac:dyDescent="0.3">
      <c r="A87">
        <v>112</v>
      </c>
      <c r="B87">
        <v>56</v>
      </c>
      <c r="C87" t="str">
        <f t="shared" si="16"/>
        <v>56+</v>
      </c>
      <c r="D87" t="s">
        <v>71</v>
      </c>
      <c r="E87">
        <f t="shared" si="17"/>
        <v>0</v>
      </c>
      <c r="F87" t="s">
        <v>57</v>
      </c>
      <c r="G87">
        <v>1400</v>
      </c>
      <c r="H87" t="str">
        <f t="shared" si="18"/>
        <v>1001-1499</v>
      </c>
      <c r="I87" t="s">
        <v>73</v>
      </c>
      <c r="J87">
        <v>7</v>
      </c>
      <c r="K87" t="str">
        <f t="shared" si="19"/>
        <v>6-10</v>
      </c>
      <c r="L87">
        <v>3</v>
      </c>
      <c r="M87" t="s">
        <v>85</v>
      </c>
      <c r="N87" t="s">
        <v>60</v>
      </c>
      <c r="O87">
        <v>1</v>
      </c>
      <c r="P87">
        <v>4</v>
      </c>
      <c r="Q87" t="s">
        <v>65</v>
      </c>
      <c r="R87" t="s">
        <v>75</v>
      </c>
      <c r="S87">
        <v>49</v>
      </c>
      <c r="T87" t="str">
        <f t="shared" si="20"/>
        <v>30-50</v>
      </c>
      <c r="U87">
        <v>1</v>
      </c>
      <c r="V87" t="s">
        <v>69</v>
      </c>
      <c r="W87">
        <v>3</v>
      </c>
      <c r="X87" t="s">
        <v>87</v>
      </c>
      <c r="Y87">
        <v>4</v>
      </c>
      <c r="Z87" t="s">
        <v>65</v>
      </c>
      <c r="AA87" t="s">
        <v>66</v>
      </c>
      <c r="AB87" s="4">
        <v>7260</v>
      </c>
      <c r="AC87" s="4" t="str">
        <f t="shared" si="21"/>
        <v>$7,000-$8,500</v>
      </c>
      <c r="AD87">
        <v>21698</v>
      </c>
      <c r="AE87" t="str">
        <f t="shared" si="22"/>
        <v>$16,001-$22,000</v>
      </c>
      <c r="AF87">
        <v>4</v>
      </c>
      <c r="AG87" t="str">
        <f t="shared" si="23"/>
        <v>4-6</v>
      </c>
      <c r="AH87" t="s">
        <v>67</v>
      </c>
      <c r="AI87" t="s">
        <v>71</v>
      </c>
      <c r="AJ87">
        <v>11</v>
      </c>
      <c r="AK87" t="str">
        <f t="shared" si="24"/>
        <v>11-12%</v>
      </c>
      <c r="AL87">
        <v>3</v>
      </c>
      <c r="AM87" t="s">
        <v>68</v>
      </c>
      <c r="AN87">
        <v>1</v>
      </c>
      <c r="AO87" t="s">
        <v>69</v>
      </c>
      <c r="AP87">
        <v>80</v>
      </c>
      <c r="AQ87">
        <v>0</v>
      </c>
      <c r="AR87">
        <v>37</v>
      </c>
      <c r="AS87" t="str">
        <f t="shared" si="25"/>
        <v>21-40</v>
      </c>
      <c r="AT87">
        <v>3</v>
      </c>
      <c r="AU87" t="str">
        <f t="shared" si="26"/>
        <v>3-4</v>
      </c>
      <c r="AV87">
        <v>2</v>
      </c>
      <c r="AW87" t="s">
        <v>84</v>
      </c>
      <c r="AX87">
        <v>6</v>
      </c>
      <c r="AY87" t="str">
        <f t="shared" si="15"/>
        <v>6-10</v>
      </c>
      <c r="AZ87">
        <v>4</v>
      </c>
      <c r="BA87" t="str">
        <f t="shared" si="27"/>
        <v>2-5</v>
      </c>
      <c r="BB87">
        <v>0</v>
      </c>
      <c r="BC87" t="str">
        <f t="shared" si="28"/>
        <v>0-1</v>
      </c>
      <c r="BD87">
        <v>2</v>
      </c>
      <c r="BE87" t="str">
        <f t="shared" si="29"/>
        <v>2-5</v>
      </c>
    </row>
    <row r="88" spans="1:57" x14ac:dyDescent="0.3">
      <c r="A88">
        <v>113</v>
      </c>
      <c r="B88">
        <v>23</v>
      </c>
      <c r="C88" t="str">
        <f t="shared" si="16"/>
        <v>18-25</v>
      </c>
      <c r="D88" t="s">
        <v>71</v>
      </c>
      <c r="E88">
        <f t="shared" si="17"/>
        <v>0</v>
      </c>
      <c r="F88" t="s">
        <v>57</v>
      </c>
      <c r="G88">
        <v>541</v>
      </c>
      <c r="H88" t="str">
        <f t="shared" si="18"/>
        <v>501-1000</v>
      </c>
      <c r="I88" t="s">
        <v>58</v>
      </c>
      <c r="J88">
        <v>2</v>
      </c>
      <c r="K88" t="str">
        <f t="shared" si="19"/>
        <v>1-5</v>
      </c>
      <c r="L88">
        <v>1</v>
      </c>
      <c r="M88" t="s">
        <v>74</v>
      </c>
      <c r="N88" t="s">
        <v>95</v>
      </c>
      <c r="O88">
        <v>1</v>
      </c>
      <c r="P88">
        <v>3</v>
      </c>
      <c r="Q88" t="s">
        <v>63</v>
      </c>
      <c r="R88" t="s">
        <v>75</v>
      </c>
      <c r="S88">
        <v>62</v>
      </c>
      <c r="T88" t="str">
        <f t="shared" si="20"/>
        <v>51-75</v>
      </c>
      <c r="U88">
        <v>3</v>
      </c>
      <c r="V88" t="s">
        <v>63</v>
      </c>
      <c r="W88">
        <v>1</v>
      </c>
      <c r="X88" t="s">
        <v>91</v>
      </c>
      <c r="Y88">
        <v>1</v>
      </c>
      <c r="Z88" t="s">
        <v>69</v>
      </c>
      <c r="AA88" t="s">
        <v>86</v>
      </c>
      <c r="AB88" s="4">
        <v>2322</v>
      </c>
      <c r="AC88" s="4" t="str">
        <f t="shared" si="21"/>
        <v>$1,000-$2,500</v>
      </c>
      <c r="AD88">
        <v>9518</v>
      </c>
      <c r="AE88" t="str">
        <f t="shared" si="22"/>
        <v>$8,001-$16,000</v>
      </c>
      <c r="AF88">
        <v>3</v>
      </c>
      <c r="AG88" t="str">
        <f t="shared" si="23"/>
        <v>2-3</v>
      </c>
      <c r="AH88" t="s">
        <v>67</v>
      </c>
      <c r="AI88" t="s">
        <v>71</v>
      </c>
      <c r="AJ88">
        <v>13</v>
      </c>
      <c r="AK88" t="str">
        <f t="shared" si="24"/>
        <v>13-15%</v>
      </c>
      <c r="AL88">
        <v>3</v>
      </c>
      <c r="AM88" t="s">
        <v>68</v>
      </c>
      <c r="AN88">
        <v>3</v>
      </c>
      <c r="AO88" t="s">
        <v>63</v>
      </c>
      <c r="AP88">
        <v>80</v>
      </c>
      <c r="AQ88">
        <v>1</v>
      </c>
      <c r="AR88">
        <v>3</v>
      </c>
      <c r="AS88" t="str">
        <f t="shared" si="25"/>
        <v>3-5</v>
      </c>
      <c r="AT88">
        <v>3</v>
      </c>
      <c r="AU88" t="str">
        <f t="shared" si="26"/>
        <v>3-4</v>
      </c>
      <c r="AV88">
        <v>3</v>
      </c>
      <c r="AW88" t="s">
        <v>79</v>
      </c>
      <c r="AX88">
        <v>0</v>
      </c>
      <c r="AY88" t="str">
        <f t="shared" si="15"/>
        <v>0-1</v>
      </c>
      <c r="AZ88">
        <v>0</v>
      </c>
      <c r="BA88" t="str">
        <f t="shared" si="27"/>
        <v>0-1</v>
      </c>
      <c r="BB88">
        <v>0</v>
      </c>
      <c r="BC88" t="str">
        <f t="shared" si="28"/>
        <v>0-1</v>
      </c>
      <c r="BD88">
        <v>0</v>
      </c>
      <c r="BE88" t="str">
        <f t="shared" si="29"/>
        <v>0-1</v>
      </c>
    </row>
    <row r="89" spans="1:57" x14ac:dyDescent="0.3">
      <c r="A89">
        <v>116</v>
      </c>
      <c r="B89">
        <v>51</v>
      </c>
      <c r="C89" t="str">
        <f t="shared" si="16"/>
        <v>46-55</v>
      </c>
      <c r="D89" t="s">
        <v>71</v>
      </c>
      <c r="E89">
        <f t="shared" si="17"/>
        <v>0</v>
      </c>
      <c r="F89" t="s">
        <v>57</v>
      </c>
      <c r="G89">
        <v>432</v>
      </c>
      <c r="H89" t="str">
        <f t="shared" si="18"/>
        <v>102-500</v>
      </c>
      <c r="I89" t="s">
        <v>73</v>
      </c>
      <c r="J89">
        <v>9</v>
      </c>
      <c r="K89" t="str">
        <f t="shared" si="19"/>
        <v>6-10</v>
      </c>
      <c r="L89">
        <v>4</v>
      </c>
      <c r="M89" t="s">
        <v>82</v>
      </c>
      <c r="N89" t="s">
        <v>60</v>
      </c>
      <c r="O89">
        <v>1</v>
      </c>
      <c r="P89">
        <v>4</v>
      </c>
      <c r="Q89" t="s">
        <v>65</v>
      </c>
      <c r="R89" t="s">
        <v>75</v>
      </c>
      <c r="S89">
        <v>96</v>
      </c>
      <c r="T89" t="str">
        <f t="shared" si="20"/>
        <v>76-100</v>
      </c>
      <c r="U89">
        <v>3</v>
      </c>
      <c r="V89" t="s">
        <v>63</v>
      </c>
      <c r="W89">
        <v>1</v>
      </c>
      <c r="X89" t="s">
        <v>81</v>
      </c>
      <c r="Y89">
        <v>4</v>
      </c>
      <c r="Z89" t="s">
        <v>65</v>
      </c>
      <c r="AA89" t="s">
        <v>77</v>
      </c>
      <c r="AB89" s="4">
        <v>2075</v>
      </c>
      <c r="AC89" s="4" t="str">
        <f t="shared" si="21"/>
        <v>$1,000-$2,500</v>
      </c>
      <c r="AD89">
        <v>18725</v>
      </c>
      <c r="AE89" t="str">
        <f t="shared" si="22"/>
        <v>$16,001-$22,000</v>
      </c>
      <c r="AF89">
        <v>3</v>
      </c>
      <c r="AG89" t="str">
        <f t="shared" si="23"/>
        <v>2-3</v>
      </c>
      <c r="AH89" t="s">
        <v>67</v>
      </c>
      <c r="AI89" t="s">
        <v>71</v>
      </c>
      <c r="AJ89">
        <v>23</v>
      </c>
      <c r="AK89" t="str">
        <f t="shared" si="24"/>
        <v>18-19%</v>
      </c>
      <c r="AL89">
        <v>4</v>
      </c>
      <c r="AM89" t="s">
        <v>78</v>
      </c>
      <c r="AN89">
        <v>2</v>
      </c>
      <c r="AO89" t="s">
        <v>61</v>
      </c>
      <c r="AP89">
        <v>80</v>
      </c>
      <c r="AQ89">
        <v>2</v>
      </c>
      <c r="AR89">
        <v>10</v>
      </c>
      <c r="AS89" t="str">
        <f t="shared" si="25"/>
        <v>6-10</v>
      </c>
      <c r="AT89">
        <v>4</v>
      </c>
      <c r="AU89" t="str">
        <f t="shared" si="26"/>
        <v>3-4</v>
      </c>
      <c r="AV89">
        <v>3</v>
      </c>
      <c r="AW89" t="s">
        <v>79</v>
      </c>
      <c r="AX89">
        <v>4</v>
      </c>
      <c r="AY89" t="str">
        <f t="shared" si="15"/>
        <v>2-5</v>
      </c>
      <c r="AZ89">
        <v>2</v>
      </c>
      <c r="BA89" t="str">
        <f t="shared" si="27"/>
        <v>2-5</v>
      </c>
      <c r="BB89">
        <v>0</v>
      </c>
      <c r="BC89" t="str">
        <f t="shared" si="28"/>
        <v>0-1</v>
      </c>
      <c r="BD89">
        <v>3</v>
      </c>
      <c r="BE89" t="str">
        <f t="shared" si="29"/>
        <v>2-5</v>
      </c>
    </row>
    <row r="90" spans="1:57" x14ac:dyDescent="0.3">
      <c r="A90">
        <v>117</v>
      </c>
      <c r="B90">
        <v>30</v>
      </c>
      <c r="C90" t="str">
        <f t="shared" si="16"/>
        <v>26-35</v>
      </c>
      <c r="D90" t="s">
        <v>71</v>
      </c>
      <c r="E90">
        <f t="shared" si="17"/>
        <v>0</v>
      </c>
      <c r="F90" t="s">
        <v>57</v>
      </c>
      <c r="G90">
        <v>288</v>
      </c>
      <c r="H90" t="str">
        <f t="shared" si="18"/>
        <v>102-500</v>
      </c>
      <c r="I90" t="s">
        <v>73</v>
      </c>
      <c r="J90">
        <v>2</v>
      </c>
      <c r="K90" t="str">
        <f t="shared" si="19"/>
        <v>1-5</v>
      </c>
      <c r="L90">
        <v>3</v>
      </c>
      <c r="M90" t="s">
        <v>85</v>
      </c>
      <c r="N90" t="s">
        <v>60</v>
      </c>
      <c r="O90">
        <v>1</v>
      </c>
      <c r="P90">
        <v>3</v>
      </c>
      <c r="Q90" t="s">
        <v>63</v>
      </c>
      <c r="R90" t="s">
        <v>75</v>
      </c>
      <c r="S90">
        <v>99</v>
      </c>
      <c r="T90" t="str">
        <f t="shared" si="20"/>
        <v>76-100</v>
      </c>
      <c r="U90">
        <v>2</v>
      </c>
      <c r="V90" t="s">
        <v>61</v>
      </c>
      <c r="W90">
        <v>2</v>
      </c>
      <c r="X90" t="s">
        <v>88</v>
      </c>
      <c r="Y90">
        <v>4</v>
      </c>
      <c r="Z90" t="s">
        <v>65</v>
      </c>
      <c r="AA90" t="s">
        <v>77</v>
      </c>
      <c r="AB90" s="4">
        <v>4152</v>
      </c>
      <c r="AC90" s="4" t="str">
        <f t="shared" si="21"/>
        <v>$4,000-$5,500</v>
      </c>
      <c r="AD90">
        <v>15830</v>
      </c>
      <c r="AE90" t="str">
        <f t="shared" si="22"/>
        <v>$8,001-$16,000</v>
      </c>
      <c r="AF90">
        <v>1</v>
      </c>
      <c r="AG90" t="str">
        <f t="shared" si="23"/>
        <v>0-1</v>
      </c>
      <c r="AH90" t="s">
        <v>67</v>
      </c>
      <c r="AI90" t="s">
        <v>71</v>
      </c>
      <c r="AJ90">
        <v>19</v>
      </c>
      <c r="AK90" t="str">
        <f t="shared" si="24"/>
        <v>18-19%</v>
      </c>
      <c r="AL90">
        <v>3</v>
      </c>
      <c r="AM90" t="s">
        <v>68</v>
      </c>
      <c r="AN90">
        <v>1</v>
      </c>
      <c r="AO90" t="s">
        <v>69</v>
      </c>
      <c r="AP90">
        <v>80</v>
      </c>
      <c r="AQ90">
        <v>3</v>
      </c>
      <c r="AR90">
        <v>11</v>
      </c>
      <c r="AS90" t="str">
        <f t="shared" si="25"/>
        <v>11-20</v>
      </c>
      <c r="AT90">
        <v>3</v>
      </c>
      <c r="AU90" t="str">
        <f t="shared" si="26"/>
        <v>3-4</v>
      </c>
      <c r="AV90">
        <v>3</v>
      </c>
      <c r="AW90" t="s">
        <v>79</v>
      </c>
      <c r="AX90">
        <v>11</v>
      </c>
      <c r="AY90" t="str">
        <f t="shared" si="15"/>
        <v>11-20</v>
      </c>
      <c r="AZ90">
        <v>10</v>
      </c>
      <c r="BA90" t="str">
        <f t="shared" si="27"/>
        <v>6-10</v>
      </c>
      <c r="BB90">
        <v>10</v>
      </c>
      <c r="BC90" t="str">
        <f t="shared" si="28"/>
        <v>6-10</v>
      </c>
      <c r="BD90">
        <v>8</v>
      </c>
      <c r="BE90" t="str">
        <f t="shared" si="29"/>
        <v>6-10</v>
      </c>
    </row>
    <row r="91" spans="1:57" x14ac:dyDescent="0.3">
      <c r="A91">
        <v>118</v>
      </c>
      <c r="B91">
        <v>46</v>
      </c>
      <c r="C91" t="str">
        <f t="shared" si="16"/>
        <v>46-55</v>
      </c>
      <c r="D91" t="s">
        <v>56</v>
      </c>
      <c r="E91">
        <f t="shared" si="17"/>
        <v>1</v>
      </c>
      <c r="F91" t="s">
        <v>57</v>
      </c>
      <c r="G91">
        <v>669</v>
      </c>
      <c r="H91" t="str">
        <f t="shared" si="18"/>
        <v>501-1000</v>
      </c>
      <c r="I91" t="s">
        <v>58</v>
      </c>
      <c r="J91">
        <v>9</v>
      </c>
      <c r="K91" t="str">
        <f t="shared" si="19"/>
        <v>6-10</v>
      </c>
      <c r="L91">
        <v>2</v>
      </c>
      <c r="M91" t="s">
        <v>59</v>
      </c>
      <c r="N91" t="s">
        <v>83</v>
      </c>
      <c r="O91">
        <v>1</v>
      </c>
      <c r="P91">
        <v>3</v>
      </c>
      <c r="Q91" t="s">
        <v>63</v>
      </c>
      <c r="R91" t="s">
        <v>75</v>
      </c>
      <c r="S91">
        <v>64</v>
      </c>
      <c r="T91" t="str">
        <f t="shared" si="20"/>
        <v>51-75</v>
      </c>
      <c r="U91">
        <v>2</v>
      </c>
      <c r="V91" t="s">
        <v>61</v>
      </c>
      <c r="W91">
        <v>3</v>
      </c>
      <c r="X91" t="s">
        <v>64</v>
      </c>
      <c r="Y91">
        <v>4</v>
      </c>
      <c r="Z91" t="s">
        <v>65</v>
      </c>
      <c r="AA91" t="s">
        <v>66</v>
      </c>
      <c r="AB91" s="4">
        <v>9619</v>
      </c>
      <c r="AC91" s="4" t="str">
        <f t="shared" si="21"/>
        <v>$8,500-$10,000</v>
      </c>
      <c r="AD91">
        <v>13596</v>
      </c>
      <c r="AE91" t="str">
        <f t="shared" si="22"/>
        <v>$8,001-$16,000</v>
      </c>
      <c r="AF91">
        <v>1</v>
      </c>
      <c r="AG91" t="str">
        <f t="shared" si="23"/>
        <v>0-1</v>
      </c>
      <c r="AH91" t="s">
        <v>67</v>
      </c>
      <c r="AI91" t="s">
        <v>71</v>
      </c>
      <c r="AJ91">
        <v>16</v>
      </c>
      <c r="AK91" t="str">
        <f t="shared" si="24"/>
        <v>16-17%</v>
      </c>
      <c r="AL91">
        <v>3</v>
      </c>
      <c r="AM91" t="s">
        <v>68</v>
      </c>
      <c r="AN91">
        <v>4</v>
      </c>
      <c r="AO91" t="s">
        <v>65</v>
      </c>
      <c r="AP91">
        <v>80</v>
      </c>
      <c r="AQ91">
        <v>0</v>
      </c>
      <c r="AR91">
        <v>9</v>
      </c>
      <c r="AS91" t="str">
        <f t="shared" si="25"/>
        <v>6-10</v>
      </c>
      <c r="AT91">
        <v>3</v>
      </c>
      <c r="AU91" t="str">
        <f t="shared" si="26"/>
        <v>3-4</v>
      </c>
      <c r="AV91">
        <v>3</v>
      </c>
      <c r="AW91" t="s">
        <v>79</v>
      </c>
      <c r="AX91">
        <v>9</v>
      </c>
      <c r="AY91" t="str">
        <f t="shared" si="15"/>
        <v>6-10</v>
      </c>
      <c r="AZ91">
        <v>8</v>
      </c>
      <c r="BA91" t="str">
        <f t="shared" si="27"/>
        <v>6-10</v>
      </c>
      <c r="BB91">
        <v>4</v>
      </c>
      <c r="BC91" t="str">
        <f t="shared" si="28"/>
        <v>2-5</v>
      </c>
      <c r="BD91">
        <v>7</v>
      </c>
      <c r="BE91" t="str">
        <f t="shared" si="29"/>
        <v>6-10</v>
      </c>
    </row>
    <row r="92" spans="1:57" x14ac:dyDescent="0.3">
      <c r="A92">
        <v>119</v>
      </c>
      <c r="B92">
        <v>40</v>
      </c>
      <c r="C92" t="str">
        <f t="shared" si="16"/>
        <v>36-45</v>
      </c>
      <c r="D92" t="s">
        <v>71</v>
      </c>
      <c r="E92">
        <f t="shared" si="17"/>
        <v>0</v>
      </c>
      <c r="F92" t="s">
        <v>72</v>
      </c>
      <c r="G92">
        <v>530</v>
      </c>
      <c r="H92" t="str">
        <f t="shared" si="18"/>
        <v>501-1000</v>
      </c>
      <c r="I92" t="s">
        <v>73</v>
      </c>
      <c r="J92">
        <v>1</v>
      </c>
      <c r="K92" t="str">
        <f t="shared" si="19"/>
        <v>1-5</v>
      </c>
      <c r="L92">
        <v>4</v>
      </c>
      <c r="M92" t="s">
        <v>82</v>
      </c>
      <c r="N92" t="s">
        <v>60</v>
      </c>
      <c r="O92">
        <v>1</v>
      </c>
      <c r="P92">
        <v>3</v>
      </c>
      <c r="Q92" t="s">
        <v>63</v>
      </c>
      <c r="R92" t="s">
        <v>75</v>
      </c>
      <c r="S92">
        <v>78</v>
      </c>
      <c r="T92" t="str">
        <f t="shared" si="20"/>
        <v>76-100</v>
      </c>
      <c r="U92">
        <v>2</v>
      </c>
      <c r="V92" t="s">
        <v>61</v>
      </c>
      <c r="W92">
        <v>4</v>
      </c>
      <c r="X92" t="s">
        <v>88</v>
      </c>
      <c r="Y92">
        <v>2</v>
      </c>
      <c r="Z92" t="s">
        <v>61</v>
      </c>
      <c r="AA92" t="s">
        <v>77</v>
      </c>
      <c r="AB92" s="4">
        <v>13503</v>
      </c>
      <c r="AC92" s="4" t="str">
        <f t="shared" si="21"/>
        <v>$13,000-$14,500</v>
      </c>
      <c r="AD92">
        <v>14115</v>
      </c>
      <c r="AE92" t="str">
        <f t="shared" si="22"/>
        <v>$8,001-$16,000</v>
      </c>
      <c r="AF92">
        <v>1</v>
      </c>
      <c r="AG92" t="str">
        <f t="shared" si="23"/>
        <v>0-1</v>
      </c>
      <c r="AH92" t="s">
        <v>67</v>
      </c>
      <c r="AI92" t="s">
        <v>71</v>
      </c>
      <c r="AJ92">
        <v>22</v>
      </c>
      <c r="AK92" t="str">
        <f t="shared" si="24"/>
        <v>18-19%</v>
      </c>
      <c r="AL92">
        <v>4</v>
      </c>
      <c r="AM92" t="s">
        <v>78</v>
      </c>
      <c r="AN92">
        <v>4</v>
      </c>
      <c r="AO92" t="s">
        <v>65</v>
      </c>
      <c r="AP92">
        <v>80</v>
      </c>
      <c r="AQ92">
        <v>1</v>
      </c>
      <c r="AR92">
        <v>22</v>
      </c>
      <c r="AS92" t="str">
        <f t="shared" si="25"/>
        <v>21-40</v>
      </c>
      <c r="AT92">
        <v>3</v>
      </c>
      <c r="AU92" t="str">
        <f t="shared" si="26"/>
        <v>3-4</v>
      </c>
      <c r="AV92">
        <v>2</v>
      </c>
      <c r="AW92" t="s">
        <v>84</v>
      </c>
      <c r="AX92">
        <v>22</v>
      </c>
      <c r="AY92" t="str">
        <f t="shared" si="15"/>
        <v>21-40</v>
      </c>
      <c r="AZ92">
        <v>3</v>
      </c>
      <c r="BA92" t="str">
        <f t="shared" si="27"/>
        <v>2-5</v>
      </c>
      <c r="BB92">
        <v>11</v>
      </c>
      <c r="BC92" t="str">
        <f t="shared" si="28"/>
        <v>11-15</v>
      </c>
      <c r="BD92">
        <v>11</v>
      </c>
      <c r="BE92" t="str">
        <f t="shared" si="29"/>
        <v>11-17</v>
      </c>
    </row>
    <row r="93" spans="1:57" x14ac:dyDescent="0.3">
      <c r="A93">
        <v>120</v>
      </c>
      <c r="B93">
        <v>51</v>
      </c>
      <c r="C93" t="str">
        <f t="shared" si="16"/>
        <v>46-55</v>
      </c>
      <c r="D93" t="s">
        <v>71</v>
      </c>
      <c r="E93">
        <f t="shared" si="17"/>
        <v>0</v>
      </c>
      <c r="F93" t="s">
        <v>57</v>
      </c>
      <c r="G93">
        <v>632</v>
      </c>
      <c r="H93" t="str">
        <f t="shared" si="18"/>
        <v>501-1000</v>
      </c>
      <c r="I93" t="s">
        <v>58</v>
      </c>
      <c r="J93">
        <v>21</v>
      </c>
      <c r="K93" t="str">
        <f t="shared" si="19"/>
        <v>21-29</v>
      </c>
      <c r="L93">
        <v>4</v>
      </c>
      <c r="M93" t="s">
        <v>82</v>
      </c>
      <c r="N93" t="s">
        <v>93</v>
      </c>
      <c r="O93">
        <v>1</v>
      </c>
      <c r="P93">
        <v>3</v>
      </c>
      <c r="Q93" t="s">
        <v>63</v>
      </c>
      <c r="R93" t="s">
        <v>75</v>
      </c>
      <c r="S93">
        <v>71</v>
      </c>
      <c r="T93" t="str">
        <f t="shared" si="20"/>
        <v>51-75</v>
      </c>
      <c r="U93">
        <v>3</v>
      </c>
      <c r="V93" t="s">
        <v>63</v>
      </c>
      <c r="W93">
        <v>2</v>
      </c>
      <c r="X93" t="s">
        <v>64</v>
      </c>
      <c r="Y93">
        <v>4</v>
      </c>
      <c r="Z93" t="s">
        <v>65</v>
      </c>
      <c r="AA93" t="s">
        <v>66</v>
      </c>
      <c r="AB93" s="4">
        <v>5441</v>
      </c>
      <c r="AC93" s="4" t="str">
        <f t="shared" si="21"/>
        <v>$4,000-$5,500</v>
      </c>
      <c r="AD93">
        <v>8423</v>
      </c>
      <c r="AE93" t="str">
        <f t="shared" si="22"/>
        <v>$8,001-$16,000</v>
      </c>
      <c r="AF93">
        <v>0</v>
      </c>
      <c r="AG93" t="str">
        <f t="shared" si="23"/>
        <v>0-1</v>
      </c>
      <c r="AH93" t="s">
        <v>67</v>
      </c>
      <c r="AI93" t="s">
        <v>56</v>
      </c>
      <c r="AJ93">
        <v>22</v>
      </c>
      <c r="AK93" t="str">
        <f t="shared" si="24"/>
        <v>18-19%</v>
      </c>
      <c r="AL93">
        <v>4</v>
      </c>
      <c r="AM93" t="s">
        <v>78</v>
      </c>
      <c r="AN93">
        <v>4</v>
      </c>
      <c r="AO93" t="s">
        <v>65</v>
      </c>
      <c r="AP93">
        <v>80</v>
      </c>
      <c r="AQ93">
        <v>0</v>
      </c>
      <c r="AR93">
        <v>11</v>
      </c>
      <c r="AS93" t="str">
        <f t="shared" si="25"/>
        <v>11-20</v>
      </c>
      <c r="AT93">
        <v>2</v>
      </c>
      <c r="AU93" t="str">
        <f t="shared" si="26"/>
        <v>0-2</v>
      </c>
      <c r="AV93">
        <v>1</v>
      </c>
      <c r="AW93" t="s">
        <v>70</v>
      </c>
      <c r="AX93">
        <v>10</v>
      </c>
      <c r="AY93" t="str">
        <f t="shared" si="15"/>
        <v>6-10</v>
      </c>
      <c r="AZ93">
        <v>7</v>
      </c>
      <c r="BA93" t="str">
        <f t="shared" si="27"/>
        <v>6-10</v>
      </c>
      <c r="BB93">
        <v>1</v>
      </c>
      <c r="BC93" t="str">
        <f t="shared" si="28"/>
        <v>0-1</v>
      </c>
      <c r="BD93">
        <v>0</v>
      </c>
      <c r="BE93" t="str">
        <f t="shared" si="29"/>
        <v>0-1</v>
      </c>
    </row>
    <row r="94" spans="1:57" x14ac:dyDescent="0.3">
      <c r="A94">
        <v>121</v>
      </c>
      <c r="B94">
        <v>30</v>
      </c>
      <c r="C94" t="str">
        <f t="shared" si="16"/>
        <v>26-35</v>
      </c>
      <c r="D94" t="s">
        <v>71</v>
      </c>
      <c r="E94">
        <f t="shared" si="17"/>
        <v>0</v>
      </c>
      <c r="F94" t="s">
        <v>57</v>
      </c>
      <c r="G94">
        <v>1334</v>
      </c>
      <c r="H94" t="str">
        <f t="shared" si="18"/>
        <v>1001-1499</v>
      </c>
      <c r="I94" t="s">
        <v>58</v>
      </c>
      <c r="J94">
        <v>4</v>
      </c>
      <c r="K94" t="str">
        <f t="shared" si="19"/>
        <v>1-5</v>
      </c>
      <c r="L94">
        <v>2</v>
      </c>
      <c r="M94" t="s">
        <v>59</v>
      </c>
      <c r="N94" t="s">
        <v>83</v>
      </c>
      <c r="O94">
        <v>1</v>
      </c>
      <c r="P94">
        <v>3</v>
      </c>
      <c r="Q94" t="s">
        <v>63</v>
      </c>
      <c r="R94" t="s">
        <v>62</v>
      </c>
      <c r="S94">
        <v>63</v>
      </c>
      <c r="T94" t="str">
        <f t="shared" si="20"/>
        <v>51-75</v>
      </c>
      <c r="U94">
        <v>2</v>
      </c>
      <c r="V94" t="s">
        <v>61</v>
      </c>
      <c r="W94">
        <v>2</v>
      </c>
      <c r="X94" t="s">
        <v>64</v>
      </c>
      <c r="Y94">
        <v>2</v>
      </c>
      <c r="Z94" t="s">
        <v>61</v>
      </c>
      <c r="AA94" t="s">
        <v>86</v>
      </c>
      <c r="AB94" s="4">
        <v>5209</v>
      </c>
      <c r="AC94" s="4" t="str">
        <f t="shared" si="21"/>
        <v>$4,000-$5,500</v>
      </c>
      <c r="AD94">
        <v>19760</v>
      </c>
      <c r="AE94" t="str">
        <f t="shared" si="22"/>
        <v>$16,001-$22,000</v>
      </c>
      <c r="AF94">
        <v>1</v>
      </c>
      <c r="AG94" t="str">
        <f t="shared" si="23"/>
        <v>0-1</v>
      </c>
      <c r="AH94" t="s">
        <v>67</v>
      </c>
      <c r="AI94" t="s">
        <v>56</v>
      </c>
      <c r="AJ94">
        <v>12</v>
      </c>
      <c r="AK94" t="str">
        <f t="shared" si="24"/>
        <v>11-12%</v>
      </c>
      <c r="AL94">
        <v>3</v>
      </c>
      <c r="AM94" t="s">
        <v>68</v>
      </c>
      <c r="AN94">
        <v>2</v>
      </c>
      <c r="AO94" t="s">
        <v>61</v>
      </c>
      <c r="AP94">
        <v>80</v>
      </c>
      <c r="AQ94">
        <v>3</v>
      </c>
      <c r="AR94">
        <v>11</v>
      </c>
      <c r="AS94" t="str">
        <f t="shared" si="25"/>
        <v>11-20</v>
      </c>
      <c r="AT94">
        <v>4</v>
      </c>
      <c r="AU94" t="str">
        <f t="shared" si="26"/>
        <v>3-4</v>
      </c>
      <c r="AV94">
        <v>2</v>
      </c>
      <c r="AW94" t="s">
        <v>84</v>
      </c>
      <c r="AX94">
        <v>11</v>
      </c>
      <c r="AY94" t="str">
        <f t="shared" si="15"/>
        <v>11-20</v>
      </c>
      <c r="AZ94">
        <v>8</v>
      </c>
      <c r="BA94" t="str">
        <f t="shared" si="27"/>
        <v>6-10</v>
      </c>
      <c r="BB94">
        <v>2</v>
      </c>
      <c r="BC94" t="str">
        <f t="shared" si="28"/>
        <v>2-5</v>
      </c>
      <c r="BD94">
        <v>7</v>
      </c>
      <c r="BE94" t="str">
        <f t="shared" si="29"/>
        <v>6-10</v>
      </c>
    </row>
    <row r="95" spans="1:57" x14ac:dyDescent="0.3">
      <c r="A95">
        <v>124</v>
      </c>
      <c r="B95">
        <v>46</v>
      </c>
      <c r="C95" t="str">
        <f t="shared" si="16"/>
        <v>46-55</v>
      </c>
      <c r="D95" t="s">
        <v>71</v>
      </c>
      <c r="E95">
        <f t="shared" si="17"/>
        <v>0</v>
      </c>
      <c r="F95" t="s">
        <v>72</v>
      </c>
      <c r="G95">
        <v>638</v>
      </c>
      <c r="H95" t="str">
        <f t="shared" si="18"/>
        <v>501-1000</v>
      </c>
      <c r="I95" t="s">
        <v>73</v>
      </c>
      <c r="J95">
        <v>1</v>
      </c>
      <c r="K95" t="str">
        <f t="shared" si="19"/>
        <v>1-5</v>
      </c>
      <c r="L95">
        <v>3</v>
      </c>
      <c r="M95" t="s">
        <v>85</v>
      </c>
      <c r="N95" t="s">
        <v>83</v>
      </c>
      <c r="O95">
        <v>1</v>
      </c>
      <c r="P95">
        <v>3</v>
      </c>
      <c r="Q95" t="s">
        <v>63</v>
      </c>
      <c r="R95" t="s">
        <v>75</v>
      </c>
      <c r="S95">
        <v>40</v>
      </c>
      <c r="T95" t="str">
        <f t="shared" si="20"/>
        <v>30-50</v>
      </c>
      <c r="U95">
        <v>2</v>
      </c>
      <c r="V95" t="s">
        <v>61</v>
      </c>
      <c r="W95">
        <v>3</v>
      </c>
      <c r="X95" t="s">
        <v>88</v>
      </c>
      <c r="Y95">
        <v>1</v>
      </c>
      <c r="Z95" t="s">
        <v>69</v>
      </c>
      <c r="AA95" t="s">
        <v>77</v>
      </c>
      <c r="AB95" s="4">
        <v>10673</v>
      </c>
      <c r="AC95" s="4" t="str">
        <f t="shared" si="21"/>
        <v>$10,000-$11,500</v>
      </c>
      <c r="AD95">
        <v>3142</v>
      </c>
      <c r="AE95" t="str">
        <f t="shared" si="22"/>
        <v>$2,094-$8,000</v>
      </c>
      <c r="AF95">
        <v>2</v>
      </c>
      <c r="AG95" t="str">
        <f t="shared" si="23"/>
        <v>2-3</v>
      </c>
      <c r="AH95" t="s">
        <v>67</v>
      </c>
      <c r="AI95" t="s">
        <v>56</v>
      </c>
      <c r="AJ95">
        <v>13</v>
      </c>
      <c r="AK95" t="str">
        <f t="shared" si="24"/>
        <v>13-15%</v>
      </c>
      <c r="AL95">
        <v>3</v>
      </c>
      <c r="AM95" t="s">
        <v>68</v>
      </c>
      <c r="AN95">
        <v>3</v>
      </c>
      <c r="AO95" t="s">
        <v>63</v>
      </c>
      <c r="AP95">
        <v>80</v>
      </c>
      <c r="AQ95">
        <v>1</v>
      </c>
      <c r="AR95">
        <v>21</v>
      </c>
      <c r="AS95" t="str">
        <f t="shared" si="25"/>
        <v>21-40</v>
      </c>
      <c r="AT95">
        <v>5</v>
      </c>
      <c r="AU95" t="str">
        <f t="shared" si="26"/>
        <v>5-6</v>
      </c>
      <c r="AV95">
        <v>2</v>
      </c>
      <c r="AW95" t="s">
        <v>84</v>
      </c>
      <c r="AX95">
        <v>10</v>
      </c>
      <c r="AY95" t="str">
        <f t="shared" si="15"/>
        <v>6-10</v>
      </c>
      <c r="AZ95">
        <v>9</v>
      </c>
      <c r="BA95" t="str">
        <f t="shared" si="27"/>
        <v>6-10</v>
      </c>
      <c r="BB95">
        <v>9</v>
      </c>
      <c r="BC95" t="str">
        <f t="shared" si="28"/>
        <v>6-10</v>
      </c>
      <c r="BD95">
        <v>5</v>
      </c>
      <c r="BE95" t="str">
        <f t="shared" si="29"/>
        <v>2-5</v>
      </c>
    </row>
    <row r="96" spans="1:57" x14ac:dyDescent="0.3">
      <c r="A96">
        <v>125</v>
      </c>
      <c r="B96">
        <v>32</v>
      </c>
      <c r="C96" t="str">
        <f t="shared" si="16"/>
        <v>26-35</v>
      </c>
      <c r="D96" t="s">
        <v>71</v>
      </c>
      <c r="E96">
        <f t="shared" si="17"/>
        <v>0</v>
      </c>
      <c r="F96" t="s">
        <v>57</v>
      </c>
      <c r="G96">
        <v>1093</v>
      </c>
      <c r="H96" t="str">
        <f t="shared" si="18"/>
        <v>1001-1499</v>
      </c>
      <c r="I96" t="s">
        <v>58</v>
      </c>
      <c r="J96">
        <v>6</v>
      </c>
      <c r="K96" t="str">
        <f t="shared" si="19"/>
        <v>6-10</v>
      </c>
      <c r="L96">
        <v>4</v>
      </c>
      <c r="M96" t="s">
        <v>82</v>
      </c>
      <c r="N96" t="s">
        <v>83</v>
      </c>
      <c r="O96">
        <v>1</v>
      </c>
      <c r="P96">
        <v>2</v>
      </c>
      <c r="Q96" t="s">
        <v>61</v>
      </c>
      <c r="R96" t="s">
        <v>75</v>
      </c>
      <c r="S96">
        <v>87</v>
      </c>
      <c r="T96" t="str">
        <f t="shared" si="20"/>
        <v>76-100</v>
      </c>
      <c r="U96">
        <v>3</v>
      </c>
      <c r="V96" t="s">
        <v>63</v>
      </c>
      <c r="W96">
        <v>2</v>
      </c>
      <c r="X96" t="s">
        <v>64</v>
      </c>
      <c r="Y96">
        <v>3</v>
      </c>
      <c r="Z96" t="s">
        <v>63</v>
      </c>
      <c r="AA96" t="s">
        <v>66</v>
      </c>
      <c r="AB96" s="4">
        <v>5010</v>
      </c>
      <c r="AC96" s="4" t="str">
        <f t="shared" si="21"/>
        <v>$4,000-$5,500</v>
      </c>
      <c r="AD96">
        <v>24301</v>
      </c>
      <c r="AE96" t="str">
        <f t="shared" si="22"/>
        <v>$22,001-$26,999</v>
      </c>
      <c r="AF96">
        <v>1</v>
      </c>
      <c r="AG96" t="str">
        <f t="shared" si="23"/>
        <v>0-1</v>
      </c>
      <c r="AH96" t="s">
        <v>67</v>
      </c>
      <c r="AI96" t="s">
        <v>71</v>
      </c>
      <c r="AJ96">
        <v>16</v>
      </c>
      <c r="AK96" t="str">
        <f t="shared" si="24"/>
        <v>16-17%</v>
      </c>
      <c r="AL96">
        <v>3</v>
      </c>
      <c r="AM96" t="s">
        <v>68</v>
      </c>
      <c r="AN96">
        <v>1</v>
      </c>
      <c r="AO96" t="s">
        <v>69</v>
      </c>
      <c r="AP96">
        <v>80</v>
      </c>
      <c r="AQ96">
        <v>0</v>
      </c>
      <c r="AR96">
        <v>12</v>
      </c>
      <c r="AS96" t="str">
        <f t="shared" si="25"/>
        <v>11-20</v>
      </c>
      <c r="AT96">
        <v>0</v>
      </c>
      <c r="AU96" t="str">
        <f t="shared" si="26"/>
        <v>0-2</v>
      </c>
      <c r="AV96">
        <v>3</v>
      </c>
      <c r="AW96" t="s">
        <v>79</v>
      </c>
      <c r="AX96">
        <v>11</v>
      </c>
      <c r="AY96" t="str">
        <f t="shared" si="15"/>
        <v>11-20</v>
      </c>
      <c r="AZ96">
        <v>8</v>
      </c>
      <c r="BA96" t="str">
        <f t="shared" si="27"/>
        <v>6-10</v>
      </c>
      <c r="BB96">
        <v>5</v>
      </c>
      <c r="BC96" t="str">
        <f t="shared" si="28"/>
        <v>2-5</v>
      </c>
      <c r="BD96">
        <v>7</v>
      </c>
      <c r="BE96" t="str">
        <f t="shared" si="29"/>
        <v>6-10</v>
      </c>
    </row>
    <row r="97" spans="1:57" x14ac:dyDescent="0.3">
      <c r="A97">
        <v>126</v>
      </c>
      <c r="B97">
        <v>54</v>
      </c>
      <c r="C97" t="str">
        <f t="shared" si="16"/>
        <v>46-55</v>
      </c>
      <c r="D97" t="s">
        <v>71</v>
      </c>
      <c r="E97">
        <f t="shared" si="17"/>
        <v>0</v>
      </c>
      <c r="F97" t="s">
        <v>57</v>
      </c>
      <c r="G97">
        <v>1217</v>
      </c>
      <c r="H97" t="str">
        <f t="shared" si="18"/>
        <v>1001-1499</v>
      </c>
      <c r="I97" t="s">
        <v>73</v>
      </c>
      <c r="J97">
        <v>2</v>
      </c>
      <c r="K97" t="str">
        <f t="shared" si="19"/>
        <v>1-5</v>
      </c>
      <c r="L97">
        <v>4</v>
      </c>
      <c r="M97" t="s">
        <v>82</v>
      </c>
      <c r="N97" t="s">
        <v>95</v>
      </c>
      <c r="O97">
        <v>1</v>
      </c>
      <c r="P97">
        <v>1</v>
      </c>
      <c r="Q97" t="s">
        <v>69</v>
      </c>
      <c r="R97" t="s">
        <v>62</v>
      </c>
      <c r="S97">
        <v>60</v>
      </c>
      <c r="T97" t="str">
        <f t="shared" si="20"/>
        <v>51-75</v>
      </c>
      <c r="U97">
        <v>3</v>
      </c>
      <c r="V97" t="s">
        <v>63</v>
      </c>
      <c r="W97">
        <v>3</v>
      </c>
      <c r="X97" t="s">
        <v>92</v>
      </c>
      <c r="Y97">
        <v>3</v>
      </c>
      <c r="Z97" t="s">
        <v>63</v>
      </c>
      <c r="AA97" t="s">
        <v>77</v>
      </c>
      <c r="AB97" s="4">
        <v>13549</v>
      </c>
      <c r="AC97" s="4" t="str">
        <f t="shared" si="21"/>
        <v>$13,000-$14,500</v>
      </c>
      <c r="AD97">
        <v>24001</v>
      </c>
      <c r="AE97" t="str">
        <f t="shared" si="22"/>
        <v>$22,001-$26,999</v>
      </c>
      <c r="AF97">
        <v>9</v>
      </c>
      <c r="AG97" t="str">
        <f t="shared" si="23"/>
        <v>7-9</v>
      </c>
      <c r="AH97" t="s">
        <v>67</v>
      </c>
      <c r="AI97" t="s">
        <v>71</v>
      </c>
      <c r="AJ97">
        <v>12</v>
      </c>
      <c r="AK97" t="str">
        <f t="shared" si="24"/>
        <v>11-12%</v>
      </c>
      <c r="AL97">
        <v>3</v>
      </c>
      <c r="AM97" t="s">
        <v>68</v>
      </c>
      <c r="AN97">
        <v>1</v>
      </c>
      <c r="AO97" t="s">
        <v>69</v>
      </c>
      <c r="AP97">
        <v>80</v>
      </c>
      <c r="AQ97">
        <v>1</v>
      </c>
      <c r="AR97">
        <v>16</v>
      </c>
      <c r="AS97" t="str">
        <f t="shared" si="25"/>
        <v>11-20</v>
      </c>
      <c r="AT97">
        <v>5</v>
      </c>
      <c r="AU97" t="str">
        <f t="shared" si="26"/>
        <v>5-6</v>
      </c>
      <c r="AV97">
        <v>1</v>
      </c>
      <c r="AW97" t="s">
        <v>70</v>
      </c>
      <c r="AX97">
        <v>4</v>
      </c>
      <c r="AY97" t="str">
        <f t="shared" si="15"/>
        <v>2-5</v>
      </c>
      <c r="AZ97">
        <v>3</v>
      </c>
      <c r="BA97" t="str">
        <f t="shared" si="27"/>
        <v>2-5</v>
      </c>
      <c r="BB97">
        <v>0</v>
      </c>
      <c r="BC97" t="str">
        <f t="shared" si="28"/>
        <v>0-1</v>
      </c>
      <c r="BD97">
        <v>3</v>
      </c>
      <c r="BE97" t="str">
        <f t="shared" si="29"/>
        <v>2-5</v>
      </c>
    </row>
    <row r="98" spans="1:57" x14ac:dyDescent="0.3">
      <c r="A98">
        <v>128</v>
      </c>
      <c r="B98">
        <v>24</v>
      </c>
      <c r="C98" t="str">
        <f t="shared" si="16"/>
        <v>18-25</v>
      </c>
      <c r="D98" t="s">
        <v>71</v>
      </c>
      <c r="E98">
        <f t="shared" si="17"/>
        <v>0</v>
      </c>
      <c r="F98" t="s">
        <v>57</v>
      </c>
      <c r="G98">
        <v>1353</v>
      </c>
      <c r="H98" t="str">
        <f t="shared" si="18"/>
        <v>1001-1499</v>
      </c>
      <c r="I98" t="s">
        <v>58</v>
      </c>
      <c r="J98">
        <v>3</v>
      </c>
      <c r="K98" t="str">
        <f t="shared" si="19"/>
        <v>1-5</v>
      </c>
      <c r="L98">
        <v>2</v>
      </c>
      <c r="M98" t="s">
        <v>59</v>
      </c>
      <c r="N98" t="s">
        <v>80</v>
      </c>
      <c r="O98">
        <v>1</v>
      </c>
      <c r="P98">
        <v>1</v>
      </c>
      <c r="Q98" t="s">
        <v>69</v>
      </c>
      <c r="R98" t="s">
        <v>62</v>
      </c>
      <c r="S98">
        <v>33</v>
      </c>
      <c r="T98" t="str">
        <f t="shared" si="20"/>
        <v>30-50</v>
      </c>
      <c r="U98">
        <v>3</v>
      </c>
      <c r="V98" t="s">
        <v>63</v>
      </c>
      <c r="W98">
        <v>2</v>
      </c>
      <c r="X98" t="s">
        <v>64</v>
      </c>
      <c r="Y98">
        <v>3</v>
      </c>
      <c r="Z98" t="s">
        <v>63</v>
      </c>
      <c r="AA98" t="s">
        <v>77</v>
      </c>
      <c r="AB98" s="4">
        <v>4999</v>
      </c>
      <c r="AC98" s="4" t="str">
        <f t="shared" si="21"/>
        <v>$4,000-$5,500</v>
      </c>
      <c r="AD98">
        <v>17519</v>
      </c>
      <c r="AE98" t="str">
        <f t="shared" si="22"/>
        <v>$16,001-$22,000</v>
      </c>
      <c r="AF98">
        <v>0</v>
      </c>
      <c r="AG98" t="str">
        <f t="shared" si="23"/>
        <v>0-1</v>
      </c>
      <c r="AH98" t="s">
        <v>67</v>
      </c>
      <c r="AI98" t="s">
        <v>71</v>
      </c>
      <c r="AJ98">
        <v>21</v>
      </c>
      <c r="AK98" t="str">
        <f t="shared" si="24"/>
        <v>18-19%</v>
      </c>
      <c r="AL98">
        <v>4</v>
      </c>
      <c r="AM98" t="s">
        <v>78</v>
      </c>
      <c r="AN98">
        <v>1</v>
      </c>
      <c r="AO98" t="s">
        <v>69</v>
      </c>
      <c r="AP98">
        <v>80</v>
      </c>
      <c r="AQ98">
        <v>1</v>
      </c>
      <c r="AR98">
        <v>4</v>
      </c>
      <c r="AS98" t="str">
        <f t="shared" si="25"/>
        <v>3-5</v>
      </c>
      <c r="AT98">
        <v>2</v>
      </c>
      <c r="AU98" t="str">
        <f t="shared" si="26"/>
        <v>0-2</v>
      </c>
      <c r="AV98">
        <v>2</v>
      </c>
      <c r="AW98" t="s">
        <v>84</v>
      </c>
      <c r="AX98">
        <v>3</v>
      </c>
      <c r="AY98" t="str">
        <f t="shared" si="15"/>
        <v>2-5</v>
      </c>
      <c r="AZ98">
        <v>2</v>
      </c>
      <c r="BA98" t="str">
        <f t="shared" si="27"/>
        <v>2-5</v>
      </c>
      <c r="BB98">
        <v>0</v>
      </c>
      <c r="BC98" t="str">
        <f t="shared" si="28"/>
        <v>0-1</v>
      </c>
      <c r="BD98">
        <v>2</v>
      </c>
      <c r="BE98" t="str">
        <f t="shared" si="29"/>
        <v>2-5</v>
      </c>
    </row>
    <row r="99" spans="1:57" x14ac:dyDescent="0.3">
      <c r="A99">
        <v>129</v>
      </c>
      <c r="B99">
        <v>28</v>
      </c>
      <c r="C99" t="str">
        <f t="shared" si="16"/>
        <v>26-35</v>
      </c>
      <c r="D99" t="s">
        <v>71</v>
      </c>
      <c r="E99">
        <f t="shared" si="17"/>
        <v>0</v>
      </c>
      <c r="F99" t="s">
        <v>89</v>
      </c>
      <c r="G99">
        <v>120</v>
      </c>
      <c r="H99" t="str">
        <f t="shared" si="18"/>
        <v>102-500</v>
      </c>
      <c r="I99" t="s">
        <v>58</v>
      </c>
      <c r="J99">
        <v>4</v>
      </c>
      <c r="K99" t="str">
        <f t="shared" si="19"/>
        <v>1-5</v>
      </c>
      <c r="L99">
        <v>3</v>
      </c>
      <c r="M99" t="s">
        <v>85</v>
      </c>
      <c r="N99" t="s">
        <v>83</v>
      </c>
      <c r="O99">
        <v>1</v>
      </c>
      <c r="P99">
        <v>2</v>
      </c>
      <c r="Q99" t="s">
        <v>61</v>
      </c>
      <c r="R99" t="s">
        <v>75</v>
      </c>
      <c r="S99">
        <v>43</v>
      </c>
      <c r="T99" t="str">
        <f t="shared" si="20"/>
        <v>30-50</v>
      </c>
      <c r="U99">
        <v>3</v>
      </c>
      <c r="V99" t="s">
        <v>63</v>
      </c>
      <c r="W99">
        <v>2</v>
      </c>
      <c r="X99" t="s">
        <v>64</v>
      </c>
      <c r="Y99">
        <v>3</v>
      </c>
      <c r="Z99" t="s">
        <v>63</v>
      </c>
      <c r="AA99" t="s">
        <v>77</v>
      </c>
      <c r="AB99" s="4">
        <v>4221</v>
      </c>
      <c r="AC99" s="4" t="str">
        <f t="shared" si="21"/>
        <v>$4,000-$5,500</v>
      </c>
      <c r="AD99">
        <v>8863</v>
      </c>
      <c r="AE99" t="str">
        <f t="shared" si="22"/>
        <v>$8,001-$16,000</v>
      </c>
      <c r="AF99">
        <v>1</v>
      </c>
      <c r="AG99" t="str">
        <f t="shared" si="23"/>
        <v>0-1</v>
      </c>
      <c r="AH99" t="s">
        <v>67</v>
      </c>
      <c r="AI99" t="s">
        <v>71</v>
      </c>
      <c r="AJ99">
        <v>15</v>
      </c>
      <c r="AK99" t="str">
        <f t="shared" si="24"/>
        <v>13-15%</v>
      </c>
      <c r="AL99">
        <v>3</v>
      </c>
      <c r="AM99" t="s">
        <v>68</v>
      </c>
      <c r="AN99">
        <v>2</v>
      </c>
      <c r="AO99" t="s">
        <v>61</v>
      </c>
      <c r="AP99">
        <v>80</v>
      </c>
      <c r="AQ99">
        <v>0</v>
      </c>
      <c r="AR99">
        <v>5</v>
      </c>
      <c r="AS99" t="str">
        <f t="shared" si="25"/>
        <v>3-5</v>
      </c>
      <c r="AT99">
        <v>3</v>
      </c>
      <c r="AU99" t="str">
        <f t="shared" si="26"/>
        <v>3-4</v>
      </c>
      <c r="AV99">
        <v>4</v>
      </c>
      <c r="AW99" t="s">
        <v>94</v>
      </c>
      <c r="AX99">
        <v>5</v>
      </c>
      <c r="AY99" t="str">
        <f t="shared" si="15"/>
        <v>2-5</v>
      </c>
      <c r="AZ99">
        <v>4</v>
      </c>
      <c r="BA99" t="str">
        <f t="shared" si="27"/>
        <v>2-5</v>
      </c>
      <c r="BB99">
        <v>0</v>
      </c>
      <c r="BC99" t="str">
        <f t="shared" si="28"/>
        <v>0-1</v>
      </c>
      <c r="BD99">
        <v>4</v>
      </c>
      <c r="BE99" t="str">
        <f t="shared" si="29"/>
        <v>2-5</v>
      </c>
    </row>
    <row r="100" spans="1:57" x14ac:dyDescent="0.3">
      <c r="A100">
        <v>131</v>
      </c>
      <c r="B100">
        <v>58</v>
      </c>
      <c r="C100" t="str">
        <f t="shared" si="16"/>
        <v>56+</v>
      </c>
      <c r="D100" t="s">
        <v>71</v>
      </c>
      <c r="E100">
        <f t="shared" si="17"/>
        <v>0</v>
      </c>
      <c r="F100" t="s">
        <v>57</v>
      </c>
      <c r="G100">
        <v>682</v>
      </c>
      <c r="H100" t="str">
        <f t="shared" si="18"/>
        <v>501-1000</v>
      </c>
      <c r="I100" t="s">
        <v>58</v>
      </c>
      <c r="J100">
        <v>10</v>
      </c>
      <c r="K100" t="str">
        <f t="shared" si="19"/>
        <v>6-10</v>
      </c>
      <c r="L100">
        <v>4</v>
      </c>
      <c r="M100" t="s">
        <v>82</v>
      </c>
      <c r="N100" t="s">
        <v>83</v>
      </c>
      <c r="O100">
        <v>1</v>
      </c>
      <c r="P100">
        <v>4</v>
      </c>
      <c r="Q100" t="s">
        <v>65</v>
      </c>
      <c r="R100" t="s">
        <v>75</v>
      </c>
      <c r="S100">
        <v>37</v>
      </c>
      <c r="T100" t="str">
        <f t="shared" si="20"/>
        <v>30-50</v>
      </c>
      <c r="U100">
        <v>3</v>
      </c>
      <c r="V100" t="s">
        <v>63</v>
      </c>
      <c r="W100">
        <v>4</v>
      </c>
      <c r="X100" t="s">
        <v>64</v>
      </c>
      <c r="Y100">
        <v>3</v>
      </c>
      <c r="Z100" t="s">
        <v>63</v>
      </c>
      <c r="AA100" t="s">
        <v>66</v>
      </c>
      <c r="AB100" s="4">
        <v>13872</v>
      </c>
      <c r="AC100" s="4" t="str">
        <f t="shared" si="21"/>
        <v>$13,000-$14,500</v>
      </c>
      <c r="AD100">
        <v>24409</v>
      </c>
      <c r="AE100" t="str">
        <f t="shared" si="22"/>
        <v>$22,001-$26,999</v>
      </c>
      <c r="AF100">
        <v>0</v>
      </c>
      <c r="AG100" t="str">
        <f t="shared" si="23"/>
        <v>0-1</v>
      </c>
      <c r="AH100" t="s">
        <v>67</v>
      </c>
      <c r="AI100" t="s">
        <v>71</v>
      </c>
      <c r="AJ100">
        <v>13</v>
      </c>
      <c r="AK100" t="str">
        <f t="shared" si="24"/>
        <v>13-15%</v>
      </c>
      <c r="AL100">
        <v>3</v>
      </c>
      <c r="AM100" t="s">
        <v>68</v>
      </c>
      <c r="AN100">
        <v>3</v>
      </c>
      <c r="AO100" t="s">
        <v>63</v>
      </c>
      <c r="AP100">
        <v>80</v>
      </c>
      <c r="AQ100">
        <v>0</v>
      </c>
      <c r="AR100">
        <v>38</v>
      </c>
      <c r="AS100" t="str">
        <f t="shared" si="25"/>
        <v>21-40</v>
      </c>
      <c r="AT100">
        <v>1</v>
      </c>
      <c r="AU100" t="str">
        <f t="shared" si="26"/>
        <v>0-2</v>
      </c>
      <c r="AV100">
        <v>2</v>
      </c>
      <c r="AW100" t="s">
        <v>84</v>
      </c>
      <c r="AX100">
        <v>37</v>
      </c>
      <c r="AY100" t="str">
        <f t="shared" si="15"/>
        <v>21-40</v>
      </c>
      <c r="AZ100">
        <v>10</v>
      </c>
      <c r="BA100" t="str">
        <f t="shared" si="27"/>
        <v>6-10</v>
      </c>
      <c r="BB100">
        <v>1</v>
      </c>
      <c r="BC100" t="str">
        <f t="shared" si="28"/>
        <v>0-1</v>
      </c>
      <c r="BD100">
        <v>8</v>
      </c>
      <c r="BE100" t="str">
        <f t="shared" si="29"/>
        <v>6-10</v>
      </c>
    </row>
    <row r="101" spans="1:57" x14ac:dyDescent="0.3">
      <c r="A101">
        <v>132</v>
      </c>
      <c r="B101">
        <v>44</v>
      </c>
      <c r="C101" t="str">
        <f t="shared" si="16"/>
        <v>36-45</v>
      </c>
      <c r="D101" t="s">
        <v>71</v>
      </c>
      <c r="E101">
        <f t="shared" si="17"/>
        <v>0</v>
      </c>
      <c r="F101" t="s">
        <v>89</v>
      </c>
      <c r="G101">
        <v>489</v>
      </c>
      <c r="H101" t="str">
        <f t="shared" si="18"/>
        <v>102-500</v>
      </c>
      <c r="I101" t="s">
        <v>73</v>
      </c>
      <c r="J101">
        <v>23</v>
      </c>
      <c r="K101" t="str">
        <f t="shared" si="19"/>
        <v>21-29</v>
      </c>
      <c r="L101">
        <v>3</v>
      </c>
      <c r="M101" t="s">
        <v>85</v>
      </c>
      <c r="N101" t="s">
        <v>83</v>
      </c>
      <c r="O101">
        <v>1</v>
      </c>
      <c r="P101">
        <v>2</v>
      </c>
      <c r="Q101" t="s">
        <v>61</v>
      </c>
      <c r="R101" t="s">
        <v>75</v>
      </c>
      <c r="S101">
        <v>67</v>
      </c>
      <c r="T101" t="str">
        <f t="shared" si="20"/>
        <v>51-75</v>
      </c>
      <c r="U101">
        <v>3</v>
      </c>
      <c r="V101" t="s">
        <v>63</v>
      </c>
      <c r="W101">
        <v>2</v>
      </c>
      <c r="X101" t="s">
        <v>81</v>
      </c>
      <c r="Y101">
        <v>2</v>
      </c>
      <c r="Z101" t="s">
        <v>61</v>
      </c>
      <c r="AA101" t="s">
        <v>77</v>
      </c>
      <c r="AB101" s="4">
        <v>2042</v>
      </c>
      <c r="AC101" s="4" t="str">
        <f t="shared" si="21"/>
        <v>$1,000-$2,500</v>
      </c>
      <c r="AD101">
        <v>25043</v>
      </c>
      <c r="AE101" t="str">
        <f t="shared" si="22"/>
        <v>$22,001-$26,999</v>
      </c>
      <c r="AF101">
        <v>4</v>
      </c>
      <c r="AG101" t="str">
        <f t="shared" si="23"/>
        <v>4-6</v>
      </c>
      <c r="AH101" t="s">
        <v>67</v>
      </c>
      <c r="AI101" t="s">
        <v>71</v>
      </c>
      <c r="AJ101">
        <v>12</v>
      </c>
      <c r="AK101" t="str">
        <f t="shared" si="24"/>
        <v>11-12%</v>
      </c>
      <c r="AL101">
        <v>3</v>
      </c>
      <c r="AM101" t="s">
        <v>68</v>
      </c>
      <c r="AN101">
        <v>3</v>
      </c>
      <c r="AO101" t="s">
        <v>63</v>
      </c>
      <c r="AP101">
        <v>80</v>
      </c>
      <c r="AQ101">
        <v>1</v>
      </c>
      <c r="AR101">
        <v>17</v>
      </c>
      <c r="AS101" t="str">
        <f t="shared" si="25"/>
        <v>11-20</v>
      </c>
      <c r="AT101">
        <v>3</v>
      </c>
      <c r="AU101" t="str">
        <f t="shared" si="26"/>
        <v>3-4</v>
      </c>
      <c r="AV101">
        <v>4</v>
      </c>
      <c r="AW101" t="s">
        <v>94</v>
      </c>
      <c r="AX101">
        <v>3</v>
      </c>
      <c r="AY101" t="str">
        <f t="shared" si="15"/>
        <v>2-5</v>
      </c>
      <c r="AZ101">
        <v>2</v>
      </c>
      <c r="BA101" t="str">
        <f t="shared" si="27"/>
        <v>2-5</v>
      </c>
      <c r="BB101">
        <v>1</v>
      </c>
      <c r="BC101" t="str">
        <f t="shared" si="28"/>
        <v>0-1</v>
      </c>
      <c r="BD101">
        <v>2</v>
      </c>
      <c r="BE101" t="str">
        <f t="shared" si="29"/>
        <v>2-5</v>
      </c>
    </row>
    <row r="102" spans="1:57" x14ac:dyDescent="0.3">
      <c r="A102">
        <v>133</v>
      </c>
      <c r="B102">
        <v>37</v>
      </c>
      <c r="C102" t="str">
        <f t="shared" si="16"/>
        <v>36-45</v>
      </c>
      <c r="D102" t="s">
        <v>56</v>
      </c>
      <c r="E102">
        <f t="shared" si="17"/>
        <v>1</v>
      </c>
      <c r="F102" t="s">
        <v>57</v>
      </c>
      <c r="G102">
        <v>807</v>
      </c>
      <c r="H102" t="str">
        <f t="shared" si="18"/>
        <v>501-1000</v>
      </c>
      <c r="I102" t="s">
        <v>97</v>
      </c>
      <c r="J102">
        <v>6</v>
      </c>
      <c r="K102" t="str">
        <f t="shared" si="19"/>
        <v>6-10</v>
      </c>
      <c r="L102">
        <v>4</v>
      </c>
      <c r="M102" t="s">
        <v>82</v>
      </c>
      <c r="N102" t="s">
        <v>97</v>
      </c>
      <c r="O102">
        <v>1</v>
      </c>
      <c r="P102">
        <v>3</v>
      </c>
      <c r="Q102" t="s">
        <v>63</v>
      </c>
      <c r="R102" t="s">
        <v>75</v>
      </c>
      <c r="S102">
        <v>63</v>
      </c>
      <c r="T102" t="str">
        <f t="shared" si="20"/>
        <v>51-75</v>
      </c>
      <c r="U102">
        <v>3</v>
      </c>
      <c r="V102" t="s">
        <v>63</v>
      </c>
      <c r="W102">
        <v>1</v>
      </c>
      <c r="X102" t="s">
        <v>97</v>
      </c>
      <c r="Y102">
        <v>1</v>
      </c>
      <c r="Z102" t="s">
        <v>69</v>
      </c>
      <c r="AA102" t="s">
        <v>86</v>
      </c>
      <c r="AB102" s="4">
        <v>2073</v>
      </c>
      <c r="AC102" s="4" t="str">
        <f t="shared" si="21"/>
        <v>$1,000-$2,500</v>
      </c>
      <c r="AD102">
        <v>23648</v>
      </c>
      <c r="AE102" t="str">
        <f t="shared" si="22"/>
        <v>$22,001-$26,999</v>
      </c>
      <c r="AF102">
        <v>4</v>
      </c>
      <c r="AG102" t="str">
        <f t="shared" si="23"/>
        <v>4-6</v>
      </c>
      <c r="AH102" t="s">
        <v>67</v>
      </c>
      <c r="AI102" t="s">
        <v>56</v>
      </c>
      <c r="AJ102">
        <v>22</v>
      </c>
      <c r="AK102" t="str">
        <f t="shared" si="24"/>
        <v>18-19%</v>
      </c>
      <c r="AL102">
        <v>4</v>
      </c>
      <c r="AM102" t="s">
        <v>78</v>
      </c>
      <c r="AN102">
        <v>4</v>
      </c>
      <c r="AO102" t="s">
        <v>65</v>
      </c>
      <c r="AP102">
        <v>80</v>
      </c>
      <c r="AQ102">
        <v>0</v>
      </c>
      <c r="AR102">
        <v>7</v>
      </c>
      <c r="AS102" t="str">
        <f t="shared" si="25"/>
        <v>6-10</v>
      </c>
      <c r="AT102">
        <v>3</v>
      </c>
      <c r="AU102" t="str">
        <f t="shared" si="26"/>
        <v>3-4</v>
      </c>
      <c r="AV102">
        <v>3</v>
      </c>
      <c r="AW102" t="s">
        <v>79</v>
      </c>
      <c r="AX102">
        <v>3</v>
      </c>
      <c r="AY102" t="str">
        <f t="shared" si="15"/>
        <v>2-5</v>
      </c>
      <c r="AZ102">
        <v>2</v>
      </c>
      <c r="BA102" t="str">
        <f t="shared" si="27"/>
        <v>2-5</v>
      </c>
      <c r="BB102">
        <v>0</v>
      </c>
      <c r="BC102" t="str">
        <f t="shared" si="28"/>
        <v>0-1</v>
      </c>
      <c r="BD102">
        <v>2</v>
      </c>
      <c r="BE102" t="str">
        <f t="shared" si="29"/>
        <v>2-5</v>
      </c>
    </row>
    <row r="103" spans="1:57" x14ac:dyDescent="0.3">
      <c r="A103">
        <v>134</v>
      </c>
      <c r="B103">
        <v>32</v>
      </c>
      <c r="C103" t="str">
        <f t="shared" si="16"/>
        <v>26-35</v>
      </c>
      <c r="D103" t="s">
        <v>71</v>
      </c>
      <c r="E103">
        <f t="shared" si="17"/>
        <v>0</v>
      </c>
      <c r="F103" t="s">
        <v>57</v>
      </c>
      <c r="G103">
        <v>827</v>
      </c>
      <c r="H103" t="str">
        <f t="shared" si="18"/>
        <v>501-1000</v>
      </c>
      <c r="I103" t="s">
        <v>73</v>
      </c>
      <c r="J103">
        <v>1</v>
      </c>
      <c r="K103" t="str">
        <f t="shared" si="19"/>
        <v>1-5</v>
      </c>
      <c r="L103">
        <v>1</v>
      </c>
      <c r="M103" t="s">
        <v>74</v>
      </c>
      <c r="N103" t="s">
        <v>60</v>
      </c>
      <c r="O103">
        <v>1</v>
      </c>
      <c r="P103">
        <v>4</v>
      </c>
      <c r="Q103" t="s">
        <v>65</v>
      </c>
      <c r="R103" t="s">
        <v>75</v>
      </c>
      <c r="S103">
        <v>71</v>
      </c>
      <c r="T103" t="str">
        <f t="shared" si="20"/>
        <v>51-75</v>
      </c>
      <c r="U103">
        <v>3</v>
      </c>
      <c r="V103" t="s">
        <v>63</v>
      </c>
      <c r="W103">
        <v>1</v>
      </c>
      <c r="X103" t="s">
        <v>76</v>
      </c>
      <c r="Y103">
        <v>1</v>
      </c>
      <c r="Z103" t="s">
        <v>69</v>
      </c>
      <c r="AA103" t="s">
        <v>66</v>
      </c>
      <c r="AB103" s="4">
        <v>2956</v>
      </c>
      <c r="AC103" s="4" t="str">
        <f t="shared" si="21"/>
        <v>$2,500-$4,000</v>
      </c>
      <c r="AD103">
        <v>15178</v>
      </c>
      <c r="AE103" t="str">
        <f t="shared" si="22"/>
        <v>$8,001-$16,000</v>
      </c>
      <c r="AF103">
        <v>1</v>
      </c>
      <c r="AG103" t="str">
        <f t="shared" si="23"/>
        <v>0-1</v>
      </c>
      <c r="AH103" t="s">
        <v>67</v>
      </c>
      <c r="AI103" t="s">
        <v>71</v>
      </c>
      <c r="AJ103">
        <v>13</v>
      </c>
      <c r="AK103" t="str">
        <f t="shared" si="24"/>
        <v>13-15%</v>
      </c>
      <c r="AL103">
        <v>3</v>
      </c>
      <c r="AM103" t="s">
        <v>68</v>
      </c>
      <c r="AN103">
        <v>4</v>
      </c>
      <c r="AO103" t="s">
        <v>65</v>
      </c>
      <c r="AP103">
        <v>80</v>
      </c>
      <c r="AQ103">
        <v>0</v>
      </c>
      <c r="AR103">
        <v>1</v>
      </c>
      <c r="AS103" t="str">
        <f t="shared" si="25"/>
        <v>0-2</v>
      </c>
      <c r="AT103">
        <v>2</v>
      </c>
      <c r="AU103" t="str">
        <f t="shared" si="26"/>
        <v>0-2</v>
      </c>
      <c r="AV103">
        <v>3</v>
      </c>
      <c r="AW103" t="s">
        <v>79</v>
      </c>
      <c r="AX103">
        <v>1</v>
      </c>
      <c r="AY103" t="str">
        <f t="shared" si="15"/>
        <v>0-1</v>
      </c>
      <c r="AZ103">
        <v>0</v>
      </c>
      <c r="BA103" t="str">
        <f t="shared" si="27"/>
        <v>0-1</v>
      </c>
      <c r="BB103">
        <v>0</v>
      </c>
      <c r="BC103" t="str">
        <f t="shared" si="28"/>
        <v>0-1</v>
      </c>
      <c r="BD103">
        <v>0</v>
      </c>
      <c r="BE103" t="str">
        <f t="shared" si="29"/>
        <v>0-1</v>
      </c>
    </row>
    <row r="104" spans="1:57" x14ac:dyDescent="0.3">
      <c r="A104">
        <v>137</v>
      </c>
      <c r="B104">
        <v>20</v>
      </c>
      <c r="C104" t="str">
        <f t="shared" si="16"/>
        <v>18-25</v>
      </c>
      <c r="D104" t="s">
        <v>56</v>
      </c>
      <c r="E104">
        <f t="shared" si="17"/>
        <v>1</v>
      </c>
      <c r="F104" t="s">
        <v>72</v>
      </c>
      <c r="G104">
        <v>871</v>
      </c>
      <c r="H104" t="str">
        <f t="shared" si="18"/>
        <v>501-1000</v>
      </c>
      <c r="I104" t="s">
        <v>73</v>
      </c>
      <c r="J104">
        <v>6</v>
      </c>
      <c r="K104" t="str">
        <f t="shared" si="19"/>
        <v>6-10</v>
      </c>
      <c r="L104">
        <v>3</v>
      </c>
      <c r="M104" t="s">
        <v>85</v>
      </c>
      <c r="N104" t="s">
        <v>60</v>
      </c>
      <c r="O104">
        <v>1</v>
      </c>
      <c r="P104">
        <v>4</v>
      </c>
      <c r="Q104" t="s">
        <v>65</v>
      </c>
      <c r="R104" t="s">
        <v>62</v>
      </c>
      <c r="S104">
        <v>66</v>
      </c>
      <c r="T104" t="str">
        <f t="shared" si="20"/>
        <v>51-75</v>
      </c>
      <c r="U104">
        <v>2</v>
      </c>
      <c r="V104" t="s">
        <v>61</v>
      </c>
      <c r="W104">
        <v>1</v>
      </c>
      <c r="X104" t="s">
        <v>81</v>
      </c>
      <c r="Y104">
        <v>4</v>
      </c>
      <c r="Z104" t="s">
        <v>65</v>
      </c>
      <c r="AA104" t="s">
        <v>66</v>
      </c>
      <c r="AB104" s="4">
        <v>2926</v>
      </c>
      <c r="AC104" s="4" t="str">
        <f t="shared" si="21"/>
        <v>$2,500-$4,000</v>
      </c>
      <c r="AD104">
        <v>19783</v>
      </c>
      <c r="AE104" t="str">
        <f t="shared" si="22"/>
        <v>$16,001-$22,000</v>
      </c>
      <c r="AF104">
        <v>1</v>
      </c>
      <c r="AG104" t="str">
        <f t="shared" si="23"/>
        <v>0-1</v>
      </c>
      <c r="AH104" t="s">
        <v>67</v>
      </c>
      <c r="AI104" t="s">
        <v>56</v>
      </c>
      <c r="AJ104">
        <v>18</v>
      </c>
      <c r="AK104" t="str">
        <f t="shared" si="24"/>
        <v>18-19%</v>
      </c>
      <c r="AL104">
        <v>3</v>
      </c>
      <c r="AM104" t="s">
        <v>68</v>
      </c>
      <c r="AN104">
        <v>2</v>
      </c>
      <c r="AO104" t="s">
        <v>61</v>
      </c>
      <c r="AP104">
        <v>80</v>
      </c>
      <c r="AQ104">
        <v>0</v>
      </c>
      <c r="AR104">
        <v>1</v>
      </c>
      <c r="AS104" t="str">
        <f t="shared" si="25"/>
        <v>0-2</v>
      </c>
      <c r="AT104">
        <v>5</v>
      </c>
      <c r="AU104" t="str">
        <f t="shared" si="26"/>
        <v>5-6</v>
      </c>
      <c r="AV104">
        <v>3</v>
      </c>
      <c r="AW104" t="s">
        <v>79</v>
      </c>
      <c r="AX104">
        <v>1</v>
      </c>
      <c r="AY104" t="str">
        <f t="shared" si="15"/>
        <v>0-1</v>
      </c>
      <c r="AZ104">
        <v>0</v>
      </c>
      <c r="BA104" t="str">
        <f t="shared" si="27"/>
        <v>0-1</v>
      </c>
      <c r="BB104">
        <v>1</v>
      </c>
      <c r="BC104" t="str">
        <f t="shared" si="28"/>
        <v>0-1</v>
      </c>
      <c r="BD104">
        <v>0</v>
      </c>
      <c r="BE104" t="str">
        <f t="shared" si="29"/>
        <v>0-1</v>
      </c>
    </row>
    <row r="105" spans="1:57" x14ac:dyDescent="0.3">
      <c r="A105">
        <v>138</v>
      </c>
      <c r="B105">
        <v>34</v>
      </c>
      <c r="C105" t="str">
        <f t="shared" si="16"/>
        <v>26-35</v>
      </c>
      <c r="D105" t="s">
        <v>71</v>
      </c>
      <c r="E105">
        <f t="shared" si="17"/>
        <v>0</v>
      </c>
      <c r="F105" t="s">
        <v>57</v>
      </c>
      <c r="G105">
        <v>665</v>
      </c>
      <c r="H105" t="str">
        <f t="shared" si="18"/>
        <v>501-1000</v>
      </c>
      <c r="I105" t="s">
        <v>73</v>
      </c>
      <c r="J105">
        <v>6</v>
      </c>
      <c r="K105" t="str">
        <f t="shared" si="19"/>
        <v>6-10</v>
      </c>
      <c r="L105">
        <v>4</v>
      </c>
      <c r="M105" t="s">
        <v>82</v>
      </c>
      <c r="N105" t="s">
        <v>80</v>
      </c>
      <c r="O105">
        <v>1</v>
      </c>
      <c r="P105">
        <v>1</v>
      </c>
      <c r="Q105" t="s">
        <v>69</v>
      </c>
      <c r="R105" t="s">
        <v>62</v>
      </c>
      <c r="S105">
        <v>41</v>
      </c>
      <c r="T105" t="str">
        <f t="shared" si="20"/>
        <v>30-50</v>
      </c>
      <c r="U105">
        <v>3</v>
      </c>
      <c r="V105" t="s">
        <v>63</v>
      </c>
      <c r="W105">
        <v>2</v>
      </c>
      <c r="X105" t="s">
        <v>76</v>
      </c>
      <c r="Y105">
        <v>3</v>
      </c>
      <c r="Z105" t="s">
        <v>63</v>
      </c>
      <c r="AA105" t="s">
        <v>66</v>
      </c>
      <c r="AB105" s="4">
        <v>4809</v>
      </c>
      <c r="AC105" s="4" t="str">
        <f t="shared" si="21"/>
        <v>$4,000-$5,500</v>
      </c>
      <c r="AD105">
        <v>12482</v>
      </c>
      <c r="AE105" t="str">
        <f t="shared" si="22"/>
        <v>$8,001-$16,000</v>
      </c>
      <c r="AF105">
        <v>1</v>
      </c>
      <c r="AG105" t="str">
        <f t="shared" si="23"/>
        <v>0-1</v>
      </c>
      <c r="AH105" t="s">
        <v>67</v>
      </c>
      <c r="AI105" t="s">
        <v>71</v>
      </c>
      <c r="AJ105">
        <v>14</v>
      </c>
      <c r="AK105" t="str">
        <f t="shared" si="24"/>
        <v>13-15%</v>
      </c>
      <c r="AL105">
        <v>3</v>
      </c>
      <c r="AM105" t="s">
        <v>68</v>
      </c>
      <c r="AN105">
        <v>3</v>
      </c>
      <c r="AO105" t="s">
        <v>63</v>
      </c>
      <c r="AP105">
        <v>80</v>
      </c>
      <c r="AQ105">
        <v>0</v>
      </c>
      <c r="AR105">
        <v>16</v>
      </c>
      <c r="AS105" t="str">
        <f t="shared" si="25"/>
        <v>11-20</v>
      </c>
      <c r="AT105">
        <v>3</v>
      </c>
      <c r="AU105" t="str">
        <f t="shared" si="26"/>
        <v>3-4</v>
      </c>
      <c r="AV105">
        <v>3</v>
      </c>
      <c r="AW105" t="s">
        <v>79</v>
      </c>
      <c r="AX105">
        <v>16</v>
      </c>
      <c r="AY105" t="str">
        <f t="shared" si="15"/>
        <v>11-20</v>
      </c>
      <c r="AZ105">
        <v>13</v>
      </c>
      <c r="BA105" t="str">
        <f t="shared" si="27"/>
        <v>11-18</v>
      </c>
      <c r="BB105">
        <v>2</v>
      </c>
      <c r="BC105" t="str">
        <f t="shared" si="28"/>
        <v>2-5</v>
      </c>
      <c r="BD105">
        <v>10</v>
      </c>
      <c r="BE105" t="str">
        <f t="shared" si="29"/>
        <v>6-10</v>
      </c>
    </row>
    <row r="106" spans="1:57" x14ac:dyDescent="0.3">
      <c r="A106">
        <v>139</v>
      </c>
      <c r="B106">
        <v>37</v>
      </c>
      <c r="C106" t="str">
        <f t="shared" si="16"/>
        <v>36-45</v>
      </c>
      <c r="D106" t="s">
        <v>71</v>
      </c>
      <c r="E106">
        <f t="shared" si="17"/>
        <v>0</v>
      </c>
      <c r="F106" t="s">
        <v>89</v>
      </c>
      <c r="G106">
        <v>1040</v>
      </c>
      <c r="H106" t="str">
        <f t="shared" si="18"/>
        <v>1001-1499</v>
      </c>
      <c r="I106" t="s">
        <v>73</v>
      </c>
      <c r="J106">
        <v>2</v>
      </c>
      <c r="K106" t="str">
        <f t="shared" si="19"/>
        <v>1-5</v>
      </c>
      <c r="L106">
        <v>2</v>
      </c>
      <c r="M106" t="s">
        <v>59</v>
      </c>
      <c r="N106" t="s">
        <v>60</v>
      </c>
      <c r="O106">
        <v>1</v>
      </c>
      <c r="P106">
        <v>3</v>
      </c>
      <c r="Q106" t="s">
        <v>63</v>
      </c>
      <c r="R106" t="s">
        <v>75</v>
      </c>
      <c r="S106">
        <v>100</v>
      </c>
      <c r="T106" t="str">
        <f t="shared" si="20"/>
        <v>76-100</v>
      </c>
      <c r="U106">
        <v>2</v>
      </c>
      <c r="V106" t="s">
        <v>61</v>
      </c>
      <c r="W106">
        <v>2</v>
      </c>
      <c r="X106" t="s">
        <v>88</v>
      </c>
      <c r="Y106">
        <v>4</v>
      </c>
      <c r="Z106" t="s">
        <v>65</v>
      </c>
      <c r="AA106" t="s">
        <v>86</v>
      </c>
      <c r="AB106" s="4">
        <v>5163</v>
      </c>
      <c r="AC106" s="4" t="str">
        <f t="shared" si="21"/>
        <v>$4,000-$5,500</v>
      </c>
      <c r="AD106">
        <v>15850</v>
      </c>
      <c r="AE106" t="str">
        <f t="shared" si="22"/>
        <v>$8,001-$16,000</v>
      </c>
      <c r="AF106">
        <v>5</v>
      </c>
      <c r="AG106" t="str">
        <f t="shared" si="23"/>
        <v>4-6</v>
      </c>
      <c r="AH106" t="s">
        <v>67</v>
      </c>
      <c r="AI106" t="s">
        <v>71</v>
      </c>
      <c r="AJ106">
        <v>14</v>
      </c>
      <c r="AK106" t="str">
        <f t="shared" si="24"/>
        <v>13-15%</v>
      </c>
      <c r="AL106">
        <v>3</v>
      </c>
      <c r="AM106" t="s">
        <v>68</v>
      </c>
      <c r="AN106">
        <v>4</v>
      </c>
      <c r="AO106" t="s">
        <v>65</v>
      </c>
      <c r="AP106">
        <v>80</v>
      </c>
      <c r="AQ106">
        <v>1</v>
      </c>
      <c r="AR106">
        <v>17</v>
      </c>
      <c r="AS106" t="str">
        <f t="shared" si="25"/>
        <v>11-20</v>
      </c>
      <c r="AT106">
        <v>2</v>
      </c>
      <c r="AU106" t="str">
        <f t="shared" si="26"/>
        <v>0-2</v>
      </c>
      <c r="AV106">
        <v>4</v>
      </c>
      <c r="AW106" t="s">
        <v>94</v>
      </c>
      <c r="AX106">
        <v>1</v>
      </c>
      <c r="AY106" t="str">
        <f t="shared" si="15"/>
        <v>0-1</v>
      </c>
      <c r="AZ106">
        <v>0</v>
      </c>
      <c r="BA106" t="str">
        <f t="shared" si="27"/>
        <v>0-1</v>
      </c>
      <c r="BB106">
        <v>0</v>
      </c>
      <c r="BC106" t="str">
        <f t="shared" si="28"/>
        <v>0-1</v>
      </c>
      <c r="BD106">
        <v>0</v>
      </c>
      <c r="BE106" t="str">
        <f t="shared" si="29"/>
        <v>0-1</v>
      </c>
    </row>
    <row r="107" spans="1:57" x14ac:dyDescent="0.3">
      <c r="A107">
        <v>140</v>
      </c>
      <c r="B107">
        <v>59</v>
      </c>
      <c r="C107" t="str">
        <f t="shared" si="16"/>
        <v>56+</v>
      </c>
      <c r="D107" t="s">
        <v>71</v>
      </c>
      <c r="E107">
        <f t="shared" si="17"/>
        <v>0</v>
      </c>
      <c r="F107" t="s">
        <v>89</v>
      </c>
      <c r="G107">
        <v>1420</v>
      </c>
      <c r="H107" t="str">
        <f t="shared" si="18"/>
        <v>1001-1499</v>
      </c>
      <c r="I107" t="s">
        <v>97</v>
      </c>
      <c r="J107">
        <v>2</v>
      </c>
      <c r="K107" t="str">
        <f t="shared" si="19"/>
        <v>1-5</v>
      </c>
      <c r="L107">
        <v>4</v>
      </c>
      <c r="M107" t="s">
        <v>82</v>
      </c>
      <c r="N107" t="s">
        <v>97</v>
      </c>
      <c r="O107">
        <v>1</v>
      </c>
      <c r="P107">
        <v>3</v>
      </c>
      <c r="Q107" t="s">
        <v>63</v>
      </c>
      <c r="R107" t="s">
        <v>62</v>
      </c>
      <c r="S107">
        <v>32</v>
      </c>
      <c r="T107" t="str">
        <f t="shared" si="20"/>
        <v>30-50</v>
      </c>
      <c r="U107">
        <v>2</v>
      </c>
      <c r="V107" t="s">
        <v>61</v>
      </c>
      <c r="W107">
        <v>5</v>
      </c>
      <c r="X107" t="s">
        <v>90</v>
      </c>
      <c r="Y107">
        <v>4</v>
      </c>
      <c r="Z107" t="s">
        <v>65</v>
      </c>
      <c r="AA107" t="s">
        <v>77</v>
      </c>
      <c r="AB107" s="4">
        <v>18844</v>
      </c>
      <c r="AC107" s="4" t="str">
        <f t="shared" si="21"/>
        <v>$17,500-$19,000</v>
      </c>
      <c r="AD107">
        <v>21922</v>
      </c>
      <c r="AE107" t="str">
        <f t="shared" si="22"/>
        <v>$16,001-$22,000</v>
      </c>
      <c r="AF107">
        <v>9</v>
      </c>
      <c r="AG107" t="str">
        <f t="shared" si="23"/>
        <v>7-9</v>
      </c>
      <c r="AH107" t="s">
        <v>67</v>
      </c>
      <c r="AI107" t="s">
        <v>71</v>
      </c>
      <c r="AJ107">
        <v>21</v>
      </c>
      <c r="AK107" t="str">
        <f t="shared" si="24"/>
        <v>18-19%</v>
      </c>
      <c r="AL107">
        <v>4</v>
      </c>
      <c r="AM107" t="s">
        <v>78</v>
      </c>
      <c r="AN107">
        <v>4</v>
      </c>
      <c r="AO107" t="s">
        <v>65</v>
      </c>
      <c r="AP107">
        <v>80</v>
      </c>
      <c r="AQ107">
        <v>1</v>
      </c>
      <c r="AR107">
        <v>30</v>
      </c>
      <c r="AS107" t="str">
        <f t="shared" si="25"/>
        <v>21-40</v>
      </c>
      <c r="AT107">
        <v>3</v>
      </c>
      <c r="AU107" t="str">
        <f t="shared" si="26"/>
        <v>3-4</v>
      </c>
      <c r="AV107">
        <v>3</v>
      </c>
      <c r="AW107" t="s">
        <v>79</v>
      </c>
      <c r="AX107">
        <v>3</v>
      </c>
      <c r="AY107" t="str">
        <f t="shared" si="15"/>
        <v>2-5</v>
      </c>
      <c r="AZ107">
        <v>2</v>
      </c>
      <c r="BA107" t="str">
        <f t="shared" si="27"/>
        <v>2-5</v>
      </c>
      <c r="BB107">
        <v>2</v>
      </c>
      <c r="BC107" t="str">
        <f t="shared" si="28"/>
        <v>2-5</v>
      </c>
      <c r="BD107">
        <v>2</v>
      </c>
      <c r="BE107" t="str">
        <f t="shared" si="29"/>
        <v>2-5</v>
      </c>
    </row>
    <row r="108" spans="1:57" x14ac:dyDescent="0.3">
      <c r="A108">
        <v>141</v>
      </c>
      <c r="B108">
        <v>50</v>
      </c>
      <c r="C108" t="str">
        <f t="shared" si="16"/>
        <v>46-55</v>
      </c>
      <c r="D108" t="s">
        <v>71</v>
      </c>
      <c r="E108">
        <f t="shared" si="17"/>
        <v>0</v>
      </c>
      <c r="F108" t="s">
        <v>72</v>
      </c>
      <c r="G108">
        <v>1115</v>
      </c>
      <c r="H108" t="str">
        <f t="shared" si="18"/>
        <v>1001-1499</v>
      </c>
      <c r="I108" t="s">
        <v>73</v>
      </c>
      <c r="J108">
        <v>1</v>
      </c>
      <c r="K108" t="str">
        <f t="shared" si="19"/>
        <v>1-5</v>
      </c>
      <c r="L108">
        <v>3</v>
      </c>
      <c r="M108" t="s">
        <v>85</v>
      </c>
      <c r="N108" t="s">
        <v>60</v>
      </c>
      <c r="O108">
        <v>1</v>
      </c>
      <c r="P108">
        <v>1</v>
      </c>
      <c r="Q108" t="s">
        <v>69</v>
      </c>
      <c r="R108" t="s">
        <v>62</v>
      </c>
      <c r="S108">
        <v>73</v>
      </c>
      <c r="T108" t="str">
        <f t="shared" si="20"/>
        <v>51-75</v>
      </c>
      <c r="U108">
        <v>3</v>
      </c>
      <c r="V108" t="s">
        <v>63</v>
      </c>
      <c r="W108">
        <v>5</v>
      </c>
      <c r="X108" t="s">
        <v>92</v>
      </c>
      <c r="Y108">
        <v>2</v>
      </c>
      <c r="Z108" t="s">
        <v>61</v>
      </c>
      <c r="AA108" t="s">
        <v>77</v>
      </c>
      <c r="AB108" s="4">
        <v>18172</v>
      </c>
      <c r="AC108" s="4" t="str">
        <f t="shared" si="21"/>
        <v>$17,500-$19,000</v>
      </c>
      <c r="AD108">
        <v>9755</v>
      </c>
      <c r="AE108" t="str">
        <f t="shared" si="22"/>
        <v>$8,001-$16,000</v>
      </c>
      <c r="AF108">
        <v>3</v>
      </c>
      <c r="AG108" t="str">
        <f t="shared" si="23"/>
        <v>2-3</v>
      </c>
      <c r="AH108" t="s">
        <v>67</v>
      </c>
      <c r="AI108" t="s">
        <v>56</v>
      </c>
      <c r="AJ108">
        <v>19</v>
      </c>
      <c r="AK108" t="str">
        <f t="shared" si="24"/>
        <v>18-19%</v>
      </c>
      <c r="AL108">
        <v>3</v>
      </c>
      <c r="AM108" t="s">
        <v>68</v>
      </c>
      <c r="AN108">
        <v>1</v>
      </c>
      <c r="AO108" t="s">
        <v>69</v>
      </c>
      <c r="AP108">
        <v>80</v>
      </c>
      <c r="AQ108">
        <v>0</v>
      </c>
      <c r="AR108">
        <v>28</v>
      </c>
      <c r="AS108" t="str">
        <f t="shared" si="25"/>
        <v>21-40</v>
      </c>
      <c r="AT108">
        <v>1</v>
      </c>
      <c r="AU108" t="str">
        <f t="shared" si="26"/>
        <v>0-2</v>
      </c>
      <c r="AV108">
        <v>2</v>
      </c>
      <c r="AW108" t="s">
        <v>84</v>
      </c>
      <c r="AX108">
        <v>8</v>
      </c>
      <c r="AY108" t="str">
        <f t="shared" si="15"/>
        <v>6-10</v>
      </c>
      <c r="AZ108">
        <v>3</v>
      </c>
      <c r="BA108" t="str">
        <f t="shared" si="27"/>
        <v>2-5</v>
      </c>
      <c r="BB108">
        <v>0</v>
      </c>
      <c r="BC108" t="str">
        <f t="shared" si="28"/>
        <v>0-1</v>
      </c>
      <c r="BD108">
        <v>7</v>
      </c>
      <c r="BE108" t="str">
        <f t="shared" si="29"/>
        <v>6-10</v>
      </c>
    </row>
    <row r="109" spans="1:57" x14ac:dyDescent="0.3">
      <c r="A109">
        <v>142</v>
      </c>
      <c r="B109">
        <v>25</v>
      </c>
      <c r="C109" t="str">
        <f t="shared" si="16"/>
        <v>18-25</v>
      </c>
      <c r="D109" t="s">
        <v>56</v>
      </c>
      <c r="E109">
        <f t="shared" si="17"/>
        <v>1</v>
      </c>
      <c r="F109" t="s">
        <v>57</v>
      </c>
      <c r="G109">
        <v>240</v>
      </c>
      <c r="H109" t="str">
        <f t="shared" si="18"/>
        <v>102-500</v>
      </c>
      <c r="I109" t="s">
        <v>58</v>
      </c>
      <c r="J109">
        <v>5</v>
      </c>
      <c r="K109" t="str">
        <f t="shared" si="19"/>
        <v>1-5</v>
      </c>
      <c r="L109">
        <v>3</v>
      </c>
      <c r="M109" t="s">
        <v>85</v>
      </c>
      <c r="N109" t="s">
        <v>93</v>
      </c>
      <c r="O109">
        <v>1</v>
      </c>
      <c r="P109">
        <v>3</v>
      </c>
      <c r="Q109" t="s">
        <v>63</v>
      </c>
      <c r="R109" t="s">
        <v>75</v>
      </c>
      <c r="S109">
        <v>46</v>
      </c>
      <c r="T109" t="str">
        <f t="shared" si="20"/>
        <v>30-50</v>
      </c>
      <c r="U109">
        <v>2</v>
      </c>
      <c r="V109" t="s">
        <v>61</v>
      </c>
      <c r="W109">
        <v>2</v>
      </c>
      <c r="X109" t="s">
        <v>64</v>
      </c>
      <c r="Y109">
        <v>3</v>
      </c>
      <c r="Z109" t="s">
        <v>63</v>
      </c>
      <c r="AA109" t="s">
        <v>66</v>
      </c>
      <c r="AB109" s="4">
        <v>5744</v>
      </c>
      <c r="AC109" s="4" t="str">
        <f t="shared" si="21"/>
        <v>$5,500-$7,000</v>
      </c>
      <c r="AD109">
        <v>26959</v>
      </c>
      <c r="AE109" t="str">
        <f t="shared" si="22"/>
        <v>$22,001-$26,999</v>
      </c>
      <c r="AF109">
        <v>1</v>
      </c>
      <c r="AG109" t="str">
        <f t="shared" si="23"/>
        <v>0-1</v>
      </c>
      <c r="AH109" t="s">
        <v>67</v>
      </c>
      <c r="AI109" t="s">
        <v>56</v>
      </c>
      <c r="AJ109">
        <v>11</v>
      </c>
      <c r="AK109" t="str">
        <f t="shared" si="24"/>
        <v>11-12%</v>
      </c>
      <c r="AL109">
        <v>3</v>
      </c>
      <c r="AM109" t="s">
        <v>68</v>
      </c>
      <c r="AN109">
        <v>4</v>
      </c>
      <c r="AO109" t="s">
        <v>65</v>
      </c>
      <c r="AP109">
        <v>80</v>
      </c>
      <c r="AQ109">
        <v>0</v>
      </c>
      <c r="AR109">
        <v>6</v>
      </c>
      <c r="AS109" t="str">
        <f t="shared" si="25"/>
        <v>6-10</v>
      </c>
      <c r="AT109">
        <v>1</v>
      </c>
      <c r="AU109" t="str">
        <f t="shared" si="26"/>
        <v>0-2</v>
      </c>
      <c r="AV109">
        <v>3</v>
      </c>
      <c r="AW109" t="s">
        <v>79</v>
      </c>
      <c r="AX109">
        <v>6</v>
      </c>
      <c r="AY109" t="str">
        <f t="shared" si="15"/>
        <v>6-10</v>
      </c>
      <c r="AZ109">
        <v>4</v>
      </c>
      <c r="BA109" t="str">
        <f t="shared" si="27"/>
        <v>2-5</v>
      </c>
      <c r="BB109">
        <v>0</v>
      </c>
      <c r="BC109" t="str">
        <f t="shared" si="28"/>
        <v>0-1</v>
      </c>
      <c r="BD109">
        <v>3</v>
      </c>
      <c r="BE109" t="str">
        <f t="shared" si="29"/>
        <v>2-5</v>
      </c>
    </row>
    <row r="110" spans="1:57" x14ac:dyDescent="0.3">
      <c r="A110">
        <v>143</v>
      </c>
      <c r="B110">
        <v>25</v>
      </c>
      <c r="C110" t="str">
        <f t="shared" si="16"/>
        <v>18-25</v>
      </c>
      <c r="D110" t="s">
        <v>71</v>
      </c>
      <c r="E110">
        <f t="shared" si="17"/>
        <v>0</v>
      </c>
      <c r="F110" t="s">
        <v>57</v>
      </c>
      <c r="G110">
        <v>1280</v>
      </c>
      <c r="H110" t="str">
        <f t="shared" si="18"/>
        <v>1001-1499</v>
      </c>
      <c r="I110" t="s">
        <v>73</v>
      </c>
      <c r="J110">
        <v>7</v>
      </c>
      <c r="K110" t="str">
        <f t="shared" si="19"/>
        <v>6-10</v>
      </c>
      <c r="L110">
        <v>1</v>
      </c>
      <c r="M110" t="s">
        <v>74</v>
      </c>
      <c r="N110" t="s">
        <v>83</v>
      </c>
      <c r="O110">
        <v>1</v>
      </c>
      <c r="P110">
        <v>4</v>
      </c>
      <c r="Q110" t="s">
        <v>65</v>
      </c>
      <c r="R110" t="s">
        <v>75</v>
      </c>
      <c r="S110">
        <v>64</v>
      </c>
      <c r="T110" t="str">
        <f t="shared" si="20"/>
        <v>51-75</v>
      </c>
      <c r="U110">
        <v>2</v>
      </c>
      <c r="V110" t="s">
        <v>61</v>
      </c>
      <c r="W110">
        <v>1</v>
      </c>
      <c r="X110" t="s">
        <v>76</v>
      </c>
      <c r="Y110">
        <v>4</v>
      </c>
      <c r="Z110" t="s">
        <v>65</v>
      </c>
      <c r="AA110" t="s">
        <v>77</v>
      </c>
      <c r="AB110" s="4">
        <v>2889</v>
      </c>
      <c r="AC110" s="4" t="str">
        <f t="shared" si="21"/>
        <v>$2,500-$4,000</v>
      </c>
      <c r="AD110">
        <v>26897</v>
      </c>
      <c r="AE110" t="str">
        <f t="shared" si="22"/>
        <v>$22,001-$26,999</v>
      </c>
      <c r="AF110">
        <v>1</v>
      </c>
      <c r="AG110" t="str">
        <f t="shared" si="23"/>
        <v>0-1</v>
      </c>
      <c r="AH110" t="s">
        <v>67</v>
      </c>
      <c r="AI110" t="s">
        <v>71</v>
      </c>
      <c r="AJ110">
        <v>11</v>
      </c>
      <c r="AK110" t="str">
        <f t="shared" si="24"/>
        <v>11-12%</v>
      </c>
      <c r="AL110">
        <v>3</v>
      </c>
      <c r="AM110" t="s">
        <v>68</v>
      </c>
      <c r="AN110">
        <v>3</v>
      </c>
      <c r="AO110" t="s">
        <v>63</v>
      </c>
      <c r="AP110">
        <v>80</v>
      </c>
      <c r="AQ110">
        <v>2</v>
      </c>
      <c r="AR110">
        <v>2</v>
      </c>
      <c r="AS110" t="str">
        <f t="shared" si="25"/>
        <v>0-2</v>
      </c>
      <c r="AT110">
        <v>2</v>
      </c>
      <c r="AU110" t="str">
        <f t="shared" si="26"/>
        <v>0-2</v>
      </c>
      <c r="AV110">
        <v>3</v>
      </c>
      <c r="AW110" t="s">
        <v>79</v>
      </c>
      <c r="AX110">
        <v>2</v>
      </c>
      <c r="AY110" t="str">
        <f t="shared" si="15"/>
        <v>2-5</v>
      </c>
      <c r="AZ110">
        <v>2</v>
      </c>
      <c r="BA110" t="str">
        <f t="shared" si="27"/>
        <v>2-5</v>
      </c>
      <c r="BB110">
        <v>2</v>
      </c>
      <c r="BC110" t="str">
        <f t="shared" si="28"/>
        <v>2-5</v>
      </c>
      <c r="BD110">
        <v>1</v>
      </c>
      <c r="BE110" t="str">
        <f t="shared" si="29"/>
        <v>0-1</v>
      </c>
    </row>
    <row r="111" spans="1:57" x14ac:dyDescent="0.3">
      <c r="A111">
        <v>144</v>
      </c>
      <c r="B111">
        <v>22</v>
      </c>
      <c r="C111" t="str">
        <f t="shared" si="16"/>
        <v>18-25</v>
      </c>
      <c r="D111" t="s">
        <v>71</v>
      </c>
      <c r="E111">
        <f t="shared" si="17"/>
        <v>0</v>
      </c>
      <c r="F111" t="s">
        <v>57</v>
      </c>
      <c r="G111">
        <v>534</v>
      </c>
      <c r="H111" t="str">
        <f t="shared" si="18"/>
        <v>501-1000</v>
      </c>
      <c r="I111" t="s">
        <v>73</v>
      </c>
      <c r="J111">
        <v>15</v>
      </c>
      <c r="K111" t="str">
        <f t="shared" si="19"/>
        <v>11-20</v>
      </c>
      <c r="L111">
        <v>3</v>
      </c>
      <c r="M111" t="s">
        <v>85</v>
      </c>
      <c r="N111" t="s">
        <v>83</v>
      </c>
      <c r="O111">
        <v>1</v>
      </c>
      <c r="P111">
        <v>2</v>
      </c>
      <c r="Q111" t="s">
        <v>61</v>
      </c>
      <c r="R111" t="s">
        <v>62</v>
      </c>
      <c r="S111">
        <v>59</v>
      </c>
      <c r="T111" t="str">
        <f t="shared" si="20"/>
        <v>51-75</v>
      </c>
      <c r="U111">
        <v>3</v>
      </c>
      <c r="V111" t="s">
        <v>63</v>
      </c>
      <c r="W111">
        <v>1</v>
      </c>
      <c r="X111" t="s">
        <v>81</v>
      </c>
      <c r="Y111">
        <v>4</v>
      </c>
      <c r="Z111" t="s">
        <v>65</v>
      </c>
      <c r="AA111" t="s">
        <v>66</v>
      </c>
      <c r="AB111" s="4">
        <v>2871</v>
      </c>
      <c r="AC111" s="4" t="str">
        <f t="shared" si="21"/>
        <v>$2,500-$4,000</v>
      </c>
      <c r="AD111">
        <v>23785</v>
      </c>
      <c r="AE111" t="str">
        <f t="shared" si="22"/>
        <v>$22,001-$26,999</v>
      </c>
      <c r="AF111">
        <v>1</v>
      </c>
      <c r="AG111" t="str">
        <f t="shared" si="23"/>
        <v>0-1</v>
      </c>
      <c r="AH111" t="s">
        <v>67</v>
      </c>
      <c r="AI111" t="s">
        <v>71</v>
      </c>
      <c r="AJ111">
        <v>15</v>
      </c>
      <c r="AK111" t="str">
        <f t="shared" si="24"/>
        <v>13-15%</v>
      </c>
      <c r="AL111">
        <v>3</v>
      </c>
      <c r="AM111" t="s">
        <v>68</v>
      </c>
      <c r="AN111">
        <v>3</v>
      </c>
      <c r="AO111" t="s">
        <v>63</v>
      </c>
      <c r="AP111">
        <v>80</v>
      </c>
      <c r="AQ111">
        <v>0</v>
      </c>
      <c r="AR111">
        <v>1</v>
      </c>
      <c r="AS111" t="str">
        <f t="shared" si="25"/>
        <v>0-2</v>
      </c>
      <c r="AT111">
        <v>5</v>
      </c>
      <c r="AU111" t="str">
        <f t="shared" si="26"/>
        <v>5-6</v>
      </c>
      <c r="AV111">
        <v>3</v>
      </c>
      <c r="AW111" t="s">
        <v>79</v>
      </c>
      <c r="AX111">
        <v>0</v>
      </c>
      <c r="AY111" t="str">
        <f t="shared" si="15"/>
        <v>0-1</v>
      </c>
      <c r="AZ111">
        <v>0</v>
      </c>
      <c r="BA111" t="str">
        <f t="shared" si="27"/>
        <v>0-1</v>
      </c>
      <c r="BB111">
        <v>0</v>
      </c>
      <c r="BC111" t="str">
        <f t="shared" si="28"/>
        <v>0-1</v>
      </c>
      <c r="BD111">
        <v>0</v>
      </c>
      <c r="BE111" t="str">
        <f t="shared" si="29"/>
        <v>0-1</v>
      </c>
    </row>
    <row r="112" spans="1:57" x14ac:dyDescent="0.3">
      <c r="A112">
        <v>145</v>
      </c>
      <c r="B112">
        <v>51</v>
      </c>
      <c r="C112" t="str">
        <f t="shared" si="16"/>
        <v>46-55</v>
      </c>
      <c r="D112" t="s">
        <v>71</v>
      </c>
      <c r="E112">
        <f t="shared" si="17"/>
        <v>0</v>
      </c>
      <c r="F112" t="s">
        <v>72</v>
      </c>
      <c r="G112">
        <v>1456</v>
      </c>
      <c r="H112" t="str">
        <f t="shared" si="18"/>
        <v>1001-1499</v>
      </c>
      <c r="I112" t="s">
        <v>73</v>
      </c>
      <c r="J112">
        <v>1</v>
      </c>
      <c r="K112" t="str">
        <f t="shared" si="19"/>
        <v>1-5</v>
      </c>
      <c r="L112">
        <v>4</v>
      </c>
      <c r="M112" t="s">
        <v>82</v>
      </c>
      <c r="N112" t="s">
        <v>83</v>
      </c>
      <c r="O112">
        <v>1</v>
      </c>
      <c r="P112">
        <v>1</v>
      </c>
      <c r="Q112" t="s">
        <v>69</v>
      </c>
      <c r="R112" t="s">
        <v>62</v>
      </c>
      <c r="S112">
        <v>30</v>
      </c>
      <c r="T112" t="str">
        <f t="shared" si="20"/>
        <v>30-50</v>
      </c>
      <c r="U112">
        <v>2</v>
      </c>
      <c r="V112" t="s">
        <v>61</v>
      </c>
      <c r="W112">
        <v>3</v>
      </c>
      <c r="X112" t="s">
        <v>88</v>
      </c>
      <c r="Y112">
        <v>1</v>
      </c>
      <c r="Z112" t="s">
        <v>69</v>
      </c>
      <c r="AA112" t="s">
        <v>66</v>
      </c>
      <c r="AB112" s="4">
        <v>7484</v>
      </c>
      <c r="AC112" s="4" t="str">
        <f t="shared" si="21"/>
        <v>$7,000-$8,500</v>
      </c>
      <c r="AD112">
        <v>25796</v>
      </c>
      <c r="AE112" t="str">
        <f t="shared" si="22"/>
        <v>$22,001-$26,999</v>
      </c>
      <c r="AF112">
        <v>3</v>
      </c>
      <c r="AG112" t="str">
        <f t="shared" si="23"/>
        <v>2-3</v>
      </c>
      <c r="AH112" t="s">
        <v>67</v>
      </c>
      <c r="AI112" t="s">
        <v>71</v>
      </c>
      <c r="AJ112">
        <v>20</v>
      </c>
      <c r="AK112" t="str">
        <f t="shared" si="24"/>
        <v>18-19%</v>
      </c>
      <c r="AL112">
        <v>4</v>
      </c>
      <c r="AM112" t="s">
        <v>78</v>
      </c>
      <c r="AN112">
        <v>3</v>
      </c>
      <c r="AO112" t="s">
        <v>63</v>
      </c>
      <c r="AP112">
        <v>80</v>
      </c>
      <c r="AQ112">
        <v>0</v>
      </c>
      <c r="AR112">
        <v>23</v>
      </c>
      <c r="AS112" t="str">
        <f t="shared" si="25"/>
        <v>21-40</v>
      </c>
      <c r="AT112">
        <v>1</v>
      </c>
      <c r="AU112" t="str">
        <f t="shared" si="26"/>
        <v>0-2</v>
      </c>
      <c r="AV112">
        <v>2</v>
      </c>
      <c r="AW112" t="s">
        <v>84</v>
      </c>
      <c r="AX112">
        <v>13</v>
      </c>
      <c r="AY112" t="str">
        <f t="shared" si="15"/>
        <v>11-20</v>
      </c>
      <c r="AZ112">
        <v>12</v>
      </c>
      <c r="BA112" t="str">
        <f t="shared" si="27"/>
        <v>11-18</v>
      </c>
      <c r="BB112">
        <v>12</v>
      </c>
      <c r="BC112" t="str">
        <f t="shared" si="28"/>
        <v>11-15</v>
      </c>
      <c r="BD112">
        <v>8</v>
      </c>
      <c r="BE112" t="str">
        <f t="shared" si="29"/>
        <v>6-10</v>
      </c>
    </row>
    <row r="113" spans="1:57" x14ac:dyDescent="0.3">
      <c r="A113">
        <v>147</v>
      </c>
      <c r="B113">
        <v>34</v>
      </c>
      <c r="C113" t="str">
        <f t="shared" si="16"/>
        <v>26-35</v>
      </c>
      <c r="D113" t="s">
        <v>56</v>
      </c>
      <c r="E113">
        <f t="shared" si="17"/>
        <v>1</v>
      </c>
      <c r="F113" t="s">
        <v>72</v>
      </c>
      <c r="G113">
        <v>658</v>
      </c>
      <c r="H113" t="str">
        <f t="shared" si="18"/>
        <v>501-1000</v>
      </c>
      <c r="I113" t="s">
        <v>73</v>
      </c>
      <c r="J113">
        <v>7</v>
      </c>
      <c r="K113" t="str">
        <f t="shared" si="19"/>
        <v>6-10</v>
      </c>
      <c r="L113">
        <v>3</v>
      </c>
      <c r="M113" t="s">
        <v>85</v>
      </c>
      <c r="N113" t="s">
        <v>60</v>
      </c>
      <c r="O113">
        <v>1</v>
      </c>
      <c r="P113">
        <v>1</v>
      </c>
      <c r="Q113" t="s">
        <v>69</v>
      </c>
      <c r="R113" t="s">
        <v>75</v>
      </c>
      <c r="S113">
        <v>66</v>
      </c>
      <c r="T113" t="str">
        <f t="shared" si="20"/>
        <v>51-75</v>
      </c>
      <c r="U113">
        <v>1</v>
      </c>
      <c r="V113" t="s">
        <v>69</v>
      </c>
      <c r="W113">
        <v>2</v>
      </c>
      <c r="X113" t="s">
        <v>81</v>
      </c>
      <c r="Y113">
        <v>3</v>
      </c>
      <c r="Z113" t="s">
        <v>63</v>
      </c>
      <c r="AA113" t="s">
        <v>66</v>
      </c>
      <c r="AB113" s="4">
        <v>6074</v>
      </c>
      <c r="AC113" s="4" t="str">
        <f t="shared" si="21"/>
        <v>$5,500-$7,000</v>
      </c>
      <c r="AD113">
        <v>22887</v>
      </c>
      <c r="AE113" t="str">
        <f t="shared" si="22"/>
        <v>$22,001-$26,999</v>
      </c>
      <c r="AF113">
        <v>1</v>
      </c>
      <c r="AG113" t="str">
        <f t="shared" si="23"/>
        <v>0-1</v>
      </c>
      <c r="AH113" t="s">
        <v>67</v>
      </c>
      <c r="AI113" t="s">
        <v>56</v>
      </c>
      <c r="AJ113">
        <v>24</v>
      </c>
      <c r="AK113" t="str">
        <f t="shared" si="24"/>
        <v>18-19%</v>
      </c>
      <c r="AL113">
        <v>4</v>
      </c>
      <c r="AM113" t="s">
        <v>78</v>
      </c>
      <c r="AN113">
        <v>4</v>
      </c>
      <c r="AO113" t="s">
        <v>65</v>
      </c>
      <c r="AP113">
        <v>80</v>
      </c>
      <c r="AQ113">
        <v>0</v>
      </c>
      <c r="AR113">
        <v>9</v>
      </c>
      <c r="AS113" t="str">
        <f t="shared" si="25"/>
        <v>6-10</v>
      </c>
      <c r="AT113">
        <v>3</v>
      </c>
      <c r="AU113" t="str">
        <f t="shared" si="26"/>
        <v>3-4</v>
      </c>
      <c r="AV113">
        <v>3</v>
      </c>
      <c r="AW113" t="s">
        <v>79</v>
      </c>
      <c r="AX113">
        <v>9</v>
      </c>
      <c r="AY113" t="str">
        <f t="shared" si="15"/>
        <v>6-10</v>
      </c>
      <c r="AZ113">
        <v>7</v>
      </c>
      <c r="BA113" t="str">
        <f t="shared" si="27"/>
        <v>6-10</v>
      </c>
      <c r="BB113">
        <v>0</v>
      </c>
      <c r="BC113" t="str">
        <f t="shared" si="28"/>
        <v>0-1</v>
      </c>
      <c r="BD113">
        <v>6</v>
      </c>
      <c r="BE113" t="str">
        <f t="shared" si="29"/>
        <v>6-10</v>
      </c>
    </row>
    <row r="114" spans="1:57" x14ac:dyDescent="0.3">
      <c r="A114">
        <v>148</v>
      </c>
      <c r="B114">
        <v>54</v>
      </c>
      <c r="C114" t="str">
        <f t="shared" si="16"/>
        <v>46-55</v>
      </c>
      <c r="D114" t="s">
        <v>71</v>
      </c>
      <c r="E114">
        <f t="shared" si="17"/>
        <v>0</v>
      </c>
      <c r="F114" t="s">
        <v>89</v>
      </c>
      <c r="G114">
        <v>142</v>
      </c>
      <c r="H114" t="str">
        <f t="shared" si="18"/>
        <v>102-500</v>
      </c>
      <c r="I114" t="s">
        <v>97</v>
      </c>
      <c r="J114">
        <v>26</v>
      </c>
      <c r="K114" t="str">
        <f t="shared" si="19"/>
        <v>21-29</v>
      </c>
      <c r="L114">
        <v>3</v>
      </c>
      <c r="M114" t="s">
        <v>85</v>
      </c>
      <c r="N114" t="s">
        <v>97</v>
      </c>
      <c r="O114">
        <v>1</v>
      </c>
      <c r="P114">
        <v>4</v>
      </c>
      <c r="Q114" t="s">
        <v>65</v>
      </c>
      <c r="R114" t="s">
        <v>62</v>
      </c>
      <c r="S114">
        <v>30</v>
      </c>
      <c r="T114" t="str">
        <f t="shared" si="20"/>
        <v>30-50</v>
      </c>
      <c r="U114">
        <v>4</v>
      </c>
      <c r="V114" t="s">
        <v>65</v>
      </c>
      <c r="W114">
        <v>4</v>
      </c>
      <c r="X114" t="s">
        <v>90</v>
      </c>
      <c r="Y114">
        <v>4</v>
      </c>
      <c r="Z114" t="s">
        <v>65</v>
      </c>
      <c r="AA114" t="s">
        <v>66</v>
      </c>
      <c r="AB114" s="4">
        <v>17328</v>
      </c>
      <c r="AC114" s="4" t="str">
        <f t="shared" si="21"/>
        <v>$16,000-$17,500</v>
      </c>
      <c r="AD114">
        <v>13871</v>
      </c>
      <c r="AE114" t="str">
        <f t="shared" si="22"/>
        <v>$8,001-$16,000</v>
      </c>
      <c r="AF114">
        <v>2</v>
      </c>
      <c r="AG114" t="str">
        <f t="shared" si="23"/>
        <v>2-3</v>
      </c>
      <c r="AH114" t="s">
        <v>67</v>
      </c>
      <c r="AI114" t="s">
        <v>56</v>
      </c>
      <c r="AJ114">
        <v>12</v>
      </c>
      <c r="AK114" t="str">
        <f t="shared" si="24"/>
        <v>11-12%</v>
      </c>
      <c r="AL114">
        <v>3</v>
      </c>
      <c r="AM114" t="s">
        <v>68</v>
      </c>
      <c r="AN114">
        <v>3</v>
      </c>
      <c r="AO114" t="s">
        <v>63</v>
      </c>
      <c r="AP114">
        <v>80</v>
      </c>
      <c r="AQ114">
        <v>0</v>
      </c>
      <c r="AR114">
        <v>23</v>
      </c>
      <c r="AS114" t="str">
        <f t="shared" si="25"/>
        <v>21-40</v>
      </c>
      <c r="AT114">
        <v>3</v>
      </c>
      <c r="AU114" t="str">
        <f t="shared" si="26"/>
        <v>3-4</v>
      </c>
      <c r="AV114">
        <v>3</v>
      </c>
      <c r="AW114" t="s">
        <v>79</v>
      </c>
      <c r="AX114">
        <v>5</v>
      </c>
      <c r="AY114" t="str">
        <f t="shared" si="15"/>
        <v>2-5</v>
      </c>
      <c r="AZ114">
        <v>3</v>
      </c>
      <c r="BA114" t="str">
        <f t="shared" si="27"/>
        <v>2-5</v>
      </c>
      <c r="BB114">
        <v>4</v>
      </c>
      <c r="BC114" t="str">
        <f t="shared" si="28"/>
        <v>2-5</v>
      </c>
      <c r="BD114">
        <v>4</v>
      </c>
      <c r="BE114" t="str">
        <f t="shared" si="29"/>
        <v>2-5</v>
      </c>
    </row>
    <row r="115" spans="1:57" x14ac:dyDescent="0.3">
      <c r="A115">
        <v>150</v>
      </c>
      <c r="B115">
        <v>24</v>
      </c>
      <c r="C115" t="str">
        <f t="shared" si="16"/>
        <v>18-25</v>
      </c>
      <c r="D115" t="s">
        <v>71</v>
      </c>
      <c r="E115">
        <f t="shared" si="17"/>
        <v>0</v>
      </c>
      <c r="F115" t="s">
        <v>57</v>
      </c>
      <c r="G115">
        <v>1127</v>
      </c>
      <c r="H115" t="str">
        <f t="shared" si="18"/>
        <v>1001-1499</v>
      </c>
      <c r="I115" t="s">
        <v>73</v>
      </c>
      <c r="J115">
        <v>18</v>
      </c>
      <c r="K115" t="str">
        <f t="shared" si="19"/>
        <v>11-20</v>
      </c>
      <c r="L115">
        <v>1</v>
      </c>
      <c r="M115" t="s">
        <v>74</v>
      </c>
      <c r="N115" t="s">
        <v>60</v>
      </c>
      <c r="O115">
        <v>1</v>
      </c>
      <c r="P115">
        <v>2</v>
      </c>
      <c r="Q115" t="s">
        <v>61</v>
      </c>
      <c r="R115" t="s">
        <v>75</v>
      </c>
      <c r="S115">
        <v>52</v>
      </c>
      <c r="T115" t="str">
        <f t="shared" si="20"/>
        <v>51-75</v>
      </c>
      <c r="U115">
        <v>3</v>
      </c>
      <c r="V115" t="s">
        <v>63</v>
      </c>
      <c r="W115">
        <v>1</v>
      </c>
      <c r="X115" t="s">
        <v>81</v>
      </c>
      <c r="Y115">
        <v>3</v>
      </c>
      <c r="Z115" t="s">
        <v>63</v>
      </c>
      <c r="AA115" t="s">
        <v>77</v>
      </c>
      <c r="AB115" s="4">
        <v>2774</v>
      </c>
      <c r="AC115" s="4" t="str">
        <f t="shared" si="21"/>
        <v>$2,500-$4,000</v>
      </c>
      <c r="AD115">
        <v>13257</v>
      </c>
      <c r="AE115" t="str">
        <f t="shared" si="22"/>
        <v>$8,001-$16,000</v>
      </c>
      <c r="AF115">
        <v>0</v>
      </c>
      <c r="AG115" t="str">
        <f t="shared" si="23"/>
        <v>0-1</v>
      </c>
      <c r="AH115" t="s">
        <v>67</v>
      </c>
      <c r="AI115" t="s">
        <v>71</v>
      </c>
      <c r="AJ115">
        <v>12</v>
      </c>
      <c r="AK115" t="str">
        <f t="shared" si="24"/>
        <v>11-12%</v>
      </c>
      <c r="AL115">
        <v>3</v>
      </c>
      <c r="AM115" t="s">
        <v>68</v>
      </c>
      <c r="AN115">
        <v>3</v>
      </c>
      <c r="AO115" t="s">
        <v>63</v>
      </c>
      <c r="AP115">
        <v>80</v>
      </c>
      <c r="AQ115">
        <v>1</v>
      </c>
      <c r="AR115">
        <v>6</v>
      </c>
      <c r="AS115" t="str">
        <f t="shared" si="25"/>
        <v>6-10</v>
      </c>
      <c r="AT115">
        <v>2</v>
      </c>
      <c r="AU115" t="str">
        <f t="shared" si="26"/>
        <v>0-2</v>
      </c>
      <c r="AV115">
        <v>3</v>
      </c>
      <c r="AW115" t="s">
        <v>79</v>
      </c>
      <c r="AX115">
        <v>5</v>
      </c>
      <c r="AY115" t="str">
        <f t="shared" si="15"/>
        <v>2-5</v>
      </c>
      <c r="AZ115">
        <v>3</v>
      </c>
      <c r="BA115" t="str">
        <f t="shared" si="27"/>
        <v>2-5</v>
      </c>
      <c r="BB115">
        <v>1</v>
      </c>
      <c r="BC115" t="str">
        <f t="shared" si="28"/>
        <v>0-1</v>
      </c>
      <c r="BD115">
        <v>2</v>
      </c>
      <c r="BE115" t="str">
        <f t="shared" si="29"/>
        <v>2-5</v>
      </c>
    </row>
    <row r="116" spans="1:57" x14ac:dyDescent="0.3">
      <c r="A116">
        <v>151</v>
      </c>
      <c r="B116">
        <v>34</v>
      </c>
      <c r="C116" t="str">
        <f t="shared" si="16"/>
        <v>26-35</v>
      </c>
      <c r="D116" t="s">
        <v>71</v>
      </c>
      <c r="E116">
        <f t="shared" si="17"/>
        <v>0</v>
      </c>
      <c r="F116" t="s">
        <v>57</v>
      </c>
      <c r="G116">
        <v>1031</v>
      </c>
      <c r="H116" t="str">
        <f t="shared" si="18"/>
        <v>1001-1499</v>
      </c>
      <c r="I116" t="s">
        <v>73</v>
      </c>
      <c r="J116">
        <v>6</v>
      </c>
      <c r="K116" t="str">
        <f t="shared" si="19"/>
        <v>6-10</v>
      </c>
      <c r="L116">
        <v>4</v>
      </c>
      <c r="M116" t="s">
        <v>82</v>
      </c>
      <c r="N116" t="s">
        <v>60</v>
      </c>
      <c r="O116">
        <v>1</v>
      </c>
      <c r="P116">
        <v>3</v>
      </c>
      <c r="Q116" t="s">
        <v>63</v>
      </c>
      <c r="R116" t="s">
        <v>62</v>
      </c>
      <c r="S116">
        <v>45</v>
      </c>
      <c r="T116" t="str">
        <f t="shared" si="20"/>
        <v>30-50</v>
      </c>
      <c r="U116">
        <v>2</v>
      </c>
      <c r="V116" t="s">
        <v>61</v>
      </c>
      <c r="W116">
        <v>2</v>
      </c>
      <c r="X116" t="s">
        <v>76</v>
      </c>
      <c r="Y116">
        <v>2</v>
      </c>
      <c r="Z116" t="s">
        <v>61</v>
      </c>
      <c r="AA116" t="s">
        <v>86</v>
      </c>
      <c r="AB116" s="4">
        <v>4505</v>
      </c>
      <c r="AC116" s="4" t="str">
        <f t="shared" si="21"/>
        <v>$4,000-$5,500</v>
      </c>
      <c r="AD116">
        <v>15000</v>
      </c>
      <c r="AE116" t="str">
        <f t="shared" si="22"/>
        <v>$8,001-$16,000</v>
      </c>
      <c r="AF116">
        <v>6</v>
      </c>
      <c r="AG116" t="str">
        <f t="shared" si="23"/>
        <v>4-6</v>
      </c>
      <c r="AH116" t="s">
        <v>67</v>
      </c>
      <c r="AI116" t="s">
        <v>71</v>
      </c>
      <c r="AJ116">
        <v>15</v>
      </c>
      <c r="AK116" t="str">
        <f t="shared" si="24"/>
        <v>13-15%</v>
      </c>
      <c r="AL116">
        <v>3</v>
      </c>
      <c r="AM116" t="s">
        <v>68</v>
      </c>
      <c r="AN116">
        <v>3</v>
      </c>
      <c r="AO116" t="s">
        <v>63</v>
      </c>
      <c r="AP116">
        <v>80</v>
      </c>
      <c r="AQ116">
        <v>1</v>
      </c>
      <c r="AR116">
        <v>12</v>
      </c>
      <c r="AS116" t="str">
        <f t="shared" si="25"/>
        <v>11-20</v>
      </c>
      <c r="AT116">
        <v>3</v>
      </c>
      <c r="AU116" t="str">
        <f t="shared" si="26"/>
        <v>3-4</v>
      </c>
      <c r="AV116">
        <v>3</v>
      </c>
      <c r="AW116" t="s">
        <v>79</v>
      </c>
      <c r="AX116">
        <v>1</v>
      </c>
      <c r="AY116" t="str">
        <f t="shared" si="15"/>
        <v>0-1</v>
      </c>
      <c r="AZ116">
        <v>0</v>
      </c>
      <c r="BA116" t="str">
        <f t="shared" si="27"/>
        <v>0-1</v>
      </c>
      <c r="BB116">
        <v>0</v>
      </c>
      <c r="BC116" t="str">
        <f t="shared" si="28"/>
        <v>0-1</v>
      </c>
      <c r="BD116">
        <v>0</v>
      </c>
      <c r="BE116" t="str">
        <f t="shared" si="29"/>
        <v>0-1</v>
      </c>
    </row>
    <row r="117" spans="1:57" x14ac:dyDescent="0.3">
      <c r="A117">
        <v>152</v>
      </c>
      <c r="B117">
        <v>37</v>
      </c>
      <c r="C117" t="str">
        <f t="shared" si="16"/>
        <v>36-45</v>
      </c>
      <c r="D117" t="s">
        <v>71</v>
      </c>
      <c r="E117">
        <f t="shared" si="17"/>
        <v>0</v>
      </c>
      <c r="F117" t="s">
        <v>57</v>
      </c>
      <c r="G117">
        <v>1189</v>
      </c>
      <c r="H117" t="str">
        <f t="shared" si="18"/>
        <v>1001-1499</v>
      </c>
      <c r="I117" t="s">
        <v>58</v>
      </c>
      <c r="J117">
        <v>3</v>
      </c>
      <c r="K117" t="str">
        <f t="shared" si="19"/>
        <v>1-5</v>
      </c>
      <c r="L117">
        <v>3</v>
      </c>
      <c r="M117" t="s">
        <v>85</v>
      </c>
      <c r="N117" t="s">
        <v>60</v>
      </c>
      <c r="O117">
        <v>1</v>
      </c>
      <c r="P117">
        <v>3</v>
      </c>
      <c r="Q117" t="s">
        <v>63</v>
      </c>
      <c r="R117" t="s">
        <v>75</v>
      </c>
      <c r="S117">
        <v>87</v>
      </c>
      <c r="T117" t="str">
        <f t="shared" si="20"/>
        <v>76-100</v>
      </c>
      <c r="U117">
        <v>3</v>
      </c>
      <c r="V117" t="s">
        <v>63</v>
      </c>
      <c r="W117">
        <v>3</v>
      </c>
      <c r="X117" t="s">
        <v>64</v>
      </c>
      <c r="Y117">
        <v>4</v>
      </c>
      <c r="Z117" t="s">
        <v>65</v>
      </c>
      <c r="AA117" t="s">
        <v>66</v>
      </c>
      <c r="AB117" s="4">
        <v>7428</v>
      </c>
      <c r="AC117" s="4" t="str">
        <f t="shared" si="21"/>
        <v>$7,000-$8,500</v>
      </c>
      <c r="AD117">
        <v>14506</v>
      </c>
      <c r="AE117" t="str">
        <f t="shared" si="22"/>
        <v>$8,001-$16,000</v>
      </c>
      <c r="AF117">
        <v>2</v>
      </c>
      <c r="AG117" t="str">
        <f t="shared" si="23"/>
        <v>2-3</v>
      </c>
      <c r="AH117" t="s">
        <v>67</v>
      </c>
      <c r="AI117" t="s">
        <v>71</v>
      </c>
      <c r="AJ117">
        <v>12</v>
      </c>
      <c r="AK117" t="str">
        <f t="shared" si="24"/>
        <v>11-12%</v>
      </c>
      <c r="AL117">
        <v>3</v>
      </c>
      <c r="AM117" t="s">
        <v>68</v>
      </c>
      <c r="AN117">
        <v>1</v>
      </c>
      <c r="AO117" t="s">
        <v>69</v>
      </c>
      <c r="AP117">
        <v>80</v>
      </c>
      <c r="AQ117">
        <v>0</v>
      </c>
      <c r="AR117">
        <v>12</v>
      </c>
      <c r="AS117" t="str">
        <f t="shared" si="25"/>
        <v>11-20</v>
      </c>
      <c r="AT117">
        <v>3</v>
      </c>
      <c r="AU117" t="str">
        <f t="shared" si="26"/>
        <v>3-4</v>
      </c>
      <c r="AV117">
        <v>3</v>
      </c>
      <c r="AW117" t="s">
        <v>79</v>
      </c>
      <c r="AX117">
        <v>5</v>
      </c>
      <c r="AY117" t="str">
        <f t="shared" si="15"/>
        <v>2-5</v>
      </c>
      <c r="AZ117">
        <v>3</v>
      </c>
      <c r="BA117" t="str">
        <f t="shared" si="27"/>
        <v>2-5</v>
      </c>
      <c r="BB117">
        <v>1</v>
      </c>
      <c r="BC117" t="str">
        <f t="shared" si="28"/>
        <v>0-1</v>
      </c>
      <c r="BD117">
        <v>3</v>
      </c>
      <c r="BE117" t="str">
        <f t="shared" si="29"/>
        <v>2-5</v>
      </c>
    </row>
    <row r="118" spans="1:57" x14ac:dyDescent="0.3">
      <c r="A118">
        <v>153</v>
      </c>
      <c r="B118">
        <v>34</v>
      </c>
      <c r="C118" t="str">
        <f t="shared" si="16"/>
        <v>26-35</v>
      </c>
      <c r="D118" t="s">
        <v>71</v>
      </c>
      <c r="E118">
        <f t="shared" si="17"/>
        <v>0</v>
      </c>
      <c r="F118" t="s">
        <v>57</v>
      </c>
      <c r="G118">
        <v>1354</v>
      </c>
      <c r="H118" t="str">
        <f t="shared" si="18"/>
        <v>1001-1499</v>
      </c>
      <c r="I118" t="s">
        <v>73</v>
      </c>
      <c r="J118">
        <v>5</v>
      </c>
      <c r="K118" t="str">
        <f t="shared" si="19"/>
        <v>1-5</v>
      </c>
      <c r="L118">
        <v>3</v>
      </c>
      <c r="M118" t="s">
        <v>85</v>
      </c>
      <c r="N118" t="s">
        <v>83</v>
      </c>
      <c r="O118">
        <v>1</v>
      </c>
      <c r="P118">
        <v>3</v>
      </c>
      <c r="Q118" t="s">
        <v>63</v>
      </c>
      <c r="R118" t="s">
        <v>62</v>
      </c>
      <c r="S118">
        <v>45</v>
      </c>
      <c r="T118" t="str">
        <f t="shared" si="20"/>
        <v>30-50</v>
      </c>
      <c r="U118">
        <v>2</v>
      </c>
      <c r="V118" t="s">
        <v>61</v>
      </c>
      <c r="W118">
        <v>3</v>
      </c>
      <c r="X118" t="s">
        <v>90</v>
      </c>
      <c r="Y118">
        <v>1</v>
      </c>
      <c r="Z118" t="s">
        <v>69</v>
      </c>
      <c r="AA118" t="s">
        <v>66</v>
      </c>
      <c r="AB118" s="4">
        <v>11631</v>
      </c>
      <c r="AC118" s="4" t="str">
        <f t="shared" si="21"/>
        <v>$11,500-$13,000</v>
      </c>
      <c r="AD118">
        <v>5615</v>
      </c>
      <c r="AE118" t="str">
        <f t="shared" si="22"/>
        <v>$2,094-$8,000</v>
      </c>
      <c r="AF118">
        <v>2</v>
      </c>
      <c r="AG118" t="str">
        <f t="shared" si="23"/>
        <v>2-3</v>
      </c>
      <c r="AH118" t="s">
        <v>67</v>
      </c>
      <c r="AI118" t="s">
        <v>71</v>
      </c>
      <c r="AJ118">
        <v>12</v>
      </c>
      <c r="AK118" t="str">
        <f t="shared" si="24"/>
        <v>11-12%</v>
      </c>
      <c r="AL118">
        <v>3</v>
      </c>
      <c r="AM118" t="s">
        <v>68</v>
      </c>
      <c r="AN118">
        <v>4</v>
      </c>
      <c r="AO118" t="s">
        <v>65</v>
      </c>
      <c r="AP118">
        <v>80</v>
      </c>
      <c r="AQ118">
        <v>0</v>
      </c>
      <c r="AR118">
        <v>14</v>
      </c>
      <c r="AS118" t="str">
        <f t="shared" si="25"/>
        <v>11-20</v>
      </c>
      <c r="AT118">
        <v>6</v>
      </c>
      <c r="AU118" t="str">
        <f t="shared" si="26"/>
        <v>5-6</v>
      </c>
      <c r="AV118">
        <v>3</v>
      </c>
      <c r="AW118" t="s">
        <v>79</v>
      </c>
      <c r="AX118">
        <v>11</v>
      </c>
      <c r="AY118" t="str">
        <f t="shared" si="15"/>
        <v>11-20</v>
      </c>
      <c r="AZ118">
        <v>10</v>
      </c>
      <c r="BA118" t="str">
        <f t="shared" si="27"/>
        <v>6-10</v>
      </c>
      <c r="BB118">
        <v>5</v>
      </c>
      <c r="BC118" t="str">
        <f t="shared" si="28"/>
        <v>2-5</v>
      </c>
      <c r="BD118">
        <v>8</v>
      </c>
      <c r="BE118" t="str">
        <f t="shared" si="29"/>
        <v>6-10</v>
      </c>
    </row>
    <row r="119" spans="1:57" x14ac:dyDescent="0.3">
      <c r="A119">
        <v>154</v>
      </c>
      <c r="B119">
        <v>36</v>
      </c>
      <c r="C119" t="str">
        <f t="shared" si="16"/>
        <v>36-45</v>
      </c>
      <c r="D119" t="s">
        <v>71</v>
      </c>
      <c r="E119">
        <f t="shared" si="17"/>
        <v>0</v>
      </c>
      <c r="F119" t="s">
        <v>72</v>
      </c>
      <c r="G119">
        <v>1467</v>
      </c>
      <c r="H119" t="str">
        <f t="shared" si="18"/>
        <v>1001-1499</v>
      </c>
      <c r="I119" t="s">
        <v>58</v>
      </c>
      <c r="J119">
        <v>11</v>
      </c>
      <c r="K119" t="str">
        <f t="shared" si="19"/>
        <v>11-20</v>
      </c>
      <c r="L119">
        <v>2</v>
      </c>
      <c r="M119" t="s">
        <v>59</v>
      </c>
      <c r="N119" t="s">
        <v>95</v>
      </c>
      <c r="O119">
        <v>1</v>
      </c>
      <c r="P119">
        <v>2</v>
      </c>
      <c r="Q119" t="s">
        <v>61</v>
      </c>
      <c r="R119" t="s">
        <v>62</v>
      </c>
      <c r="S119">
        <v>92</v>
      </c>
      <c r="T119" t="str">
        <f t="shared" si="20"/>
        <v>76-100</v>
      </c>
      <c r="U119">
        <v>3</v>
      </c>
      <c r="V119" t="s">
        <v>63</v>
      </c>
      <c r="W119">
        <v>3</v>
      </c>
      <c r="X119" t="s">
        <v>64</v>
      </c>
      <c r="Y119">
        <v>4</v>
      </c>
      <c r="Z119" t="s">
        <v>65</v>
      </c>
      <c r="AA119" t="s">
        <v>77</v>
      </c>
      <c r="AB119" s="4">
        <v>9738</v>
      </c>
      <c r="AC119" s="4" t="str">
        <f t="shared" si="21"/>
        <v>$8,500-$10,000</v>
      </c>
      <c r="AD119">
        <v>22952</v>
      </c>
      <c r="AE119" t="str">
        <f t="shared" si="22"/>
        <v>$22,001-$26,999</v>
      </c>
      <c r="AF119">
        <v>0</v>
      </c>
      <c r="AG119" t="str">
        <f t="shared" si="23"/>
        <v>0-1</v>
      </c>
      <c r="AH119" t="s">
        <v>67</v>
      </c>
      <c r="AI119" t="s">
        <v>71</v>
      </c>
      <c r="AJ119">
        <v>14</v>
      </c>
      <c r="AK119" t="str">
        <f t="shared" si="24"/>
        <v>13-15%</v>
      </c>
      <c r="AL119">
        <v>3</v>
      </c>
      <c r="AM119" t="s">
        <v>68</v>
      </c>
      <c r="AN119">
        <v>3</v>
      </c>
      <c r="AO119" t="s">
        <v>63</v>
      </c>
      <c r="AP119">
        <v>80</v>
      </c>
      <c r="AQ119">
        <v>1</v>
      </c>
      <c r="AR119">
        <v>10</v>
      </c>
      <c r="AS119" t="str">
        <f t="shared" si="25"/>
        <v>6-10</v>
      </c>
      <c r="AT119">
        <v>6</v>
      </c>
      <c r="AU119" t="str">
        <f t="shared" si="26"/>
        <v>5-6</v>
      </c>
      <c r="AV119">
        <v>3</v>
      </c>
      <c r="AW119" t="s">
        <v>79</v>
      </c>
      <c r="AX119">
        <v>9</v>
      </c>
      <c r="AY119" t="str">
        <f t="shared" si="15"/>
        <v>6-10</v>
      </c>
      <c r="AZ119">
        <v>7</v>
      </c>
      <c r="BA119" t="str">
        <f t="shared" si="27"/>
        <v>6-10</v>
      </c>
      <c r="BB119">
        <v>2</v>
      </c>
      <c r="BC119" t="str">
        <f t="shared" si="28"/>
        <v>2-5</v>
      </c>
      <c r="BD119">
        <v>8</v>
      </c>
      <c r="BE119" t="str">
        <f t="shared" si="29"/>
        <v>6-10</v>
      </c>
    </row>
    <row r="120" spans="1:57" x14ac:dyDescent="0.3">
      <c r="A120">
        <v>155</v>
      </c>
      <c r="B120">
        <v>36</v>
      </c>
      <c r="C120" t="str">
        <f t="shared" si="16"/>
        <v>36-45</v>
      </c>
      <c r="D120" t="s">
        <v>71</v>
      </c>
      <c r="E120">
        <f t="shared" si="17"/>
        <v>0</v>
      </c>
      <c r="F120" t="s">
        <v>57</v>
      </c>
      <c r="G120">
        <v>922</v>
      </c>
      <c r="H120" t="str">
        <f t="shared" si="18"/>
        <v>501-1000</v>
      </c>
      <c r="I120" t="s">
        <v>73</v>
      </c>
      <c r="J120">
        <v>3</v>
      </c>
      <c r="K120" t="str">
        <f t="shared" si="19"/>
        <v>1-5</v>
      </c>
      <c r="L120">
        <v>2</v>
      </c>
      <c r="M120" t="s">
        <v>59</v>
      </c>
      <c r="N120" t="s">
        <v>60</v>
      </c>
      <c r="O120">
        <v>1</v>
      </c>
      <c r="P120">
        <v>1</v>
      </c>
      <c r="Q120" t="s">
        <v>69</v>
      </c>
      <c r="R120" t="s">
        <v>62</v>
      </c>
      <c r="S120">
        <v>39</v>
      </c>
      <c r="T120" t="str">
        <f t="shared" si="20"/>
        <v>30-50</v>
      </c>
      <c r="U120">
        <v>3</v>
      </c>
      <c r="V120" t="s">
        <v>63</v>
      </c>
      <c r="W120">
        <v>1</v>
      </c>
      <c r="X120" t="s">
        <v>81</v>
      </c>
      <c r="Y120">
        <v>4</v>
      </c>
      <c r="Z120" t="s">
        <v>65</v>
      </c>
      <c r="AA120" t="s">
        <v>86</v>
      </c>
      <c r="AB120" s="4">
        <v>2835</v>
      </c>
      <c r="AC120" s="4" t="str">
        <f t="shared" si="21"/>
        <v>$2,500-$4,000</v>
      </c>
      <c r="AD120">
        <v>2561</v>
      </c>
      <c r="AE120" t="str">
        <f t="shared" si="22"/>
        <v>$2,094-$8,000</v>
      </c>
      <c r="AF120">
        <v>5</v>
      </c>
      <c r="AG120" t="str">
        <f t="shared" si="23"/>
        <v>4-6</v>
      </c>
      <c r="AH120" t="s">
        <v>67</v>
      </c>
      <c r="AI120" t="s">
        <v>71</v>
      </c>
      <c r="AJ120">
        <v>22</v>
      </c>
      <c r="AK120" t="str">
        <f t="shared" si="24"/>
        <v>18-19%</v>
      </c>
      <c r="AL120">
        <v>4</v>
      </c>
      <c r="AM120" t="s">
        <v>78</v>
      </c>
      <c r="AN120">
        <v>1</v>
      </c>
      <c r="AO120" t="s">
        <v>69</v>
      </c>
      <c r="AP120">
        <v>80</v>
      </c>
      <c r="AQ120">
        <v>1</v>
      </c>
      <c r="AR120">
        <v>7</v>
      </c>
      <c r="AS120" t="str">
        <f t="shared" si="25"/>
        <v>6-10</v>
      </c>
      <c r="AT120">
        <v>2</v>
      </c>
      <c r="AU120" t="str">
        <f t="shared" si="26"/>
        <v>0-2</v>
      </c>
      <c r="AV120">
        <v>3</v>
      </c>
      <c r="AW120" t="s">
        <v>79</v>
      </c>
      <c r="AX120">
        <v>1</v>
      </c>
      <c r="AY120" t="str">
        <f t="shared" si="15"/>
        <v>0-1</v>
      </c>
      <c r="AZ120">
        <v>0</v>
      </c>
      <c r="BA120" t="str">
        <f t="shared" si="27"/>
        <v>0-1</v>
      </c>
      <c r="BB120">
        <v>0</v>
      </c>
      <c r="BC120" t="str">
        <f t="shared" si="28"/>
        <v>0-1</v>
      </c>
      <c r="BD120">
        <v>0</v>
      </c>
      <c r="BE120" t="str">
        <f t="shared" si="29"/>
        <v>0-1</v>
      </c>
    </row>
    <row r="121" spans="1:57" x14ac:dyDescent="0.3">
      <c r="A121">
        <v>158</v>
      </c>
      <c r="B121">
        <v>43</v>
      </c>
      <c r="C121" t="str">
        <f t="shared" si="16"/>
        <v>36-45</v>
      </c>
      <c r="D121" t="s">
        <v>71</v>
      </c>
      <c r="E121">
        <f t="shared" si="17"/>
        <v>0</v>
      </c>
      <c r="F121" t="s">
        <v>72</v>
      </c>
      <c r="G121">
        <v>394</v>
      </c>
      <c r="H121" t="str">
        <f t="shared" si="18"/>
        <v>102-500</v>
      </c>
      <c r="I121" t="s">
        <v>58</v>
      </c>
      <c r="J121">
        <v>26</v>
      </c>
      <c r="K121" t="str">
        <f t="shared" si="19"/>
        <v>21-29</v>
      </c>
      <c r="L121">
        <v>2</v>
      </c>
      <c r="M121" t="s">
        <v>59</v>
      </c>
      <c r="N121" t="s">
        <v>60</v>
      </c>
      <c r="O121">
        <v>1</v>
      </c>
      <c r="P121">
        <v>3</v>
      </c>
      <c r="Q121" t="s">
        <v>63</v>
      </c>
      <c r="R121" t="s">
        <v>75</v>
      </c>
      <c r="S121">
        <v>92</v>
      </c>
      <c r="T121" t="str">
        <f t="shared" si="20"/>
        <v>76-100</v>
      </c>
      <c r="U121">
        <v>3</v>
      </c>
      <c r="V121" t="s">
        <v>63</v>
      </c>
      <c r="W121">
        <v>4</v>
      </c>
      <c r="X121" t="s">
        <v>90</v>
      </c>
      <c r="Y121">
        <v>4</v>
      </c>
      <c r="Z121" t="s">
        <v>65</v>
      </c>
      <c r="AA121" t="s">
        <v>77</v>
      </c>
      <c r="AB121" s="4">
        <v>16959</v>
      </c>
      <c r="AC121" s="4" t="str">
        <f t="shared" si="21"/>
        <v>$16,000-$17,500</v>
      </c>
      <c r="AD121">
        <v>19494</v>
      </c>
      <c r="AE121" t="str">
        <f t="shared" si="22"/>
        <v>$16,001-$22,000</v>
      </c>
      <c r="AF121">
        <v>1</v>
      </c>
      <c r="AG121" t="str">
        <f t="shared" si="23"/>
        <v>0-1</v>
      </c>
      <c r="AH121" t="s">
        <v>67</v>
      </c>
      <c r="AI121" t="s">
        <v>56</v>
      </c>
      <c r="AJ121">
        <v>12</v>
      </c>
      <c r="AK121" t="str">
        <f t="shared" si="24"/>
        <v>11-12%</v>
      </c>
      <c r="AL121">
        <v>3</v>
      </c>
      <c r="AM121" t="s">
        <v>68</v>
      </c>
      <c r="AN121">
        <v>4</v>
      </c>
      <c r="AO121" t="s">
        <v>65</v>
      </c>
      <c r="AP121">
        <v>80</v>
      </c>
      <c r="AQ121">
        <v>2</v>
      </c>
      <c r="AR121">
        <v>25</v>
      </c>
      <c r="AS121" t="str">
        <f t="shared" si="25"/>
        <v>21-40</v>
      </c>
      <c r="AT121">
        <v>3</v>
      </c>
      <c r="AU121" t="str">
        <f t="shared" si="26"/>
        <v>3-4</v>
      </c>
      <c r="AV121">
        <v>4</v>
      </c>
      <c r="AW121" t="s">
        <v>94</v>
      </c>
      <c r="AX121">
        <v>25</v>
      </c>
      <c r="AY121" t="str">
        <f t="shared" si="15"/>
        <v>21-40</v>
      </c>
      <c r="AZ121">
        <v>12</v>
      </c>
      <c r="BA121" t="str">
        <f t="shared" si="27"/>
        <v>11-18</v>
      </c>
      <c r="BB121">
        <v>4</v>
      </c>
      <c r="BC121" t="str">
        <f t="shared" si="28"/>
        <v>2-5</v>
      </c>
      <c r="BD121">
        <v>12</v>
      </c>
      <c r="BE121" t="str">
        <f t="shared" si="29"/>
        <v>11-17</v>
      </c>
    </row>
    <row r="122" spans="1:57" x14ac:dyDescent="0.3">
      <c r="A122">
        <v>159</v>
      </c>
      <c r="B122">
        <v>30</v>
      </c>
      <c r="C122" t="str">
        <f t="shared" si="16"/>
        <v>26-35</v>
      </c>
      <c r="D122" t="s">
        <v>71</v>
      </c>
      <c r="E122">
        <f t="shared" si="17"/>
        <v>0</v>
      </c>
      <c r="F122" t="s">
        <v>72</v>
      </c>
      <c r="G122">
        <v>1312</v>
      </c>
      <c r="H122" t="str">
        <f t="shared" si="18"/>
        <v>1001-1499</v>
      </c>
      <c r="I122" t="s">
        <v>73</v>
      </c>
      <c r="J122">
        <v>23</v>
      </c>
      <c r="K122" t="str">
        <f t="shared" si="19"/>
        <v>21-29</v>
      </c>
      <c r="L122">
        <v>3</v>
      </c>
      <c r="M122" t="s">
        <v>85</v>
      </c>
      <c r="N122" t="s">
        <v>60</v>
      </c>
      <c r="O122">
        <v>1</v>
      </c>
      <c r="P122">
        <v>1</v>
      </c>
      <c r="Q122" t="s">
        <v>69</v>
      </c>
      <c r="R122" t="s">
        <v>75</v>
      </c>
      <c r="S122">
        <v>96</v>
      </c>
      <c r="T122" t="str">
        <f t="shared" si="20"/>
        <v>76-100</v>
      </c>
      <c r="U122">
        <v>1</v>
      </c>
      <c r="V122" t="s">
        <v>69</v>
      </c>
      <c r="W122">
        <v>1</v>
      </c>
      <c r="X122" t="s">
        <v>76</v>
      </c>
      <c r="Y122">
        <v>3</v>
      </c>
      <c r="Z122" t="s">
        <v>63</v>
      </c>
      <c r="AA122" t="s">
        <v>86</v>
      </c>
      <c r="AB122" s="4">
        <v>2613</v>
      </c>
      <c r="AC122" s="4" t="str">
        <f t="shared" si="21"/>
        <v>$2,500-$4,000</v>
      </c>
      <c r="AD122">
        <v>22310</v>
      </c>
      <c r="AE122" t="str">
        <f t="shared" si="22"/>
        <v>$22,001-$26,999</v>
      </c>
      <c r="AF122">
        <v>1</v>
      </c>
      <c r="AG122" t="str">
        <f t="shared" si="23"/>
        <v>0-1</v>
      </c>
      <c r="AH122" t="s">
        <v>67</v>
      </c>
      <c r="AI122" t="s">
        <v>71</v>
      </c>
      <c r="AJ122">
        <v>25</v>
      </c>
      <c r="AK122" t="str">
        <f t="shared" si="24"/>
        <v>18-19%</v>
      </c>
      <c r="AL122">
        <v>4</v>
      </c>
      <c r="AM122" t="s">
        <v>78</v>
      </c>
      <c r="AN122">
        <v>3</v>
      </c>
      <c r="AO122" t="s">
        <v>63</v>
      </c>
      <c r="AP122">
        <v>80</v>
      </c>
      <c r="AQ122">
        <v>3</v>
      </c>
      <c r="AR122">
        <v>10</v>
      </c>
      <c r="AS122" t="str">
        <f t="shared" si="25"/>
        <v>6-10</v>
      </c>
      <c r="AT122">
        <v>2</v>
      </c>
      <c r="AU122" t="str">
        <f t="shared" si="26"/>
        <v>0-2</v>
      </c>
      <c r="AV122">
        <v>2</v>
      </c>
      <c r="AW122" t="s">
        <v>84</v>
      </c>
      <c r="AX122">
        <v>10</v>
      </c>
      <c r="AY122" t="str">
        <f t="shared" si="15"/>
        <v>6-10</v>
      </c>
      <c r="AZ122">
        <v>7</v>
      </c>
      <c r="BA122" t="str">
        <f t="shared" si="27"/>
        <v>6-10</v>
      </c>
      <c r="BB122">
        <v>0</v>
      </c>
      <c r="BC122" t="str">
        <f t="shared" si="28"/>
        <v>0-1</v>
      </c>
      <c r="BD122">
        <v>9</v>
      </c>
      <c r="BE122" t="str">
        <f t="shared" si="29"/>
        <v>6-10</v>
      </c>
    </row>
    <row r="123" spans="1:57" x14ac:dyDescent="0.3">
      <c r="A123">
        <v>160</v>
      </c>
      <c r="B123">
        <v>33</v>
      </c>
      <c r="C123" t="str">
        <f t="shared" si="16"/>
        <v>26-35</v>
      </c>
      <c r="D123" t="s">
        <v>71</v>
      </c>
      <c r="E123">
        <f t="shared" si="17"/>
        <v>0</v>
      </c>
      <c r="F123" t="s">
        <v>89</v>
      </c>
      <c r="G123">
        <v>750</v>
      </c>
      <c r="H123" t="str">
        <f t="shared" si="18"/>
        <v>501-1000</v>
      </c>
      <c r="I123" t="s">
        <v>58</v>
      </c>
      <c r="J123">
        <v>22</v>
      </c>
      <c r="K123" t="str">
        <f t="shared" si="19"/>
        <v>21-29</v>
      </c>
      <c r="L123">
        <v>2</v>
      </c>
      <c r="M123" t="s">
        <v>59</v>
      </c>
      <c r="N123" t="s">
        <v>93</v>
      </c>
      <c r="O123">
        <v>1</v>
      </c>
      <c r="P123">
        <v>3</v>
      </c>
      <c r="Q123" t="s">
        <v>63</v>
      </c>
      <c r="R123" t="s">
        <v>75</v>
      </c>
      <c r="S123">
        <v>95</v>
      </c>
      <c r="T123" t="str">
        <f t="shared" si="20"/>
        <v>76-100</v>
      </c>
      <c r="U123">
        <v>3</v>
      </c>
      <c r="V123" t="s">
        <v>63</v>
      </c>
      <c r="W123">
        <v>2</v>
      </c>
      <c r="X123" t="s">
        <v>64</v>
      </c>
      <c r="Y123">
        <v>2</v>
      </c>
      <c r="Z123" t="s">
        <v>61</v>
      </c>
      <c r="AA123" t="s">
        <v>77</v>
      </c>
      <c r="AB123" s="4">
        <v>6146</v>
      </c>
      <c r="AC123" s="4" t="str">
        <f t="shared" si="21"/>
        <v>$5,500-$7,000</v>
      </c>
      <c r="AD123">
        <v>15480</v>
      </c>
      <c r="AE123" t="str">
        <f t="shared" si="22"/>
        <v>$8,001-$16,000</v>
      </c>
      <c r="AF123">
        <v>0</v>
      </c>
      <c r="AG123" t="str">
        <f t="shared" si="23"/>
        <v>0-1</v>
      </c>
      <c r="AH123" t="s">
        <v>67</v>
      </c>
      <c r="AI123" t="s">
        <v>71</v>
      </c>
      <c r="AJ123">
        <v>13</v>
      </c>
      <c r="AK123" t="str">
        <f t="shared" si="24"/>
        <v>13-15%</v>
      </c>
      <c r="AL123">
        <v>3</v>
      </c>
      <c r="AM123" t="s">
        <v>68</v>
      </c>
      <c r="AN123">
        <v>1</v>
      </c>
      <c r="AO123" t="s">
        <v>69</v>
      </c>
      <c r="AP123">
        <v>80</v>
      </c>
      <c r="AQ123">
        <v>1</v>
      </c>
      <c r="AR123">
        <v>8</v>
      </c>
      <c r="AS123" t="str">
        <f t="shared" si="25"/>
        <v>6-10</v>
      </c>
      <c r="AT123">
        <v>2</v>
      </c>
      <c r="AU123" t="str">
        <f t="shared" si="26"/>
        <v>0-2</v>
      </c>
      <c r="AV123">
        <v>4</v>
      </c>
      <c r="AW123" t="s">
        <v>94</v>
      </c>
      <c r="AX123">
        <v>7</v>
      </c>
      <c r="AY123" t="str">
        <f t="shared" si="15"/>
        <v>6-10</v>
      </c>
      <c r="AZ123">
        <v>7</v>
      </c>
      <c r="BA123" t="str">
        <f t="shared" si="27"/>
        <v>6-10</v>
      </c>
      <c r="BB123">
        <v>0</v>
      </c>
      <c r="BC123" t="str">
        <f t="shared" si="28"/>
        <v>0-1</v>
      </c>
      <c r="BD123">
        <v>7</v>
      </c>
      <c r="BE123" t="str">
        <f t="shared" si="29"/>
        <v>6-10</v>
      </c>
    </row>
    <row r="124" spans="1:57" x14ac:dyDescent="0.3">
      <c r="A124">
        <v>161</v>
      </c>
      <c r="B124">
        <v>56</v>
      </c>
      <c r="C124" t="str">
        <f t="shared" si="16"/>
        <v>56+</v>
      </c>
      <c r="D124" t="s">
        <v>56</v>
      </c>
      <c r="E124">
        <f t="shared" si="17"/>
        <v>1</v>
      </c>
      <c r="F124" t="s">
        <v>57</v>
      </c>
      <c r="G124">
        <v>441</v>
      </c>
      <c r="H124" t="str">
        <f t="shared" si="18"/>
        <v>102-500</v>
      </c>
      <c r="I124" t="s">
        <v>73</v>
      </c>
      <c r="J124">
        <v>14</v>
      </c>
      <c r="K124" t="str">
        <f t="shared" si="19"/>
        <v>11-20</v>
      </c>
      <c r="L124">
        <v>4</v>
      </c>
      <c r="M124" t="s">
        <v>82</v>
      </c>
      <c r="N124" t="s">
        <v>60</v>
      </c>
      <c r="O124">
        <v>1</v>
      </c>
      <c r="P124">
        <v>2</v>
      </c>
      <c r="Q124" t="s">
        <v>61</v>
      </c>
      <c r="R124" t="s">
        <v>62</v>
      </c>
      <c r="S124">
        <v>72</v>
      </c>
      <c r="T124" t="str">
        <f t="shared" si="20"/>
        <v>51-75</v>
      </c>
      <c r="U124">
        <v>3</v>
      </c>
      <c r="V124" t="s">
        <v>63</v>
      </c>
      <c r="W124">
        <v>1</v>
      </c>
      <c r="X124" t="s">
        <v>76</v>
      </c>
      <c r="Y124">
        <v>2</v>
      </c>
      <c r="Z124" t="s">
        <v>61</v>
      </c>
      <c r="AA124" t="s">
        <v>77</v>
      </c>
      <c r="AB124" s="4">
        <v>4963</v>
      </c>
      <c r="AC124" s="4" t="str">
        <f t="shared" si="21"/>
        <v>$4,000-$5,500</v>
      </c>
      <c r="AD124">
        <v>4510</v>
      </c>
      <c r="AE124" t="str">
        <f t="shared" si="22"/>
        <v>$2,094-$8,000</v>
      </c>
      <c r="AF124">
        <v>9</v>
      </c>
      <c r="AG124" t="str">
        <f t="shared" si="23"/>
        <v>7-9</v>
      </c>
      <c r="AH124" t="s">
        <v>67</v>
      </c>
      <c r="AI124" t="s">
        <v>56</v>
      </c>
      <c r="AJ124">
        <v>18</v>
      </c>
      <c r="AK124" t="str">
        <f t="shared" si="24"/>
        <v>18-19%</v>
      </c>
      <c r="AL124">
        <v>3</v>
      </c>
      <c r="AM124" t="s">
        <v>68</v>
      </c>
      <c r="AN124">
        <v>1</v>
      </c>
      <c r="AO124" t="s">
        <v>69</v>
      </c>
      <c r="AP124">
        <v>80</v>
      </c>
      <c r="AQ124">
        <v>3</v>
      </c>
      <c r="AR124">
        <v>7</v>
      </c>
      <c r="AS124" t="str">
        <f t="shared" si="25"/>
        <v>6-10</v>
      </c>
      <c r="AT124">
        <v>2</v>
      </c>
      <c r="AU124" t="str">
        <f t="shared" si="26"/>
        <v>0-2</v>
      </c>
      <c r="AV124">
        <v>3</v>
      </c>
      <c r="AW124" t="s">
        <v>79</v>
      </c>
      <c r="AX124">
        <v>5</v>
      </c>
      <c r="AY124" t="str">
        <f t="shared" si="15"/>
        <v>2-5</v>
      </c>
      <c r="AZ124">
        <v>4</v>
      </c>
      <c r="BA124" t="str">
        <f t="shared" si="27"/>
        <v>2-5</v>
      </c>
      <c r="BB124">
        <v>4</v>
      </c>
      <c r="BC124" t="str">
        <f t="shared" si="28"/>
        <v>2-5</v>
      </c>
      <c r="BD124">
        <v>3</v>
      </c>
      <c r="BE124" t="str">
        <f t="shared" si="29"/>
        <v>2-5</v>
      </c>
    </row>
    <row r="125" spans="1:57" x14ac:dyDescent="0.3">
      <c r="A125">
        <v>162</v>
      </c>
      <c r="B125">
        <v>51</v>
      </c>
      <c r="C125" t="str">
        <f t="shared" si="16"/>
        <v>46-55</v>
      </c>
      <c r="D125" t="s">
        <v>71</v>
      </c>
      <c r="E125">
        <f t="shared" si="17"/>
        <v>0</v>
      </c>
      <c r="F125" t="s">
        <v>57</v>
      </c>
      <c r="G125">
        <v>684</v>
      </c>
      <c r="H125" t="str">
        <f t="shared" si="18"/>
        <v>501-1000</v>
      </c>
      <c r="I125" t="s">
        <v>73</v>
      </c>
      <c r="J125">
        <v>6</v>
      </c>
      <c r="K125" t="str">
        <f t="shared" si="19"/>
        <v>6-10</v>
      </c>
      <c r="L125">
        <v>3</v>
      </c>
      <c r="M125" t="s">
        <v>85</v>
      </c>
      <c r="N125" t="s">
        <v>60</v>
      </c>
      <c r="O125">
        <v>1</v>
      </c>
      <c r="P125">
        <v>1</v>
      </c>
      <c r="Q125" t="s">
        <v>69</v>
      </c>
      <c r="R125" t="s">
        <v>75</v>
      </c>
      <c r="S125">
        <v>51</v>
      </c>
      <c r="T125" t="str">
        <f t="shared" si="20"/>
        <v>51-75</v>
      </c>
      <c r="U125">
        <v>3</v>
      </c>
      <c r="V125" t="s">
        <v>63</v>
      </c>
      <c r="W125">
        <v>5</v>
      </c>
      <c r="X125" t="s">
        <v>92</v>
      </c>
      <c r="Y125">
        <v>3</v>
      </c>
      <c r="Z125" t="s">
        <v>63</v>
      </c>
      <c r="AA125" t="s">
        <v>66</v>
      </c>
      <c r="AB125" s="4">
        <v>19537</v>
      </c>
      <c r="AC125" s="4" t="str">
        <f t="shared" si="21"/>
        <v>$19,000-$20,500</v>
      </c>
      <c r="AD125">
        <v>6462</v>
      </c>
      <c r="AE125" t="str">
        <f t="shared" si="22"/>
        <v>$2,094-$8,000</v>
      </c>
      <c r="AF125">
        <v>7</v>
      </c>
      <c r="AG125" t="str">
        <f t="shared" si="23"/>
        <v>7-9</v>
      </c>
      <c r="AH125" t="s">
        <v>67</v>
      </c>
      <c r="AI125" t="s">
        <v>71</v>
      </c>
      <c r="AJ125">
        <v>13</v>
      </c>
      <c r="AK125" t="str">
        <f t="shared" si="24"/>
        <v>13-15%</v>
      </c>
      <c r="AL125">
        <v>3</v>
      </c>
      <c r="AM125" t="s">
        <v>68</v>
      </c>
      <c r="AN125">
        <v>3</v>
      </c>
      <c r="AO125" t="s">
        <v>63</v>
      </c>
      <c r="AP125">
        <v>80</v>
      </c>
      <c r="AQ125">
        <v>0</v>
      </c>
      <c r="AR125">
        <v>23</v>
      </c>
      <c r="AS125" t="str">
        <f t="shared" si="25"/>
        <v>21-40</v>
      </c>
      <c r="AT125">
        <v>5</v>
      </c>
      <c r="AU125" t="str">
        <f t="shared" si="26"/>
        <v>5-6</v>
      </c>
      <c r="AV125">
        <v>3</v>
      </c>
      <c r="AW125" t="s">
        <v>79</v>
      </c>
      <c r="AX125">
        <v>20</v>
      </c>
      <c r="AY125" t="str">
        <f t="shared" si="15"/>
        <v>11-20</v>
      </c>
      <c r="AZ125">
        <v>18</v>
      </c>
      <c r="BA125" t="str">
        <f t="shared" si="27"/>
        <v>11-18</v>
      </c>
      <c r="BB125">
        <v>15</v>
      </c>
      <c r="BC125" t="str">
        <f t="shared" si="28"/>
        <v>11-15</v>
      </c>
      <c r="BD125">
        <v>15</v>
      </c>
      <c r="BE125" t="str">
        <f t="shared" si="29"/>
        <v>11-17</v>
      </c>
    </row>
    <row r="126" spans="1:57" x14ac:dyDescent="0.3">
      <c r="A126">
        <v>163</v>
      </c>
      <c r="B126">
        <v>31</v>
      </c>
      <c r="C126" t="str">
        <f t="shared" si="16"/>
        <v>26-35</v>
      </c>
      <c r="D126" t="s">
        <v>56</v>
      </c>
      <c r="E126">
        <f t="shared" si="17"/>
        <v>1</v>
      </c>
      <c r="F126" t="s">
        <v>57</v>
      </c>
      <c r="G126">
        <v>249</v>
      </c>
      <c r="H126" t="str">
        <f t="shared" si="18"/>
        <v>102-500</v>
      </c>
      <c r="I126" t="s">
        <v>58</v>
      </c>
      <c r="J126">
        <v>6</v>
      </c>
      <c r="K126" t="str">
        <f t="shared" si="19"/>
        <v>6-10</v>
      </c>
      <c r="L126">
        <v>4</v>
      </c>
      <c r="M126" t="s">
        <v>82</v>
      </c>
      <c r="N126" t="s">
        <v>60</v>
      </c>
      <c r="O126">
        <v>1</v>
      </c>
      <c r="P126">
        <v>2</v>
      </c>
      <c r="Q126" t="s">
        <v>61</v>
      </c>
      <c r="R126" t="s">
        <v>75</v>
      </c>
      <c r="S126">
        <v>76</v>
      </c>
      <c r="T126" t="str">
        <f t="shared" si="20"/>
        <v>76-100</v>
      </c>
      <c r="U126">
        <v>1</v>
      </c>
      <c r="V126" t="s">
        <v>69</v>
      </c>
      <c r="W126">
        <v>2</v>
      </c>
      <c r="X126" t="s">
        <v>64</v>
      </c>
      <c r="Y126">
        <v>3</v>
      </c>
      <c r="Z126" t="s">
        <v>63</v>
      </c>
      <c r="AA126" t="s">
        <v>77</v>
      </c>
      <c r="AB126" s="4">
        <v>6172</v>
      </c>
      <c r="AC126" s="4" t="str">
        <f t="shared" si="21"/>
        <v>$5,500-$7,000</v>
      </c>
      <c r="AD126">
        <v>20739</v>
      </c>
      <c r="AE126" t="str">
        <f t="shared" si="22"/>
        <v>$16,001-$22,000</v>
      </c>
      <c r="AF126">
        <v>4</v>
      </c>
      <c r="AG126" t="str">
        <f t="shared" si="23"/>
        <v>4-6</v>
      </c>
      <c r="AH126" t="s">
        <v>67</v>
      </c>
      <c r="AI126" t="s">
        <v>56</v>
      </c>
      <c r="AJ126">
        <v>18</v>
      </c>
      <c r="AK126" t="str">
        <f t="shared" si="24"/>
        <v>18-19%</v>
      </c>
      <c r="AL126">
        <v>3</v>
      </c>
      <c r="AM126" t="s">
        <v>68</v>
      </c>
      <c r="AN126">
        <v>2</v>
      </c>
      <c r="AO126" t="s">
        <v>61</v>
      </c>
      <c r="AP126">
        <v>80</v>
      </c>
      <c r="AQ126">
        <v>0</v>
      </c>
      <c r="AR126">
        <v>12</v>
      </c>
      <c r="AS126" t="str">
        <f t="shared" si="25"/>
        <v>11-20</v>
      </c>
      <c r="AT126">
        <v>3</v>
      </c>
      <c r="AU126" t="str">
        <f t="shared" si="26"/>
        <v>3-4</v>
      </c>
      <c r="AV126">
        <v>2</v>
      </c>
      <c r="AW126" t="s">
        <v>84</v>
      </c>
      <c r="AX126">
        <v>7</v>
      </c>
      <c r="AY126" t="str">
        <f t="shared" si="15"/>
        <v>6-10</v>
      </c>
      <c r="AZ126">
        <v>7</v>
      </c>
      <c r="BA126" t="str">
        <f t="shared" si="27"/>
        <v>6-10</v>
      </c>
      <c r="BB126">
        <v>7</v>
      </c>
      <c r="BC126" t="str">
        <f t="shared" si="28"/>
        <v>6-10</v>
      </c>
      <c r="BD126">
        <v>7</v>
      </c>
      <c r="BE126" t="str">
        <f t="shared" si="29"/>
        <v>6-10</v>
      </c>
    </row>
    <row r="127" spans="1:57" x14ac:dyDescent="0.3">
      <c r="A127">
        <v>164</v>
      </c>
      <c r="B127">
        <v>26</v>
      </c>
      <c r="C127" t="str">
        <f t="shared" si="16"/>
        <v>26-35</v>
      </c>
      <c r="D127" t="s">
        <v>71</v>
      </c>
      <c r="E127">
        <f t="shared" si="17"/>
        <v>0</v>
      </c>
      <c r="F127" t="s">
        <v>57</v>
      </c>
      <c r="G127">
        <v>841</v>
      </c>
      <c r="H127" t="str">
        <f t="shared" si="18"/>
        <v>501-1000</v>
      </c>
      <c r="I127" t="s">
        <v>73</v>
      </c>
      <c r="J127">
        <v>6</v>
      </c>
      <c r="K127" t="str">
        <f t="shared" si="19"/>
        <v>6-10</v>
      </c>
      <c r="L127">
        <v>3</v>
      </c>
      <c r="M127" t="s">
        <v>85</v>
      </c>
      <c r="N127" t="s">
        <v>80</v>
      </c>
      <c r="O127">
        <v>1</v>
      </c>
      <c r="P127">
        <v>3</v>
      </c>
      <c r="Q127" t="s">
        <v>63</v>
      </c>
      <c r="R127" t="s">
        <v>62</v>
      </c>
      <c r="S127">
        <v>46</v>
      </c>
      <c r="T127" t="str">
        <f t="shared" si="20"/>
        <v>30-50</v>
      </c>
      <c r="U127">
        <v>2</v>
      </c>
      <c r="V127" t="s">
        <v>61</v>
      </c>
      <c r="W127">
        <v>1</v>
      </c>
      <c r="X127" t="s">
        <v>76</v>
      </c>
      <c r="Y127">
        <v>2</v>
      </c>
      <c r="Z127" t="s">
        <v>61</v>
      </c>
      <c r="AA127" t="s">
        <v>77</v>
      </c>
      <c r="AB127" s="4">
        <v>2368</v>
      </c>
      <c r="AC127" s="4" t="str">
        <f t="shared" si="21"/>
        <v>$1,000-$2,500</v>
      </c>
      <c r="AD127">
        <v>23300</v>
      </c>
      <c r="AE127" t="str">
        <f t="shared" si="22"/>
        <v>$22,001-$26,999</v>
      </c>
      <c r="AF127">
        <v>1</v>
      </c>
      <c r="AG127" t="str">
        <f t="shared" si="23"/>
        <v>0-1</v>
      </c>
      <c r="AH127" t="s">
        <v>67</v>
      </c>
      <c r="AI127" t="s">
        <v>71</v>
      </c>
      <c r="AJ127">
        <v>19</v>
      </c>
      <c r="AK127" t="str">
        <f t="shared" si="24"/>
        <v>18-19%</v>
      </c>
      <c r="AL127">
        <v>3</v>
      </c>
      <c r="AM127" t="s">
        <v>68</v>
      </c>
      <c r="AN127">
        <v>3</v>
      </c>
      <c r="AO127" t="s">
        <v>63</v>
      </c>
      <c r="AP127">
        <v>80</v>
      </c>
      <c r="AQ127">
        <v>0</v>
      </c>
      <c r="AR127">
        <v>5</v>
      </c>
      <c r="AS127" t="str">
        <f t="shared" si="25"/>
        <v>3-5</v>
      </c>
      <c r="AT127">
        <v>3</v>
      </c>
      <c r="AU127" t="str">
        <f t="shared" si="26"/>
        <v>3-4</v>
      </c>
      <c r="AV127">
        <v>2</v>
      </c>
      <c r="AW127" t="s">
        <v>84</v>
      </c>
      <c r="AX127">
        <v>5</v>
      </c>
      <c r="AY127" t="str">
        <f t="shared" si="15"/>
        <v>2-5</v>
      </c>
      <c r="AZ127">
        <v>4</v>
      </c>
      <c r="BA127" t="str">
        <f t="shared" si="27"/>
        <v>2-5</v>
      </c>
      <c r="BB127">
        <v>4</v>
      </c>
      <c r="BC127" t="str">
        <f t="shared" si="28"/>
        <v>2-5</v>
      </c>
      <c r="BD127">
        <v>3</v>
      </c>
      <c r="BE127" t="str">
        <f t="shared" si="29"/>
        <v>2-5</v>
      </c>
    </row>
    <row r="128" spans="1:57" x14ac:dyDescent="0.3">
      <c r="A128">
        <v>165</v>
      </c>
      <c r="B128">
        <v>58</v>
      </c>
      <c r="C128" t="str">
        <f t="shared" si="16"/>
        <v>56+</v>
      </c>
      <c r="D128" t="s">
        <v>56</v>
      </c>
      <c r="E128">
        <f t="shared" si="17"/>
        <v>1</v>
      </c>
      <c r="F128" t="s">
        <v>57</v>
      </c>
      <c r="G128">
        <v>147</v>
      </c>
      <c r="H128" t="str">
        <f t="shared" si="18"/>
        <v>102-500</v>
      </c>
      <c r="I128" t="s">
        <v>73</v>
      </c>
      <c r="J128">
        <v>23</v>
      </c>
      <c r="K128" t="str">
        <f t="shared" si="19"/>
        <v>21-29</v>
      </c>
      <c r="L128">
        <v>4</v>
      </c>
      <c r="M128" t="s">
        <v>82</v>
      </c>
      <c r="N128" t="s">
        <v>83</v>
      </c>
      <c r="O128">
        <v>1</v>
      </c>
      <c r="P128">
        <v>4</v>
      </c>
      <c r="Q128" t="s">
        <v>65</v>
      </c>
      <c r="R128" t="s">
        <v>62</v>
      </c>
      <c r="S128">
        <v>94</v>
      </c>
      <c r="T128" t="str">
        <f t="shared" si="20"/>
        <v>76-100</v>
      </c>
      <c r="U128">
        <v>3</v>
      </c>
      <c r="V128" t="s">
        <v>63</v>
      </c>
      <c r="W128">
        <v>3</v>
      </c>
      <c r="X128" t="s">
        <v>88</v>
      </c>
      <c r="Y128">
        <v>4</v>
      </c>
      <c r="Z128" t="s">
        <v>65</v>
      </c>
      <c r="AA128" t="s">
        <v>77</v>
      </c>
      <c r="AB128" s="4">
        <v>10312</v>
      </c>
      <c r="AC128" s="4" t="str">
        <f t="shared" si="21"/>
        <v>$10,000-$11,500</v>
      </c>
      <c r="AD128">
        <v>3465</v>
      </c>
      <c r="AE128" t="str">
        <f t="shared" si="22"/>
        <v>$2,094-$8,000</v>
      </c>
      <c r="AF128">
        <v>1</v>
      </c>
      <c r="AG128" t="str">
        <f t="shared" si="23"/>
        <v>0-1</v>
      </c>
      <c r="AH128" t="s">
        <v>67</v>
      </c>
      <c r="AI128" t="s">
        <v>71</v>
      </c>
      <c r="AJ128">
        <v>12</v>
      </c>
      <c r="AK128" t="str">
        <f t="shared" si="24"/>
        <v>11-12%</v>
      </c>
      <c r="AL128">
        <v>3</v>
      </c>
      <c r="AM128" t="s">
        <v>68</v>
      </c>
      <c r="AN128">
        <v>4</v>
      </c>
      <c r="AO128" t="s">
        <v>65</v>
      </c>
      <c r="AP128">
        <v>80</v>
      </c>
      <c r="AQ128">
        <v>1</v>
      </c>
      <c r="AR128">
        <v>40</v>
      </c>
      <c r="AS128" t="str">
        <f t="shared" si="25"/>
        <v>21-40</v>
      </c>
      <c r="AT128">
        <v>3</v>
      </c>
      <c r="AU128" t="str">
        <f t="shared" si="26"/>
        <v>3-4</v>
      </c>
      <c r="AV128">
        <v>2</v>
      </c>
      <c r="AW128" t="s">
        <v>84</v>
      </c>
      <c r="AX128">
        <v>40</v>
      </c>
      <c r="AY128" t="str">
        <f t="shared" si="15"/>
        <v>21-40</v>
      </c>
      <c r="AZ128">
        <v>10</v>
      </c>
      <c r="BA128" t="str">
        <f t="shared" si="27"/>
        <v>6-10</v>
      </c>
      <c r="BB128">
        <v>15</v>
      </c>
      <c r="BC128" t="str">
        <f t="shared" si="28"/>
        <v>11-15</v>
      </c>
      <c r="BD128">
        <v>6</v>
      </c>
      <c r="BE128" t="str">
        <f t="shared" si="29"/>
        <v>6-10</v>
      </c>
    </row>
    <row r="129" spans="1:57" x14ac:dyDescent="0.3">
      <c r="A129">
        <v>167</v>
      </c>
      <c r="B129">
        <v>19</v>
      </c>
      <c r="C129" t="str">
        <f t="shared" si="16"/>
        <v>18-25</v>
      </c>
      <c r="D129" t="s">
        <v>56</v>
      </c>
      <c r="E129">
        <f t="shared" si="17"/>
        <v>1</v>
      </c>
      <c r="F129" t="s">
        <v>57</v>
      </c>
      <c r="G129">
        <v>528</v>
      </c>
      <c r="H129" t="str">
        <f t="shared" si="18"/>
        <v>501-1000</v>
      </c>
      <c r="I129" t="s">
        <v>58</v>
      </c>
      <c r="J129">
        <v>22</v>
      </c>
      <c r="K129" t="str">
        <f t="shared" si="19"/>
        <v>21-29</v>
      </c>
      <c r="L129">
        <v>1</v>
      </c>
      <c r="M129" t="s">
        <v>74</v>
      </c>
      <c r="N129" t="s">
        <v>93</v>
      </c>
      <c r="O129">
        <v>1</v>
      </c>
      <c r="P129">
        <v>4</v>
      </c>
      <c r="Q129" t="s">
        <v>65</v>
      </c>
      <c r="R129" t="s">
        <v>75</v>
      </c>
      <c r="S129">
        <v>50</v>
      </c>
      <c r="T129" t="str">
        <f t="shared" si="20"/>
        <v>30-50</v>
      </c>
      <c r="U129">
        <v>3</v>
      </c>
      <c r="V129" t="s">
        <v>63</v>
      </c>
      <c r="W129">
        <v>1</v>
      </c>
      <c r="X129" t="s">
        <v>91</v>
      </c>
      <c r="Y129">
        <v>3</v>
      </c>
      <c r="Z129" t="s">
        <v>63</v>
      </c>
      <c r="AA129" t="s">
        <v>66</v>
      </c>
      <c r="AB129" s="4">
        <v>1675</v>
      </c>
      <c r="AC129" s="4" t="str">
        <f t="shared" si="21"/>
        <v>$1,000-$2,500</v>
      </c>
      <c r="AD129">
        <v>26820</v>
      </c>
      <c r="AE129" t="str">
        <f t="shared" si="22"/>
        <v>$22,001-$26,999</v>
      </c>
      <c r="AF129">
        <v>1</v>
      </c>
      <c r="AG129" t="str">
        <f t="shared" si="23"/>
        <v>0-1</v>
      </c>
      <c r="AH129" t="s">
        <v>67</v>
      </c>
      <c r="AI129" t="s">
        <v>56</v>
      </c>
      <c r="AJ129">
        <v>19</v>
      </c>
      <c r="AK129" t="str">
        <f t="shared" si="24"/>
        <v>18-19%</v>
      </c>
      <c r="AL129">
        <v>3</v>
      </c>
      <c r="AM129" t="s">
        <v>68</v>
      </c>
      <c r="AN129">
        <v>4</v>
      </c>
      <c r="AO129" t="s">
        <v>65</v>
      </c>
      <c r="AP129">
        <v>80</v>
      </c>
      <c r="AQ129">
        <v>0</v>
      </c>
      <c r="AR129">
        <v>0</v>
      </c>
      <c r="AS129" t="str">
        <f t="shared" si="25"/>
        <v>0-2</v>
      </c>
      <c r="AT129">
        <v>2</v>
      </c>
      <c r="AU129" t="str">
        <f t="shared" si="26"/>
        <v>0-2</v>
      </c>
      <c r="AV129">
        <v>2</v>
      </c>
      <c r="AW129" t="s">
        <v>84</v>
      </c>
      <c r="AX129">
        <v>0</v>
      </c>
      <c r="AY129" t="str">
        <f t="shared" si="15"/>
        <v>0-1</v>
      </c>
      <c r="AZ129">
        <v>0</v>
      </c>
      <c r="BA129" t="str">
        <f t="shared" si="27"/>
        <v>0-1</v>
      </c>
      <c r="BB129">
        <v>0</v>
      </c>
      <c r="BC129" t="str">
        <f t="shared" si="28"/>
        <v>0-1</v>
      </c>
      <c r="BD129">
        <v>0</v>
      </c>
      <c r="BE129" t="str">
        <f t="shared" si="29"/>
        <v>0-1</v>
      </c>
    </row>
    <row r="130" spans="1:57" x14ac:dyDescent="0.3">
      <c r="A130">
        <v>169</v>
      </c>
      <c r="B130">
        <v>22</v>
      </c>
      <c r="C130" t="str">
        <f t="shared" si="16"/>
        <v>18-25</v>
      </c>
      <c r="D130" t="s">
        <v>71</v>
      </c>
      <c r="E130">
        <f t="shared" si="17"/>
        <v>0</v>
      </c>
      <c r="F130" t="s">
        <v>57</v>
      </c>
      <c r="G130">
        <v>594</v>
      </c>
      <c r="H130" t="str">
        <f t="shared" si="18"/>
        <v>501-1000</v>
      </c>
      <c r="I130" t="s">
        <v>73</v>
      </c>
      <c r="J130">
        <v>2</v>
      </c>
      <c r="K130" t="str">
        <f t="shared" si="19"/>
        <v>1-5</v>
      </c>
      <c r="L130">
        <v>1</v>
      </c>
      <c r="M130" t="s">
        <v>74</v>
      </c>
      <c r="N130" t="s">
        <v>95</v>
      </c>
      <c r="O130">
        <v>1</v>
      </c>
      <c r="P130">
        <v>3</v>
      </c>
      <c r="Q130" t="s">
        <v>63</v>
      </c>
      <c r="R130" t="s">
        <v>75</v>
      </c>
      <c r="S130">
        <v>100</v>
      </c>
      <c r="T130" t="str">
        <f t="shared" si="20"/>
        <v>76-100</v>
      </c>
      <c r="U130">
        <v>3</v>
      </c>
      <c r="V130" t="s">
        <v>63</v>
      </c>
      <c r="W130">
        <v>1</v>
      </c>
      <c r="X130" t="s">
        <v>81</v>
      </c>
      <c r="Y130">
        <v>4</v>
      </c>
      <c r="Z130" t="s">
        <v>65</v>
      </c>
      <c r="AA130" t="s">
        <v>77</v>
      </c>
      <c r="AB130" s="4">
        <v>2523</v>
      </c>
      <c r="AC130" s="4" t="str">
        <f t="shared" si="21"/>
        <v>$2,500-$4,000</v>
      </c>
      <c r="AD130">
        <v>19299</v>
      </c>
      <c r="AE130" t="str">
        <f t="shared" si="22"/>
        <v>$16,001-$22,000</v>
      </c>
      <c r="AF130">
        <v>0</v>
      </c>
      <c r="AG130" t="str">
        <f t="shared" si="23"/>
        <v>0-1</v>
      </c>
      <c r="AH130" t="s">
        <v>67</v>
      </c>
      <c r="AI130" t="s">
        <v>71</v>
      </c>
      <c r="AJ130">
        <v>14</v>
      </c>
      <c r="AK130" t="str">
        <f t="shared" si="24"/>
        <v>13-15%</v>
      </c>
      <c r="AL130">
        <v>3</v>
      </c>
      <c r="AM130" t="s">
        <v>68</v>
      </c>
      <c r="AN130">
        <v>3</v>
      </c>
      <c r="AO130" t="s">
        <v>63</v>
      </c>
      <c r="AP130">
        <v>80</v>
      </c>
      <c r="AQ130">
        <v>1</v>
      </c>
      <c r="AR130">
        <v>3</v>
      </c>
      <c r="AS130" t="str">
        <f t="shared" si="25"/>
        <v>3-5</v>
      </c>
      <c r="AT130">
        <v>2</v>
      </c>
      <c r="AU130" t="str">
        <f t="shared" si="26"/>
        <v>0-2</v>
      </c>
      <c r="AV130">
        <v>3</v>
      </c>
      <c r="AW130" t="s">
        <v>79</v>
      </c>
      <c r="AX130">
        <v>2</v>
      </c>
      <c r="AY130" t="str">
        <f t="shared" ref="AY130:AY193" si="30">IF(AX130&lt;=1,"0-1",IF(AX130&lt;=5,"2-5",IF(AX130&lt;=10,"6-10",IF(AX130&lt;=20,"11-20","21-40"))))</f>
        <v>2-5</v>
      </c>
      <c r="AZ130">
        <v>1</v>
      </c>
      <c r="BA130" t="str">
        <f t="shared" si="27"/>
        <v>0-1</v>
      </c>
      <c r="BB130">
        <v>2</v>
      </c>
      <c r="BC130" t="str">
        <f t="shared" si="28"/>
        <v>2-5</v>
      </c>
      <c r="BD130">
        <v>1</v>
      </c>
      <c r="BE130" t="str">
        <f t="shared" si="29"/>
        <v>0-1</v>
      </c>
    </row>
    <row r="131" spans="1:57" x14ac:dyDescent="0.3">
      <c r="A131">
        <v>170</v>
      </c>
      <c r="B131">
        <v>49</v>
      </c>
      <c r="C131" t="str">
        <f t="shared" ref="C131:C194" si="31">IF(B131&lt;=25, "18-25", IF(B131&lt;=35, "26-35", IF(B131&lt;=45, "36-45", IF(B131&lt;=55, "46-55", "56+"))))</f>
        <v>46-55</v>
      </c>
      <c r="D131" t="s">
        <v>71</v>
      </c>
      <c r="E131">
        <f t="shared" ref="E131:E194" si="32">IF(D131="Yes",1,0)</f>
        <v>0</v>
      </c>
      <c r="F131" t="s">
        <v>57</v>
      </c>
      <c r="G131">
        <v>470</v>
      </c>
      <c r="H131" t="str">
        <f t="shared" ref="H131:H194" si="33">IF(G131&lt;=500,"102-500",IF(G131&lt;=1000,"501-1000","1001-1499"))</f>
        <v>102-500</v>
      </c>
      <c r="I131" t="s">
        <v>73</v>
      </c>
      <c r="J131">
        <v>20</v>
      </c>
      <c r="K131" t="str">
        <f t="shared" ref="K131:K194" si="34">IF(J131&lt;=5,"1-5",IF(J131&lt;=10,"6-10",IF(J131&lt;=20,"11-20","21-29")))</f>
        <v>11-20</v>
      </c>
      <c r="L131">
        <v>4</v>
      </c>
      <c r="M131" t="s">
        <v>82</v>
      </c>
      <c r="N131" t="s">
        <v>83</v>
      </c>
      <c r="O131">
        <v>1</v>
      </c>
      <c r="P131">
        <v>3</v>
      </c>
      <c r="Q131" t="s">
        <v>63</v>
      </c>
      <c r="R131" t="s">
        <v>62</v>
      </c>
      <c r="S131">
        <v>96</v>
      </c>
      <c r="T131" t="str">
        <f t="shared" ref="T131:T194" si="35">IF(S131&lt;=50,"30-50",IF(S131&lt;=75,"51-75","76-100"))</f>
        <v>76-100</v>
      </c>
      <c r="U131">
        <v>3</v>
      </c>
      <c r="V131" t="s">
        <v>63</v>
      </c>
      <c r="W131">
        <v>2</v>
      </c>
      <c r="X131" t="s">
        <v>87</v>
      </c>
      <c r="Y131">
        <v>1</v>
      </c>
      <c r="Z131" t="s">
        <v>69</v>
      </c>
      <c r="AA131" t="s">
        <v>77</v>
      </c>
      <c r="AB131" s="4">
        <v>6567</v>
      </c>
      <c r="AC131" s="4" t="str">
        <f t="shared" ref="AC131:AC194" si="36">IF(AB131&lt;2500,"$1,000-$2,500",IF(AB131&lt;4000,"$2,500-$4,000",IF(AB131&lt;5500,"$4,000-$5,500",IF(AB131&lt;7000,"$5,500-$7,000",IF(AB131&lt;8500,"$7,000-$8,500",IF(AB131&lt;10000,"$8,500-$10,000",IF(AB131&lt;11500,"$10,000-$11,500",IF(AB131&lt;13000,"$11,500-$13,000",IF(AB131&lt;14500,"$13,000-$14,500",IF(AB131&lt;16000,"$14,500-$16,000",IF(AB131&lt;17500,"$16,000-$17,500",IF(AB131&lt;19000,"$17,500-$19,000",IF(AB131&lt;20500,"$19,000-$20,500",IF(AB131&lt;22000,"$20,500-$22,000",IF(AB131&lt;23500,"$22,000-$23,500",IF(AB131&lt;25000,"$23,500-$25,000",IF(AB131&lt;26500,"$25,000-$26,500",IF(AB131&lt;28000,"$26,500-$28,000",IF(AB131&lt;29500,"$28,000-$29,500","$29,500+")))))))))))))))))))</f>
        <v>$5,500-$7,000</v>
      </c>
      <c r="AD131">
        <v>5549</v>
      </c>
      <c r="AE131" t="str">
        <f t="shared" ref="AE131:AE194" si="37">IF(AD131&lt;=8000,"$2,094-$8,000",IF(AD131&lt;=16000,"$8,001-$16,000",IF(AD131&lt;=22000,"$16,001-$22,000","$22,001-$26,999")))</f>
        <v>$2,094-$8,000</v>
      </c>
      <c r="AF131">
        <v>1</v>
      </c>
      <c r="AG131" t="str">
        <f t="shared" ref="AG131:AG194" si="38">IF(AF131&lt;=1,"0-1",IF(AF131&lt;=3,"2-3",IF(AF131&lt;=6,"4-6","7-9")))</f>
        <v>0-1</v>
      </c>
      <c r="AH131" t="s">
        <v>67</v>
      </c>
      <c r="AI131" t="s">
        <v>71</v>
      </c>
      <c r="AJ131">
        <v>14</v>
      </c>
      <c r="AK131" t="str">
        <f t="shared" ref="AK131:AK194" si="39">IF(AJ131&lt;=12,"11-12%",IF(AJ131&lt;=15,"13-15%",IF(AJ131&lt;=17,"16-17%","18-19%")))</f>
        <v>13-15%</v>
      </c>
      <c r="AL131">
        <v>3</v>
      </c>
      <c r="AM131" t="s">
        <v>68</v>
      </c>
      <c r="AN131">
        <v>3</v>
      </c>
      <c r="AO131" t="s">
        <v>63</v>
      </c>
      <c r="AP131">
        <v>80</v>
      </c>
      <c r="AQ131">
        <v>0</v>
      </c>
      <c r="AR131">
        <v>16</v>
      </c>
      <c r="AS131" t="str">
        <f t="shared" ref="AS131:AS194" si="40">IF(AR131&lt;=2,"0-2",IF(AR131&lt;=5,"3-5",IF(AR131&lt;=10,"6-10",IF(AR131&lt;=20,"11-20","21-40"))))</f>
        <v>11-20</v>
      </c>
      <c r="AT131">
        <v>2</v>
      </c>
      <c r="AU131" t="str">
        <f t="shared" ref="AU131:AU194" si="41">IF(AT131&lt;=2,"0-2",IF(AT131&lt;=4,"3-4","5-6"))</f>
        <v>0-2</v>
      </c>
      <c r="AV131">
        <v>2</v>
      </c>
      <c r="AW131" t="s">
        <v>84</v>
      </c>
      <c r="AX131">
        <v>15</v>
      </c>
      <c r="AY131" t="str">
        <f t="shared" si="30"/>
        <v>11-20</v>
      </c>
      <c r="AZ131">
        <v>11</v>
      </c>
      <c r="BA131" t="str">
        <f t="shared" ref="BA131:BA194" si="42">IF(AZ131&lt;=1,"0-1",IF(AZ131&lt;=5,"2-5",IF(AZ131&lt;=10,"6-10","11-18")))</f>
        <v>11-18</v>
      </c>
      <c r="BB131">
        <v>5</v>
      </c>
      <c r="BC131" t="str">
        <f t="shared" ref="BC131:BC194" si="43">IF(BB131&lt;=1,"0-1",IF(BB131&lt;=5,"2-5",IF(BB131&lt;=10,"6-10","11-15")))</f>
        <v>2-5</v>
      </c>
      <c r="BD131">
        <v>11</v>
      </c>
      <c r="BE131" t="str">
        <f t="shared" ref="BE131:BE194" si="44">IF(BD131&lt;=1,"0-1",IF(BD131&lt;=5,"2-5",IF(BD131&lt;=10,"6-10","11-17")))</f>
        <v>11-17</v>
      </c>
    </row>
    <row r="132" spans="1:57" x14ac:dyDescent="0.3">
      <c r="A132">
        <v>171</v>
      </c>
      <c r="B132">
        <v>43</v>
      </c>
      <c r="C132" t="str">
        <f t="shared" si="31"/>
        <v>36-45</v>
      </c>
      <c r="D132" t="s">
        <v>71</v>
      </c>
      <c r="E132">
        <f t="shared" si="32"/>
        <v>0</v>
      </c>
      <c r="F132" t="s">
        <v>72</v>
      </c>
      <c r="G132">
        <v>957</v>
      </c>
      <c r="H132" t="str">
        <f t="shared" si="33"/>
        <v>501-1000</v>
      </c>
      <c r="I132" t="s">
        <v>73</v>
      </c>
      <c r="J132">
        <v>28</v>
      </c>
      <c r="K132" t="str">
        <f t="shared" si="34"/>
        <v>21-29</v>
      </c>
      <c r="L132">
        <v>3</v>
      </c>
      <c r="M132" t="s">
        <v>85</v>
      </c>
      <c r="N132" t="s">
        <v>83</v>
      </c>
      <c r="O132">
        <v>1</v>
      </c>
      <c r="P132">
        <v>2</v>
      </c>
      <c r="Q132" t="s">
        <v>61</v>
      </c>
      <c r="R132" t="s">
        <v>62</v>
      </c>
      <c r="S132">
        <v>72</v>
      </c>
      <c r="T132" t="str">
        <f t="shared" si="35"/>
        <v>51-75</v>
      </c>
      <c r="U132">
        <v>4</v>
      </c>
      <c r="V132" t="s">
        <v>65</v>
      </c>
      <c r="W132">
        <v>1</v>
      </c>
      <c r="X132" t="s">
        <v>76</v>
      </c>
      <c r="Y132">
        <v>3</v>
      </c>
      <c r="Z132" t="s">
        <v>63</v>
      </c>
      <c r="AA132" t="s">
        <v>66</v>
      </c>
      <c r="AB132" s="4">
        <v>4739</v>
      </c>
      <c r="AC132" s="4" t="str">
        <f t="shared" si="36"/>
        <v>$4,000-$5,500</v>
      </c>
      <c r="AD132">
        <v>16090</v>
      </c>
      <c r="AE132" t="str">
        <f t="shared" si="37"/>
        <v>$16,001-$22,000</v>
      </c>
      <c r="AF132">
        <v>4</v>
      </c>
      <c r="AG132" t="str">
        <f t="shared" si="38"/>
        <v>4-6</v>
      </c>
      <c r="AH132" t="s">
        <v>67</v>
      </c>
      <c r="AI132" t="s">
        <v>71</v>
      </c>
      <c r="AJ132">
        <v>12</v>
      </c>
      <c r="AK132" t="str">
        <f t="shared" si="39"/>
        <v>11-12%</v>
      </c>
      <c r="AL132">
        <v>3</v>
      </c>
      <c r="AM132" t="s">
        <v>68</v>
      </c>
      <c r="AN132">
        <v>4</v>
      </c>
      <c r="AO132" t="s">
        <v>65</v>
      </c>
      <c r="AP132">
        <v>80</v>
      </c>
      <c r="AQ132">
        <v>0</v>
      </c>
      <c r="AR132">
        <v>18</v>
      </c>
      <c r="AS132" t="str">
        <f t="shared" si="40"/>
        <v>11-20</v>
      </c>
      <c r="AT132">
        <v>2</v>
      </c>
      <c r="AU132" t="str">
        <f t="shared" si="41"/>
        <v>0-2</v>
      </c>
      <c r="AV132">
        <v>3</v>
      </c>
      <c r="AW132" t="s">
        <v>79</v>
      </c>
      <c r="AX132">
        <v>3</v>
      </c>
      <c r="AY132" t="str">
        <f t="shared" si="30"/>
        <v>2-5</v>
      </c>
      <c r="AZ132">
        <v>2</v>
      </c>
      <c r="BA132" t="str">
        <f t="shared" si="42"/>
        <v>2-5</v>
      </c>
      <c r="BB132">
        <v>1</v>
      </c>
      <c r="BC132" t="str">
        <f t="shared" si="43"/>
        <v>0-1</v>
      </c>
      <c r="BD132">
        <v>2</v>
      </c>
      <c r="BE132" t="str">
        <f t="shared" si="44"/>
        <v>2-5</v>
      </c>
    </row>
    <row r="133" spans="1:57" x14ac:dyDescent="0.3">
      <c r="A133">
        <v>174</v>
      </c>
      <c r="B133">
        <v>50</v>
      </c>
      <c r="C133" t="str">
        <f t="shared" si="31"/>
        <v>46-55</v>
      </c>
      <c r="D133" t="s">
        <v>71</v>
      </c>
      <c r="E133">
        <f t="shared" si="32"/>
        <v>0</v>
      </c>
      <c r="F133" t="s">
        <v>72</v>
      </c>
      <c r="G133">
        <v>809</v>
      </c>
      <c r="H133" t="str">
        <f t="shared" si="33"/>
        <v>501-1000</v>
      </c>
      <c r="I133" t="s">
        <v>58</v>
      </c>
      <c r="J133">
        <v>12</v>
      </c>
      <c r="K133" t="str">
        <f t="shared" si="34"/>
        <v>11-20</v>
      </c>
      <c r="L133">
        <v>3</v>
      </c>
      <c r="M133" t="s">
        <v>85</v>
      </c>
      <c r="N133" t="s">
        <v>93</v>
      </c>
      <c r="O133">
        <v>1</v>
      </c>
      <c r="P133">
        <v>3</v>
      </c>
      <c r="Q133" t="s">
        <v>63</v>
      </c>
      <c r="R133" t="s">
        <v>62</v>
      </c>
      <c r="S133">
        <v>77</v>
      </c>
      <c r="T133" t="str">
        <f t="shared" si="35"/>
        <v>76-100</v>
      </c>
      <c r="U133">
        <v>3</v>
      </c>
      <c r="V133" t="s">
        <v>63</v>
      </c>
      <c r="W133">
        <v>3</v>
      </c>
      <c r="X133" t="s">
        <v>64</v>
      </c>
      <c r="Y133">
        <v>4</v>
      </c>
      <c r="Z133" t="s">
        <v>65</v>
      </c>
      <c r="AA133" t="s">
        <v>66</v>
      </c>
      <c r="AB133" s="4">
        <v>9208</v>
      </c>
      <c r="AC133" s="4" t="str">
        <f t="shared" si="36"/>
        <v>$8,500-$10,000</v>
      </c>
      <c r="AD133">
        <v>6645</v>
      </c>
      <c r="AE133" t="str">
        <f t="shared" si="37"/>
        <v>$2,094-$8,000</v>
      </c>
      <c r="AF133">
        <v>4</v>
      </c>
      <c r="AG133" t="str">
        <f t="shared" si="38"/>
        <v>4-6</v>
      </c>
      <c r="AH133" t="s">
        <v>67</v>
      </c>
      <c r="AI133" t="s">
        <v>71</v>
      </c>
      <c r="AJ133">
        <v>11</v>
      </c>
      <c r="AK133" t="str">
        <f t="shared" si="39"/>
        <v>11-12%</v>
      </c>
      <c r="AL133">
        <v>3</v>
      </c>
      <c r="AM133" t="s">
        <v>68</v>
      </c>
      <c r="AN133">
        <v>4</v>
      </c>
      <c r="AO133" t="s">
        <v>65</v>
      </c>
      <c r="AP133">
        <v>80</v>
      </c>
      <c r="AQ133">
        <v>0</v>
      </c>
      <c r="AR133">
        <v>16</v>
      </c>
      <c r="AS133" t="str">
        <f t="shared" si="40"/>
        <v>11-20</v>
      </c>
      <c r="AT133">
        <v>3</v>
      </c>
      <c r="AU133" t="str">
        <f t="shared" si="41"/>
        <v>3-4</v>
      </c>
      <c r="AV133">
        <v>3</v>
      </c>
      <c r="AW133" t="s">
        <v>79</v>
      </c>
      <c r="AX133">
        <v>2</v>
      </c>
      <c r="AY133" t="str">
        <f t="shared" si="30"/>
        <v>2-5</v>
      </c>
      <c r="AZ133">
        <v>2</v>
      </c>
      <c r="BA133" t="str">
        <f t="shared" si="42"/>
        <v>2-5</v>
      </c>
      <c r="BB133">
        <v>2</v>
      </c>
      <c r="BC133" t="str">
        <f t="shared" si="43"/>
        <v>2-5</v>
      </c>
      <c r="BD133">
        <v>1</v>
      </c>
      <c r="BE133" t="str">
        <f t="shared" si="44"/>
        <v>0-1</v>
      </c>
    </row>
    <row r="134" spans="1:57" x14ac:dyDescent="0.3">
      <c r="A134">
        <v>175</v>
      </c>
      <c r="B134">
        <v>31</v>
      </c>
      <c r="C134" t="str">
        <f t="shared" si="31"/>
        <v>26-35</v>
      </c>
      <c r="D134" t="s">
        <v>56</v>
      </c>
      <c r="E134">
        <f t="shared" si="32"/>
        <v>1</v>
      </c>
      <c r="F134" t="s">
        <v>57</v>
      </c>
      <c r="G134">
        <v>542</v>
      </c>
      <c r="H134" t="str">
        <f t="shared" si="33"/>
        <v>501-1000</v>
      </c>
      <c r="I134" t="s">
        <v>58</v>
      </c>
      <c r="J134">
        <v>20</v>
      </c>
      <c r="K134" t="str">
        <f t="shared" si="34"/>
        <v>11-20</v>
      </c>
      <c r="L134">
        <v>3</v>
      </c>
      <c r="M134" t="s">
        <v>85</v>
      </c>
      <c r="N134" t="s">
        <v>60</v>
      </c>
      <c r="O134">
        <v>1</v>
      </c>
      <c r="P134">
        <v>2</v>
      </c>
      <c r="Q134" t="s">
        <v>61</v>
      </c>
      <c r="R134" t="s">
        <v>62</v>
      </c>
      <c r="S134">
        <v>71</v>
      </c>
      <c r="T134" t="str">
        <f t="shared" si="35"/>
        <v>51-75</v>
      </c>
      <c r="U134">
        <v>1</v>
      </c>
      <c r="V134" t="s">
        <v>69</v>
      </c>
      <c r="W134">
        <v>2</v>
      </c>
      <c r="X134" t="s">
        <v>64</v>
      </c>
      <c r="Y134">
        <v>3</v>
      </c>
      <c r="Z134" t="s">
        <v>63</v>
      </c>
      <c r="AA134" t="s">
        <v>77</v>
      </c>
      <c r="AB134" s="4">
        <v>4559</v>
      </c>
      <c r="AC134" s="4" t="str">
        <f t="shared" si="36"/>
        <v>$4,000-$5,500</v>
      </c>
      <c r="AD134">
        <v>24788</v>
      </c>
      <c r="AE134" t="str">
        <f t="shared" si="37"/>
        <v>$22,001-$26,999</v>
      </c>
      <c r="AF134">
        <v>3</v>
      </c>
      <c r="AG134" t="str">
        <f t="shared" si="38"/>
        <v>2-3</v>
      </c>
      <c r="AH134" t="s">
        <v>67</v>
      </c>
      <c r="AI134" t="s">
        <v>56</v>
      </c>
      <c r="AJ134">
        <v>11</v>
      </c>
      <c r="AK134" t="str">
        <f t="shared" si="39"/>
        <v>11-12%</v>
      </c>
      <c r="AL134">
        <v>3</v>
      </c>
      <c r="AM134" t="s">
        <v>68</v>
      </c>
      <c r="AN134">
        <v>3</v>
      </c>
      <c r="AO134" t="s">
        <v>63</v>
      </c>
      <c r="AP134">
        <v>80</v>
      </c>
      <c r="AQ134">
        <v>1</v>
      </c>
      <c r="AR134">
        <v>4</v>
      </c>
      <c r="AS134" t="str">
        <f t="shared" si="40"/>
        <v>3-5</v>
      </c>
      <c r="AT134">
        <v>2</v>
      </c>
      <c r="AU134" t="str">
        <f t="shared" si="41"/>
        <v>0-2</v>
      </c>
      <c r="AV134">
        <v>3</v>
      </c>
      <c r="AW134" t="s">
        <v>79</v>
      </c>
      <c r="AX134">
        <v>2</v>
      </c>
      <c r="AY134" t="str">
        <f t="shared" si="30"/>
        <v>2-5</v>
      </c>
      <c r="AZ134">
        <v>2</v>
      </c>
      <c r="BA134" t="str">
        <f t="shared" si="42"/>
        <v>2-5</v>
      </c>
      <c r="BB134">
        <v>2</v>
      </c>
      <c r="BC134" t="str">
        <f t="shared" si="43"/>
        <v>2-5</v>
      </c>
      <c r="BD134">
        <v>2</v>
      </c>
      <c r="BE134" t="str">
        <f t="shared" si="44"/>
        <v>2-5</v>
      </c>
    </row>
    <row r="135" spans="1:57" x14ac:dyDescent="0.3">
      <c r="A135">
        <v>176</v>
      </c>
      <c r="B135">
        <v>41</v>
      </c>
      <c r="C135" t="str">
        <f t="shared" si="31"/>
        <v>36-45</v>
      </c>
      <c r="D135" t="s">
        <v>71</v>
      </c>
      <c r="E135">
        <f t="shared" si="32"/>
        <v>0</v>
      </c>
      <c r="F135" t="s">
        <v>57</v>
      </c>
      <c r="G135">
        <v>802</v>
      </c>
      <c r="H135" t="str">
        <f t="shared" si="33"/>
        <v>501-1000</v>
      </c>
      <c r="I135" t="s">
        <v>58</v>
      </c>
      <c r="J135">
        <v>9</v>
      </c>
      <c r="K135" t="str">
        <f t="shared" si="34"/>
        <v>6-10</v>
      </c>
      <c r="L135">
        <v>1</v>
      </c>
      <c r="M135" t="s">
        <v>74</v>
      </c>
      <c r="N135" t="s">
        <v>60</v>
      </c>
      <c r="O135">
        <v>1</v>
      </c>
      <c r="P135">
        <v>3</v>
      </c>
      <c r="Q135" t="s">
        <v>63</v>
      </c>
      <c r="R135" t="s">
        <v>75</v>
      </c>
      <c r="S135">
        <v>96</v>
      </c>
      <c r="T135" t="str">
        <f t="shared" si="35"/>
        <v>76-100</v>
      </c>
      <c r="U135">
        <v>3</v>
      </c>
      <c r="V135" t="s">
        <v>63</v>
      </c>
      <c r="W135">
        <v>3</v>
      </c>
      <c r="X135" t="s">
        <v>64</v>
      </c>
      <c r="Y135">
        <v>3</v>
      </c>
      <c r="Z135" t="s">
        <v>63</v>
      </c>
      <c r="AA135" t="s">
        <v>86</v>
      </c>
      <c r="AB135" s="4">
        <v>8189</v>
      </c>
      <c r="AC135" s="4" t="str">
        <f t="shared" si="36"/>
        <v>$7,000-$8,500</v>
      </c>
      <c r="AD135">
        <v>21196</v>
      </c>
      <c r="AE135" t="str">
        <f t="shared" si="37"/>
        <v>$16,001-$22,000</v>
      </c>
      <c r="AF135">
        <v>3</v>
      </c>
      <c r="AG135" t="str">
        <f t="shared" si="38"/>
        <v>2-3</v>
      </c>
      <c r="AH135" t="s">
        <v>67</v>
      </c>
      <c r="AI135" t="s">
        <v>56</v>
      </c>
      <c r="AJ135">
        <v>13</v>
      </c>
      <c r="AK135" t="str">
        <f t="shared" si="39"/>
        <v>13-15%</v>
      </c>
      <c r="AL135">
        <v>3</v>
      </c>
      <c r="AM135" t="s">
        <v>68</v>
      </c>
      <c r="AN135">
        <v>3</v>
      </c>
      <c r="AO135" t="s">
        <v>63</v>
      </c>
      <c r="AP135">
        <v>80</v>
      </c>
      <c r="AQ135">
        <v>1</v>
      </c>
      <c r="AR135">
        <v>12</v>
      </c>
      <c r="AS135" t="str">
        <f t="shared" si="40"/>
        <v>11-20</v>
      </c>
      <c r="AT135">
        <v>2</v>
      </c>
      <c r="AU135" t="str">
        <f t="shared" si="41"/>
        <v>0-2</v>
      </c>
      <c r="AV135">
        <v>3</v>
      </c>
      <c r="AW135" t="s">
        <v>79</v>
      </c>
      <c r="AX135">
        <v>9</v>
      </c>
      <c r="AY135" t="str">
        <f t="shared" si="30"/>
        <v>6-10</v>
      </c>
      <c r="AZ135">
        <v>7</v>
      </c>
      <c r="BA135" t="str">
        <f t="shared" si="42"/>
        <v>6-10</v>
      </c>
      <c r="BB135">
        <v>0</v>
      </c>
      <c r="BC135" t="str">
        <f t="shared" si="43"/>
        <v>0-1</v>
      </c>
      <c r="BD135">
        <v>7</v>
      </c>
      <c r="BE135" t="str">
        <f t="shared" si="44"/>
        <v>6-10</v>
      </c>
    </row>
    <row r="136" spans="1:57" x14ac:dyDescent="0.3">
      <c r="A136">
        <v>177</v>
      </c>
      <c r="B136">
        <v>26</v>
      </c>
      <c r="C136" t="str">
        <f t="shared" si="31"/>
        <v>26-35</v>
      </c>
      <c r="D136" t="s">
        <v>71</v>
      </c>
      <c r="E136">
        <f t="shared" si="32"/>
        <v>0</v>
      </c>
      <c r="F136" t="s">
        <v>57</v>
      </c>
      <c r="G136">
        <v>1355</v>
      </c>
      <c r="H136" t="str">
        <f t="shared" si="33"/>
        <v>1001-1499</v>
      </c>
      <c r="I136" t="s">
        <v>97</v>
      </c>
      <c r="J136">
        <v>25</v>
      </c>
      <c r="K136" t="str">
        <f t="shared" si="34"/>
        <v>21-29</v>
      </c>
      <c r="L136">
        <v>1</v>
      </c>
      <c r="M136" t="s">
        <v>74</v>
      </c>
      <c r="N136" t="s">
        <v>60</v>
      </c>
      <c r="O136">
        <v>1</v>
      </c>
      <c r="P136">
        <v>3</v>
      </c>
      <c r="Q136" t="s">
        <v>63</v>
      </c>
      <c r="R136" t="s">
        <v>62</v>
      </c>
      <c r="S136">
        <v>61</v>
      </c>
      <c r="T136" t="str">
        <f t="shared" si="35"/>
        <v>51-75</v>
      </c>
      <c r="U136">
        <v>3</v>
      </c>
      <c r="V136" t="s">
        <v>63</v>
      </c>
      <c r="W136">
        <v>1</v>
      </c>
      <c r="X136" t="s">
        <v>97</v>
      </c>
      <c r="Y136">
        <v>3</v>
      </c>
      <c r="Z136" t="s">
        <v>63</v>
      </c>
      <c r="AA136" t="s">
        <v>77</v>
      </c>
      <c r="AB136" s="4">
        <v>2942</v>
      </c>
      <c r="AC136" s="4" t="str">
        <f t="shared" si="36"/>
        <v>$2,500-$4,000</v>
      </c>
      <c r="AD136">
        <v>8916</v>
      </c>
      <c r="AE136" t="str">
        <f t="shared" si="37"/>
        <v>$8,001-$16,000</v>
      </c>
      <c r="AF136">
        <v>1</v>
      </c>
      <c r="AG136" t="str">
        <f t="shared" si="38"/>
        <v>0-1</v>
      </c>
      <c r="AH136" t="s">
        <v>67</v>
      </c>
      <c r="AI136" t="s">
        <v>71</v>
      </c>
      <c r="AJ136">
        <v>23</v>
      </c>
      <c r="AK136" t="str">
        <f t="shared" si="39"/>
        <v>18-19%</v>
      </c>
      <c r="AL136">
        <v>4</v>
      </c>
      <c r="AM136" t="s">
        <v>78</v>
      </c>
      <c r="AN136">
        <v>4</v>
      </c>
      <c r="AO136" t="s">
        <v>65</v>
      </c>
      <c r="AP136">
        <v>80</v>
      </c>
      <c r="AQ136">
        <v>1</v>
      </c>
      <c r="AR136">
        <v>8</v>
      </c>
      <c r="AS136" t="str">
        <f t="shared" si="40"/>
        <v>6-10</v>
      </c>
      <c r="AT136">
        <v>3</v>
      </c>
      <c r="AU136" t="str">
        <f t="shared" si="41"/>
        <v>3-4</v>
      </c>
      <c r="AV136">
        <v>3</v>
      </c>
      <c r="AW136" t="s">
        <v>79</v>
      </c>
      <c r="AX136">
        <v>8</v>
      </c>
      <c r="AY136" t="str">
        <f t="shared" si="30"/>
        <v>6-10</v>
      </c>
      <c r="AZ136">
        <v>7</v>
      </c>
      <c r="BA136" t="str">
        <f t="shared" si="42"/>
        <v>6-10</v>
      </c>
      <c r="BB136">
        <v>5</v>
      </c>
      <c r="BC136" t="str">
        <f t="shared" si="43"/>
        <v>2-5</v>
      </c>
      <c r="BD136">
        <v>7</v>
      </c>
      <c r="BE136" t="str">
        <f t="shared" si="44"/>
        <v>6-10</v>
      </c>
    </row>
    <row r="137" spans="1:57" x14ac:dyDescent="0.3">
      <c r="A137">
        <v>178</v>
      </c>
      <c r="B137">
        <v>36</v>
      </c>
      <c r="C137" t="str">
        <f t="shared" si="31"/>
        <v>36-45</v>
      </c>
      <c r="D137" t="s">
        <v>71</v>
      </c>
      <c r="E137">
        <f t="shared" si="32"/>
        <v>0</v>
      </c>
      <c r="F137" t="s">
        <v>57</v>
      </c>
      <c r="G137">
        <v>216</v>
      </c>
      <c r="H137" t="str">
        <f t="shared" si="33"/>
        <v>102-500</v>
      </c>
      <c r="I137" t="s">
        <v>73</v>
      </c>
      <c r="J137">
        <v>6</v>
      </c>
      <c r="K137" t="str">
        <f t="shared" si="34"/>
        <v>6-10</v>
      </c>
      <c r="L137">
        <v>2</v>
      </c>
      <c r="M137" t="s">
        <v>59</v>
      </c>
      <c r="N137" t="s">
        <v>83</v>
      </c>
      <c r="O137">
        <v>1</v>
      </c>
      <c r="P137">
        <v>2</v>
      </c>
      <c r="Q137" t="s">
        <v>61</v>
      </c>
      <c r="R137" t="s">
        <v>75</v>
      </c>
      <c r="S137">
        <v>84</v>
      </c>
      <c r="T137" t="str">
        <f t="shared" si="35"/>
        <v>76-100</v>
      </c>
      <c r="U137">
        <v>3</v>
      </c>
      <c r="V137" t="s">
        <v>63</v>
      </c>
      <c r="W137">
        <v>2</v>
      </c>
      <c r="X137" t="s">
        <v>87</v>
      </c>
      <c r="Y137">
        <v>2</v>
      </c>
      <c r="Z137" t="s">
        <v>61</v>
      </c>
      <c r="AA137" t="s">
        <v>86</v>
      </c>
      <c r="AB137" s="4">
        <v>4941</v>
      </c>
      <c r="AC137" s="4" t="str">
        <f t="shared" si="36"/>
        <v>$4,000-$5,500</v>
      </c>
      <c r="AD137">
        <v>2819</v>
      </c>
      <c r="AE137" t="str">
        <f t="shared" si="37"/>
        <v>$2,094-$8,000</v>
      </c>
      <c r="AF137">
        <v>6</v>
      </c>
      <c r="AG137" t="str">
        <f t="shared" si="38"/>
        <v>4-6</v>
      </c>
      <c r="AH137" t="s">
        <v>67</v>
      </c>
      <c r="AI137" t="s">
        <v>71</v>
      </c>
      <c r="AJ137">
        <v>20</v>
      </c>
      <c r="AK137" t="str">
        <f t="shared" si="39"/>
        <v>18-19%</v>
      </c>
      <c r="AL137">
        <v>4</v>
      </c>
      <c r="AM137" t="s">
        <v>78</v>
      </c>
      <c r="AN137">
        <v>4</v>
      </c>
      <c r="AO137" t="s">
        <v>65</v>
      </c>
      <c r="AP137">
        <v>80</v>
      </c>
      <c r="AQ137">
        <v>2</v>
      </c>
      <c r="AR137">
        <v>7</v>
      </c>
      <c r="AS137" t="str">
        <f t="shared" si="40"/>
        <v>6-10</v>
      </c>
      <c r="AT137">
        <v>0</v>
      </c>
      <c r="AU137" t="str">
        <f t="shared" si="41"/>
        <v>0-2</v>
      </c>
      <c r="AV137">
        <v>3</v>
      </c>
      <c r="AW137" t="s">
        <v>79</v>
      </c>
      <c r="AX137">
        <v>3</v>
      </c>
      <c r="AY137" t="str">
        <f t="shared" si="30"/>
        <v>2-5</v>
      </c>
      <c r="AZ137">
        <v>2</v>
      </c>
      <c r="BA137" t="str">
        <f t="shared" si="42"/>
        <v>2-5</v>
      </c>
      <c r="BB137">
        <v>0</v>
      </c>
      <c r="BC137" t="str">
        <f t="shared" si="43"/>
        <v>0-1</v>
      </c>
      <c r="BD137">
        <v>1</v>
      </c>
      <c r="BE137" t="str">
        <f t="shared" si="44"/>
        <v>0-1</v>
      </c>
    </row>
    <row r="138" spans="1:57" x14ac:dyDescent="0.3">
      <c r="A138">
        <v>179</v>
      </c>
      <c r="B138">
        <v>51</v>
      </c>
      <c r="C138" t="str">
        <f t="shared" si="31"/>
        <v>46-55</v>
      </c>
      <c r="D138" t="s">
        <v>56</v>
      </c>
      <c r="E138">
        <f t="shared" si="32"/>
        <v>1</v>
      </c>
      <c r="F138" t="s">
        <v>72</v>
      </c>
      <c r="G138">
        <v>1150</v>
      </c>
      <c r="H138" t="str">
        <f t="shared" si="33"/>
        <v>1001-1499</v>
      </c>
      <c r="I138" t="s">
        <v>73</v>
      </c>
      <c r="J138">
        <v>8</v>
      </c>
      <c r="K138" t="str">
        <f t="shared" si="34"/>
        <v>6-10</v>
      </c>
      <c r="L138">
        <v>4</v>
      </c>
      <c r="M138" t="s">
        <v>82</v>
      </c>
      <c r="N138" t="s">
        <v>60</v>
      </c>
      <c r="O138">
        <v>1</v>
      </c>
      <c r="P138">
        <v>1</v>
      </c>
      <c r="Q138" t="s">
        <v>69</v>
      </c>
      <c r="R138" t="s">
        <v>75</v>
      </c>
      <c r="S138">
        <v>53</v>
      </c>
      <c r="T138" t="str">
        <f t="shared" si="35"/>
        <v>51-75</v>
      </c>
      <c r="U138">
        <v>1</v>
      </c>
      <c r="V138" t="s">
        <v>69</v>
      </c>
      <c r="W138">
        <v>3</v>
      </c>
      <c r="X138" t="s">
        <v>87</v>
      </c>
      <c r="Y138">
        <v>4</v>
      </c>
      <c r="Z138" t="s">
        <v>65</v>
      </c>
      <c r="AA138" t="s">
        <v>66</v>
      </c>
      <c r="AB138" s="4">
        <v>10650</v>
      </c>
      <c r="AC138" s="4" t="str">
        <f t="shared" si="36"/>
        <v>$10,000-$11,500</v>
      </c>
      <c r="AD138">
        <v>25150</v>
      </c>
      <c r="AE138" t="str">
        <f t="shared" si="37"/>
        <v>$22,001-$26,999</v>
      </c>
      <c r="AF138">
        <v>2</v>
      </c>
      <c r="AG138" t="str">
        <f t="shared" si="38"/>
        <v>2-3</v>
      </c>
      <c r="AH138" t="s">
        <v>67</v>
      </c>
      <c r="AI138" t="s">
        <v>71</v>
      </c>
      <c r="AJ138">
        <v>15</v>
      </c>
      <c r="AK138" t="str">
        <f t="shared" si="39"/>
        <v>13-15%</v>
      </c>
      <c r="AL138">
        <v>3</v>
      </c>
      <c r="AM138" t="s">
        <v>68</v>
      </c>
      <c r="AN138">
        <v>4</v>
      </c>
      <c r="AO138" t="s">
        <v>65</v>
      </c>
      <c r="AP138">
        <v>80</v>
      </c>
      <c r="AQ138">
        <v>0</v>
      </c>
      <c r="AR138">
        <v>18</v>
      </c>
      <c r="AS138" t="str">
        <f t="shared" si="40"/>
        <v>11-20</v>
      </c>
      <c r="AT138">
        <v>2</v>
      </c>
      <c r="AU138" t="str">
        <f t="shared" si="41"/>
        <v>0-2</v>
      </c>
      <c r="AV138">
        <v>3</v>
      </c>
      <c r="AW138" t="s">
        <v>79</v>
      </c>
      <c r="AX138">
        <v>4</v>
      </c>
      <c r="AY138" t="str">
        <f t="shared" si="30"/>
        <v>2-5</v>
      </c>
      <c r="AZ138">
        <v>2</v>
      </c>
      <c r="BA138" t="str">
        <f t="shared" si="42"/>
        <v>2-5</v>
      </c>
      <c r="BB138">
        <v>0</v>
      </c>
      <c r="BC138" t="str">
        <f t="shared" si="43"/>
        <v>0-1</v>
      </c>
      <c r="BD138">
        <v>3</v>
      </c>
      <c r="BE138" t="str">
        <f t="shared" si="44"/>
        <v>2-5</v>
      </c>
    </row>
    <row r="139" spans="1:57" x14ac:dyDescent="0.3">
      <c r="A139">
        <v>182</v>
      </c>
      <c r="B139">
        <v>39</v>
      </c>
      <c r="C139" t="str">
        <f t="shared" si="31"/>
        <v>36-45</v>
      </c>
      <c r="D139" t="s">
        <v>71</v>
      </c>
      <c r="E139">
        <f t="shared" si="32"/>
        <v>0</v>
      </c>
      <c r="F139" t="s">
        <v>57</v>
      </c>
      <c r="G139">
        <v>1329</v>
      </c>
      <c r="H139" t="str">
        <f t="shared" si="33"/>
        <v>1001-1499</v>
      </c>
      <c r="I139" t="s">
        <v>58</v>
      </c>
      <c r="J139">
        <v>4</v>
      </c>
      <c r="K139" t="str">
        <f t="shared" si="34"/>
        <v>1-5</v>
      </c>
      <c r="L139">
        <v>4</v>
      </c>
      <c r="M139" t="s">
        <v>82</v>
      </c>
      <c r="N139" t="s">
        <v>60</v>
      </c>
      <c r="O139">
        <v>1</v>
      </c>
      <c r="P139">
        <v>4</v>
      </c>
      <c r="Q139" t="s">
        <v>65</v>
      </c>
      <c r="R139" t="s">
        <v>62</v>
      </c>
      <c r="S139">
        <v>47</v>
      </c>
      <c r="T139" t="str">
        <f t="shared" si="35"/>
        <v>30-50</v>
      </c>
      <c r="U139">
        <v>2</v>
      </c>
      <c r="V139" t="s">
        <v>61</v>
      </c>
      <c r="W139">
        <v>2</v>
      </c>
      <c r="X139" t="s">
        <v>64</v>
      </c>
      <c r="Y139">
        <v>3</v>
      </c>
      <c r="Z139" t="s">
        <v>63</v>
      </c>
      <c r="AA139" t="s">
        <v>77</v>
      </c>
      <c r="AB139" s="4">
        <v>5902</v>
      </c>
      <c r="AC139" s="4" t="str">
        <f t="shared" si="36"/>
        <v>$5,500-$7,000</v>
      </c>
      <c r="AD139">
        <v>14590</v>
      </c>
      <c r="AE139" t="str">
        <f t="shared" si="37"/>
        <v>$8,001-$16,000</v>
      </c>
      <c r="AF139">
        <v>4</v>
      </c>
      <c r="AG139" t="str">
        <f t="shared" si="38"/>
        <v>4-6</v>
      </c>
      <c r="AH139" t="s">
        <v>67</v>
      </c>
      <c r="AI139" t="s">
        <v>71</v>
      </c>
      <c r="AJ139">
        <v>14</v>
      </c>
      <c r="AK139" t="str">
        <f t="shared" si="39"/>
        <v>13-15%</v>
      </c>
      <c r="AL139">
        <v>3</v>
      </c>
      <c r="AM139" t="s">
        <v>68</v>
      </c>
      <c r="AN139">
        <v>3</v>
      </c>
      <c r="AO139" t="s">
        <v>63</v>
      </c>
      <c r="AP139">
        <v>80</v>
      </c>
      <c r="AQ139">
        <v>1</v>
      </c>
      <c r="AR139">
        <v>17</v>
      </c>
      <c r="AS139" t="str">
        <f t="shared" si="40"/>
        <v>11-20</v>
      </c>
      <c r="AT139">
        <v>1</v>
      </c>
      <c r="AU139" t="str">
        <f t="shared" si="41"/>
        <v>0-2</v>
      </c>
      <c r="AV139">
        <v>4</v>
      </c>
      <c r="AW139" t="s">
        <v>94</v>
      </c>
      <c r="AX139">
        <v>15</v>
      </c>
      <c r="AY139" t="str">
        <f t="shared" si="30"/>
        <v>11-20</v>
      </c>
      <c r="AZ139">
        <v>11</v>
      </c>
      <c r="BA139" t="str">
        <f t="shared" si="42"/>
        <v>11-18</v>
      </c>
      <c r="BB139">
        <v>5</v>
      </c>
      <c r="BC139" t="str">
        <f t="shared" si="43"/>
        <v>2-5</v>
      </c>
      <c r="BD139">
        <v>9</v>
      </c>
      <c r="BE139" t="str">
        <f t="shared" si="44"/>
        <v>6-10</v>
      </c>
    </row>
    <row r="140" spans="1:57" x14ac:dyDescent="0.3">
      <c r="A140">
        <v>183</v>
      </c>
      <c r="B140">
        <v>25</v>
      </c>
      <c r="C140" t="str">
        <f t="shared" si="31"/>
        <v>18-25</v>
      </c>
      <c r="D140" t="s">
        <v>71</v>
      </c>
      <c r="E140">
        <f t="shared" si="32"/>
        <v>0</v>
      </c>
      <c r="F140" t="s">
        <v>57</v>
      </c>
      <c r="G140">
        <v>959</v>
      </c>
      <c r="H140" t="str">
        <f t="shared" si="33"/>
        <v>501-1000</v>
      </c>
      <c r="I140" t="s">
        <v>58</v>
      </c>
      <c r="J140">
        <v>28</v>
      </c>
      <c r="K140" t="str">
        <f t="shared" si="34"/>
        <v>21-29</v>
      </c>
      <c r="L140">
        <v>3</v>
      </c>
      <c r="M140" t="s">
        <v>85</v>
      </c>
      <c r="N140" t="s">
        <v>60</v>
      </c>
      <c r="O140">
        <v>1</v>
      </c>
      <c r="P140">
        <v>1</v>
      </c>
      <c r="Q140" t="s">
        <v>69</v>
      </c>
      <c r="R140" t="s">
        <v>75</v>
      </c>
      <c r="S140">
        <v>41</v>
      </c>
      <c r="T140" t="str">
        <f t="shared" si="35"/>
        <v>30-50</v>
      </c>
      <c r="U140">
        <v>2</v>
      </c>
      <c r="V140" t="s">
        <v>61</v>
      </c>
      <c r="W140">
        <v>2</v>
      </c>
      <c r="X140" t="s">
        <v>64</v>
      </c>
      <c r="Y140">
        <v>3</v>
      </c>
      <c r="Z140" t="s">
        <v>63</v>
      </c>
      <c r="AA140" t="s">
        <v>77</v>
      </c>
      <c r="AB140" s="4">
        <v>8639</v>
      </c>
      <c r="AC140" s="4" t="str">
        <f t="shared" si="36"/>
        <v>$8,500-$10,000</v>
      </c>
      <c r="AD140">
        <v>24835</v>
      </c>
      <c r="AE140" t="str">
        <f t="shared" si="37"/>
        <v>$22,001-$26,999</v>
      </c>
      <c r="AF140">
        <v>2</v>
      </c>
      <c r="AG140" t="str">
        <f t="shared" si="38"/>
        <v>2-3</v>
      </c>
      <c r="AH140" t="s">
        <v>67</v>
      </c>
      <c r="AI140" t="s">
        <v>71</v>
      </c>
      <c r="AJ140">
        <v>18</v>
      </c>
      <c r="AK140" t="str">
        <f t="shared" si="39"/>
        <v>18-19%</v>
      </c>
      <c r="AL140">
        <v>3</v>
      </c>
      <c r="AM140" t="s">
        <v>68</v>
      </c>
      <c r="AN140">
        <v>4</v>
      </c>
      <c r="AO140" t="s">
        <v>65</v>
      </c>
      <c r="AP140">
        <v>80</v>
      </c>
      <c r="AQ140">
        <v>0</v>
      </c>
      <c r="AR140">
        <v>6</v>
      </c>
      <c r="AS140" t="str">
        <f t="shared" si="40"/>
        <v>6-10</v>
      </c>
      <c r="AT140">
        <v>3</v>
      </c>
      <c r="AU140" t="str">
        <f t="shared" si="41"/>
        <v>3-4</v>
      </c>
      <c r="AV140">
        <v>3</v>
      </c>
      <c r="AW140" t="s">
        <v>79</v>
      </c>
      <c r="AX140">
        <v>2</v>
      </c>
      <c r="AY140" t="str">
        <f t="shared" si="30"/>
        <v>2-5</v>
      </c>
      <c r="AZ140">
        <v>2</v>
      </c>
      <c r="BA140" t="str">
        <f t="shared" si="42"/>
        <v>2-5</v>
      </c>
      <c r="BB140">
        <v>2</v>
      </c>
      <c r="BC140" t="str">
        <f t="shared" si="43"/>
        <v>2-5</v>
      </c>
      <c r="BD140">
        <v>2</v>
      </c>
      <c r="BE140" t="str">
        <f t="shared" si="44"/>
        <v>2-5</v>
      </c>
    </row>
    <row r="141" spans="1:57" x14ac:dyDescent="0.3">
      <c r="A141">
        <v>184</v>
      </c>
      <c r="B141">
        <v>30</v>
      </c>
      <c r="C141" t="str">
        <f t="shared" si="31"/>
        <v>26-35</v>
      </c>
      <c r="D141" t="s">
        <v>71</v>
      </c>
      <c r="E141">
        <f t="shared" si="32"/>
        <v>0</v>
      </c>
      <c r="F141" t="s">
        <v>57</v>
      </c>
      <c r="G141">
        <v>1240</v>
      </c>
      <c r="H141" t="str">
        <f t="shared" si="33"/>
        <v>1001-1499</v>
      </c>
      <c r="I141" t="s">
        <v>97</v>
      </c>
      <c r="J141">
        <v>9</v>
      </c>
      <c r="K141" t="str">
        <f t="shared" si="34"/>
        <v>6-10</v>
      </c>
      <c r="L141">
        <v>3</v>
      </c>
      <c r="M141" t="s">
        <v>85</v>
      </c>
      <c r="N141" t="s">
        <v>97</v>
      </c>
      <c r="O141">
        <v>1</v>
      </c>
      <c r="P141">
        <v>3</v>
      </c>
      <c r="Q141" t="s">
        <v>63</v>
      </c>
      <c r="R141" t="s">
        <v>75</v>
      </c>
      <c r="S141">
        <v>48</v>
      </c>
      <c r="T141" t="str">
        <f t="shared" si="35"/>
        <v>30-50</v>
      </c>
      <c r="U141">
        <v>3</v>
      </c>
      <c r="V141" t="s">
        <v>63</v>
      </c>
      <c r="W141">
        <v>2</v>
      </c>
      <c r="X141" t="s">
        <v>97</v>
      </c>
      <c r="Y141">
        <v>4</v>
      </c>
      <c r="Z141" t="s">
        <v>65</v>
      </c>
      <c r="AA141" t="s">
        <v>77</v>
      </c>
      <c r="AB141" s="4">
        <v>6347</v>
      </c>
      <c r="AC141" s="4" t="str">
        <f t="shared" si="36"/>
        <v>$5,500-$7,000</v>
      </c>
      <c r="AD141">
        <v>13982</v>
      </c>
      <c r="AE141" t="str">
        <f t="shared" si="37"/>
        <v>$8,001-$16,000</v>
      </c>
      <c r="AF141">
        <v>0</v>
      </c>
      <c r="AG141" t="str">
        <f t="shared" si="38"/>
        <v>0-1</v>
      </c>
      <c r="AH141" t="s">
        <v>67</v>
      </c>
      <c r="AI141" t="s">
        <v>56</v>
      </c>
      <c r="AJ141">
        <v>19</v>
      </c>
      <c r="AK141" t="str">
        <f t="shared" si="39"/>
        <v>18-19%</v>
      </c>
      <c r="AL141">
        <v>3</v>
      </c>
      <c r="AM141" t="s">
        <v>68</v>
      </c>
      <c r="AN141">
        <v>4</v>
      </c>
      <c r="AO141" t="s">
        <v>65</v>
      </c>
      <c r="AP141">
        <v>80</v>
      </c>
      <c r="AQ141">
        <v>0</v>
      </c>
      <c r="AR141">
        <v>12</v>
      </c>
      <c r="AS141" t="str">
        <f t="shared" si="40"/>
        <v>11-20</v>
      </c>
      <c r="AT141">
        <v>2</v>
      </c>
      <c r="AU141" t="str">
        <f t="shared" si="41"/>
        <v>0-2</v>
      </c>
      <c r="AV141">
        <v>1</v>
      </c>
      <c r="AW141" t="s">
        <v>70</v>
      </c>
      <c r="AX141">
        <v>11</v>
      </c>
      <c r="AY141" t="str">
        <f t="shared" si="30"/>
        <v>11-20</v>
      </c>
      <c r="AZ141">
        <v>9</v>
      </c>
      <c r="BA141" t="str">
        <f t="shared" si="42"/>
        <v>6-10</v>
      </c>
      <c r="BB141">
        <v>4</v>
      </c>
      <c r="BC141" t="str">
        <f t="shared" si="43"/>
        <v>2-5</v>
      </c>
      <c r="BD141">
        <v>7</v>
      </c>
      <c r="BE141" t="str">
        <f t="shared" si="44"/>
        <v>6-10</v>
      </c>
    </row>
    <row r="142" spans="1:57" x14ac:dyDescent="0.3">
      <c r="A142">
        <v>190</v>
      </c>
      <c r="B142">
        <v>32</v>
      </c>
      <c r="C142" t="str">
        <f t="shared" si="31"/>
        <v>26-35</v>
      </c>
      <c r="D142" t="s">
        <v>56</v>
      </c>
      <c r="E142">
        <f t="shared" si="32"/>
        <v>1</v>
      </c>
      <c r="F142" t="s">
        <v>57</v>
      </c>
      <c r="G142">
        <v>1033</v>
      </c>
      <c r="H142" t="str">
        <f t="shared" si="33"/>
        <v>1001-1499</v>
      </c>
      <c r="I142" t="s">
        <v>73</v>
      </c>
      <c r="J142">
        <v>9</v>
      </c>
      <c r="K142" t="str">
        <f t="shared" si="34"/>
        <v>6-10</v>
      </c>
      <c r="L142">
        <v>3</v>
      </c>
      <c r="M142" t="s">
        <v>85</v>
      </c>
      <c r="N142" t="s">
        <v>83</v>
      </c>
      <c r="O142">
        <v>1</v>
      </c>
      <c r="P142">
        <v>1</v>
      </c>
      <c r="Q142" t="s">
        <v>69</v>
      </c>
      <c r="R142" t="s">
        <v>62</v>
      </c>
      <c r="S142">
        <v>41</v>
      </c>
      <c r="T142" t="str">
        <f t="shared" si="35"/>
        <v>30-50</v>
      </c>
      <c r="U142">
        <v>3</v>
      </c>
      <c r="V142" t="s">
        <v>63</v>
      </c>
      <c r="W142">
        <v>1</v>
      </c>
      <c r="X142" t="s">
        <v>81</v>
      </c>
      <c r="Y142">
        <v>1</v>
      </c>
      <c r="Z142" t="s">
        <v>69</v>
      </c>
      <c r="AA142" t="s">
        <v>66</v>
      </c>
      <c r="AB142" s="4">
        <v>4200</v>
      </c>
      <c r="AC142" s="4" t="str">
        <f t="shared" si="36"/>
        <v>$4,000-$5,500</v>
      </c>
      <c r="AD142">
        <v>10224</v>
      </c>
      <c r="AE142" t="str">
        <f t="shared" si="37"/>
        <v>$8,001-$16,000</v>
      </c>
      <c r="AF142">
        <v>7</v>
      </c>
      <c r="AG142" t="str">
        <f t="shared" si="38"/>
        <v>7-9</v>
      </c>
      <c r="AH142" t="s">
        <v>67</v>
      </c>
      <c r="AI142" t="s">
        <v>71</v>
      </c>
      <c r="AJ142">
        <v>22</v>
      </c>
      <c r="AK142" t="str">
        <f t="shared" si="39"/>
        <v>18-19%</v>
      </c>
      <c r="AL142">
        <v>4</v>
      </c>
      <c r="AM142" t="s">
        <v>78</v>
      </c>
      <c r="AN142">
        <v>1</v>
      </c>
      <c r="AO142" t="s">
        <v>69</v>
      </c>
      <c r="AP142">
        <v>80</v>
      </c>
      <c r="AQ142">
        <v>0</v>
      </c>
      <c r="AR142">
        <v>10</v>
      </c>
      <c r="AS142" t="str">
        <f t="shared" si="40"/>
        <v>6-10</v>
      </c>
      <c r="AT142">
        <v>2</v>
      </c>
      <c r="AU142" t="str">
        <f t="shared" si="41"/>
        <v>0-2</v>
      </c>
      <c r="AV142">
        <v>4</v>
      </c>
      <c r="AW142" t="s">
        <v>94</v>
      </c>
      <c r="AX142">
        <v>5</v>
      </c>
      <c r="AY142" t="str">
        <f t="shared" si="30"/>
        <v>2-5</v>
      </c>
      <c r="AZ142">
        <v>4</v>
      </c>
      <c r="BA142" t="str">
        <f t="shared" si="42"/>
        <v>2-5</v>
      </c>
      <c r="BB142">
        <v>0</v>
      </c>
      <c r="BC142" t="str">
        <f t="shared" si="43"/>
        <v>0-1</v>
      </c>
      <c r="BD142">
        <v>4</v>
      </c>
      <c r="BE142" t="str">
        <f t="shared" si="44"/>
        <v>2-5</v>
      </c>
    </row>
    <row r="143" spans="1:57" x14ac:dyDescent="0.3">
      <c r="A143">
        <v>192</v>
      </c>
      <c r="B143">
        <v>45</v>
      </c>
      <c r="C143" t="str">
        <f t="shared" si="31"/>
        <v>36-45</v>
      </c>
      <c r="D143" t="s">
        <v>71</v>
      </c>
      <c r="E143">
        <f t="shared" si="32"/>
        <v>0</v>
      </c>
      <c r="F143" t="s">
        <v>57</v>
      </c>
      <c r="G143">
        <v>1316</v>
      </c>
      <c r="H143" t="str">
        <f t="shared" si="33"/>
        <v>1001-1499</v>
      </c>
      <c r="I143" t="s">
        <v>73</v>
      </c>
      <c r="J143">
        <v>29</v>
      </c>
      <c r="K143" t="str">
        <f t="shared" si="34"/>
        <v>21-29</v>
      </c>
      <c r="L143">
        <v>3</v>
      </c>
      <c r="M143" t="s">
        <v>85</v>
      </c>
      <c r="N143" t="s">
        <v>83</v>
      </c>
      <c r="O143">
        <v>1</v>
      </c>
      <c r="P143">
        <v>3</v>
      </c>
      <c r="Q143" t="s">
        <v>63</v>
      </c>
      <c r="R143" t="s">
        <v>75</v>
      </c>
      <c r="S143">
        <v>83</v>
      </c>
      <c r="T143" t="str">
        <f t="shared" si="35"/>
        <v>76-100</v>
      </c>
      <c r="U143">
        <v>3</v>
      </c>
      <c r="V143" t="s">
        <v>63</v>
      </c>
      <c r="W143">
        <v>1</v>
      </c>
      <c r="X143" t="s">
        <v>76</v>
      </c>
      <c r="Y143">
        <v>4</v>
      </c>
      <c r="Z143" t="s">
        <v>65</v>
      </c>
      <c r="AA143" t="s">
        <v>66</v>
      </c>
      <c r="AB143" s="4">
        <v>3452</v>
      </c>
      <c r="AC143" s="4" t="str">
        <f t="shared" si="36"/>
        <v>$2,500-$4,000</v>
      </c>
      <c r="AD143">
        <v>9752</v>
      </c>
      <c r="AE143" t="str">
        <f t="shared" si="37"/>
        <v>$8,001-$16,000</v>
      </c>
      <c r="AF143">
        <v>5</v>
      </c>
      <c r="AG143" t="str">
        <f t="shared" si="38"/>
        <v>4-6</v>
      </c>
      <c r="AH143" t="s">
        <v>67</v>
      </c>
      <c r="AI143" t="s">
        <v>71</v>
      </c>
      <c r="AJ143">
        <v>13</v>
      </c>
      <c r="AK143" t="str">
        <f t="shared" si="39"/>
        <v>13-15%</v>
      </c>
      <c r="AL143">
        <v>3</v>
      </c>
      <c r="AM143" t="s">
        <v>68</v>
      </c>
      <c r="AN143">
        <v>2</v>
      </c>
      <c r="AO143" t="s">
        <v>61</v>
      </c>
      <c r="AP143">
        <v>80</v>
      </c>
      <c r="AQ143">
        <v>0</v>
      </c>
      <c r="AR143">
        <v>9</v>
      </c>
      <c r="AS143" t="str">
        <f t="shared" si="40"/>
        <v>6-10</v>
      </c>
      <c r="AT143">
        <v>2</v>
      </c>
      <c r="AU143" t="str">
        <f t="shared" si="41"/>
        <v>0-2</v>
      </c>
      <c r="AV143">
        <v>2</v>
      </c>
      <c r="AW143" t="s">
        <v>84</v>
      </c>
      <c r="AX143">
        <v>6</v>
      </c>
      <c r="AY143" t="str">
        <f t="shared" si="30"/>
        <v>6-10</v>
      </c>
      <c r="AZ143">
        <v>5</v>
      </c>
      <c r="BA143" t="str">
        <f t="shared" si="42"/>
        <v>2-5</v>
      </c>
      <c r="BB143">
        <v>0</v>
      </c>
      <c r="BC143" t="str">
        <f t="shared" si="43"/>
        <v>0-1</v>
      </c>
      <c r="BD143">
        <v>3</v>
      </c>
      <c r="BE143" t="str">
        <f t="shared" si="44"/>
        <v>2-5</v>
      </c>
    </row>
    <row r="144" spans="1:57" x14ac:dyDescent="0.3">
      <c r="A144">
        <v>193</v>
      </c>
      <c r="B144">
        <v>38</v>
      </c>
      <c r="C144" t="str">
        <f t="shared" si="31"/>
        <v>36-45</v>
      </c>
      <c r="D144" t="s">
        <v>71</v>
      </c>
      <c r="E144">
        <f t="shared" si="32"/>
        <v>0</v>
      </c>
      <c r="F144" t="s">
        <v>57</v>
      </c>
      <c r="G144">
        <v>364</v>
      </c>
      <c r="H144" t="str">
        <f t="shared" si="33"/>
        <v>102-500</v>
      </c>
      <c r="I144" t="s">
        <v>73</v>
      </c>
      <c r="J144">
        <v>3</v>
      </c>
      <c r="K144" t="str">
        <f t="shared" si="34"/>
        <v>1-5</v>
      </c>
      <c r="L144">
        <v>5</v>
      </c>
      <c r="M144" t="s">
        <v>96</v>
      </c>
      <c r="N144" t="s">
        <v>95</v>
      </c>
      <c r="O144">
        <v>1</v>
      </c>
      <c r="P144">
        <v>4</v>
      </c>
      <c r="Q144" t="s">
        <v>65</v>
      </c>
      <c r="R144" t="s">
        <v>62</v>
      </c>
      <c r="S144">
        <v>32</v>
      </c>
      <c r="T144" t="str">
        <f t="shared" si="35"/>
        <v>30-50</v>
      </c>
      <c r="U144">
        <v>3</v>
      </c>
      <c r="V144" t="s">
        <v>63</v>
      </c>
      <c r="W144">
        <v>2</v>
      </c>
      <c r="X144" t="s">
        <v>76</v>
      </c>
      <c r="Y144">
        <v>3</v>
      </c>
      <c r="Z144" t="s">
        <v>63</v>
      </c>
      <c r="AA144" t="s">
        <v>66</v>
      </c>
      <c r="AB144" s="4">
        <v>4317</v>
      </c>
      <c r="AC144" s="4" t="str">
        <f t="shared" si="36"/>
        <v>$4,000-$5,500</v>
      </c>
      <c r="AD144">
        <v>2302</v>
      </c>
      <c r="AE144" t="str">
        <f t="shared" si="37"/>
        <v>$2,094-$8,000</v>
      </c>
      <c r="AF144">
        <v>3</v>
      </c>
      <c r="AG144" t="str">
        <f t="shared" si="38"/>
        <v>2-3</v>
      </c>
      <c r="AH144" t="s">
        <v>67</v>
      </c>
      <c r="AI144" t="s">
        <v>56</v>
      </c>
      <c r="AJ144">
        <v>20</v>
      </c>
      <c r="AK144" t="str">
        <f t="shared" si="39"/>
        <v>18-19%</v>
      </c>
      <c r="AL144">
        <v>4</v>
      </c>
      <c r="AM144" t="s">
        <v>78</v>
      </c>
      <c r="AN144">
        <v>2</v>
      </c>
      <c r="AO144" t="s">
        <v>61</v>
      </c>
      <c r="AP144">
        <v>80</v>
      </c>
      <c r="AQ144">
        <v>0</v>
      </c>
      <c r="AR144">
        <v>19</v>
      </c>
      <c r="AS144" t="str">
        <f t="shared" si="40"/>
        <v>11-20</v>
      </c>
      <c r="AT144">
        <v>2</v>
      </c>
      <c r="AU144" t="str">
        <f t="shared" si="41"/>
        <v>0-2</v>
      </c>
      <c r="AV144">
        <v>3</v>
      </c>
      <c r="AW144" t="s">
        <v>79</v>
      </c>
      <c r="AX144">
        <v>3</v>
      </c>
      <c r="AY144" t="str">
        <f t="shared" si="30"/>
        <v>2-5</v>
      </c>
      <c r="AZ144">
        <v>2</v>
      </c>
      <c r="BA144" t="str">
        <f t="shared" si="42"/>
        <v>2-5</v>
      </c>
      <c r="BB144">
        <v>2</v>
      </c>
      <c r="BC144" t="str">
        <f t="shared" si="43"/>
        <v>2-5</v>
      </c>
      <c r="BD144">
        <v>2</v>
      </c>
      <c r="BE144" t="str">
        <f t="shared" si="44"/>
        <v>2-5</v>
      </c>
    </row>
    <row r="145" spans="1:57" x14ac:dyDescent="0.3">
      <c r="A145">
        <v>194</v>
      </c>
      <c r="B145">
        <v>30</v>
      </c>
      <c r="C145" t="str">
        <f t="shared" si="31"/>
        <v>26-35</v>
      </c>
      <c r="D145" t="s">
        <v>71</v>
      </c>
      <c r="E145">
        <f t="shared" si="32"/>
        <v>0</v>
      </c>
      <c r="F145" t="s">
        <v>57</v>
      </c>
      <c r="G145">
        <v>438</v>
      </c>
      <c r="H145" t="str">
        <f t="shared" si="33"/>
        <v>102-500</v>
      </c>
      <c r="I145" t="s">
        <v>73</v>
      </c>
      <c r="J145">
        <v>18</v>
      </c>
      <c r="K145" t="str">
        <f t="shared" si="34"/>
        <v>11-20</v>
      </c>
      <c r="L145">
        <v>3</v>
      </c>
      <c r="M145" t="s">
        <v>85</v>
      </c>
      <c r="N145" t="s">
        <v>60</v>
      </c>
      <c r="O145">
        <v>1</v>
      </c>
      <c r="P145">
        <v>1</v>
      </c>
      <c r="Q145" t="s">
        <v>69</v>
      </c>
      <c r="R145" t="s">
        <v>62</v>
      </c>
      <c r="S145">
        <v>75</v>
      </c>
      <c r="T145" t="str">
        <f t="shared" si="35"/>
        <v>51-75</v>
      </c>
      <c r="U145">
        <v>3</v>
      </c>
      <c r="V145" t="s">
        <v>63</v>
      </c>
      <c r="W145">
        <v>1</v>
      </c>
      <c r="X145" t="s">
        <v>76</v>
      </c>
      <c r="Y145">
        <v>3</v>
      </c>
      <c r="Z145" t="s">
        <v>63</v>
      </c>
      <c r="AA145" t="s">
        <v>66</v>
      </c>
      <c r="AB145" s="4">
        <v>2632</v>
      </c>
      <c r="AC145" s="4" t="str">
        <f t="shared" si="36"/>
        <v>$2,500-$4,000</v>
      </c>
      <c r="AD145">
        <v>23910</v>
      </c>
      <c r="AE145" t="str">
        <f t="shared" si="37"/>
        <v>$22,001-$26,999</v>
      </c>
      <c r="AF145">
        <v>1</v>
      </c>
      <c r="AG145" t="str">
        <f t="shared" si="38"/>
        <v>0-1</v>
      </c>
      <c r="AH145" t="s">
        <v>67</v>
      </c>
      <c r="AI145" t="s">
        <v>71</v>
      </c>
      <c r="AJ145">
        <v>14</v>
      </c>
      <c r="AK145" t="str">
        <f t="shared" si="39"/>
        <v>13-15%</v>
      </c>
      <c r="AL145">
        <v>3</v>
      </c>
      <c r="AM145" t="s">
        <v>68</v>
      </c>
      <c r="AN145">
        <v>3</v>
      </c>
      <c r="AO145" t="s">
        <v>63</v>
      </c>
      <c r="AP145">
        <v>80</v>
      </c>
      <c r="AQ145">
        <v>0</v>
      </c>
      <c r="AR145">
        <v>5</v>
      </c>
      <c r="AS145" t="str">
        <f t="shared" si="40"/>
        <v>3-5</v>
      </c>
      <c r="AT145">
        <v>4</v>
      </c>
      <c r="AU145" t="str">
        <f t="shared" si="41"/>
        <v>3-4</v>
      </c>
      <c r="AV145">
        <v>2</v>
      </c>
      <c r="AW145" t="s">
        <v>84</v>
      </c>
      <c r="AX145">
        <v>5</v>
      </c>
      <c r="AY145" t="str">
        <f t="shared" si="30"/>
        <v>2-5</v>
      </c>
      <c r="AZ145">
        <v>4</v>
      </c>
      <c r="BA145" t="str">
        <f t="shared" si="42"/>
        <v>2-5</v>
      </c>
      <c r="BB145">
        <v>0</v>
      </c>
      <c r="BC145" t="str">
        <f t="shared" si="43"/>
        <v>0-1</v>
      </c>
      <c r="BD145">
        <v>4</v>
      </c>
      <c r="BE145" t="str">
        <f t="shared" si="44"/>
        <v>2-5</v>
      </c>
    </row>
    <row r="146" spans="1:57" x14ac:dyDescent="0.3">
      <c r="A146">
        <v>195</v>
      </c>
      <c r="B146">
        <v>32</v>
      </c>
      <c r="C146" t="str">
        <f t="shared" si="31"/>
        <v>26-35</v>
      </c>
      <c r="D146" t="s">
        <v>71</v>
      </c>
      <c r="E146">
        <f t="shared" si="32"/>
        <v>0</v>
      </c>
      <c r="F146" t="s">
        <v>72</v>
      </c>
      <c r="G146">
        <v>689</v>
      </c>
      <c r="H146" t="str">
        <f t="shared" si="33"/>
        <v>501-1000</v>
      </c>
      <c r="I146" t="s">
        <v>58</v>
      </c>
      <c r="J146">
        <v>9</v>
      </c>
      <c r="K146" t="str">
        <f t="shared" si="34"/>
        <v>6-10</v>
      </c>
      <c r="L146">
        <v>2</v>
      </c>
      <c r="M146" t="s">
        <v>59</v>
      </c>
      <c r="N146" t="s">
        <v>83</v>
      </c>
      <c r="O146">
        <v>1</v>
      </c>
      <c r="P146">
        <v>4</v>
      </c>
      <c r="Q146" t="s">
        <v>65</v>
      </c>
      <c r="R146" t="s">
        <v>75</v>
      </c>
      <c r="S146">
        <v>35</v>
      </c>
      <c r="T146" t="str">
        <f t="shared" si="35"/>
        <v>30-50</v>
      </c>
      <c r="U146">
        <v>1</v>
      </c>
      <c r="V146" t="s">
        <v>69</v>
      </c>
      <c r="W146">
        <v>2</v>
      </c>
      <c r="X146" t="s">
        <v>64</v>
      </c>
      <c r="Y146">
        <v>4</v>
      </c>
      <c r="Z146" t="s">
        <v>65</v>
      </c>
      <c r="AA146" t="s">
        <v>86</v>
      </c>
      <c r="AB146" s="4">
        <v>4668</v>
      </c>
      <c r="AC146" s="4" t="str">
        <f t="shared" si="36"/>
        <v>$4,000-$5,500</v>
      </c>
      <c r="AD146">
        <v>22812</v>
      </c>
      <c r="AE146" t="str">
        <f t="shared" si="37"/>
        <v>$22,001-$26,999</v>
      </c>
      <c r="AF146">
        <v>0</v>
      </c>
      <c r="AG146" t="str">
        <f t="shared" si="38"/>
        <v>0-1</v>
      </c>
      <c r="AH146" t="s">
        <v>67</v>
      </c>
      <c r="AI146" t="s">
        <v>71</v>
      </c>
      <c r="AJ146">
        <v>17</v>
      </c>
      <c r="AK146" t="str">
        <f t="shared" si="39"/>
        <v>16-17%</v>
      </c>
      <c r="AL146">
        <v>3</v>
      </c>
      <c r="AM146" t="s">
        <v>68</v>
      </c>
      <c r="AN146">
        <v>4</v>
      </c>
      <c r="AO146" t="s">
        <v>65</v>
      </c>
      <c r="AP146">
        <v>80</v>
      </c>
      <c r="AQ146">
        <v>3</v>
      </c>
      <c r="AR146">
        <v>9</v>
      </c>
      <c r="AS146" t="str">
        <f t="shared" si="40"/>
        <v>6-10</v>
      </c>
      <c r="AT146">
        <v>2</v>
      </c>
      <c r="AU146" t="str">
        <f t="shared" si="41"/>
        <v>0-2</v>
      </c>
      <c r="AV146">
        <v>4</v>
      </c>
      <c r="AW146" t="s">
        <v>94</v>
      </c>
      <c r="AX146">
        <v>8</v>
      </c>
      <c r="AY146" t="str">
        <f t="shared" si="30"/>
        <v>6-10</v>
      </c>
      <c r="AZ146">
        <v>7</v>
      </c>
      <c r="BA146" t="str">
        <f t="shared" si="42"/>
        <v>6-10</v>
      </c>
      <c r="BB146">
        <v>0</v>
      </c>
      <c r="BC146" t="str">
        <f t="shared" si="43"/>
        <v>0-1</v>
      </c>
      <c r="BD146">
        <v>7</v>
      </c>
      <c r="BE146" t="str">
        <f t="shared" si="44"/>
        <v>6-10</v>
      </c>
    </row>
    <row r="147" spans="1:57" x14ac:dyDescent="0.3">
      <c r="A147">
        <v>197</v>
      </c>
      <c r="B147">
        <v>30</v>
      </c>
      <c r="C147" t="str">
        <f t="shared" si="31"/>
        <v>26-35</v>
      </c>
      <c r="D147" t="s">
        <v>71</v>
      </c>
      <c r="E147">
        <f t="shared" si="32"/>
        <v>0</v>
      </c>
      <c r="F147" t="s">
        <v>57</v>
      </c>
      <c r="G147">
        <v>201</v>
      </c>
      <c r="H147" t="str">
        <f t="shared" si="33"/>
        <v>102-500</v>
      </c>
      <c r="I147" t="s">
        <v>73</v>
      </c>
      <c r="J147">
        <v>5</v>
      </c>
      <c r="K147" t="str">
        <f t="shared" si="34"/>
        <v>1-5</v>
      </c>
      <c r="L147">
        <v>3</v>
      </c>
      <c r="M147" t="s">
        <v>85</v>
      </c>
      <c r="N147" t="s">
        <v>95</v>
      </c>
      <c r="O147">
        <v>1</v>
      </c>
      <c r="P147">
        <v>4</v>
      </c>
      <c r="Q147" t="s">
        <v>65</v>
      </c>
      <c r="R147" t="s">
        <v>62</v>
      </c>
      <c r="S147">
        <v>84</v>
      </c>
      <c r="T147" t="str">
        <f t="shared" si="35"/>
        <v>76-100</v>
      </c>
      <c r="U147">
        <v>3</v>
      </c>
      <c r="V147" t="s">
        <v>63</v>
      </c>
      <c r="W147">
        <v>1</v>
      </c>
      <c r="X147" t="s">
        <v>76</v>
      </c>
      <c r="Y147">
        <v>1</v>
      </c>
      <c r="Z147" t="s">
        <v>69</v>
      </c>
      <c r="AA147" t="s">
        <v>86</v>
      </c>
      <c r="AB147" s="4">
        <v>3204</v>
      </c>
      <c r="AC147" s="4" t="str">
        <f t="shared" si="36"/>
        <v>$2,500-$4,000</v>
      </c>
      <c r="AD147">
        <v>10415</v>
      </c>
      <c r="AE147" t="str">
        <f t="shared" si="37"/>
        <v>$8,001-$16,000</v>
      </c>
      <c r="AF147">
        <v>5</v>
      </c>
      <c r="AG147" t="str">
        <f t="shared" si="38"/>
        <v>4-6</v>
      </c>
      <c r="AH147" t="s">
        <v>67</v>
      </c>
      <c r="AI147" t="s">
        <v>71</v>
      </c>
      <c r="AJ147">
        <v>14</v>
      </c>
      <c r="AK147" t="str">
        <f t="shared" si="39"/>
        <v>13-15%</v>
      </c>
      <c r="AL147">
        <v>3</v>
      </c>
      <c r="AM147" t="s">
        <v>68</v>
      </c>
      <c r="AN147">
        <v>4</v>
      </c>
      <c r="AO147" t="s">
        <v>65</v>
      </c>
      <c r="AP147">
        <v>80</v>
      </c>
      <c r="AQ147">
        <v>1</v>
      </c>
      <c r="AR147">
        <v>8</v>
      </c>
      <c r="AS147" t="str">
        <f t="shared" si="40"/>
        <v>6-10</v>
      </c>
      <c r="AT147">
        <v>3</v>
      </c>
      <c r="AU147" t="str">
        <f t="shared" si="41"/>
        <v>3-4</v>
      </c>
      <c r="AV147">
        <v>3</v>
      </c>
      <c r="AW147" t="s">
        <v>79</v>
      </c>
      <c r="AX147">
        <v>3</v>
      </c>
      <c r="AY147" t="str">
        <f t="shared" si="30"/>
        <v>2-5</v>
      </c>
      <c r="AZ147">
        <v>2</v>
      </c>
      <c r="BA147" t="str">
        <f t="shared" si="42"/>
        <v>2-5</v>
      </c>
      <c r="BB147">
        <v>2</v>
      </c>
      <c r="BC147" t="str">
        <f t="shared" si="43"/>
        <v>2-5</v>
      </c>
      <c r="BD147">
        <v>2</v>
      </c>
      <c r="BE147" t="str">
        <f t="shared" si="44"/>
        <v>2-5</v>
      </c>
    </row>
    <row r="148" spans="1:57" x14ac:dyDescent="0.3">
      <c r="A148">
        <v>198</v>
      </c>
      <c r="B148">
        <v>30</v>
      </c>
      <c r="C148" t="str">
        <f t="shared" si="31"/>
        <v>26-35</v>
      </c>
      <c r="D148" t="s">
        <v>71</v>
      </c>
      <c r="E148">
        <f t="shared" si="32"/>
        <v>0</v>
      </c>
      <c r="F148" t="s">
        <v>57</v>
      </c>
      <c r="G148">
        <v>1427</v>
      </c>
      <c r="H148" t="str">
        <f t="shared" si="33"/>
        <v>1001-1499</v>
      </c>
      <c r="I148" t="s">
        <v>73</v>
      </c>
      <c r="J148">
        <v>2</v>
      </c>
      <c r="K148" t="str">
        <f t="shared" si="34"/>
        <v>1-5</v>
      </c>
      <c r="L148">
        <v>1</v>
      </c>
      <c r="M148" t="s">
        <v>74</v>
      </c>
      <c r="N148" t="s">
        <v>83</v>
      </c>
      <c r="O148">
        <v>1</v>
      </c>
      <c r="P148">
        <v>2</v>
      </c>
      <c r="Q148" t="s">
        <v>61</v>
      </c>
      <c r="R148" t="s">
        <v>75</v>
      </c>
      <c r="S148">
        <v>35</v>
      </c>
      <c r="T148" t="str">
        <f t="shared" si="35"/>
        <v>30-50</v>
      </c>
      <c r="U148">
        <v>2</v>
      </c>
      <c r="V148" t="s">
        <v>61</v>
      </c>
      <c r="W148">
        <v>1</v>
      </c>
      <c r="X148" t="s">
        <v>81</v>
      </c>
      <c r="Y148">
        <v>4</v>
      </c>
      <c r="Z148" t="s">
        <v>65</v>
      </c>
      <c r="AA148" t="s">
        <v>66</v>
      </c>
      <c r="AB148" s="4">
        <v>2720</v>
      </c>
      <c r="AC148" s="4" t="str">
        <f t="shared" si="36"/>
        <v>$2,500-$4,000</v>
      </c>
      <c r="AD148">
        <v>11162</v>
      </c>
      <c r="AE148" t="str">
        <f t="shared" si="37"/>
        <v>$8,001-$16,000</v>
      </c>
      <c r="AF148">
        <v>0</v>
      </c>
      <c r="AG148" t="str">
        <f t="shared" si="38"/>
        <v>0-1</v>
      </c>
      <c r="AH148" t="s">
        <v>67</v>
      </c>
      <c r="AI148" t="s">
        <v>71</v>
      </c>
      <c r="AJ148">
        <v>13</v>
      </c>
      <c r="AK148" t="str">
        <f t="shared" si="39"/>
        <v>13-15%</v>
      </c>
      <c r="AL148">
        <v>3</v>
      </c>
      <c r="AM148" t="s">
        <v>68</v>
      </c>
      <c r="AN148">
        <v>4</v>
      </c>
      <c r="AO148" t="s">
        <v>65</v>
      </c>
      <c r="AP148">
        <v>80</v>
      </c>
      <c r="AQ148">
        <v>0</v>
      </c>
      <c r="AR148">
        <v>6</v>
      </c>
      <c r="AS148" t="str">
        <f t="shared" si="40"/>
        <v>6-10</v>
      </c>
      <c r="AT148">
        <v>3</v>
      </c>
      <c r="AU148" t="str">
        <f t="shared" si="41"/>
        <v>3-4</v>
      </c>
      <c r="AV148">
        <v>3</v>
      </c>
      <c r="AW148" t="s">
        <v>79</v>
      </c>
      <c r="AX148">
        <v>5</v>
      </c>
      <c r="AY148" t="str">
        <f t="shared" si="30"/>
        <v>2-5</v>
      </c>
      <c r="AZ148">
        <v>3</v>
      </c>
      <c r="BA148" t="str">
        <f t="shared" si="42"/>
        <v>2-5</v>
      </c>
      <c r="BB148">
        <v>1</v>
      </c>
      <c r="BC148" t="str">
        <f t="shared" si="43"/>
        <v>0-1</v>
      </c>
      <c r="BD148">
        <v>2</v>
      </c>
      <c r="BE148" t="str">
        <f t="shared" si="44"/>
        <v>2-5</v>
      </c>
    </row>
    <row r="149" spans="1:57" x14ac:dyDescent="0.3">
      <c r="A149">
        <v>199</v>
      </c>
      <c r="B149">
        <v>41</v>
      </c>
      <c r="C149" t="str">
        <f t="shared" si="31"/>
        <v>36-45</v>
      </c>
      <c r="D149" t="s">
        <v>71</v>
      </c>
      <c r="E149">
        <f t="shared" si="32"/>
        <v>0</v>
      </c>
      <c r="F149" t="s">
        <v>72</v>
      </c>
      <c r="G149">
        <v>857</v>
      </c>
      <c r="H149" t="str">
        <f t="shared" si="33"/>
        <v>501-1000</v>
      </c>
      <c r="I149" t="s">
        <v>73</v>
      </c>
      <c r="J149">
        <v>10</v>
      </c>
      <c r="K149" t="str">
        <f t="shared" si="34"/>
        <v>6-10</v>
      </c>
      <c r="L149">
        <v>3</v>
      </c>
      <c r="M149" t="s">
        <v>85</v>
      </c>
      <c r="N149" t="s">
        <v>60</v>
      </c>
      <c r="O149">
        <v>1</v>
      </c>
      <c r="P149">
        <v>4</v>
      </c>
      <c r="Q149" t="s">
        <v>65</v>
      </c>
      <c r="R149" t="s">
        <v>75</v>
      </c>
      <c r="S149">
        <v>91</v>
      </c>
      <c r="T149" t="str">
        <f t="shared" si="35"/>
        <v>76-100</v>
      </c>
      <c r="U149">
        <v>2</v>
      </c>
      <c r="V149" t="s">
        <v>61</v>
      </c>
      <c r="W149">
        <v>4</v>
      </c>
      <c r="X149" t="s">
        <v>90</v>
      </c>
      <c r="Y149">
        <v>1</v>
      </c>
      <c r="Z149" t="s">
        <v>69</v>
      </c>
      <c r="AA149" t="s">
        <v>86</v>
      </c>
      <c r="AB149" s="4">
        <v>17181</v>
      </c>
      <c r="AC149" s="4" t="str">
        <f t="shared" si="36"/>
        <v>$16,000-$17,500</v>
      </c>
      <c r="AD149">
        <v>12888</v>
      </c>
      <c r="AE149" t="str">
        <f t="shared" si="37"/>
        <v>$8,001-$16,000</v>
      </c>
      <c r="AF149">
        <v>4</v>
      </c>
      <c r="AG149" t="str">
        <f t="shared" si="38"/>
        <v>4-6</v>
      </c>
      <c r="AH149" t="s">
        <v>67</v>
      </c>
      <c r="AI149" t="s">
        <v>71</v>
      </c>
      <c r="AJ149">
        <v>13</v>
      </c>
      <c r="AK149" t="str">
        <f t="shared" si="39"/>
        <v>13-15%</v>
      </c>
      <c r="AL149">
        <v>3</v>
      </c>
      <c r="AM149" t="s">
        <v>68</v>
      </c>
      <c r="AN149">
        <v>2</v>
      </c>
      <c r="AO149" t="s">
        <v>61</v>
      </c>
      <c r="AP149">
        <v>80</v>
      </c>
      <c r="AQ149">
        <v>1</v>
      </c>
      <c r="AR149">
        <v>21</v>
      </c>
      <c r="AS149" t="str">
        <f t="shared" si="40"/>
        <v>21-40</v>
      </c>
      <c r="AT149">
        <v>2</v>
      </c>
      <c r="AU149" t="str">
        <f t="shared" si="41"/>
        <v>0-2</v>
      </c>
      <c r="AV149">
        <v>2</v>
      </c>
      <c r="AW149" t="s">
        <v>84</v>
      </c>
      <c r="AX149">
        <v>7</v>
      </c>
      <c r="AY149" t="str">
        <f t="shared" si="30"/>
        <v>6-10</v>
      </c>
      <c r="AZ149">
        <v>6</v>
      </c>
      <c r="BA149" t="str">
        <f t="shared" si="42"/>
        <v>6-10</v>
      </c>
      <c r="BB149">
        <v>7</v>
      </c>
      <c r="BC149" t="str">
        <f t="shared" si="43"/>
        <v>6-10</v>
      </c>
      <c r="BD149">
        <v>7</v>
      </c>
      <c r="BE149" t="str">
        <f t="shared" si="44"/>
        <v>6-10</v>
      </c>
    </row>
    <row r="150" spans="1:57" x14ac:dyDescent="0.3">
      <c r="A150">
        <v>200</v>
      </c>
      <c r="B150">
        <v>41</v>
      </c>
      <c r="C150" t="str">
        <f t="shared" si="31"/>
        <v>36-45</v>
      </c>
      <c r="D150" t="s">
        <v>71</v>
      </c>
      <c r="E150">
        <f t="shared" si="32"/>
        <v>0</v>
      </c>
      <c r="F150" t="s">
        <v>57</v>
      </c>
      <c r="G150">
        <v>933</v>
      </c>
      <c r="H150" t="str">
        <f t="shared" si="33"/>
        <v>501-1000</v>
      </c>
      <c r="I150" t="s">
        <v>73</v>
      </c>
      <c r="J150">
        <v>9</v>
      </c>
      <c r="K150" t="str">
        <f t="shared" si="34"/>
        <v>6-10</v>
      </c>
      <c r="L150">
        <v>4</v>
      </c>
      <c r="M150" t="s">
        <v>82</v>
      </c>
      <c r="N150" t="s">
        <v>60</v>
      </c>
      <c r="O150">
        <v>1</v>
      </c>
      <c r="P150">
        <v>3</v>
      </c>
      <c r="Q150" t="s">
        <v>63</v>
      </c>
      <c r="R150" t="s">
        <v>75</v>
      </c>
      <c r="S150">
        <v>94</v>
      </c>
      <c r="T150" t="str">
        <f t="shared" si="35"/>
        <v>76-100</v>
      </c>
      <c r="U150">
        <v>3</v>
      </c>
      <c r="V150" t="s">
        <v>63</v>
      </c>
      <c r="W150">
        <v>1</v>
      </c>
      <c r="X150" t="s">
        <v>81</v>
      </c>
      <c r="Y150">
        <v>1</v>
      </c>
      <c r="Z150" t="s">
        <v>69</v>
      </c>
      <c r="AA150" t="s">
        <v>77</v>
      </c>
      <c r="AB150" s="4">
        <v>2238</v>
      </c>
      <c r="AC150" s="4" t="str">
        <f t="shared" si="36"/>
        <v>$1,000-$2,500</v>
      </c>
      <c r="AD150">
        <v>6961</v>
      </c>
      <c r="AE150" t="str">
        <f t="shared" si="37"/>
        <v>$2,094-$8,000</v>
      </c>
      <c r="AF150">
        <v>2</v>
      </c>
      <c r="AG150" t="str">
        <f t="shared" si="38"/>
        <v>2-3</v>
      </c>
      <c r="AH150" t="s">
        <v>67</v>
      </c>
      <c r="AI150" t="s">
        <v>71</v>
      </c>
      <c r="AJ150">
        <v>21</v>
      </c>
      <c r="AK150" t="str">
        <f t="shared" si="39"/>
        <v>18-19%</v>
      </c>
      <c r="AL150">
        <v>4</v>
      </c>
      <c r="AM150" t="s">
        <v>78</v>
      </c>
      <c r="AN150">
        <v>4</v>
      </c>
      <c r="AO150" t="s">
        <v>65</v>
      </c>
      <c r="AP150">
        <v>80</v>
      </c>
      <c r="AQ150">
        <v>1</v>
      </c>
      <c r="AR150">
        <v>7</v>
      </c>
      <c r="AS150" t="str">
        <f t="shared" si="40"/>
        <v>6-10</v>
      </c>
      <c r="AT150">
        <v>2</v>
      </c>
      <c r="AU150" t="str">
        <f t="shared" si="41"/>
        <v>0-2</v>
      </c>
      <c r="AV150">
        <v>3</v>
      </c>
      <c r="AW150" t="s">
        <v>79</v>
      </c>
      <c r="AX150">
        <v>5</v>
      </c>
      <c r="AY150" t="str">
        <f t="shared" si="30"/>
        <v>2-5</v>
      </c>
      <c r="AZ150">
        <v>0</v>
      </c>
      <c r="BA150" t="str">
        <f t="shared" si="42"/>
        <v>0-1</v>
      </c>
      <c r="BB150">
        <v>1</v>
      </c>
      <c r="BC150" t="str">
        <f t="shared" si="43"/>
        <v>0-1</v>
      </c>
      <c r="BD150">
        <v>4</v>
      </c>
      <c r="BE150" t="str">
        <f t="shared" si="44"/>
        <v>2-5</v>
      </c>
    </row>
    <row r="151" spans="1:57" x14ac:dyDescent="0.3">
      <c r="A151">
        <v>201</v>
      </c>
      <c r="B151">
        <v>19</v>
      </c>
      <c r="C151" t="str">
        <f t="shared" si="31"/>
        <v>18-25</v>
      </c>
      <c r="D151" t="s">
        <v>71</v>
      </c>
      <c r="E151">
        <f t="shared" si="32"/>
        <v>0</v>
      </c>
      <c r="F151" t="s">
        <v>57</v>
      </c>
      <c r="G151">
        <v>1181</v>
      </c>
      <c r="H151" t="str">
        <f t="shared" si="33"/>
        <v>1001-1499</v>
      </c>
      <c r="I151" t="s">
        <v>73</v>
      </c>
      <c r="J151">
        <v>3</v>
      </c>
      <c r="K151" t="str">
        <f t="shared" si="34"/>
        <v>1-5</v>
      </c>
      <c r="L151">
        <v>1</v>
      </c>
      <c r="M151" t="s">
        <v>74</v>
      </c>
      <c r="N151" t="s">
        <v>83</v>
      </c>
      <c r="O151">
        <v>1</v>
      </c>
      <c r="P151">
        <v>2</v>
      </c>
      <c r="Q151" t="s">
        <v>61</v>
      </c>
      <c r="R151" t="s">
        <v>62</v>
      </c>
      <c r="S151">
        <v>79</v>
      </c>
      <c r="T151" t="str">
        <f t="shared" si="35"/>
        <v>76-100</v>
      </c>
      <c r="U151">
        <v>3</v>
      </c>
      <c r="V151" t="s">
        <v>63</v>
      </c>
      <c r="W151">
        <v>1</v>
      </c>
      <c r="X151" t="s">
        <v>81</v>
      </c>
      <c r="Y151">
        <v>2</v>
      </c>
      <c r="Z151" t="s">
        <v>61</v>
      </c>
      <c r="AA151" t="s">
        <v>66</v>
      </c>
      <c r="AB151" s="4">
        <v>1483</v>
      </c>
      <c r="AC151" s="4" t="str">
        <f t="shared" si="36"/>
        <v>$1,000-$2,500</v>
      </c>
      <c r="AD151">
        <v>16102</v>
      </c>
      <c r="AE151" t="str">
        <f t="shared" si="37"/>
        <v>$16,001-$22,000</v>
      </c>
      <c r="AF151">
        <v>1</v>
      </c>
      <c r="AG151" t="str">
        <f t="shared" si="38"/>
        <v>0-1</v>
      </c>
      <c r="AH151" t="s">
        <v>67</v>
      </c>
      <c r="AI151" t="s">
        <v>71</v>
      </c>
      <c r="AJ151">
        <v>14</v>
      </c>
      <c r="AK151" t="str">
        <f t="shared" si="39"/>
        <v>13-15%</v>
      </c>
      <c r="AL151">
        <v>3</v>
      </c>
      <c r="AM151" t="s">
        <v>68</v>
      </c>
      <c r="AN151">
        <v>4</v>
      </c>
      <c r="AO151" t="s">
        <v>65</v>
      </c>
      <c r="AP151">
        <v>80</v>
      </c>
      <c r="AQ151">
        <v>0</v>
      </c>
      <c r="AR151">
        <v>1</v>
      </c>
      <c r="AS151" t="str">
        <f t="shared" si="40"/>
        <v>0-2</v>
      </c>
      <c r="AT151">
        <v>3</v>
      </c>
      <c r="AU151" t="str">
        <f t="shared" si="41"/>
        <v>3-4</v>
      </c>
      <c r="AV151">
        <v>3</v>
      </c>
      <c r="AW151" t="s">
        <v>79</v>
      </c>
      <c r="AX151">
        <v>1</v>
      </c>
      <c r="AY151" t="str">
        <f t="shared" si="30"/>
        <v>0-1</v>
      </c>
      <c r="AZ151">
        <v>0</v>
      </c>
      <c r="BA151" t="str">
        <f t="shared" si="42"/>
        <v>0-1</v>
      </c>
      <c r="BB151">
        <v>0</v>
      </c>
      <c r="BC151" t="str">
        <f t="shared" si="43"/>
        <v>0-1</v>
      </c>
      <c r="BD151">
        <v>0</v>
      </c>
      <c r="BE151" t="str">
        <f t="shared" si="44"/>
        <v>0-1</v>
      </c>
    </row>
    <row r="152" spans="1:57" x14ac:dyDescent="0.3">
      <c r="A152">
        <v>202</v>
      </c>
      <c r="B152">
        <v>40</v>
      </c>
      <c r="C152" t="str">
        <f t="shared" si="31"/>
        <v>36-45</v>
      </c>
      <c r="D152" t="s">
        <v>71</v>
      </c>
      <c r="E152">
        <f t="shared" si="32"/>
        <v>0</v>
      </c>
      <c r="F152" t="s">
        <v>72</v>
      </c>
      <c r="G152">
        <v>1395</v>
      </c>
      <c r="H152" t="str">
        <f t="shared" si="33"/>
        <v>1001-1499</v>
      </c>
      <c r="I152" t="s">
        <v>73</v>
      </c>
      <c r="J152">
        <v>26</v>
      </c>
      <c r="K152" t="str">
        <f t="shared" si="34"/>
        <v>21-29</v>
      </c>
      <c r="L152">
        <v>3</v>
      </c>
      <c r="M152" t="s">
        <v>85</v>
      </c>
      <c r="N152" t="s">
        <v>83</v>
      </c>
      <c r="O152">
        <v>1</v>
      </c>
      <c r="P152">
        <v>2</v>
      </c>
      <c r="Q152" t="s">
        <v>61</v>
      </c>
      <c r="R152" t="s">
        <v>62</v>
      </c>
      <c r="S152">
        <v>54</v>
      </c>
      <c r="T152" t="str">
        <f t="shared" si="35"/>
        <v>51-75</v>
      </c>
      <c r="U152">
        <v>3</v>
      </c>
      <c r="V152" t="s">
        <v>63</v>
      </c>
      <c r="W152">
        <v>2</v>
      </c>
      <c r="X152" t="s">
        <v>76</v>
      </c>
      <c r="Y152">
        <v>2</v>
      </c>
      <c r="Z152" t="s">
        <v>61</v>
      </c>
      <c r="AA152" t="s">
        <v>86</v>
      </c>
      <c r="AB152" s="4">
        <v>5605</v>
      </c>
      <c r="AC152" s="4" t="str">
        <f t="shared" si="36"/>
        <v>$5,500-$7,000</v>
      </c>
      <c r="AD152">
        <v>8504</v>
      </c>
      <c r="AE152" t="str">
        <f t="shared" si="37"/>
        <v>$8,001-$16,000</v>
      </c>
      <c r="AF152">
        <v>1</v>
      </c>
      <c r="AG152" t="str">
        <f t="shared" si="38"/>
        <v>0-1</v>
      </c>
      <c r="AH152" t="s">
        <v>67</v>
      </c>
      <c r="AI152" t="s">
        <v>71</v>
      </c>
      <c r="AJ152">
        <v>11</v>
      </c>
      <c r="AK152" t="str">
        <f t="shared" si="39"/>
        <v>11-12%</v>
      </c>
      <c r="AL152">
        <v>3</v>
      </c>
      <c r="AM152" t="s">
        <v>68</v>
      </c>
      <c r="AN152">
        <v>1</v>
      </c>
      <c r="AO152" t="s">
        <v>69</v>
      </c>
      <c r="AP152">
        <v>80</v>
      </c>
      <c r="AQ152">
        <v>1</v>
      </c>
      <c r="AR152">
        <v>20</v>
      </c>
      <c r="AS152" t="str">
        <f t="shared" si="40"/>
        <v>11-20</v>
      </c>
      <c r="AT152">
        <v>2</v>
      </c>
      <c r="AU152" t="str">
        <f t="shared" si="41"/>
        <v>0-2</v>
      </c>
      <c r="AV152">
        <v>3</v>
      </c>
      <c r="AW152" t="s">
        <v>79</v>
      </c>
      <c r="AX152">
        <v>20</v>
      </c>
      <c r="AY152" t="str">
        <f t="shared" si="30"/>
        <v>11-20</v>
      </c>
      <c r="AZ152">
        <v>7</v>
      </c>
      <c r="BA152" t="str">
        <f t="shared" si="42"/>
        <v>6-10</v>
      </c>
      <c r="BB152">
        <v>2</v>
      </c>
      <c r="BC152" t="str">
        <f t="shared" si="43"/>
        <v>2-5</v>
      </c>
      <c r="BD152">
        <v>13</v>
      </c>
      <c r="BE152" t="str">
        <f t="shared" si="44"/>
        <v>11-17</v>
      </c>
    </row>
    <row r="153" spans="1:57" x14ac:dyDescent="0.3">
      <c r="A153">
        <v>204</v>
      </c>
      <c r="B153">
        <v>35</v>
      </c>
      <c r="C153" t="str">
        <f t="shared" si="31"/>
        <v>26-35</v>
      </c>
      <c r="D153" t="s">
        <v>71</v>
      </c>
      <c r="E153">
        <f t="shared" si="32"/>
        <v>0</v>
      </c>
      <c r="F153" t="s">
        <v>57</v>
      </c>
      <c r="G153">
        <v>662</v>
      </c>
      <c r="H153" t="str">
        <f t="shared" si="33"/>
        <v>501-1000</v>
      </c>
      <c r="I153" t="s">
        <v>58</v>
      </c>
      <c r="J153">
        <v>1</v>
      </c>
      <c r="K153" t="str">
        <f t="shared" si="34"/>
        <v>1-5</v>
      </c>
      <c r="L153">
        <v>5</v>
      </c>
      <c r="M153" t="s">
        <v>96</v>
      </c>
      <c r="N153" t="s">
        <v>93</v>
      </c>
      <c r="O153">
        <v>1</v>
      </c>
      <c r="P153">
        <v>3</v>
      </c>
      <c r="Q153" t="s">
        <v>63</v>
      </c>
      <c r="R153" t="s">
        <v>75</v>
      </c>
      <c r="S153">
        <v>94</v>
      </c>
      <c r="T153" t="str">
        <f t="shared" si="35"/>
        <v>76-100</v>
      </c>
      <c r="U153">
        <v>3</v>
      </c>
      <c r="V153" t="s">
        <v>63</v>
      </c>
      <c r="W153">
        <v>3</v>
      </c>
      <c r="X153" t="s">
        <v>64</v>
      </c>
      <c r="Y153">
        <v>2</v>
      </c>
      <c r="Z153" t="s">
        <v>61</v>
      </c>
      <c r="AA153" t="s">
        <v>77</v>
      </c>
      <c r="AB153" s="4">
        <v>7295</v>
      </c>
      <c r="AC153" s="4" t="str">
        <f t="shared" si="36"/>
        <v>$7,000-$8,500</v>
      </c>
      <c r="AD153">
        <v>11439</v>
      </c>
      <c r="AE153" t="str">
        <f t="shared" si="37"/>
        <v>$8,001-$16,000</v>
      </c>
      <c r="AF153">
        <v>1</v>
      </c>
      <c r="AG153" t="str">
        <f t="shared" si="38"/>
        <v>0-1</v>
      </c>
      <c r="AH153" t="s">
        <v>67</v>
      </c>
      <c r="AI153" t="s">
        <v>71</v>
      </c>
      <c r="AJ153">
        <v>13</v>
      </c>
      <c r="AK153" t="str">
        <f t="shared" si="39"/>
        <v>13-15%</v>
      </c>
      <c r="AL153">
        <v>3</v>
      </c>
      <c r="AM153" t="s">
        <v>68</v>
      </c>
      <c r="AN153">
        <v>1</v>
      </c>
      <c r="AO153" t="s">
        <v>69</v>
      </c>
      <c r="AP153">
        <v>80</v>
      </c>
      <c r="AQ153">
        <v>2</v>
      </c>
      <c r="AR153">
        <v>10</v>
      </c>
      <c r="AS153" t="str">
        <f t="shared" si="40"/>
        <v>6-10</v>
      </c>
      <c r="AT153">
        <v>3</v>
      </c>
      <c r="AU153" t="str">
        <f t="shared" si="41"/>
        <v>3-4</v>
      </c>
      <c r="AV153">
        <v>3</v>
      </c>
      <c r="AW153" t="s">
        <v>79</v>
      </c>
      <c r="AX153">
        <v>10</v>
      </c>
      <c r="AY153" t="str">
        <f t="shared" si="30"/>
        <v>6-10</v>
      </c>
      <c r="AZ153">
        <v>8</v>
      </c>
      <c r="BA153" t="str">
        <f t="shared" si="42"/>
        <v>6-10</v>
      </c>
      <c r="BB153">
        <v>0</v>
      </c>
      <c r="BC153" t="str">
        <f t="shared" si="43"/>
        <v>0-1</v>
      </c>
      <c r="BD153">
        <v>6</v>
      </c>
      <c r="BE153" t="str">
        <f t="shared" si="44"/>
        <v>6-10</v>
      </c>
    </row>
    <row r="154" spans="1:57" x14ac:dyDescent="0.3">
      <c r="A154">
        <v>205</v>
      </c>
      <c r="B154">
        <v>53</v>
      </c>
      <c r="C154" t="str">
        <f t="shared" si="31"/>
        <v>46-55</v>
      </c>
      <c r="D154" t="s">
        <v>71</v>
      </c>
      <c r="E154">
        <f t="shared" si="32"/>
        <v>0</v>
      </c>
      <c r="F154" t="s">
        <v>57</v>
      </c>
      <c r="G154">
        <v>1436</v>
      </c>
      <c r="H154" t="str">
        <f t="shared" si="33"/>
        <v>1001-1499</v>
      </c>
      <c r="I154" t="s">
        <v>58</v>
      </c>
      <c r="J154">
        <v>6</v>
      </c>
      <c r="K154" t="str">
        <f t="shared" si="34"/>
        <v>6-10</v>
      </c>
      <c r="L154">
        <v>2</v>
      </c>
      <c r="M154" t="s">
        <v>59</v>
      </c>
      <c r="N154" t="s">
        <v>93</v>
      </c>
      <c r="O154">
        <v>1</v>
      </c>
      <c r="P154">
        <v>2</v>
      </c>
      <c r="Q154" t="s">
        <v>61</v>
      </c>
      <c r="R154" t="s">
        <v>75</v>
      </c>
      <c r="S154">
        <v>34</v>
      </c>
      <c r="T154" t="str">
        <f t="shared" si="35"/>
        <v>30-50</v>
      </c>
      <c r="U154">
        <v>3</v>
      </c>
      <c r="V154" t="s">
        <v>63</v>
      </c>
      <c r="W154">
        <v>2</v>
      </c>
      <c r="X154" t="s">
        <v>91</v>
      </c>
      <c r="Y154">
        <v>3</v>
      </c>
      <c r="Z154" t="s">
        <v>63</v>
      </c>
      <c r="AA154" t="s">
        <v>77</v>
      </c>
      <c r="AB154" s="4">
        <v>2306</v>
      </c>
      <c r="AC154" s="4" t="str">
        <f t="shared" si="36"/>
        <v>$1,000-$2,500</v>
      </c>
      <c r="AD154">
        <v>16047</v>
      </c>
      <c r="AE154" t="str">
        <f t="shared" si="37"/>
        <v>$16,001-$22,000</v>
      </c>
      <c r="AF154">
        <v>2</v>
      </c>
      <c r="AG154" t="str">
        <f t="shared" si="38"/>
        <v>2-3</v>
      </c>
      <c r="AH154" t="s">
        <v>67</v>
      </c>
      <c r="AI154" t="s">
        <v>56</v>
      </c>
      <c r="AJ154">
        <v>20</v>
      </c>
      <c r="AK154" t="str">
        <f t="shared" si="39"/>
        <v>18-19%</v>
      </c>
      <c r="AL154">
        <v>4</v>
      </c>
      <c r="AM154" t="s">
        <v>78</v>
      </c>
      <c r="AN154">
        <v>4</v>
      </c>
      <c r="AO154" t="s">
        <v>65</v>
      </c>
      <c r="AP154">
        <v>80</v>
      </c>
      <c r="AQ154">
        <v>1</v>
      </c>
      <c r="AR154">
        <v>13</v>
      </c>
      <c r="AS154" t="str">
        <f t="shared" si="40"/>
        <v>11-20</v>
      </c>
      <c r="AT154">
        <v>3</v>
      </c>
      <c r="AU154" t="str">
        <f t="shared" si="41"/>
        <v>3-4</v>
      </c>
      <c r="AV154">
        <v>1</v>
      </c>
      <c r="AW154" t="s">
        <v>70</v>
      </c>
      <c r="AX154">
        <v>7</v>
      </c>
      <c r="AY154" t="str">
        <f t="shared" si="30"/>
        <v>6-10</v>
      </c>
      <c r="AZ154">
        <v>7</v>
      </c>
      <c r="BA154" t="str">
        <f t="shared" si="42"/>
        <v>6-10</v>
      </c>
      <c r="BB154">
        <v>4</v>
      </c>
      <c r="BC154" t="str">
        <f t="shared" si="43"/>
        <v>2-5</v>
      </c>
      <c r="BD154">
        <v>5</v>
      </c>
      <c r="BE154" t="str">
        <f t="shared" si="44"/>
        <v>2-5</v>
      </c>
    </row>
    <row r="155" spans="1:57" x14ac:dyDescent="0.3">
      <c r="A155">
        <v>206</v>
      </c>
      <c r="B155">
        <v>45</v>
      </c>
      <c r="C155" t="str">
        <f t="shared" si="31"/>
        <v>36-45</v>
      </c>
      <c r="D155" t="s">
        <v>71</v>
      </c>
      <c r="E155">
        <f t="shared" si="32"/>
        <v>0</v>
      </c>
      <c r="F155" t="s">
        <v>57</v>
      </c>
      <c r="G155">
        <v>194</v>
      </c>
      <c r="H155" t="str">
        <f t="shared" si="33"/>
        <v>102-500</v>
      </c>
      <c r="I155" t="s">
        <v>73</v>
      </c>
      <c r="J155">
        <v>9</v>
      </c>
      <c r="K155" t="str">
        <f t="shared" si="34"/>
        <v>6-10</v>
      </c>
      <c r="L155">
        <v>3</v>
      </c>
      <c r="M155" t="s">
        <v>85</v>
      </c>
      <c r="N155" t="s">
        <v>60</v>
      </c>
      <c r="O155">
        <v>1</v>
      </c>
      <c r="P155">
        <v>2</v>
      </c>
      <c r="Q155" t="s">
        <v>61</v>
      </c>
      <c r="R155" t="s">
        <v>75</v>
      </c>
      <c r="S155">
        <v>60</v>
      </c>
      <c r="T155" t="str">
        <f t="shared" si="35"/>
        <v>51-75</v>
      </c>
      <c r="U155">
        <v>3</v>
      </c>
      <c r="V155" t="s">
        <v>63</v>
      </c>
      <c r="W155">
        <v>2</v>
      </c>
      <c r="X155" t="s">
        <v>81</v>
      </c>
      <c r="Y155">
        <v>2</v>
      </c>
      <c r="Z155" t="s">
        <v>61</v>
      </c>
      <c r="AA155" t="s">
        <v>86</v>
      </c>
      <c r="AB155" s="4">
        <v>2348</v>
      </c>
      <c r="AC155" s="4" t="str">
        <f t="shared" si="36"/>
        <v>$1,000-$2,500</v>
      </c>
      <c r="AD155">
        <v>10901</v>
      </c>
      <c r="AE155" t="str">
        <f t="shared" si="37"/>
        <v>$8,001-$16,000</v>
      </c>
      <c r="AF155">
        <v>8</v>
      </c>
      <c r="AG155" t="str">
        <f t="shared" si="38"/>
        <v>7-9</v>
      </c>
      <c r="AH155" t="s">
        <v>67</v>
      </c>
      <c r="AI155" t="s">
        <v>71</v>
      </c>
      <c r="AJ155">
        <v>18</v>
      </c>
      <c r="AK155" t="str">
        <f t="shared" si="39"/>
        <v>18-19%</v>
      </c>
      <c r="AL155">
        <v>3</v>
      </c>
      <c r="AM155" t="s">
        <v>68</v>
      </c>
      <c r="AN155">
        <v>3</v>
      </c>
      <c r="AO155" t="s">
        <v>63</v>
      </c>
      <c r="AP155">
        <v>80</v>
      </c>
      <c r="AQ155">
        <v>1</v>
      </c>
      <c r="AR155">
        <v>20</v>
      </c>
      <c r="AS155" t="str">
        <f t="shared" si="40"/>
        <v>11-20</v>
      </c>
      <c r="AT155">
        <v>2</v>
      </c>
      <c r="AU155" t="str">
        <f t="shared" si="41"/>
        <v>0-2</v>
      </c>
      <c r="AV155">
        <v>1</v>
      </c>
      <c r="AW155" t="s">
        <v>70</v>
      </c>
      <c r="AX155">
        <v>17</v>
      </c>
      <c r="AY155" t="str">
        <f t="shared" si="30"/>
        <v>11-20</v>
      </c>
      <c r="AZ155">
        <v>9</v>
      </c>
      <c r="BA155" t="str">
        <f t="shared" si="42"/>
        <v>6-10</v>
      </c>
      <c r="BB155">
        <v>0</v>
      </c>
      <c r="BC155" t="str">
        <f t="shared" si="43"/>
        <v>0-1</v>
      </c>
      <c r="BD155">
        <v>15</v>
      </c>
      <c r="BE155" t="str">
        <f t="shared" si="44"/>
        <v>11-17</v>
      </c>
    </row>
    <row r="156" spans="1:57" x14ac:dyDescent="0.3">
      <c r="A156">
        <v>207</v>
      </c>
      <c r="B156">
        <v>32</v>
      </c>
      <c r="C156" t="str">
        <f t="shared" si="31"/>
        <v>26-35</v>
      </c>
      <c r="D156" t="s">
        <v>71</v>
      </c>
      <c r="E156">
        <f t="shared" si="32"/>
        <v>0</v>
      </c>
      <c r="F156" t="s">
        <v>72</v>
      </c>
      <c r="G156">
        <v>967</v>
      </c>
      <c r="H156" t="str">
        <f t="shared" si="33"/>
        <v>501-1000</v>
      </c>
      <c r="I156" t="s">
        <v>58</v>
      </c>
      <c r="J156">
        <v>8</v>
      </c>
      <c r="K156" t="str">
        <f t="shared" si="34"/>
        <v>6-10</v>
      </c>
      <c r="L156">
        <v>3</v>
      </c>
      <c r="M156" t="s">
        <v>85</v>
      </c>
      <c r="N156" t="s">
        <v>93</v>
      </c>
      <c r="O156">
        <v>1</v>
      </c>
      <c r="P156">
        <v>2</v>
      </c>
      <c r="Q156" t="s">
        <v>61</v>
      </c>
      <c r="R156" t="s">
        <v>62</v>
      </c>
      <c r="S156">
        <v>43</v>
      </c>
      <c r="T156" t="str">
        <f t="shared" si="35"/>
        <v>30-50</v>
      </c>
      <c r="U156">
        <v>3</v>
      </c>
      <c r="V156" t="s">
        <v>63</v>
      </c>
      <c r="W156">
        <v>3</v>
      </c>
      <c r="X156" t="s">
        <v>64</v>
      </c>
      <c r="Y156">
        <v>4</v>
      </c>
      <c r="Z156" t="s">
        <v>65</v>
      </c>
      <c r="AA156" t="s">
        <v>66</v>
      </c>
      <c r="AB156" s="4">
        <v>8998</v>
      </c>
      <c r="AC156" s="4" t="str">
        <f t="shared" si="36"/>
        <v>$8,500-$10,000</v>
      </c>
      <c r="AD156">
        <v>15589</v>
      </c>
      <c r="AE156" t="str">
        <f t="shared" si="37"/>
        <v>$8,001-$16,000</v>
      </c>
      <c r="AF156">
        <v>1</v>
      </c>
      <c r="AG156" t="str">
        <f t="shared" si="38"/>
        <v>0-1</v>
      </c>
      <c r="AH156" t="s">
        <v>67</v>
      </c>
      <c r="AI156" t="s">
        <v>71</v>
      </c>
      <c r="AJ156">
        <v>14</v>
      </c>
      <c r="AK156" t="str">
        <f t="shared" si="39"/>
        <v>13-15%</v>
      </c>
      <c r="AL156">
        <v>3</v>
      </c>
      <c r="AM156" t="s">
        <v>68</v>
      </c>
      <c r="AN156">
        <v>4</v>
      </c>
      <c r="AO156" t="s">
        <v>65</v>
      </c>
      <c r="AP156">
        <v>80</v>
      </c>
      <c r="AQ156">
        <v>0</v>
      </c>
      <c r="AR156">
        <v>9</v>
      </c>
      <c r="AS156" t="str">
        <f t="shared" si="40"/>
        <v>6-10</v>
      </c>
      <c r="AT156">
        <v>2</v>
      </c>
      <c r="AU156" t="str">
        <f t="shared" si="41"/>
        <v>0-2</v>
      </c>
      <c r="AV156">
        <v>3</v>
      </c>
      <c r="AW156" t="s">
        <v>79</v>
      </c>
      <c r="AX156">
        <v>9</v>
      </c>
      <c r="AY156" t="str">
        <f t="shared" si="30"/>
        <v>6-10</v>
      </c>
      <c r="AZ156">
        <v>8</v>
      </c>
      <c r="BA156" t="str">
        <f t="shared" si="42"/>
        <v>6-10</v>
      </c>
      <c r="BB156">
        <v>3</v>
      </c>
      <c r="BC156" t="str">
        <f t="shared" si="43"/>
        <v>2-5</v>
      </c>
      <c r="BD156">
        <v>7</v>
      </c>
      <c r="BE156" t="str">
        <f t="shared" si="44"/>
        <v>6-10</v>
      </c>
    </row>
    <row r="157" spans="1:57" x14ac:dyDescent="0.3">
      <c r="A157">
        <v>208</v>
      </c>
      <c r="B157">
        <v>29</v>
      </c>
      <c r="C157" t="str">
        <f t="shared" si="31"/>
        <v>26-35</v>
      </c>
      <c r="D157" t="s">
        <v>71</v>
      </c>
      <c r="E157">
        <f t="shared" si="32"/>
        <v>0</v>
      </c>
      <c r="F157" t="s">
        <v>89</v>
      </c>
      <c r="G157">
        <v>1496</v>
      </c>
      <c r="H157" t="str">
        <f t="shared" si="33"/>
        <v>1001-1499</v>
      </c>
      <c r="I157" t="s">
        <v>73</v>
      </c>
      <c r="J157">
        <v>1</v>
      </c>
      <c r="K157" t="str">
        <f t="shared" si="34"/>
        <v>1-5</v>
      </c>
      <c r="L157">
        <v>1</v>
      </c>
      <c r="M157" t="s">
        <v>74</v>
      </c>
      <c r="N157" t="s">
        <v>95</v>
      </c>
      <c r="O157">
        <v>1</v>
      </c>
      <c r="P157">
        <v>4</v>
      </c>
      <c r="Q157" t="s">
        <v>65</v>
      </c>
      <c r="R157" t="s">
        <v>75</v>
      </c>
      <c r="S157">
        <v>41</v>
      </c>
      <c r="T157" t="str">
        <f t="shared" si="35"/>
        <v>30-50</v>
      </c>
      <c r="U157">
        <v>3</v>
      </c>
      <c r="V157" t="s">
        <v>63</v>
      </c>
      <c r="W157">
        <v>2</v>
      </c>
      <c r="X157" t="s">
        <v>87</v>
      </c>
      <c r="Y157">
        <v>3</v>
      </c>
      <c r="Z157" t="s">
        <v>63</v>
      </c>
      <c r="AA157" t="s">
        <v>77</v>
      </c>
      <c r="AB157" s="4">
        <v>4319</v>
      </c>
      <c r="AC157" s="4" t="str">
        <f t="shared" si="36"/>
        <v>$4,000-$5,500</v>
      </c>
      <c r="AD157">
        <v>26283</v>
      </c>
      <c r="AE157" t="str">
        <f t="shared" si="37"/>
        <v>$22,001-$26,999</v>
      </c>
      <c r="AF157">
        <v>1</v>
      </c>
      <c r="AG157" t="str">
        <f t="shared" si="38"/>
        <v>0-1</v>
      </c>
      <c r="AH157" t="s">
        <v>67</v>
      </c>
      <c r="AI157" t="s">
        <v>71</v>
      </c>
      <c r="AJ157">
        <v>13</v>
      </c>
      <c r="AK157" t="str">
        <f t="shared" si="39"/>
        <v>13-15%</v>
      </c>
      <c r="AL157">
        <v>3</v>
      </c>
      <c r="AM157" t="s">
        <v>68</v>
      </c>
      <c r="AN157">
        <v>1</v>
      </c>
      <c r="AO157" t="s">
        <v>69</v>
      </c>
      <c r="AP157">
        <v>80</v>
      </c>
      <c r="AQ157">
        <v>1</v>
      </c>
      <c r="AR157">
        <v>10</v>
      </c>
      <c r="AS157" t="str">
        <f t="shared" si="40"/>
        <v>6-10</v>
      </c>
      <c r="AT157">
        <v>1</v>
      </c>
      <c r="AU157" t="str">
        <f t="shared" si="41"/>
        <v>0-2</v>
      </c>
      <c r="AV157">
        <v>3</v>
      </c>
      <c r="AW157" t="s">
        <v>79</v>
      </c>
      <c r="AX157">
        <v>10</v>
      </c>
      <c r="AY157" t="str">
        <f t="shared" si="30"/>
        <v>6-10</v>
      </c>
      <c r="AZ157">
        <v>7</v>
      </c>
      <c r="BA157" t="str">
        <f t="shared" si="42"/>
        <v>6-10</v>
      </c>
      <c r="BB157">
        <v>0</v>
      </c>
      <c r="BC157" t="str">
        <f t="shared" si="43"/>
        <v>0-1</v>
      </c>
      <c r="BD157">
        <v>9</v>
      </c>
      <c r="BE157" t="str">
        <f t="shared" si="44"/>
        <v>6-10</v>
      </c>
    </row>
    <row r="158" spans="1:57" x14ac:dyDescent="0.3">
      <c r="A158">
        <v>211</v>
      </c>
      <c r="B158">
        <v>51</v>
      </c>
      <c r="C158" t="str">
        <f t="shared" si="31"/>
        <v>46-55</v>
      </c>
      <c r="D158" t="s">
        <v>71</v>
      </c>
      <c r="E158">
        <f t="shared" si="32"/>
        <v>0</v>
      </c>
      <c r="F158" t="s">
        <v>57</v>
      </c>
      <c r="G158">
        <v>1169</v>
      </c>
      <c r="H158" t="str">
        <f t="shared" si="33"/>
        <v>1001-1499</v>
      </c>
      <c r="I158" t="s">
        <v>73</v>
      </c>
      <c r="J158">
        <v>7</v>
      </c>
      <c r="K158" t="str">
        <f t="shared" si="34"/>
        <v>6-10</v>
      </c>
      <c r="L158">
        <v>4</v>
      </c>
      <c r="M158" t="s">
        <v>82</v>
      </c>
      <c r="N158" t="s">
        <v>83</v>
      </c>
      <c r="O158">
        <v>1</v>
      </c>
      <c r="P158">
        <v>2</v>
      </c>
      <c r="Q158" t="s">
        <v>61</v>
      </c>
      <c r="R158" t="s">
        <v>75</v>
      </c>
      <c r="S158">
        <v>34</v>
      </c>
      <c r="T158" t="str">
        <f t="shared" si="35"/>
        <v>30-50</v>
      </c>
      <c r="U158">
        <v>2</v>
      </c>
      <c r="V158" t="s">
        <v>61</v>
      </c>
      <c r="W158">
        <v>2</v>
      </c>
      <c r="X158" t="s">
        <v>87</v>
      </c>
      <c r="Y158">
        <v>3</v>
      </c>
      <c r="Z158" t="s">
        <v>63</v>
      </c>
      <c r="AA158" t="s">
        <v>77</v>
      </c>
      <c r="AB158" s="4">
        <v>6132</v>
      </c>
      <c r="AC158" s="4" t="str">
        <f t="shared" si="36"/>
        <v>$5,500-$7,000</v>
      </c>
      <c r="AD158">
        <v>13983</v>
      </c>
      <c r="AE158" t="str">
        <f t="shared" si="37"/>
        <v>$8,001-$16,000</v>
      </c>
      <c r="AF158">
        <v>2</v>
      </c>
      <c r="AG158" t="str">
        <f t="shared" si="38"/>
        <v>2-3</v>
      </c>
      <c r="AH158" t="s">
        <v>67</v>
      </c>
      <c r="AI158" t="s">
        <v>71</v>
      </c>
      <c r="AJ158">
        <v>17</v>
      </c>
      <c r="AK158" t="str">
        <f t="shared" si="39"/>
        <v>16-17%</v>
      </c>
      <c r="AL158">
        <v>3</v>
      </c>
      <c r="AM158" t="s">
        <v>68</v>
      </c>
      <c r="AN158">
        <v>3</v>
      </c>
      <c r="AO158" t="s">
        <v>63</v>
      </c>
      <c r="AP158">
        <v>80</v>
      </c>
      <c r="AQ158">
        <v>0</v>
      </c>
      <c r="AR158">
        <v>10</v>
      </c>
      <c r="AS158" t="str">
        <f t="shared" si="40"/>
        <v>6-10</v>
      </c>
      <c r="AT158">
        <v>2</v>
      </c>
      <c r="AU158" t="str">
        <f t="shared" si="41"/>
        <v>0-2</v>
      </c>
      <c r="AV158">
        <v>3</v>
      </c>
      <c r="AW158" t="s">
        <v>79</v>
      </c>
      <c r="AX158">
        <v>1</v>
      </c>
      <c r="AY158" t="str">
        <f t="shared" si="30"/>
        <v>0-1</v>
      </c>
      <c r="AZ158">
        <v>0</v>
      </c>
      <c r="BA158" t="str">
        <f t="shared" si="42"/>
        <v>0-1</v>
      </c>
      <c r="BB158">
        <v>0</v>
      </c>
      <c r="BC158" t="str">
        <f t="shared" si="43"/>
        <v>0-1</v>
      </c>
      <c r="BD158">
        <v>0</v>
      </c>
      <c r="BE158" t="str">
        <f t="shared" si="44"/>
        <v>0-1</v>
      </c>
    </row>
    <row r="159" spans="1:57" x14ac:dyDescent="0.3">
      <c r="A159">
        <v>214</v>
      </c>
      <c r="B159">
        <v>58</v>
      </c>
      <c r="C159" t="str">
        <f t="shared" si="31"/>
        <v>56+</v>
      </c>
      <c r="D159" t="s">
        <v>71</v>
      </c>
      <c r="E159">
        <f t="shared" si="32"/>
        <v>0</v>
      </c>
      <c r="F159" t="s">
        <v>57</v>
      </c>
      <c r="G159">
        <v>1145</v>
      </c>
      <c r="H159" t="str">
        <f t="shared" si="33"/>
        <v>1001-1499</v>
      </c>
      <c r="I159" t="s">
        <v>73</v>
      </c>
      <c r="J159">
        <v>9</v>
      </c>
      <c r="K159" t="str">
        <f t="shared" si="34"/>
        <v>6-10</v>
      </c>
      <c r="L159">
        <v>3</v>
      </c>
      <c r="M159" t="s">
        <v>85</v>
      </c>
      <c r="N159" t="s">
        <v>83</v>
      </c>
      <c r="O159">
        <v>1</v>
      </c>
      <c r="P159">
        <v>2</v>
      </c>
      <c r="Q159" t="s">
        <v>61</v>
      </c>
      <c r="R159" t="s">
        <v>62</v>
      </c>
      <c r="S159">
        <v>75</v>
      </c>
      <c r="T159" t="str">
        <f t="shared" si="35"/>
        <v>51-75</v>
      </c>
      <c r="U159">
        <v>2</v>
      </c>
      <c r="V159" t="s">
        <v>61</v>
      </c>
      <c r="W159">
        <v>1</v>
      </c>
      <c r="X159" t="s">
        <v>76</v>
      </c>
      <c r="Y159">
        <v>2</v>
      </c>
      <c r="Z159" t="s">
        <v>61</v>
      </c>
      <c r="AA159" t="s">
        <v>77</v>
      </c>
      <c r="AB159" s="4">
        <v>3346</v>
      </c>
      <c r="AC159" s="4" t="str">
        <f t="shared" si="36"/>
        <v>$2,500-$4,000</v>
      </c>
      <c r="AD159">
        <v>11873</v>
      </c>
      <c r="AE159" t="str">
        <f t="shared" si="37"/>
        <v>$8,001-$16,000</v>
      </c>
      <c r="AF159">
        <v>4</v>
      </c>
      <c r="AG159" t="str">
        <f t="shared" si="38"/>
        <v>4-6</v>
      </c>
      <c r="AH159" t="s">
        <v>67</v>
      </c>
      <c r="AI159" t="s">
        <v>56</v>
      </c>
      <c r="AJ159">
        <v>20</v>
      </c>
      <c r="AK159" t="str">
        <f t="shared" si="39"/>
        <v>18-19%</v>
      </c>
      <c r="AL159">
        <v>4</v>
      </c>
      <c r="AM159" t="s">
        <v>78</v>
      </c>
      <c r="AN159">
        <v>2</v>
      </c>
      <c r="AO159" t="s">
        <v>61</v>
      </c>
      <c r="AP159">
        <v>80</v>
      </c>
      <c r="AQ159">
        <v>1</v>
      </c>
      <c r="AR159">
        <v>9</v>
      </c>
      <c r="AS159" t="str">
        <f t="shared" si="40"/>
        <v>6-10</v>
      </c>
      <c r="AT159">
        <v>3</v>
      </c>
      <c r="AU159" t="str">
        <f t="shared" si="41"/>
        <v>3-4</v>
      </c>
      <c r="AV159">
        <v>2</v>
      </c>
      <c r="AW159" t="s">
        <v>84</v>
      </c>
      <c r="AX159">
        <v>1</v>
      </c>
      <c r="AY159" t="str">
        <f t="shared" si="30"/>
        <v>0-1</v>
      </c>
      <c r="AZ159">
        <v>0</v>
      </c>
      <c r="BA159" t="str">
        <f t="shared" si="42"/>
        <v>0-1</v>
      </c>
      <c r="BB159">
        <v>0</v>
      </c>
      <c r="BC159" t="str">
        <f t="shared" si="43"/>
        <v>0-1</v>
      </c>
      <c r="BD159">
        <v>0</v>
      </c>
      <c r="BE159" t="str">
        <f t="shared" si="44"/>
        <v>0-1</v>
      </c>
    </row>
    <row r="160" spans="1:57" x14ac:dyDescent="0.3">
      <c r="A160">
        <v>215</v>
      </c>
      <c r="B160">
        <v>40</v>
      </c>
      <c r="C160" t="str">
        <f t="shared" si="31"/>
        <v>36-45</v>
      </c>
      <c r="D160" t="s">
        <v>71</v>
      </c>
      <c r="E160">
        <f t="shared" si="32"/>
        <v>0</v>
      </c>
      <c r="F160" t="s">
        <v>57</v>
      </c>
      <c r="G160">
        <v>630</v>
      </c>
      <c r="H160" t="str">
        <f t="shared" si="33"/>
        <v>501-1000</v>
      </c>
      <c r="I160" t="s">
        <v>58</v>
      </c>
      <c r="J160">
        <v>4</v>
      </c>
      <c r="K160" t="str">
        <f t="shared" si="34"/>
        <v>1-5</v>
      </c>
      <c r="L160">
        <v>4</v>
      </c>
      <c r="M160" t="s">
        <v>82</v>
      </c>
      <c r="N160" t="s">
        <v>93</v>
      </c>
      <c r="O160">
        <v>1</v>
      </c>
      <c r="P160">
        <v>3</v>
      </c>
      <c r="Q160" t="s">
        <v>63</v>
      </c>
      <c r="R160" t="s">
        <v>75</v>
      </c>
      <c r="S160">
        <v>67</v>
      </c>
      <c r="T160" t="str">
        <f t="shared" si="35"/>
        <v>51-75</v>
      </c>
      <c r="U160">
        <v>2</v>
      </c>
      <c r="V160" t="s">
        <v>61</v>
      </c>
      <c r="W160">
        <v>3</v>
      </c>
      <c r="X160" t="s">
        <v>64</v>
      </c>
      <c r="Y160">
        <v>4</v>
      </c>
      <c r="Z160" t="s">
        <v>65</v>
      </c>
      <c r="AA160" t="s">
        <v>77</v>
      </c>
      <c r="AB160" s="4">
        <v>10855</v>
      </c>
      <c r="AC160" s="4" t="str">
        <f t="shared" si="36"/>
        <v>$10,000-$11,500</v>
      </c>
      <c r="AD160">
        <v>8552</v>
      </c>
      <c r="AE160" t="str">
        <f t="shared" si="37"/>
        <v>$8,001-$16,000</v>
      </c>
      <c r="AF160">
        <v>7</v>
      </c>
      <c r="AG160" t="str">
        <f t="shared" si="38"/>
        <v>7-9</v>
      </c>
      <c r="AH160" t="s">
        <v>67</v>
      </c>
      <c r="AI160" t="s">
        <v>71</v>
      </c>
      <c r="AJ160">
        <v>11</v>
      </c>
      <c r="AK160" t="str">
        <f t="shared" si="39"/>
        <v>11-12%</v>
      </c>
      <c r="AL160">
        <v>3</v>
      </c>
      <c r="AM160" t="s">
        <v>68</v>
      </c>
      <c r="AN160">
        <v>1</v>
      </c>
      <c r="AO160" t="s">
        <v>69</v>
      </c>
      <c r="AP160">
        <v>80</v>
      </c>
      <c r="AQ160">
        <v>1</v>
      </c>
      <c r="AR160">
        <v>15</v>
      </c>
      <c r="AS160" t="str">
        <f t="shared" si="40"/>
        <v>11-20</v>
      </c>
      <c r="AT160">
        <v>2</v>
      </c>
      <c r="AU160" t="str">
        <f t="shared" si="41"/>
        <v>0-2</v>
      </c>
      <c r="AV160">
        <v>2</v>
      </c>
      <c r="AW160" t="s">
        <v>84</v>
      </c>
      <c r="AX160">
        <v>12</v>
      </c>
      <c r="AY160" t="str">
        <f t="shared" si="30"/>
        <v>11-20</v>
      </c>
      <c r="AZ160">
        <v>11</v>
      </c>
      <c r="BA160" t="str">
        <f t="shared" si="42"/>
        <v>11-18</v>
      </c>
      <c r="BB160">
        <v>2</v>
      </c>
      <c r="BC160" t="str">
        <f t="shared" si="43"/>
        <v>2-5</v>
      </c>
      <c r="BD160">
        <v>11</v>
      </c>
      <c r="BE160" t="str">
        <f t="shared" si="44"/>
        <v>11-17</v>
      </c>
    </row>
    <row r="161" spans="1:57" x14ac:dyDescent="0.3">
      <c r="A161">
        <v>216</v>
      </c>
      <c r="B161">
        <v>34</v>
      </c>
      <c r="C161" t="str">
        <f t="shared" si="31"/>
        <v>26-35</v>
      </c>
      <c r="D161" t="s">
        <v>71</v>
      </c>
      <c r="E161">
        <f t="shared" si="32"/>
        <v>0</v>
      </c>
      <c r="F161" t="s">
        <v>72</v>
      </c>
      <c r="G161">
        <v>303</v>
      </c>
      <c r="H161" t="str">
        <f t="shared" si="33"/>
        <v>102-500</v>
      </c>
      <c r="I161" t="s">
        <v>58</v>
      </c>
      <c r="J161">
        <v>2</v>
      </c>
      <c r="K161" t="str">
        <f t="shared" si="34"/>
        <v>1-5</v>
      </c>
      <c r="L161">
        <v>4</v>
      </c>
      <c r="M161" t="s">
        <v>82</v>
      </c>
      <c r="N161" t="s">
        <v>93</v>
      </c>
      <c r="O161">
        <v>1</v>
      </c>
      <c r="P161">
        <v>3</v>
      </c>
      <c r="Q161" t="s">
        <v>63</v>
      </c>
      <c r="R161" t="s">
        <v>62</v>
      </c>
      <c r="S161">
        <v>75</v>
      </c>
      <c r="T161" t="str">
        <f t="shared" si="35"/>
        <v>51-75</v>
      </c>
      <c r="U161">
        <v>3</v>
      </c>
      <c r="V161" t="s">
        <v>63</v>
      </c>
      <c r="W161">
        <v>1</v>
      </c>
      <c r="X161" t="s">
        <v>91</v>
      </c>
      <c r="Y161">
        <v>3</v>
      </c>
      <c r="Z161" t="s">
        <v>63</v>
      </c>
      <c r="AA161" t="s">
        <v>77</v>
      </c>
      <c r="AB161" s="4">
        <v>2231</v>
      </c>
      <c r="AC161" s="4" t="str">
        <f t="shared" si="36"/>
        <v>$1,000-$2,500</v>
      </c>
      <c r="AD161">
        <v>11314</v>
      </c>
      <c r="AE161" t="str">
        <f t="shared" si="37"/>
        <v>$8,001-$16,000</v>
      </c>
      <c r="AF161">
        <v>6</v>
      </c>
      <c r="AG161" t="str">
        <f t="shared" si="38"/>
        <v>4-6</v>
      </c>
      <c r="AH161" t="s">
        <v>67</v>
      </c>
      <c r="AI161" t="s">
        <v>71</v>
      </c>
      <c r="AJ161">
        <v>18</v>
      </c>
      <c r="AK161" t="str">
        <f t="shared" si="39"/>
        <v>18-19%</v>
      </c>
      <c r="AL161">
        <v>3</v>
      </c>
      <c r="AM161" t="s">
        <v>68</v>
      </c>
      <c r="AN161">
        <v>4</v>
      </c>
      <c r="AO161" t="s">
        <v>65</v>
      </c>
      <c r="AP161">
        <v>80</v>
      </c>
      <c r="AQ161">
        <v>1</v>
      </c>
      <c r="AR161">
        <v>6</v>
      </c>
      <c r="AS161" t="str">
        <f t="shared" si="40"/>
        <v>6-10</v>
      </c>
      <c r="AT161">
        <v>3</v>
      </c>
      <c r="AU161" t="str">
        <f t="shared" si="41"/>
        <v>3-4</v>
      </c>
      <c r="AV161">
        <v>3</v>
      </c>
      <c r="AW161" t="s">
        <v>79</v>
      </c>
      <c r="AX161">
        <v>4</v>
      </c>
      <c r="AY161" t="str">
        <f t="shared" si="30"/>
        <v>2-5</v>
      </c>
      <c r="AZ161">
        <v>3</v>
      </c>
      <c r="BA161" t="str">
        <f t="shared" si="42"/>
        <v>2-5</v>
      </c>
      <c r="BB161">
        <v>1</v>
      </c>
      <c r="BC161" t="str">
        <f t="shared" si="43"/>
        <v>0-1</v>
      </c>
      <c r="BD161">
        <v>2</v>
      </c>
      <c r="BE161" t="str">
        <f t="shared" si="44"/>
        <v>2-5</v>
      </c>
    </row>
    <row r="162" spans="1:57" x14ac:dyDescent="0.3">
      <c r="A162">
        <v>217</v>
      </c>
      <c r="B162">
        <v>22</v>
      </c>
      <c r="C162" t="str">
        <f t="shared" si="31"/>
        <v>18-25</v>
      </c>
      <c r="D162" t="s">
        <v>71</v>
      </c>
      <c r="E162">
        <f t="shared" si="32"/>
        <v>0</v>
      </c>
      <c r="F162" t="s">
        <v>57</v>
      </c>
      <c r="G162">
        <v>1256</v>
      </c>
      <c r="H162" t="str">
        <f t="shared" si="33"/>
        <v>1001-1499</v>
      </c>
      <c r="I162" t="s">
        <v>73</v>
      </c>
      <c r="J162">
        <v>19</v>
      </c>
      <c r="K162" t="str">
        <f t="shared" si="34"/>
        <v>11-20</v>
      </c>
      <c r="L162">
        <v>1</v>
      </c>
      <c r="M162" t="s">
        <v>74</v>
      </c>
      <c r="N162" t="s">
        <v>83</v>
      </c>
      <c r="O162">
        <v>1</v>
      </c>
      <c r="P162">
        <v>3</v>
      </c>
      <c r="Q162" t="s">
        <v>63</v>
      </c>
      <c r="R162" t="s">
        <v>75</v>
      </c>
      <c r="S162">
        <v>80</v>
      </c>
      <c r="T162" t="str">
        <f t="shared" si="35"/>
        <v>76-100</v>
      </c>
      <c r="U162">
        <v>3</v>
      </c>
      <c r="V162" t="s">
        <v>63</v>
      </c>
      <c r="W162">
        <v>1</v>
      </c>
      <c r="X162" t="s">
        <v>76</v>
      </c>
      <c r="Y162">
        <v>4</v>
      </c>
      <c r="Z162" t="s">
        <v>65</v>
      </c>
      <c r="AA162" t="s">
        <v>77</v>
      </c>
      <c r="AB162" s="4">
        <v>2323</v>
      </c>
      <c r="AC162" s="4" t="str">
        <f t="shared" si="36"/>
        <v>$1,000-$2,500</v>
      </c>
      <c r="AD162">
        <v>11992</v>
      </c>
      <c r="AE162" t="str">
        <f t="shared" si="37"/>
        <v>$8,001-$16,000</v>
      </c>
      <c r="AF162">
        <v>1</v>
      </c>
      <c r="AG162" t="str">
        <f t="shared" si="38"/>
        <v>0-1</v>
      </c>
      <c r="AH162" t="s">
        <v>67</v>
      </c>
      <c r="AI162" t="s">
        <v>71</v>
      </c>
      <c r="AJ162">
        <v>24</v>
      </c>
      <c r="AK162" t="str">
        <f t="shared" si="39"/>
        <v>18-19%</v>
      </c>
      <c r="AL162">
        <v>4</v>
      </c>
      <c r="AM162" t="s">
        <v>78</v>
      </c>
      <c r="AN162">
        <v>1</v>
      </c>
      <c r="AO162" t="s">
        <v>69</v>
      </c>
      <c r="AP162">
        <v>80</v>
      </c>
      <c r="AQ162">
        <v>2</v>
      </c>
      <c r="AR162">
        <v>2</v>
      </c>
      <c r="AS162" t="str">
        <f t="shared" si="40"/>
        <v>0-2</v>
      </c>
      <c r="AT162">
        <v>6</v>
      </c>
      <c r="AU162" t="str">
        <f t="shared" si="41"/>
        <v>5-6</v>
      </c>
      <c r="AV162">
        <v>3</v>
      </c>
      <c r="AW162" t="s">
        <v>79</v>
      </c>
      <c r="AX162">
        <v>2</v>
      </c>
      <c r="AY162" t="str">
        <f t="shared" si="30"/>
        <v>2-5</v>
      </c>
      <c r="AZ162">
        <v>2</v>
      </c>
      <c r="BA162" t="str">
        <f t="shared" si="42"/>
        <v>2-5</v>
      </c>
      <c r="BB162">
        <v>2</v>
      </c>
      <c r="BC162" t="str">
        <f t="shared" si="43"/>
        <v>2-5</v>
      </c>
      <c r="BD162">
        <v>2</v>
      </c>
      <c r="BE162" t="str">
        <f t="shared" si="44"/>
        <v>2-5</v>
      </c>
    </row>
    <row r="163" spans="1:57" x14ac:dyDescent="0.3">
      <c r="A163">
        <v>218</v>
      </c>
      <c r="B163">
        <v>27</v>
      </c>
      <c r="C163" t="str">
        <f t="shared" si="31"/>
        <v>26-35</v>
      </c>
      <c r="D163" t="s">
        <v>71</v>
      </c>
      <c r="E163">
        <f t="shared" si="32"/>
        <v>0</v>
      </c>
      <c r="F163" t="s">
        <v>89</v>
      </c>
      <c r="G163">
        <v>691</v>
      </c>
      <c r="H163" t="str">
        <f t="shared" si="33"/>
        <v>501-1000</v>
      </c>
      <c r="I163" t="s">
        <v>73</v>
      </c>
      <c r="J163">
        <v>9</v>
      </c>
      <c r="K163" t="str">
        <f t="shared" si="34"/>
        <v>6-10</v>
      </c>
      <c r="L163">
        <v>3</v>
      </c>
      <c r="M163" t="s">
        <v>85</v>
      </c>
      <c r="N163" t="s">
        <v>83</v>
      </c>
      <c r="O163">
        <v>1</v>
      </c>
      <c r="P163">
        <v>4</v>
      </c>
      <c r="Q163" t="s">
        <v>65</v>
      </c>
      <c r="R163" t="s">
        <v>75</v>
      </c>
      <c r="S163">
        <v>57</v>
      </c>
      <c r="T163" t="str">
        <f t="shared" si="35"/>
        <v>51-75</v>
      </c>
      <c r="U163">
        <v>3</v>
      </c>
      <c r="V163" t="s">
        <v>63</v>
      </c>
      <c r="W163">
        <v>1</v>
      </c>
      <c r="X163" t="s">
        <v>76</v>
      </c>
      <c r="Y163">
        <v>2</v>
      </c>
      <c r="Z163" t="s">
        <v>61</v>
      </c>
      <c r="AA163" t="s">
        <v>86</v>
      </c>
      <c r="AB163" s="4">
        <v>2024</v>
      </c>
      <c r="AC163" s="4" t="str">
        <f t="shared" si="36"/>
        <v>$1,000-$2,500</v>
      </c>
      <c r="AD163">
        <v>5970</v>
      </c>
      <c r="AE163" t="str">
        <f t="shared" si="37"/>
        <v>$2,094-$8,000</v>
      </c>
      <c r="AF163">
        <v>6</v>
      </c>
      <c r="AG163" t="str">
        <f t="shared" si="38"/>
        <v>4-6</v>
      </c>
      <c r="AH163" t="s">
        <v>67</v>
      </c>
      <c r="AI163" t="s">
        <v>71</v>
      </c>
      <c r="AJ163">
        <v>18</v>
      </c>
      <c r="AK163" t="str">
        <f t="shared" si="39"/>
        <v>18-19%</v>
      </c>
      <c r="AL163">
        <v>3</v>
      </c>
      <c r="AM163" t="s">
        <v>68</v>
      </c>
      <c r="AN163">
        <v>4</v>
      </c>
      <c r="AO163" t="s">
        <v>65</v>
      </c>
      <c r="AP163">
        <v>80</v>
      </c>
      <c r="AQ163">
        <v>1</v>
      </c>
      <c r="AR163">
        <v>6</v>
      </c>
      <c r="AS163" t="str">
        <f t="shared" si="40"/>
        <v>6-10</v>
      </c>
      <c r="AT163">
        <v>1</v>
      </c>
      <c r="AU163" t="str">
        <f t="shared" si="41"/>
        <v>0-2</v>
      </c>
      <c r="AV163">
        <v>1</v>
      </c>
      <c r="AW163" t="s">
        <v>70</v>
      </c>
      <c r="AX163">
        <v>2</v>
      </c>
      <c r="AY163" t="str">
        <f t="shared" si="30"/>
        <v>2-5</v>
      </c>
      <c r="AZ163">
        <v>2</v>
      </c>
      <c r="BA163" t="str">
        <f t="shared" si="42"/>
        <v>2-5</v>
      </c>
      <c r="BB163">
        <v>2</v>
      </c>
      <c r="BC163" t="str">
        <f t="shared" si="43"/>
        <v>2-5</v>
      </c>
      <c r="BD163">
        <v>2</v>
      </c>
      <c r="BE163" t="str">
        <f t="shared" si="44"/>
        <v>2-5</v>
      </c>
    </row>
    <row r="164" spans="1:57" x14ac:dyDescent="0.3">
      <c r="A164">
        <v>221</v>
      </c>
      <c r="B164">
        <v>28</v>
      </c>
      <c r="C164" t="str">
        <f t="shared" si="31"/>
        <v>26-35</v>
      </c>
      <c r="D164" t="s">
        <v>71</v>
      </c>
      <c r="E164">
        <f t="shared" si="32"/>
        <v>0</v>
      </c>
      <c r="F164" t="s">
        <v>57</v>
      </c>
      <c r="G164">
        <v>440</v>
      </c>
      <c r="H164" t="str">
        <f t="shared" si="33"/>
        <v>102-500</v>
      </c>
      <c r="I164" t="s">
        <v>73</v>
      </c>
      <c r="J164">
        <v>21</v>
      </c>
      <c r="K164" t="str">
        <f t="shared" si="34"/>
        <v>21-29</v>
      </c>
      <c r="L164">
        <v>3</v>
      </c>
      <c r="M164" t="s">
        <v>85</v>
      </c>
      <c r="N164" t="s">
        <v>83</v>
      </c>
      <c r="O164">
        <v>1</v>
      </c>
      <c r="P164">
        <v>3</v>
      </c>
      <c r="Q164" t="s">
        <v>63</v>
      </c>
      <c r="R164" t="s">
        <v>75</v>
      </c>
      <c r="S164">
        <v>42</v>
      </c>
      <c r="T164" t="str">
        <f t="shared" si="35"/>
        <v>30-50</v>
      </c>
      <c r="U164">
        <v>3</v>
      </c>
      <c r="V164" t="s">
        <v>63</v>
      </c>
      <c r="W164">
        <v>1</v>
      </c>
      <c r="X164" t="s">
        <v>76</v>
      </c>
      <c r="Y164">
        <v>4</v>
      </c>
      <c r="Z164" t="s">
        <v>65</v>
      </c>
      <c r="AA164" t="s">
        <v>77</v>
      </c>
      <c r="AB164" s="4">
        <v>2713</v>
      </c>
      <c r="AC164" s="4" t="str">
        <f t="shared" si="36"/>
        <v>$2,500-$4,000</v>
      </c>
      <c r="AD164">
        <v>6672</v>
      </c>
      <c r="AE164" t="str">
        <f t="shared" si="37"/>
        <v>$2,094-$8,000</v>
      </c>
      <c r="AF164">
        <v>1</v>
      </c>
      <c r="AG164" t="str">
        <f t="shared" si="38"/>
        <v>0-1</v>
      </c>
      <c r="AH164" t="s">
        <v>67</v>
      </c>
      <c r="AI164" t="s">
        <v>71</v>
      </c>
      <c r="AJ164">
        <v>11</v>
      </c>
      <c r="AK164" t="str">
        <f t="shared" si="39"/>
        <v>11-12%</v>
      </c>
      <c r="AL164">
        <v>3</v>
      </c>
      <c r="AM164" t="s">
        <v>68</v>
      </c>
      <c r="AN164">
        <v>3</v>
      </c>
      <c r="AO164" t="s">
        <v>63</v>
      </c>
      <c r="AP164">
        <v>80</v>
      </c>
      <c r="AQ164">
        <v>1</v>
      </c>
      <c r="AR164">
        <v>5</v>
      </c>
      <c r="AS164" t="str">
        <f t="shared" si="40"/>
        <v>3-5</v>
      </c>
      <c r="AT164">
        <v>2</v>
      </c>
      <c r="AU164" t="str">
        <f t="shared" si="41"/>
        <v>0-2</v>
      </c>
      <c r="AV164">
        <v>1</v>
      </c>
      <c r="AW164" t="s">
        <v>70</v>
      </c>
      <c r="AX164">
        <v>5</v>
      </c>
      <c r="AY164" t="str">
        <f t="shared" si="30"/>
        <v>2-5</v>
      </c>
      <c r="AZ164">
        <v>2</v>
      </c>
      <c r="BA164" t="str">
        <f t="shared" si="42"/>
        <v>2-5</v>
      </c>
      <c r="BB164">
        <v>0</v>
      </c>
      <c r="BC164" t="str">
        <f t="shared" si="43"/>
        <v>0-1</v>
      </c>
      <c r="BD164">
        <v>2</v>
      </c>
      <c r="BE164" t="str">
        <f t="shared" si="44"/>
        <v>2-5</v>
      </c>
    </row>
    <row r="165" spans="1:57" x14ac:dyDescent="0.3">
      <c r="A165">
        <v>223</v>
      </c>
      <c r="B165">
        <v>57</v>
      </c>
      <c r="C165" t="str">
        <f t="shared" si="31"/>
        <v>56+</v>
      </c>
      <c r="D165" t="s">
        <v>71</v>
      </c>
      <c r="E165">
        <f t="shared" si="32"/>
        <v>0</v>
      </c>
      <c r="F165" t="s">
        <v>57</v>
      </c>
      <c r="G165">
        <v>334</v>
      </c>
      <c r="H165" t="str">
        <f t="shared" si="33"/>
        <v>102-500</v>
      </c>
      <c r="I165" t="s">
        <v>73</v>
      </c>
      <c r="J165">
        <v>24</v>
      </c>
      <c r="K165" t="str">
        <f t="shared" si="34"/>
        <v>21-29</v>
      </c>
      <c r="L165">
        <v>2</v>
      </c>
      <c r="M165" t="s">
        <v>59</v>
      </c>
      <c r="N165" t="s">
        <v>60</v>
      </c>
      <c r="O165">
        <v>1</v>
      </c>
      <c r="P165">
        <v>3</v>
      </c>
      <c r="Q165" t="s">
        <v>63</v>
      </c>
      <c r="R165" t="s">
        <v>75</v>
      </c>
      <c r="S165">
        <v>83</v>
      </c>
      <c r="T165" t="str">
        <f t="shared" si="35"/>
        <v>76-100</v>
      </c>
      <c r="U165">
        <v>4</v>
      </c>
      <c r="V165" t="s">
        <v>65</v>
      </c>
      <c r="W165">
        <v>3</v>
      </c>
      <c r="X165" t="s">
        <v>88</v>
      </c>
      <c r="Y165">
        <v>4</v>
      </c>
      <c r="Z165" t="s">
        <v>65</v>
      </c>
      <c r="AA165" t="s">
        <v>86</v>
      </c>
      <c r="AB165" s="4">
        <v>9439</v>
      </c>
      <c r="AC165" s="4" t="str">
        <f t="shared" si="36"/>
        <v>$8,500-$10,000</v>
      </c>
      <c r="AD165">
        <v>23402</v>
      </c>
      <c r="AE165" t="str">
        <f t="shared" si="37"/>
        <v>$22,001-$26,999</v>
      </c>
      <c r="AF165">
        <v>3</v>
      </c>
      <c r="AG165" t="str">
        <f t="shared" si="38"/>
        <v>2-3</v>
      </c>
      <c r="AH165" t="s">
        <v>67</v>
      </c>
      <c r="AI165" t="s">
        <v>56</v>
      </c>
      <c r="AJ165">
        <v>16</v>
      </c>
      <c r="AK165" t="str">
        <f t="shared" si="39"/>
        <v>16-17%</v>
      </c>
      <c r="AL165">
        <v>3</v>
      </c>
      <c r="AM165" t="s">
        <v>68</v>
      </c>
      <c r="AN165">
        <v>2</v>
      </c>
      <c r="AO165" t="s">
        <v>61</v>
      </c>
      <c r="AP165">
        <v>80</v>
      </c>
      <c r="AQ165">
        <v>1</v>
      </c>
      <c r="AR165">
        <v>12</v>
      </c>
      <c r="AS165" t="str">
        <f t="shared" si="40"/>
        <v>11-20</v>
      </c>
      <c r="AT165">
        <v>2</v>
      </c>
      <c r="AU165" t="str">
        <f t="shared" si="41"/>
        <v>0-2</v>
      </c>
      <c r="AV165">
        <v>1</v>
      </c>
      <c r="AW165" t="s">
        <v>70</v>
      </c>
      <c r="AX165">
        <v>5</v>
      </c>
      <c r="AY165" t="str">
        <f t="shared" si="30"/>
        <v>2-5</v>
      </c>
      <c r="AZ165">
        <v>3</v>
      </c>
      <c r="BA165" t="str">
        <f t="shared" si="42"/>
        <v>2-5</v>
      </c>
      <c r="BB165">
        <v>1</v>
      </c>
      <c r="BC165" t="str">
        <f t="shared" si="43"/>
        <v>0-1</v>
      </c>
      <c r="BD165">
        <v>4</v>
      </c>
      <c r="BE165" t="str">
        <f t="shared" si="44"/>
        <v>2-5</v>
      </c>
    </row>
    <row r="166" spans="1:57" x14ac:dyDescent="0.3">
      <c r="A166">
        <v>224</v>
      </c>
      <c r="B166">
        <v>27</v>
      </c>
      <c r="C166" t="str">
        <f t="shared" si="31"/>
        <v>26-35</v>
      </c>
      <c r="D166" t="s">
        <v>71</v>
      </c>
      <c r="E166">
        <f t="shared" si="32"/>
        <v>0</v>
      </c>
      <c r="F166" t="s">
        <v>89</v>
      </c>
      <c r="G166">
        <v>1450</v>
      </c>
      <c r="H166" t="str">
        <f t="shared" si="33"/>
        <v>1001-1499</v>
      </c>
      <c r="I166" t="s">
        <v>73</v>
      </c>
      <c r="J166">
        <v>3</v>
      </c>
      <c r="K166" t="str">
        <f t="shared" si="34"/>
        <v>1-5</v>
      </c>
      <c r="L166">
        <v>3</v>
      </c>
      <c r="M166" t="s">
        <v>85</v>
      </c>
      <c r="N166" t="s">
        <v>83</v>
      </c>
      <c r="O166">
        <v>1</v>
      </c>
      <c r="P166">
        <v>3</v>
      </c>
      <c r="Q166" t="s">
        <v>63</v>
      </c>
      <c r="R166" t="s">
        <v>75</v>
      </c>
      <c r="S166">
        <v>79</v>
      </c>
      <c r="T166" t="str">
        <f t="shared" si="35"/>
        <v>76-100</v>
      </c>
      <c r="U166">
        <v>2</v>
      </c>
      <c r="V166" t="s">
        <v>61</v>
      </c>
      <c r="W166">
        <v>1</v>
      </c>
      <c r="X166" t="s">
        <v>76</v>
      </c>
      <c r="Y166">
        <v>3</v>
      </c>
      <c r="Z166" t="s">
        <v>63</v>
      </c>
      <c r="AA166" t="s">
        <v>86</v>
      </c>
      <c r="AB166" s="4">
        <v>2566</v>
      </c>
      <c r="AC166" s="4" t="str">
        <f t="shared" si="36"/>
        <v>$2,500-$4,000</v>
      </c>
      <c r="AD166">
        <v>25326</v>
      </c>
      <c r="AE166" t="str">
        <f t="shared" si="37"/>
        <v>$22,001-$26,999</v>
      </c>
      <c r="AF166">
        <v>1</v>
      </c>
      <c r="AG166" t="str">
        <f t="shared" si="38"/>
        <v>0-1</v>
      </c>
      <c r="AH166" t="s">
        <v>67</v>
      </c>
      <c r="AI166" t="s">
        <v>56</v>
      </c>
      <c r="AJ166">
        <v>15</v>
      </c>
      <c r="AK166" t="str">
        <f t="shared" si="39"/>
        <v>13-15%</v>
      </c>
      <c r="AL166">
        <v>3</v>
      </c>
      <c r="AM166" t="s">
        <v>68</v>
      </c>
      <c r="AN166">
        <v>4</v>
      </c>
      <c r="AO166" t="s">
        <v>65</v>
      </c>
      <c r="AP166">
        <v>80</v>
      </c>
      <c r="AQ166">
        <v>1</v>
      </c>
      <c r="AR166">
        <v>1</v>
      </c>
      <c r="AS166" t="str">
        <f t="shared" si="40"/>
        <v>0-2</v>
      </c>
      <c r="AT166">
        <v>2</v>
      </c>
      <c r="AU166" t="str">
        <f t="shared" si="41"/>
        <v>0-2</v>
      </c>
      <c r="AV166">
        <v>2</v>
      </c>
      <c r="AW166" t="s">
        <v>84</v>
      </c>
      <c r="AX166">
        <v>1</v>
      </c>
      <c r="AY166" t="str">
        <f t="shared" si="30"/>
        <v>0-1</v>
      </c>
      <c r="AZ166">
        <v>1</v>
      </c>
      <c r="BA166" t="str">
        <f t="shared" si="42"/>
        <v>0-1</v>
      </c>
      <c r="BB166">
        <v>0</v>
      </c>
      <c r="BC166" t="str">
        <f t="shared" si="43"/>
        <v>0-1</v>
      </c>
      <c r="BD166">
        <v>1</v>
      </c>
      <c r="BE166" t="str">
        <f t="shared" si="44"/>
        <v>0-1</v>
      </c>
    </row>
    <row r="167" spans="1:57" x14ac:dyDescent="0.3">
      <c r="A167">
        <v>226</v>
      </c>
      <c r="B167">
        <v>50</v>
      </c>
      <c r="C167" t="str">
        <f t="shared" si="31"/>
        <v>46-55</v>
      </c>
      <c r="D167" t="s">
        <v>71</v>
      </c>
      <c r="E167">
        <f t="shared" si="32"/>
        <v>0</v>
      </c>
      <c r="F167" t="s">
        <v>57</v>
      </c>
      <c r="G167">
        <v>1452</v>
      </c>
      <c r="H167" t="str">
        <f t="shared" si="33"/>
        <v>1001-1499</v>
      </c>
      <c r="I167" t="s">
        <v>73</v>
      </c>
      <c r="J167">
        <v>11</v>
      </c>
      <c r="K167" t="str">
        <f t="shared" si="34"/>
        <v>11-20</v>
      </c>
      <c r="L167">
        <v>3</v>
      </c>
      <c r="M167" t="s">
        <v>85</v>
      </c>
      <c r="N167" t="s">
        <v>60</v>
      </c>
      <c r="O167">
        <v>1</v>
      </c>
      <c r="P167">
        <v>3</v>
      </c>
      <c r="Q167" t="s">
        <v>63</v>
      </c>
      <c r="R167" t="s">
        <v>62</v>
      </c>
      <c r="S167">
        <v>53</v>
      </c>
      <c r="T167" t="str">
        <f t="shared" si="35"/>
        <v>51-75</v>
      </c>
      <c r="U167">
        <v>3</v>
      </c>
      <c r="V167" t="s">
        <v>63</v>
      </c>
      <c r="W167">
        <v>5</v>
      </c>
      <c r="X167" t="s">
        <v>90</v>
      </c>
      <c r="Y167">
        <v>2</v>
      </c>
      <c r="Z167" t="s">
        <v>61</v>
      </c>
      <c r="AA167" t="s">
        <v>66</v>
      </c>
      <c r="AB167" s="4">
        <v>19926</v>
      </c>
      <c r="AC167" s="4" t="str">
        <f t="shared" si="36"/>
        <v>$19,000-$20,500</v>
      </c>
      <c r="AD167">
        <v>17053</v>
      </c>
      <c r="AE167" t="str">
        <f t="shared" si="37"/>
        <v>$16,001-$22,000</v>
      </c>
      <c r="AF167">
        <v>3</v>
      </c>
      <c r="AG167" t="str">
        <f t="shared" si="38"/>
        <v>2-3</v>
      </c>
      <c r="AH167" t="s">
        <v>67</v>
      </c>
      <c r="AI167" t="s">
        <v>71</v>
      </c>
      <c r="AJ167">
        <v>15</v>
      </c>
      <c r="AK167" t="str">
        <f t="shared" si="39"/>
        <v>13-15%</v>
      </c>
      <c r="AL167">
        <v>3</v>
      </c>
      <c r="AM167" t="s">
        <v>68</v>
      </c>
      <c r="AN167">
        <v>2</v>
      </c>
      <c r="AO167" t="s">
        <v>61</v>
      </c>
      <c r="AP167">
        <v>80</v>
      </c>
      <c r="AQ167">
        <v>0</v>
      </c>
      <c r="AR167">
        <v>21</v>
      </c>
      <c r="AS167" t="str">
        <f t="shared" si="40"/>
        <v>21-40</v>
      </c>
      <c r="AT167">
        <v>5</v>
      </c>
      <c r="AU167" t="str">
        <f t="shared" si="41"/>
        <v>5-6</v>
      </c>
      <c r="AV167">
        <v>3</v>
      </c>
      <c r="AW167" t="s">
        <v>79</v>
      </c>
      <c r="AX167">
        <v>5</v>
      </c>
      <c r="AY167" t="str">
        <f t="shared" si="30"/>
        <v>2-5</v>
      </c>
      <c r="AZ167">
        <v>4</v>
      </c>
      <c r="BA167" t="str">
        <f t="shared" si="42"/>
        <v>2-5</v>
      </c>
      <c r="BB167">
        <v>4</v>
      </c>
      <c r="BC167" t="str">
        <f t="shared" si="43"/>
        <v>2-5</v>
      </c>
      <c r="BD167">
        <v>4</v>
      </c>
      <c r="BE167" t="str">
        <f t="shared" si="44"/>
        <v>2-5</v>
      </c>
    </row>
    <row r="168" spans="1:57" x14ac:dyDescent="0.3">
      <c r="A168">
        <v>227</v>
      </c>
      <c r="B168">
        <v>41</v>
      </c>
      <c r="C168" t="str">
        <f t="shared" si="31"/>
        <v>36-45</v>
      </c>
      <c r="D168" t="s">
        <v>71</v>
      </c>
      <c r="E168">
        <f t="shared" si="32"/>
        <v>0</v>
      </c>
      <c r="F168" t="s">
        <v>57</v>
      </c>
      <c r="G168">
        <v>465</v>
      </c>
      <c r="H168" t="str">
        <f t="shared" si="33"/>
        <v>102-500</v>
      </c>
      <c r="I168" t="s">
        <v>73</v>
      </c>
      <c r="J168">
        <v>14</v>
      </c>
      <c r="K168" t="str">
        <f t="shared" si="34"/>
        <v>11-20</v>
      </c>
      <c r="L168">
        <v>3</v>
      </c>
      <c r="M168" t="s">
        <v>85</v>
      </c>
      <c r="N168" t="s">
        <v>60</v>
      </c>
      <c r="O168">
        <v>1</v>
      </c>
      <c r="P168">
        <v>1</v>
      </c>
      <c r="Q168" t="s">
        <v>69</v>
      </c>
      <c r="R168" t="s">
        <v>75</v>
      </c>
      <c r="S168">
        <v>56</v>
      </c>
      <c r="T168" t="str">
        <f t="shared" si="35"/>
        <v>51-75</v>
      </c>
      <c r="U168">
        <v>3</v>
      </c>
      <c r="V168" t="s">
        <v>63</v>
      </c>
      <c r="W168">
        <v>1</v>
      </c>
      <c r="X168" t="s">
        <v>76</v>
      </c>
      <c r="Y168">
        <v>3</v>
      </c>
      <c r="Z168" t="s">
        <v>63</v>
      </c>
      <c r="AA168" t="s">
        <v>86</v>
      </c>
      <c r="AB168" s="4">
        <v>2451</v>
      </c>
      <c r="AC168" s="4" t="str">
        <f t="shared" si="36"/>
        <v>$1,000-$2,500</v>
      </c>
      <c r="AD168">
        <v>4609</v>
      </c>
      <c r="AE168" t="str">
        <f t="shared" si="37"/>
        <v>$2,094-$8,000</v>
      </c>
      <c r="AF168">
        <v>4</v>
      </c>
      <c r="AG168" t="str">
        <f t="shared" si="38"/>
        <v>4-6</v>
      </c>
      <c r="AH168" t="s">
        <v>67</v>
      </c>
      <c r="AI168" t="s">
        <v>71</v>
      </c>
      <c r="AJ168">
        <v>12</v>
      </c>
      <c r="AK168" t="str">
        <f t="shared" si="39"/>
        <v>11-12%</v>
      </c>
      <c r="AL168">
        <v>3</v>
      </c>
      <c r="AM168" t="s">
        <v>68</v>
      </c>
      <c r="AN168">
        <v>1</v>
      </c>
      <c r="AO168" t="s">
        <v>69</v>
      </c>
      <c r="AP168">
        <v>80</v>
      </c>
      <c r="AQ168">
        <v>1</v>
      </c>
      <c r="AR168">
        <v>13</v>
      </c>
      <c r="AS168" t="str">
        <f t="shared" si="40"/>
        <v>11-20</v>
      </c>
      <c r="AT168">
        <v>2</v>
      </c>
      <c r="AU168" t="str">
        <f t="shared" si="41"/>
        <v>0-2</v>
      </c>
      <c r="AV168">
        <v>3</v>
      </c>
      <c r="AW168" t="s">
        <v>79</v>
      </c>
      <c r="AX168">
        <v>9</v>
      </c>
      <c r="AY168" t="str">
        <f t="shared" si="30"/>
        <v>6-10</v>
      </c>
      <c r="AZ168">
        <v>8</v>
      </c>
      <c r="BA168" t="str">
        <f t="shared" si="42"/>
        <v>6-10</v>
      </c>
      <c r="BB168">
        <v>1</v>
      </c>
      <c r="BC168" t="str">
        <f t="shared" si="43"/>
        <v>0-1</v>
      </c>
      <c r="BD168">
        <v>8</v>
      </c>
      <c r="BE168" t="str">
        <f t="shared" si="44"/>
        <v>6-10</v>
      </c>
    </row>
    <row r="169" spans="1:57" x14ac:dyDescent="0.3">
      <c r="A169">
        <v>228</v>
      </c>
      <c r="B169">
        <v>30</v>
      </c>
      <c r="C169" t="str">
        <f t="shared" si="31"/>
        <v>26-35</v>
      </c>
      <c r="D169" t="s">
        <v>71</v>
      </c>
      <c r="E169">
        <f t="shared" si="32"/>
        <v>0</v>
      </c>
      <c r="F169" t="s">
        <v>57</v>
      </c>
      <c r="G169">
        <v>1339</v>
      </c>
      <c r="H169" t="str">
        <f t="shared" si="33"/>
        <v>1001-1499</v>
      </c>
      <c r="I169" t="s">
        <v>58</v>
      </c>
      <c r="J169">
        <v>5</v>
      </c>
      <c r="K169" t="str">
        <f t="shared" si="34"/>
        <v>1-5</v>
      </c>
      <c r="L169">
        <v>3</v>
      </c>
      <c r="M169" t="s">
        <v>85</v>
      </c>
      <c r="N169" t="s">
        <v>60</v>
      </c>
      <c r="O169">
        <v>1</v>
      </c>
      <c r="P169">
        <v>2</v>
      </c>
      <c r="Q169" t="s">
        <v>61</v>
      </c>
      <c r="R169" t="s">
        <v>62</v>
      </c>
      <c r="S169">
        <v>41</v>
      </c>
      <c r="T169" t="str">
        <f t="shared" si="35"/>
        <v>30-50</v>
      </c>
      <c r="U169">
        <v>3</v>
      </c>
      <c r="V169" t="s">
        <v>63</v>
      </c>
      <c r="W169">
        <v>3</v>
      </c>
      <c r="X169" t="s">
        <v>64</v>
      </c>
      <c r="Y169">
        <v>4</v>
      </c>
      <c r="Z169" t="s">
        <v>65</v>
      </c>
      <c r="AA169" t="s">
        <v>77</v>
      </c>
      <c r="AB169" s="4">
        <v>9419</v>
      </c>
      <c r="AC169" s="4" t="str">
        <f t="shared" si="36"/>
        <v>$8,500-$10,000</v>
      </c>
      <c r="AD169">
        <v>8053</v>
      </c>
      <c r="AE169" t="str">
        <f t="shared" si="37"/>
        <v>$8,001-$16,000</v>
      </c>
      <c r="AF169">
        <v>2</v>
      </c>
      <c r="AG169" t="str">
        <f t="shared" si="38"/>
        <v>2-3</v>
      </c>
      <c r="AH169" t="s">
        <v>67</v>
      </c>
      <c r="AI169" t="s">
        <v>71</v>
      </c>
      <c r="AJ169">
        <v>12</v>
      </c>
      <c r="AK169" t="str">
        <f t="shared" si="39"/>
        <v>11-12%</v>
      </c>
      <c r="AL169">
        <v>3</v>
      </c>
      <c r="AM169" t="s">
        <v>68</v>
      </c>
      <c r="AN169">
        <v>3</v>
      </c>
      <c r="AO169" t="s">
        <v>63</v>
      </c>
      <c r="AP169">
        <v>80</v>
      </c>
      <c r="AQ169">
        <v>1</v>
      </c>
      <c r="AR169">
        <v>12</v>
      </c>
      <c r="AS169" t="str">
        <f t="shared" si="40"/>
        <v>11-20</v>
      </c>
      <c r="AT169">
        <v>2</v>
      </c>
      <c r="AU169" t="str">
        <f t="shared" si="41"/>
        <v>0-2</v>
      </c>
      <c r="AV169">
        <v>3</v>
      </c>
      <c r="AW169" t="s">
        <v>79</v>
      </c>
      <c r="AX169">
        <v>10</v>
      </c>
      <c r="AY169" t="str">
        <f t="shared" si="30"/>
        <v>6-10</v>
      </c>
      <c r="AZ169">
        <v>9</v>
      </c>
      <c r="BA169" t="str">
        <f t="shared" si="42"/>
        <v>6-10</v>
      </c>
      <c r="BB169">
        <v>7</v>
      </c>
      <c r="BC169" t="str">
        <f t="shared" si="43"/>
        <v>6-10</v>
      </c>
      <c r="BD169">
        <v>4</v>
      </c>
      <c r="BE169" t="str">
        <f t="shared" si="44"/>
        <v>2-5</v>
      </c>
    </row>
    <row r="170" spans="1:57" x14ac:dyDescent="0.3">
      <c r="A170">
        <v>230</v>
      </c>
      <c r="B170">
        <v>38</v>
      </c>
      <c r="C170" t="str">
        <f t="shared" si="31"/>
        <v>36-45</v>
      </c>
      <c r="D170" t="s">
        <v>71</v>
      </c>
      <c r="E170">
        <f t="shared" si="32"/>
        <v>0</v>
      </c>
      <c r="F170" t="s">
        <v>57</v>
      </c>
      <c r="G170">
        <v>702</v>
      </c>
      <c r="H170" t="str">
        <f t="shared" si="33"/>
        <v>501-1000</v>
      </c>
      <c r="I170" t="s">
        <v>58</v>
      </c>
      <c r="J170">
        <v>1</v>
      </c>
      <c r="K170" t="str">
        <f t="shared" si="34"/>
        <v>1-5</v>
      </c>
      <c r="L170">
        <v>4</v>
      </c>
      <c r="M170" t="s">
        <v>82</v>
      </c>
      <c r="N170" t="s">
        <v>60</v>
      </c>
      <c r="O170">
        <v>1</v>
      </c>
      <c r="P170">
        <v>1</v>
      </c>
      <c r="Q170" t="s">
        <v>69</v>
      </c>
      <c r="R170" t="s">
        <v>62</v>
      </c>
      <c r="S170">
        <v>59</v>
      </c>
      <c r="T170" t="str">
        <f t="shared" si="35"/>
        <v>51-75</v>
      </c>
      <c r="U170">
        <v>2</v>
      </c>
      <c r="V170" t="s">
        <v>61</v>
      </c>
      <c r="W170">
        <v>2</v>
      </c>
      <c r="X170" t="s">
        <v>64</v>
      </c>
      <c r="Y170">
        <v>4</v>
      </c>
      <c r="Z170" t="s">
        <v>65</v>
      </c>
      <c r="AA170" t="s">
        <v>66</v>
      </c>
      <c r="AB170" s="4">
        <v>8686</v>
      </c>
      <c r="AC170" s="4" t="str">
        <f t="shared" si="36"/>
        <v>$8,500-$10,000</v>
      </c>
      <c r="AD170">
        <v>12930</v>
      </c>
      <c r="AE170" t="str">
        <f t="shared" si="37"/>
        <v>$8,001-$16,000</v>
      </c>
      <c r="AF170">
        <v>4</v>
      </c>
      <c r="AG170" t="str">
        <f t="shared" si="38"/>
        <v>4-6</v>
      </c>
      <c r="AH170" t="s">
        <v>67</v>
      </c>
      <c r="AI170" t="s">
        <v>71</v>
      </c>
      <c r="AJ170">
        <v>22</v>
      </c>
      <c r="AK170" t="str">
        <f t="shared" si="39"/>
        <v>18-19%</v>
      </c>
      <c r="AL170">
        <v>4</v>
      </c>
      <c r="AM170" t="s">
        <v>78</v>
      </c>
      <c r="AN170">
        <v>3</v>
      </c>
      <c r="AO170" t="s">
        <v>63</v>
      </c>
      <c r="AP170">
        <v>80</v>
      </c>
      <c r="AQ170">
        <v>0</v>
      </c>
      <c r="AR170">
        <v>12</v>
      </c>
      <c r="AS170" t="str">
        <f t="shared" si="40"/>
        <v>11-20</v>
      </c>
      <c r="AT170">
        <v>2</v>
      </c>
      <c r="AU170" t="str">
        <f t="shared" si="41"/>
        <v>0-2</v>
      </c>
      <c r="AV170">
        <v>4</v>
      </c>
      <c r="AW170" t="s">
        <v>94</v>
      </c>
      <c r="AX170">
        <v>8</v>
      </c>
      <c r="AY170" t="str">
        <f t="shared" si="30"/>
        <v>6-10</v>
      </c>
      <c r="AZ170">
        <v>3</v>
      </c>
      <c r="BA170" t="str">
        <f t="shared" si="42"/>
        <v>2-5</v>
      </c>
      <c r="BB170">
        <v>0</v>
      </c>
      <c r="BC170" t="str">
        <f t="shared" si="43"/>
        <v>0-1</v>
      </c>
      <c r="BD170">
        <v>7</v>
      </c>
      <c r="BE170" t="str">
        <f t="shared" si="44"/>
        <v>6-10</v>
      </c>
    </row>
    <row r="171" spans="1:57" x14ac:dyDescent="0.3">
      <c r="A171">
        <v>231</v>
      </c>
      <c r="B171">
        <v>32</v>
      </c>
      <c r="C171" t="str">
        <f t="shared" si="31"/>
        <v>26-35</v>
      </c>
      <c r="D171" t="s">
        <v>71</v>
      </c>
      <c r="E171">
        <f t="shared" si="32"/>
        <v>0</v>
      </c>
      <c r="F171" t="s">
        <v>57</v>
      </c>
      <c r="G171">
        <v>120</v>
      </c>
      <c r="H171" t="str">
        <f t="shared" si="33"/>
        <v>102-500</v>
      </c>
      <c r="I171" t="s">
        <v>73</v>
      </c>
      <c r="J171">
        <v>6</v>
      </c>
      <c r="K171" t="str">
        <f t="shared" si="34"/>
        <v>6-10</v>
      </c>
      <c r="L171">
        <v>5</v>
      </c>
      <c r="M171" t="s">
        <v>96</v>
      </c>
      <c r="N171" t="s">
        <v>60</v>
      </c>
      <c r="O171">
        <v>1</v>
      </c>
      <c r="P171">
        <v>3</v>
      </c>
      <c r="Q171" t="s">
        <v>63</v>
      </c>
      <c r="R171" t="s">
        <v>75</v>
      </c>
      <c r="S171">
        <v>43</v>
      </c>
      <c r="T171" t="str">
        <f t="shared" si="35"/>
        <v>30-50</v>
      </c>
      <c r="U171">
        <v>3</v>
      </c>
      <c r="V171" t="s">
        <v>63</v>
      </c>
      <c r="W171">
        <v>1</v>
      </c>
      <c r="X171" t="s">
        <v>76</v>
      </c>
      <c r="Y171">
        <v>3</v>
      </c>
      <c r="Z171" t="s">
        <v>63</v>
      </c>
      <c r="AA171" t="s">
        <v>66</v>
      </c>
      <c r="AB171" s="4">
        <v>3038</v>
      </c>
      <c r="AC171" s="4" t="str">
        <f t="shared" si="36"/>
        <v>$2,500-$4,000</v>
      </c>
      <c r="AD171">
        <v>12430</v>
      </c>
      <c r="AE171" t="str">
        <f t="shared" si="37"/>
        <v>$8,001-$16,000</v>
      </c>
      <c r="AF171">
        <v>3</v>
      </c>
      <c r="AG171" t="str">
        <f t="shared" si="38"/>
        <v>2-3</v>
      </c>
      <c r="AH171" t="s">
        <v>67</v>
      </c>
      <c r="AI171" t="s">
        <v>71</v>
      </c>
      <c r="AJ171">
        <v>20</v>
      </c>
      <c r="AK171" t="str">
        <f t="shared" si="39"/>
        <v>18-19%</v>
      </c>
      <c r="AL171">
        <v>4</v>
      </c>
      <c r="AM171" t="s">
        <v>78</v>
      </c>
      <c r="AN171">
        <v>1</v>
      </c>
      <c r="AO171" t="s">
        <v>69</v>
      </c>
      <c r="AP171">
        <v>80</v>
      </c>
      <c r="AQ171">
        <v>0</v>
      </c>
      <c r="AR171">
        <v>8</v>
      </c>
      <c r="AS171" t="str">
        <f t="shared" si="40"/>
        <v>6-10</v>
      </c>
      <c r="AT171">
        <v>2</v>
      </c>
      <c r="AU171" t="str">
        <f t="shared" si="41"/>
        <v>0-2</v>
      </c>
      <c r="AV171">
        <v>3</v>
      </c>
      <c r="AW171" t="s">
        <v>79</v>
      </c>
      <c r="AX171">
        <v>5</v>
      </c>
      <c r="AY171" t="str">
        <f t="shared" si="30"/>
        <v>2-5</v>
      </c>
      <c r="AZ171">
        <v>4</v>
      </c>
      <c r="BA171" t="str">
        <f t="shared" si="42"/>
        <v>2-5</v>
      </c>
      <c r="BB171">
        <v>1</v>
      </c>
      <c r="BC171" t="str">
        <f t="shared" si="43"/>
        <v>0-1</v>
      </c>
      <c r="BD171">
        <v>4</v>
      </c>
      <c r="BE171" t="str">
        <f t="shared" si="44"/>
        <v>2-5</v>
      </c>
    </row>
    <row r="172" spans="1:57" x14ac:dyDescent="0.3">
      <c r="A172">
        <v>233</v>
      </c>
      <c r="B172">
        <v>27</v>
      </c>
      <c r="C172" t="str">
        <f t="shared" si="31"/>
        <v>26-35</v>
      </c>
      <c r="D172" t="s">
        <v>71</v>
      </c>
      <c r="E172">
        <f t="shared" si="32"/>
        <v>0</v>
      </c>
      <c r="F172" t="s">
        <v>57</v>
      </c>
      <c r="G172">
        <v>1157</v>
      </c>
      <c r="H172" t="str">
        <f t="shared" si="33"/>
        <v>1001-1499</v>
      </c>
      <c r="I172" t="s">
        <v>73</v>
      </c>
      <c r="J172">
        <v>17</v>
      </c>
      <c r="K172" t="str">
        <f t="shared" si="34"/>
        <v>11-20</v>
      </c>
      <c r="L172">
        <v>3</v>
      </c>
      <c r="M172" t="s">
        <v>85</v>
      </c>
      <c r="N172" t="s">
        <v>95</v>
      </c>
      <c r="O172">
        <v>1</v>
      </c>
      <c r="P172">
        <v>3</v>
      </c>
      <c r="Q172" t="s">
        <v>63</v>
      </c>
      <c r="R172" t="s">
        <v>75</v>
      </c>
      <c r="S172">
        <v>51</v>
      </c>
      <c r="T172" t="str">
        <f t="shared" si="35"/>
        <v>51-75</v>
      </c>
      <c r="U172">
        <v>3</v>
      </c>
      <c r="V172" t="s">
        <v>63</v>
      </c>
      <c r="W172">
        <v>1</v>
      </c>
      <c r="X172" t="s">
        <v>76</v>
      </c>
      <c r="Y172">
        <v>2</v>
      </c>
      <c r="Z172" t="s">
        <v>61</v>
      </c>
      <c r="AA172" t="s">
        <v>77</v>
      </c>
      <c r="AB172" s="4">
        <v>3058</v>
      </c>
      <c r="AC172" s="4" t="str">
        <f t="shared" si="36"/>
        <v>$2,500-$4,000</v>
      </c>
      <c r="AD172">
        <v>13364</v>
      </c>
      <c r="AE172" t="str">
        <f t="shared" si="37"/>
        <v>$8,001-$16,000</v>
      </c>
      <c r="AF172">
        <v>0</v>
      </c>
      <c r="AG172" t="str">
        <f t="shared" si="38"/>
        <v>0-1</v>
      </c>
      <c r="AH172" t="s">
        <v>67</v>
      </c>
      <c r="AI172" t="s">
        <v>56</v>
      </c>
      <c r="AJ172">
        <v>16</v>
      </c>
      <c r="AK172" t="str">
        <f t="shared" si="39"/>
        <v>16-17%</v>
      </c>
      <c r="AL172">
        <v>3</v>
      </c>
      <c r="AM172" t="s">
        <v>68</v>
      </c>
      <c r="AN172">
        <v>4</v>
      </c>
      <c r="AO172" t="s">
        <v>65</v>
      </c>
      <c r="AP172">
        <v>80</v>
      </c>
      <c r="AQ172">
        <v>1</v>
      </c>
      <c r="AR172">
        <v>6</v>
      </c>
      <c r="AS172" t="str">
        <f t="shared" si="40"/>
        <v>6-10</v>
      </c>
      <c r="AT172">
        <v>3</v>
      </c>
      <c r="AU172" t="str">
        <f t="shared" si="41"/>
        <v>3-4</v>
      </c>
      <c r="AV172">
        <v>2</v>
      </c>
      <c r="AW172" t="s">
        <v>84</v>
      </c>
      <c r="AX172">
        <v>5</v>
      </c>
      <c r="AY172" t="str">
        <f t="shared" si="30"/>
        <v>2-5</v>
      </c>
      <c r="AZ172">
        <v>2</v>
      </c>
      <c r="BA172" t="str">
        <f t="shared" si="42"/>
        <v>2-5</v>
      </c>
      <c r="BB172">
        <v>1</v>
      </c>
      <c r="BC172" t="str">
        <f t="shared" si="43"/>
        <v>0-1</v>
      </c>
      <c r="BD172">
        <v>1</v>
      </c>
      <c r="BE172" t="str">
        <f t="shared" si="44"/>
        <v>0-1</v>
      </c>
    </row>
    <row r="173" spans="1:57" x14ac:dyDescent="0.3">
      <c r="A173">
        <v>235</v>
      </c>
      <c r="B173">
        <v>19</v>
      </c>
      <c r="C173" t="str">
        <f t="shared" si="31"/>
        <v>18-25</v>
      </c>
      <c r="D173" t="s">
        <v>56</v>
      </c>
      <c r="E173">
        <f t="shared" si="32"/>
        <v>1</v>
      </c>
      <c r="F173" t="s">
        <v>72</v>
      </c>
      <c r="G173">
        <v>602</v>
      </c>
      <c r="H173" t="str">
        <f t="shared" si="33"/>
        <v>501-1000</v>
      </c>
      <c r="I173" t="s">
        <v>58</v>
      </c>
      <c r="J173">
        <v>1</v>
      </c>
      <c r="K173" t="str">
        <f t="shared" si="34"/>
        <v>1-5</v>
      </c>
      <c r="L173">
        <v>1</v>
      </c>
      <c r="M173" t="s">
        <v>74</v>
      </c>
      <c r="N173" t="s">
        <v>95</v>
      </c>
      <c r="O173">
        <v>1</v>
      </c>
      <c r="P173">
        <v>3</v>
      </c>
      <c r="Q173" t="s">
        <v>63</v>
      </c>
      <c r="R173" t="s">
        <v>62</v>
      </c>
      <c r="S173">
        <v>100</v>
      </c>
      <c r="T173" t="str">
        <f t="shared" si="35"/>
        <v>76-100</v>
      </c>
      <c r="U173">
        <v>1</v>
      </c>
      <c r="V173" t="s">
        <v>69</v>
      </c>
      <c r="W173">
        <v>1</v>
      </c>
      <c r="X173" t="s">
        <v>91</v>
      </c>
      <c r="Y173">
        <v>1</v>
      </c>
      <c r="Z173" t="s">
        <v>69</v>
      </c>
      <c r="AA173" t="s">
        <v>66</v>
      </c>
      <c r="AB173" s="4">
        <v>2325</v>
      </c>
      <c r="AC173" s="4" t="str">
        <f t="shared" si="36"/>
        <v>$1,000-$2,500</v>
      </c>
      <c r="AD173">
        <v>20989</v>
      </c>
      <c r="AE173" t="str">
        <f t="shared" si="37"/>
        <v>$16,001-$22,000</v>
      </c>
      <c r="AF173">
        <v>0</v>
      </c>
      <c r="AG173" t="str">
        <f t="shared" si="38"/>
        <v>0-1</v>
      </c>
      <c r="AH173" t="s">
        <v>67</v>
      </c>
      <c r="AI173" t="s">
        <v>71</v>
      </c>
      <c r="AJ173">
        <v>21</v>
      </c>
      <c r="AK173" t="str">
        <f t="shared" si="39"/>
        <v>18-19%</v>
      </c>
      <c r="AL173">
        <v>4</v>
      </c>
      <c r="AM173" t="s">
        <v>78</v>
      </c>
      <c r="AN173">
        <v>1</v>
      </c>
      <c r="AO173" t="s">
        <v>69</v>
      </c>
      <c r="AP173">
        <v>80</v>
      </c>
      <c r="AQ173">
        <v>0</v>
      </c>
      <c r="AR173">
        <v>1</v>
      </c>
      <c r="AS173" t="str">
        <f t="shared" si="40"/>
        <v>0-2</v>
      </c>
      <c r="AT173">
        <v>5</v>
      </c>
      <c r="AU173" t="str">
        <f t="shared" si="41"/>
        <v>5-6</v>
      </c>
      <c r="AV173">
        <v>4</v>
      </c>
      <c r="AW173" t="s">
        <v>94</v>
      </c>
      <c r="AX173">
        <v>0</v>
      </c>
      <c r="AY173" t="str">
        <f t="shared" si="30"/>
        <v>0-1</v>
      </c>
      <c r="AZ173">
        <v>0</v>
      </c>
      <c r="BA173" t="str">
        <f t="shared" si="42"/>
        <v>0-1</v>
      </c>
      <c r="BB173">
        <v>0</v>
      </c>
      <c r="BC173" t="str">
        <f t="shared" si="43"/>
        <v>0-1</v>
      </c>
      <c r="BD173">
        <v>0</v>
      </c>
      <c r="BE173" t="str">
        <f t="shared" si="44"/>
        <v>0-1</v>
      </c>
    </row>
    <row r="174" spans="1:57" x14ac:dyDescent="0.3">
      <c r="A174">
        <v>238</v>
      </c>
      <c r="B174">
        <v>36</v>
      </c>
      <c r="C174" t="str">
        <f t="shared" si="31"/>
        <v>36-45</v>
      </c>
      <c r="D174" t="s">
        <v>71</v>
      </c>
      <c r="E174">
        <f t="shared" si="32"/>
        <v>0</v>
      </c>
      <c r="F174" t="s">
        <v>72</v>
      </c>
      <c r="G174">
        <v>1480</v>
      </c>
      <c r="H174" t="str">
        <f t="shared" si="33"/>
        <v>1001-1499</v>
      </c>
      <c r="I174" t="s">
        <v>73</v>
      </c>
      <c r="J174">
        <v>3</v>
      </c>
      <c r="K174" t="str">
        <f t="shared" si="34"/>
        <v>1-5</v>
      </c>
      <c r="L174">
        <v>2</v>
      </c>
      <c r="M174" t="s">
        <v>59</v>
      </c>
      <c r="N174" t="s">
        <v>83</v>
      </c>
      <c r="O174">
        <v>1</v>
      </c>
      <c r="P174">
        <v>4</v>
      </c>
      <c r="Q174" t="s">
        <v>65</v>
      </c>
      <c r="R174" t="s">
        <v>75</v>
      </c>
      <c r="S174">
        <v>30</v>
      </c>
      <c r="T174" t="str">
        <f t="shared" si="35"/>
        <v>30-50</v>
      </c>
      <c r="U174">
        <v>3</v>
      </c>
      <c r="V174" t="s">
        <v>63</v>
      </c>
      <c r="W174">
        <v>1</v>
      </c>
      <c r="X174" t="s">
        <v>81</v>
      </c>
      <c r="Y174">
        <v>2</v>
      </c>
      <c r="Z174" t="s">
        <v>61</v>
      </c>
      <c r="AA174" t="s">
        <v>66</v>
      </c>
      <c r="AB174" s="4">
        <v>2088</v>
      </c>
      <c r="AC174" s="4" t="str">
        <f t="shared" si="36"/>
        <v>$1,000-$2,500</v>
      </c>
      <c r="AD174">
        <v>15062</v>
      </c>
      <c r="AE174" t="str">
        <f t="shared" si="37"/>
        <v>$8,001-$16,000</v>
      </c>
      <c r="AF174">
        <v>4</v>
      </c>
      <c r="AG174" t="str">
        <f t="shared" si="38"/>
        <v>4-6</v>
      </c>
      <c r="AH174" t="s">
        <v>67</v>
      </c>
      <c r="AI174" t="s">
        <v>71</v>
      </c>
      <c r="AJ174">
        <v>12</v>
      </c>
      <c r="AK174" t="str">
        <f t="shared" si="39"/>
        <v>11-12%</v>
      </c>
      <c r="AL174">
        <v>3</v>
      </c>
      <c r="AM174" t="s">
        <v>68</v>
      </c>
      <c r="AN174">
        <v>3</v>
      </c>
      <c r="AO174" t="s">
        <v>63</v>
      </c>
      <c r="AP174">
        <v>80</v>
      </c>
      <c r="AQ174">
        <v>0</v>
      </c>
      <c r="AR174">
        <v>13</v>
      </c>
      <c r="AS174" t="str">
        <f t="shared" si="40"/>
        <v>11-20</v>
      </c>
      <c r="AT174">
        <v>3</v>
      </c>
      <c r="AU174" t="str">
        <f t="shared" si="41"/>
        <v>3-4</v>
      </c>
      <c r="AV174">
        <v>2</v>
      </c>
      <c r="AW174" t="s">
        <v>84</v>
      </c>
      <c r="AX174">
        <v>8</v>
      </c>
      <c r="AY174" t="str">
        <f t="shared" si="30"/>
        <v>6-10</v>
      </c>
      <c r="AZ174">
        <v>7</v>
      </c>
      <c r="BA174" t="str">
        <f t="shared" si="42"/>
        <v>6-10</v>
      </c>
      <c r="BB174">
        <v>7</v>
      </c>
      <c r="BC174" t="str">
        <f t="shared" si="43"/>
        <v>6-10</v>
      </c>
      <c r="BD174">
        <v>2</v>
      </c>
      <c r="BE174" t="str">
        <f t="shared" si="44"/>
        <v>2-5</v>
      </c>
    </row>
    <row r="175" spans="1:57" x14ac:dyDescent="0.3">
      <c r="A175">
        <v>239</v>
      </c>
      <c r="B175">
        <v>30</v>
      </c>
      <c r="C175" t="str">
        <f t="shared" si="31"/>
        <v>26-35</v>
      </c>
      <c r="D175" t="s">
        <v>71</v>
      </c>
      <c r="E175">
        <f t="shared" si="32"/>
        <v>0</v>
      </c>
      <c r="F175" t="s">
        <v>89</v>
      </c>
      <c r="G175">
        <v>111</v>
      </c>
      <c r="H175" t="str">
        <f t="shared" si="33"/>
        <v>102-500</v>
      </c>
      <c r="I175" t="s">
        <v>73</v>
      </c>
      <c r="J175">
        <v>9</v>
      </c>
      <c r="K175" t="str">
        <f t="shared" si="34"/>
        <v>6-10</v>
      </c>
      <c r="L175">
        <v>3</v>
      </c>
      <c r="M175" t="s">
        <v>85</v>
      </c>
      <c r="N175" t="s">
        <v>83</v>
      </c>
      <c r="O175">
        <v>1</v>
      </c>
      <c r="P175">
        <v>3</v>
      </c>
      <c r="Q175" t="s">
        <v>63</v>
      </c>
      <c r="R175" t="s">
        <v>75</v>
      </c>
      <c r="S175">
        <v>66</v>
      </c>
      <c r="T175" t="str">
        <f t="shared" si="35"/>
        <v>51-75</v>
      </c>
      <c r="U175">
        <v>3</v>
      </c>
      <c r="V175" t="s">
        <v>63</v>
      </c>
      <c r="W175">
        <v>2</v>
      </c>
      <c r="X175" t="s">
        <v>81</v>
      </c>
      <c r="Y175">
        <v>1</v>
      </c>
      <c r="Z175" t="s">
        <v>69</v>
      </c>
      <c r="AA175" t="s">
        <v>86</v>
      </c>
      <c r="AB175" s="4">
        <v>3072</v>
      </c>
      <c r="AC175" s="4" t="str">
        <f t="shared" si="36"/>
        <v>$2,500-$4,000</v>
      </c>
      <c r="AD175">
        <v>11012</v>
      </c>
      <c r="AE175" t="str">
        <f t="shared" si="37"/>
        <v>$8,001-$16,000</v>
      </c>
      <c r="AF175">
        <v>1</v>
      </c>
      <c r="AG175" t="str">
        <f t="shared" si="38"/>
        <v>0-1</v>
      </c>
      <c r="AH175" t="s">
        <v>67</v>
      </c>
      <c r="AI175" t="s">
        <v>71</v>
      </c>
      <c r="AJ175">
        <v>11</v>
      </c>
      <c r="AK175" t="str">
        <f t="shared" si="39"/>
        <v>11-12%</v>
      </c>
      <c r="AL175">
        <v>3</v>
      </c>
      <c r="AM175" t="s">
        <v>68</v>
      </c>
      <c r="AN175">
        <v>3</v>
      </c>
      <c r="AO175" t="s">
        <v>63</v>
      </c>
      <c r="AP175">
        <v>80</v>
      </c>
      <c r="AQ175">
        <v>2</v>
      </c>
      <c r="AR175">
        <v>12</v>
      </c>
      <c r="AS175" t="str">
        <f t="shared" si="40"/>
        <v>11-20</v>
      </c>
      <c r="AT175">
        <v>4</v>
      </c>
      <c r="AU175" t="str">
        <f t="shared" si="41"/>
        <v>3-4</v>
      </c>
      <c r="AV175">
        <v>3</v>
      </c>
      <c r="AW175" t="s">
        <v>79</v>
      </c>
      <c r="AX175">
        <v>12</v>
      </c>
      <c r="AY175" t="str">
        <f t="shared" si="30"/>
        <v>11-20</v>
      </c>
      <c r="AZ175">
        <v>9</v>
      </c>
      <c r="BA175" t="str">
        <f t="shared" si="42"/>
        <v>6-10</v>
      </c>
      <c r="BB175">
        <v>6</v>
      </c>
      <c r="BC175" t="str">
        <f t="shared" si="43"/>
        <v>6-10</v>
      </c>
      <c r="BD175">
        <v>10</v>
      </c>
      <c r="BE175" t="str">
        <f t="shared" si="44"/>
        <v>6-10</v>
      </c>
    </row>
    <row r="176" spans="1:57" x14ac:dyDescent="0.3">
      <c r="A176">
        <v>240</v>
      </c>
      <c r="B176">
        <v>45</v>
      </c>
      <c r="C176" t="str">
        <f t="shared" si="31"/>
        <v>36-45</v>
      </c>
      <c r="D176" t="s">
        <v>71</v>
      </c>
      <c r="E176">
        <f t="shared" si="32"/>
        <v>0</v>
      </c>
      <c r="F176" t="s">
        <v>57</v>
      </c>
      <c r="G176">
        <v>1268</v>
      </c>
      <c r="H176" t="str">
        <f t="shared" si="33"/>
        <v>1001-1499</v>
      </c>
      <c r="I176" t="s">
        <v>58</v>
      </c>
      <c r="J176">
        <v>4</v>
      </c>
      <c r="K176" t="str">
        <f t="shared" si="34"/>
        <v>1-5</v>
      </c>
      <c r="L176">
        <v>2</v>
      </c>
      <c r="M176" t="s">
        <v>59</v>
      </c>
      <c r="N176" t="s">
        <v>60</v>
      </c>
      <c r="O176">
        <v>1</v>
      </c>
      <c r="P176">
        <v>3</v>
      </c>
      <c r="Q176" t="s">
        <v>63</v>
      </c>
      <c r="R176" t="s">
        <v>62</v>
      </c>
      <c r="S176">
        <v>30</v>
      </c>
      <c r="T176" t="str">
        <f t="shared" si="35"/>
        <v>30-50</v>
      </c>
      <c r="U176">
        <v>3</v>
      </c>
      <c r="V176" t="s">
        <v>63</v>
      </c>
      <c r="W176">
        <v>2</v>
      </c>
      <c r="X176" t="s">
        <v>64</v>
      </c>
      <c r="Y176">
        <v>1</v>
      </c>
      <c r="Z176" t="s">
        <v>69</v>
      </c>
      <c r="AA176" t="s">
        <v>86</v>
      </c>
      <c r="AB176" s="4">
        <v>5006</v>
      </c>
      <c r="AC176" s="4" t="str">
        <f t="shared" si="36"/>
        <v>$4,000-$5,500</v>
      </c>
      <c r="AD176">
        <v>6319</v>
      </c>
      <c r="AE176" t="str">
        <f t="shared" si="37"/>
        <v>$2,094-$8,000</v>
      </c>
      <c r="AF176">
        <v>4</v>
      </c>
      <c r="AG176" t="str">
        <f t="shared" si="38"/>
        <v>4-6</v>
      </c>
      <c r="AH176" t="s">
        <v>67</v>
      </c>
      <c r="AI176" t="s">
        <v>56</v>
      </c>
      <c r="AJ176">
        <v>11</v>
      </c>
      <c r="AK176" t="str">
        <f t="shared" si="39"/>
        <v>11-12%</v>
      </c>
      <c r="AL176">
        <v>3</v>
      </c>
      <c r="AM176" t="s">
        <v>68</v>
      </c>
      <c r="AN176">
        <v>1</v>
      </c>
      <c r="AO176" t="s">
        <v>69</v>
      </c>
      <c r="AP176">
        <v>80</v>
      </c>
      <c r="AQ176">
        <v>1</v>
      </c>
      <c r="AR176">
        <v>9</v>
      </c>
      <c r="AS176" t="str">
        <f t="shared" si="40"/>
        <v>6-10</v>
      </c>
      <c r="AT176">
        <v>3</v>
      </c>
      <c r="AU176" t="str">
        <f t="shared" si="41"/>
        <v>3-4</v>
      </c>
      <c r="AV176">
        <v>4</v>
      </c>
      <c r="AW176" t="s">
        <v>94</v>
      </c>
      <c r="AX176">
        <v>5</v>
      </c>
      <c r="AY176" t="str">
        <f t="shared" si="30"/>
        <v>2-5</v>
      </c>
      <c r="AZ176">
        <v>4</v>
      </c>
      <c r="BA176" t="str">
        <f t="shared" si="42"/>
        <v>2-5</v>
      </c>
      <c r="BB176">
        <v>0</v>
      </c>
      <c r="BC176" t="str">
        <f t="shared" si="43"/>
        <v>0-1</v>
      </c>
      <c r="BD176">
        <v>3</v>
      </c>
      <c r="BE176" t="str">
        <f t="shared" si="44"/>
        <v>2-5</v>
      </c>
    </row>
    <row r="177" spans="1:57" x14ac:dyDescent="0.3">
      <c r="A177">
        <v>241</v>
      </c>
      <c r="B177">
        <v>56</v>
      </c>
      <c r="C177" t="str">
        <f t="shared" si="31"/>
        <v>56+</v>
      </c>
      <c r="D177" t="s">
        <v>71</v>
      </c>
      <c r="E177">
        <f t="shared" si="32"/>
        <v>0</v>
      </c>
      <c r="F177" t="s">
        <v>57</v>
      </c>
      <c r="G177">
        <v>713</v>
      </c>
      <c r="H177" t="str">
        <f t="shared" si="33"/>
        <v>501-1000</v>
      </c>
      <c r="I177" t="s">
        <v>73</v>
      </c>
      <c r="J177">
        <v>8</v>
      </c>
      <c r="K177" t="str">
        <f t="shared" si="34"/>
        <v>6-10</v>
      </c>
      <c r="L177">
        <v>3</v>
      </c>
      <c r="M177" t="s">
        <v>85</v>
      </c>
      <c r="N177" t="s">
        <v>60</v>
      </c>
      <c r="O177">
        <v>1</v>
      </c>
      <c r="P177">
        <v>3</v>
      </c>
      <c r="Q177" t="s">
        <v>63</v>
      </c>
      <c r="R177" t="s">
        <v>62</v>
      </c>
      <c r="S177">
        <v>67</v>
      </c>
      <c r="T177" t="str">
        <f t="shared" si="35"/>
        <v>51-75</v>
      </c>
      <c r="U177">
        <v>3</v>
      </c>
      <c r="V177" t="s">
        <v>63</v>
      </c>
      <c r="W177">
        <v>1</v>
      </c>
      <c r="X177" t="s">
        <v>76</v>
      </c>
      <c r="Y177">
        <v>1</v>
      </c>
      <c r="Z177" t="s">
        <v>69</v>
      </c>
      <c r="AA177" t="s">
        <v>86</v>
      </c>
      <c r="AB177" s="4">
        <v>4257</v>
      </c>
      <c r="AC177" s="4" t="str">
        <f t="shared" si="36"/>
        <v>$4,000-$5,500</v>
      </c>
      <c r="AD177">
        <v>13939</v>
      </c>
      <c r="AE177" t="str">
        <f t="shared" si="37"/>
        <v>$8,001-$16,000</v>
      </c>
      <c r="AF177">
        <v>4</v>
      </c>
      <c r="AG177" t="str">
        <f t="shared" si="38"/>
        <v>4-6</v>
      </c>
      <c r="AH177" t="s">
        <v>67</v>
      </c>
      <c r="AI177" t="s">
        <v>56</v>
      </c>
      <c r="AJ177">
        <v>18</v>
      </c>
      <c r="AK177" t="str">
        <f t="shared" si="39"/>
        <v>18-19%</v>
      </c>
      <c r="AL177">
        <v>3</v>
      </c>
      <c r="AM177" t="s">
        <v>68</v>
      </c>
      <c r="AN177">
        <v>3</v>
      </c>
      <c r="AO177" t="s">
        <v>63</v>
      </c>
      <c r="AP177">
        <v>80</v>
      </c>
      <c r="AQ177">
        <v>1</v>
      </c>
      <c r="AR177">
        <v>19</v>
      </c>
      <c r="AS177" t="str">
        <f t="shared" si="40"/>
        <v>11-20</v>
      </c>
      <c r="AT177">
        <v>3</v>
      </c>
      <c r="AU177" t="str">
        <f t="shared" si="41"/>
        <v>3-4</v>
      </c>
      <c r="AV177">
        <v>3</v>
      </c>
      <c r="AW177" t="s">
        <v>79</v>
      </c>
      <c r="AX177">
        <v>2</v>
      </c>
      <c r="AY177" t="str">
        <f t="shared" si="30"/>
        <v>2-5</v>
      </c>
      <c r="AZ177">
        <v>2</v>
      </c>
      <c r="BA177" t="str">
        <f t="shared" si="42"/>
        <v>2-5</v>
      </c>
      <c r="BB177">
        <v>2</v>
      </c>
      <c r="BC177" t="str">
        <f t="shared" si="43"/>
        <v>2-5</v>
      </c>
      <c r="BD177">
        <v>2</v>
      </c>
      <c r="BE177" t="str">
        <f t="shared" si="44"/>
        <v>2-5</v>
      </c>
    </row>
    <row r="178" spans="1:57" x14ac:dyDescent="0.3">
      <c r="A178">
        <v>242</v>
      </c>
      <c r="B178">
        <v>33</v>
      </c>
      <c r="C178" t="str">
        <f t="shared" si="31"/>
        <v>26-35</v>
      </c>
      <c r="D178" t="s">
        <v>71</v>
      </c>
      <c r="E178">
        <f t="shared" si="32"/>
        <v>0</v>
      </c>
      <c r="F178" t="s">
        <v>57</v>
      </c>
      <c r="G178">
        <v>134</v>
      </c>
      <c r="H178" t="str">
        <f t="shared" si="33"/>
        <v>102-500</v>
      </c>
      <c r="I178" t="s">
        <v>73</v>
      </c>
      <c r="J178">
        <v>2</v>
      </c>
      <c r="K178" t="str">
        <f t="shared" si="34"/>
        <v>1-5</v>
      </c>
      <c r="L178">
        <v>3</v>
      </c>
      <c r="M178" t="s">
        <v>85</v>
      </c>
      <c r="N178" t="s">
        <v>60</v>
      </c>
      <c r="O178">
        <v>1</v>
      </c>
      <c r="P178">
        <v>3</v>
      </c>
      <c r="Q178" t="s">
        <v>63</v>
      </c>
      <c r="R178" t="s">
        <v>75</v>
      </c>
      <c r="S178">
        <v>90</v>
      </c>
      <c r="T178" t="str">
        <f t="shared" si="35"/>
        <v>76-100</v>
      </c>
      <c r="U178">
        <v>3</v>
      </c>
      <c r="V178" t="s">
        <v>63</v>
      </c>
      <c r="W178">
        <v>1</v>
      </c>
      <c r="X178" t="s">
        <v>76</v>
      </c>
      <c r="Y178">
        <v>4</v>
      </c>
      <c r="Z178" t="s">
        <v>65</v>
      </c>
      <c r="AA178" t="s">
        <v>66</v>
      </c>
      <c r="AB178" s="4">
        <v>2500</v>
      </c>
      <c r="AC178" s="4" t="str">
        <f t="shared" si="36"/>
        <v>$2,500-$4,000</v>
      </c>
      <c r="AD178">
        <v>10515</v>
      </c>
      <c r="AE178" t="str">
        <f t="shared" si="37"/>
        <v>$8,001-$16,000</v>
      </c>
      <c r="AF178">
        <v>0</v>
      </c>
      <c r="AG178" t="str">
        <f t="shared" si="38"/>
        <v>0-1</v>
      </c>
      <c r="AH178" t="s">
        <v>67</v>
      </c>
      <c r="AI178" t="s">
        <v>71</v>
      </c>
      <c r="AJ178">
        <v>14</v>
      </c>
      <c r="AK178" t="str">
        <f t="shared" si="39"/>
        <v>13-15%</v>
      </c>
      <c r="AL178">
        <v>3</v>
      </c>
      <c r="AM178" t="s">
        <v>68</v>
      </c>
      <c r="AN178">
        <v>1</v>
      </c>
      <c r="AO178" t="s">
        <v>69</v>
      </c>
      <c r="AP178">
        <v>80</v>
      </c>
      <c r="AQ178">
        <v>0</v>
      </c>
      <c r="AR178">
        <v>4</v>
      </c>
      <c r="AS178" t="str">
        <f t="shared" si="40"/>
        <v>3-5</v>
      </c>
      <c r="AT178">
        <v>2</v>
      </c>
      <c r="AU178" t="str">
        <f t="shared" si="41"/>
        <v>0-2</v>
      </c>
      <c r="AV178">
        <v>4</v>
      </c>
      <c r="AW178" t="s">
        <v>94</v>
      </c>
      <c r="AX178">
        <v>3</v>
      </c>
      <c r="AY178" t="str">
        <f t="shared" si="30"/>
        <v>2-5</v>
      </c>
      <c r="AZ178">
        <v>1</v>
      </c>
      <c r="BA178" t="str">
        <f t="shared" si="42"/>
        <v>0-1</v>
      </c>
      <c r="BB178">
        <v>0</v>
      </c>
      <c r="BC178" t="str">
        <f t="shared" si="43"/>
        <v>0-1</v>
      </c>
      <c r="BD178">
        <v>2</v>
      </c>
      <c r="BE178" t="str">
        <f t="shared" si="44"/>
        <v>2-5</v>
      </c>
    </row>
    <row r="179" spans="1:57" x14ac:dyDescent="0.3">
      <c r="A179">
        <v>243</v>
      </c>
      <c r="B179">
        <v>19</v>
      </c>
      <c r="C179" t="str">
        <f t="shared" si="31"/>
        <v>18-25</v>
      </c>
      <c r="D179" t="s">
        <v>56</v>
      </c>
      <c r="E179">
        <f t="shared" si="32"/>
        <v>1</v>
      </c>
      <c r="F179" t="s">
        <v>57</v>
      </c>
      <c r="G179">
        <v>303</v>
      </c>
      <c r="H179" t="str">
        <f t="shared" si="33"/>
        <v>102-500</v>
      </c>
      <c r="I179" t="s">
        <v>73</v>
      </c>
      <c r="J179">
        <v>2</v>
      </c>
      <c r="K179" t="str">
        <f t="shared" si="34"/>
        <v>1-5</v>
      </c>
      <c r="L179">
        <v>3</v>
      </c>
      <c r="M179" t="s">
        <v>85</v>
      </c>
      <c r="N179" t="s">
        <v>60</v>
      </c>
      <c r="O179">
        <v>1</v>
      </c>
      <c r="P179">
        <v>2</v>
      </c>
      <c r="Q179" t="s">
        <v>61</v>
      </c>
      <c r="R179" t="s">
        <v>75</v>
      </c>
      <c r="S179">
        <v>47</v>
      </c>
      <c r="T179" t="str">
        <f t="shared" si="35"/>
        <v>30-50</v>
      </c>
      <c r="U179">
        <v>2</v>
      </c>
      <c r="V179" t="s">
        <v>61</v>
      </c>
      <c r="W179">
        <v>1</v>
      </c>
      <c r="X179" t="s">
        <v>81</v>
      </c>
      <c r="Y179">
        <v>4</v>
      </c>
      <c r="Z179" t="s">
        <v>65</v>
      </c>
      <c r="AA179" t="s">
        <v>66</v>
      </c>
      <c r="AB179" s="4">
        <v>1102</v>
      </c>
      <c r="AC179" s="4" t="str">
        <f t="shared" si="36"/>
        <v>$1,000-$2,500</v>
      </c>
      <c r="AD179">
        <v>9241</v>
      </c>
      <c r="AE179" t="str">
        <f t="shared" si="37"/>
        <v>$8,001-$16,000</v>
      </c>
      <c r="AF179">
        <v>1</v>
      </c>
      <c r="AG179" t="str">
        <f t="shared" si="38"/>
        <v>0-1</v>
      </c>
      <c r="AH179" t="s">
        <v>67</v>
      </c>
      <c r="AI179" t="s">
        <v>71</v>
      </c>
      <c r="AJ179">
        <v>22</v>
      </c>
      <c r="AK179" t="str">
        <f t="shared" si="39"/>
        <v>18-19%</v>
      </c>
      <c r="AL179">
        <v>4</v>
      </c>
      <c r="AM179" t="s">
        <v>78</v>
      </c>
      <c r="AN179">
        <v>3</v>
      </c>
      <c r="AO179" t="s">
        <v>63</v>
      </c>
      <c r="AP179">
        <v>80</v>
      </c>
      <c r="AQ179">
        <v>0</v>
      </c>
      <c r="AR179">
        <v>1</v>
      </c>
      <c r="AS179" t="str">
        <f t="shared" si="40"/>
        <v>0-2</v>
      </c>
      <c r="AT179">
        <v>3</v>
      </c>
      <c r="AU179" t="str">
        <f t="shared" si="41"/>
        <v>3-4</v>
      </c>
      <c r="AV179">
        <v>2</v>
      </c>
      <c r="AW179" t="s">
        <v>84</v>
      </c>
      <c r="AX179">
        <v>1</v>
      </c>
      <c r="AY179" t="str">
        <f t="shared" si="30"/>
        <v>0-1</v>
      </c>
      <c r="AZ179">
        <v>0</v>
      </c>
      <c r="BA179" t="str">
        <f t="shared" si="42"/>
        <v>0-1</v>
      </c>
      <c r="BB179">
        <v>1</v>
      </c>
      <c r="BC179" t="str">
        <f t="shared" si="43"/>
        <v>0-1</v>
      </c>
      <c r="BD179">
        <v>0</v>
      </c>
      <c r="BE179" t="str">
        <f t="shared" si="44"/>
        <v>0-1</v>
      </c>
    </row>
    <row r="180" spans="1:57" x14ac:dyDescent="0.3">
      <c r="A180">
        <v>244</v>
      </c>
      <c r="B180">
        <v>46</v>
      </c>
      <c r="C180" t="str">
        <f t="shared" si="31"/>
        <v>46-55</v>
      </c>
      <c r="D180" t="s">
        <v>71</v>
      </c>
      <c r="E180">
        <f t="shared" si="32"/>
        <v>0</v>
      </c>
      <c r="F180" t="s">
        <v>57</v>
      </c>
      <c r="G180">
        <v>526</v>
      </c>
      <c r="H180" t="str">
        <f t="shared" si="33"/>
        <v>501-1000</v>
      </c>
      <c r="I180" t="s">
        <v>58</v>
      </c>
      <c r="J180">
        <v>1</v>
      </c>
      <c r="K180" t="str">
        <f t="shared" si="34"/>
        <v>1-5</v>
      </c>
      <c r="L180">
        <v>2</v>
      </c>
      <c r="M180" t="s">
        <v>59</v>
      </c>
      <c r="N180" t="s">
        <v>93</v>
      </c>
      <c r="O180">
        <v>1</v>
      </c>
      <c r="P180">
        <v>2</v>
      </c>
      <c r="Q180" t="s">
        <v>61</v>
      </c>
      <c r="R180" t="s">
        <v>62</v>
      </c>
      <c r="S180">
        <v>92</v>
      </c>
      <c r="T180" t="str">
        <f t="shared" si="35"/>
        <v>76-100</v>
      </c>
      <c r="U180">
        <v>3</v>
      </c>
      <c r="V180" t="s">
        <v>63</v>
      </c>
      <c r="W180">
        <v>3</v>
      </c>
      <c r="X180" t="s">
        <v>64</v>
      </c>
      <c r="Y180">
        <v>1</v>
      </c>
      <c r="Z180" t="s">
        <v>69</v>
      </c>
      <c r="AA180" t="s">
        <v>86</v>
      </c>
      <c r="AB180" s="4">
        <v>10453</v>
      </c>
      <c r="AC180" s="4" t="str">
        <f t="shared" si="36"/>
        <v>$10,000-$11,500</v>
      </c>
      <c r="AD180">
        <v>2137</v>
      </c>
      <c r="AE180" t="str">
        <f t="shared" si="37"/>
        <v>$2,094-$8,000</v>
      </c>
      <c r="AF180">
        <v>1</v>
      </c>
      <c r="AG180" t="str">
        <f t="shared" si="38"/>
        <v>0-1</v>
      </c>
      <c r="AH180" t="s">
        <v>67</v>
      </c>
      <c r="AI180" t="s">
        <v>71</v>
      </c>
      <c r="AJ180">
        <v>25</v>
      </c>
      <c r="AK180" t="str">
        <f t="shared" si="39"/>
        <v>18-19%</v>
      </c>
      <c r="AL180">
        <v>4</v>
      </c>
      <c r="AM180" t="s">
        <v>78</v>
      </c>
      <c r="AN180">
        <v>3</v>
      </c>
      <c r="AO180" t="s">
        <v>63</v>
      </c>
      <c r="AP180">
        <v>80</v>
      </c>
      <c r="AQ180">
        <v>3</v>
      </c>
      <c r="AR180">
        <v>24</v>
      </c>
      <c r="AS180" t="str">
        <f t="shared" si="40"/>
        <v>21-40</v>
      </c>
      <c r="AT180">
        <v>2</v>
      </c>
      <c r="AU180" t="str">
        <f t="shared" si="41"/>
        <v>0-2</v>
      </c>
      <c r="AV180">
        <v>3</v>
      </c>
      <c r="AW180" t="s">
        <v>79</v>
      </c>
      <c r="AX180">
        <v>24</v>
      </c>
      <c r="AY180" t="str">
        <f t="shared" si="30"/>
        <v>21-40</v>
      </c>
      <c r="AZ180">
        <v>13</v>
      </c>
      <c r="BA180" t="str">
        <f t="shared" si="42"/>
        <v>11-18</v>
      </c>
      <c r="BB180">
        <v>15</v>
      </c>
      <c r="BC180" t="str">
        <f t="shared" si="43"/>
        <v>11-15</v>
      </c>
      <c r="BD180">
        <v>7</v>
      </c>
      <c r="BE180" t="str">
        <f t="shared" si="44"/>
        <v>6-10</v>
      </c>
    </row>
    <row r="181" spans="1:57" x14ac:dyDescent="0.3">
      <c r="A181">
        <v>245</v>
      </c>
      <c r="B181">
        <v>38</v>
      </c>
      <c r="C181" t="str">
        <f t="shared" si="31"/>
        <v>36-45</v>
      </c>
      <c r="D181" t="s">
        <v>71</v>
      </c>
      <c r="E181">
        <f t="shared" si="32"/>
        <v>0</v>
      </c>
      <c r="F181" t="s">
        <v>57</v>
      </c>
      <c r="G181">
        <v>1380</v>
      </c>
      <c r="H181" t="str">
        <f t="shared" si="33"/>
        <v>1001-1499</v>
      </c>
      <c r="I181" t="s">
        <v>73</v>
      </c>
      <c r="J181">
        <v>9</v>
      </c>
      <c r="K181" t="str">
        <f t="shared" si="34"/>
        <v>6-10</v>
      </c>
      <c r="L181">
        <v>2</v>
      </c>
      <c r="M181" t="s">
        <v>59</v>
      </c>
      <c r="N181" t="s">
        <v>60</v>
      </c>
      <c r="O181">
        <v>1</v>
      </c>
      <c r="P181">
        <v>3</v>
      </c>
      <c r="Q181" t="s">
        <v>63</v>
      </c>
      <c r="R181" t="s">
        <v>62</v>
      </c>
      <c r="S181">
        <v>75</v>
      </c>
      <c r="T181" t="str">
        <f t="shared" si="35"/>
        <v>51-75</v>
      </c>
      <c r="U181">
        <v>3</v>
      </c>
      <c r="V181" t="s">
        <v>63</v>
      </c>
      <c r="W181">
        <v>1</v>
      </c>
      <c r="X181" t="s">
        <v>81</v>
      </c>
      <c r="Y181">
        <v>4</v>
      </c>
      <c r="Z181" t="s">
        <v>65</v>
      </c>
      <c r="AA181" t="s">
        <v>66</v>
      </c>
      <c r="AB181" s="4">
        <v>2288</v>
      </c>
      <c r="AC181" s="4" t="str">
        <f t="shared" si="36"/>
        <v>$1,000-$2,500</v>
      </c>
      <c r="AD181">
        <v>6319</v>
      </c>
      <c r="AE181" t="str">
        <f t="shared" si="37"/>
        <v>$2,094-$8,000</v>
      </c>
      <c r="AF181">
        <v>1</v>
      </c>
      <c r="AG181" t="str">
        <f t="shared" si="38"/>
        <v>0-1</v>
      </c>
      <c r="AH181" t="s">
        <v>67</v>
      </c>
      <c r="AI181" t="s">
        <v>71</v>
      </c>
      <c r="AJ181">
        <v>12</v>
      </c>
      <c r="AK181" t="str">
        <f t="shared" si="39"/>
        <v>11-12%</v>
      </c>
      <c r="AL181">
        <v>3</v>
      </c>
      <c r="AM181" t="s">
        <v>68</v>
      </c>
      <c r="AN181">
        <v>3</v>
      </c>
      <c r="AO181" t="s">
        <v>63</v>
      </c>
      <c r="AP181">
        <v>80</v>
      </c>
      <c r="AQ181">
        <v>0</v>
      </c>
      <c r="AR181">
        <v>2</v>
      </c>
      <c r="AS181" t="str">
        <f t="shared" si="40"/>
        <v>0-2</v>
      </c>
      <c r="AT181">
        <v>3</v>
      </c>
      <c r="AU181" t="str">
        <f t="shared" si="41"/>
        <v>3-4</v>
      </c>
      <c r="AV181">
        <v>3</v>
      </c>
      <c r="AW181" t="s">
        <v>79</v>
      </c>
      <c r="AX181">
        <v>2</v>
      </c>
      <c r="AY181" t="str">
        <f t="shared" si="30"/>
        <v>2-5</v>
      </c>
      <c r="AZ181">
        <v>2</v>
      </c>
      <c r="BA181" t="str">
        <f t="shared" si="42"/>
        <v>2-5</v>
      </c>
      <c r="BB181">
        <v>2</v>
      </c>
      <c r="BC181" t="str">
        <f t="shared" si="43"/>
        <v>2-5</v>
      </c>
      <c r="BD181">
        <v>1</v>
      </c>
      <c r="BE181" t="str">
        <f t="shared" si="44"/>
        <v>0-1</v>
      </c>
    </row>
    <row r="182" spans="1:57" x14ac:dyDescent="0.3">
      <c r="A182">
        <v>246</v>
      </c>
      <c r="B182">
        <v>31</v>
      </c>
      <c r="C182" t="str">
        <f t="shared" si="31"/>
        <v>26-35</v>
      </c>
      <c r="D182" t="s">
        <v>71</v>
      </c>
      <c r="E182">
        <f t="shared" si="32"/>
        <v>0</v>
      </c>
      <c r="F182" t="s">
        <v>57</v>
      </c>
      <c r="G182">
        <v>140</v>
      </c>
      <c r="H182" t="str">
        <f t="shared" si="33"/>
        <v>102-500</v>
      </c>
      <c r="I182" t="s">
        <v>73</v>
      </c>
      <c r="J182">
        <v>12</v>
      </c>
      <c r="K182" t="str">
        <f t="shared" si="34"/>
        <v>11-20</v>
      </c>
      <c r="L182">
        <v>1</v>
      </c>
      <c r="M182" t="s">
        <v>74</v>
      </c>
      <c r="N182" t="s">
        <v>83</v>
      </c>
      <c r="O182">
        <v>1</v>
      </c>
      <c r="P182">
        <v>3</v>
      </c>
      <c r="Q182" t="s">
        <v>63</v>
      </c>
      <c r="R182" t="s">
        <v>62</v>
      </c>
      <c r="S182">
        <v>95</v>
      </c>
      <c r="T182" t="str">
        <f t="shared" si="35"/>
        <v>76-100</v>
      </c>
      <c r="U182">
        <v>3</v>
      </c>
      <c r="V182" t="s">
        <v>63</v>
      </c>
      <c r="W182">
        <v>1</v>
      </c>
      <c r="X182" t="s">
        <v>76</v>
      </c>
      <c r="Y182">
        <v>4</v>
      </c>
      <c r="Z182" t="s">
        <v>65</v>
      </c>
      <c r="AA182" t="s">
        <v>77</v>
      </c>
      <c r="AB182" s="4">
        <v>3929</v>
      </c>
      <c r="AC182" s="4" t="str">
        <f t="shared" si="36"/>
        <v>$2,500-$4,000</v>
      </c>
      <c r="AD182">
        <v>6984</v>
      </c>
      <c r="AE182" t="str">
        <f t="shared" si="37"/>
        <v>$2,094-$8,000</v>
      </c>
      <c r="AF182">
        <v>8</v>
      </c>
      <c r="AG182" t="str">
        <f t="shared" si="38"/>
        <v>7-9</v>
      </c>
      <c r="AH182" t="s">
        <v>67</v>
      </c>
      <c r="AI182" t="s">
        <v>56</v>
      </c>
      <c r="AJ182">
        <v>23</v>
      </c>
      <c r="AK182" t="str">
        <f t="shared" si="39"/>
        <v>18-19%</v>
      </c>
      <c r="AL182">
        <v>4</v>
      </c>
      <c r="AM182" t="s">
        <v>78</v>
      </c>
      <c r="AN182">
        <v>3</v>
      </c>
      <c r="AO182" t="s">
        <v>63</v>
      </c>
      <c r="AP182">
        <v>80</v>
      </c>
      <c r="AQ182">
        <v>1</v>
      </c>
      <c r="AR182">
        <v>7</v>
      </c>
      <c r="AS182" t="str">
        <f t="shared" si="40"/>
        <v>6-10</v>
      </c>
      <c r="AT182">
        <v>0</v>
      </c>
      <c r="AU182" t="str">
        <f t="shared" si="41"/>
        <v>0-2</v>
      </c>
      <c r="AV182">
        <v>3</v>
      </c>
      <c r="AW182" t="s">
        <v>79</v>
      </c>
      <c r="AX182">
        <v>4</v>
      </c>
      <c r="AY182" t="str">
        <f t="shared" si="30"/>
        <v>2-5</v>
      </c>
      <c r="AZ182">
        <v>2</v>
      </c>
      <c r="BA182" t="str">
        <f t="shared" si="42"/>
        <v>2-5</v>
      </c>
      <c r="BB182">
        <v>0</v>
      </c>
      <c r="BC182" t="str">
        <f t="shared" si="43"/>
        <v>0-1</v>
      </c>
      <c r="BD182">
        <v>2</v>
      </c>
      <c r="BE182" t="str">
        <f t="shared" si="44"/>
        <v>2-5</v>
      </c>
    </row>
    <row r="183" spans="1:57" x14ac:dyDescent="0.3">
      <c r="A183">
        <v>247</v>
      </c>
      <c r="B183">
        <v>34</v>
      </c>
      <c r="C183" t="str">
        <f t="shared" si="31"/>
        <v>26-35</v>
      </c>
      <c r="D183" t="s">
        <v>71</v>
      </c>
      <c r="E183">
        <f t="shared" si="32"/>
        <v>0</v>
      </c>
      <c r="F183" t="s">
        <v>57</v>
      </c>
      <c r="G183">
        <v>629</v>
      </c>
      <c r="H183" t="str">
        <f t="shared" si="33"/>
        <v>501-1000</v>
      </c>
      <c r="I183" t="s">
        <v>73</v>
      </c>
      <c r="J183">
        <v>27</v>
      </c>
      <c r="K183" t="str">
        <f t="shared" si="34"/>
        <v>21-29</v>
      </c>
      <c r="L183">
        <v>2</v>
      </c>
      <c r="M183" t="s">
        <v>59</v>
      </c>
      <c r="N183" t="s">
        <v>83</v>
      </c>
      <c r="O183">
        <v>1</v>
      </c>
      <c r="P183">
        <v>4</v>
      </c>
      <c r="Q183" t="s">
        <v>65</v>
      </c>
      <c r="R183" t="s">
        <v>62</v>
      </c>
      <c r="S183">
        <v>95</v>
      </c>
      <c r="T183" t="str">
        <f t="shared" si="35"/>
        <v>76-100</v>
      </c>
      <c r="U183">
        <v>3</v>
      </c>
      <c r="V183" t="s">
        <v>63</v>
      </c>
      <c r="W183">
        <v>1</v>
      </c>
      <c r="X183" t="s">
        <v>76</v>
      </c>
      <c r="Y183">
        <v>2</v>
      </c>
      <c r="Z183" t="s">
        <v>61</v>
      </c>
      <c r="AA183" t="s">
        <v>66</v>
      </c>
      <c r="AB183" s="4">
        <v>2311</v>
      </c>
      <c r="AC183" s="4" t="str">
        <f t="shared" si="36"/>
        <v>$1,000-$2,500</v>
      </c>
      <c r="AD183">
        <v>5711</v>
      </c>
      <c r="AE183" t="str">
        <f t="shared" si="37"/>
        <v>$2,094-$8,000</v>
      </c>
      <c r="AF183">
        <v>2</v>
      </c>
      <c r="AG183" t="str">
        <f t="shared" si="38"/>
        <v>2-3</v>
      </c>
      <c r="AH183" t="s">
        <v>67</v>
      </c>
      <c r="AI183" t="s">
        <v>71</v>
      </c>
      <c r="AJ183">
        <v>15</v>
      </c>
      <c r="AK183" t="str">
        <f t="shared" si="39"/>
        <v>13-15%</v>
      </c>
      <c r="AL183">
        <v>3</v>
      </c>
      <c r="AM183" t="s">
        <v>68</v>
      </c>
      <c r="AN183">
        <v>4</v>
      </c>
      <c r="AO183" t="s">
        <v>65</v>
      </c>
      <c r="AP183">
        <v>80</v>
      </c>
      <c r="AQ183">
        <v>0</v>
      </c>
      <c r="AR183">
        <v>9</v>
      </c>
      <c r="AS183" t="str">
        <f t="shared" si="40"/>
        <v>6-10</v>
      </c>
      <c r="AT183">
        <v>3</v>
      </c>
      <c r="AU183" t="str">
        <f t="shared" si="41"/>
        <v>3-4</v>
      </c>
      <c r="AV183">
        <v>3</v>
      </c>
      <c r="AW183" t="s">
        <v>79</v>
      </c>
      <c r="AX183">
        <v>3</v>
      </c>
      <c r="AY183" t="str">
        <f t="shared" si="30"/>
        <v>2-5</v>
      </c>
      <c r="AZ183">
        <v>2</v>
      </c>
      <c r="BA183" t="str">
        <f t="shared" si="42"/>
        <v>2-5</v>
      </c>
      <c r="BB183">
        <v>1</v>
      </c>
      <c r="BC183" t="str">
        <f t="shared" si="43"/>
        <v>0-1</v>
      </c>
      <c r="BD183">
        <v>2</v>
      </c>
      <c r="BE183" t="str">
        <f t="shared" si="44"/>
        <v>2-5</v>
      </c>
    </row>
    <row r="184" spans="1:57" x14ac:dyDescent="0.3">
      <c r="A184">
        <v>248</v>
      </c>
      <c r="B184">
        <v>41</v>
      </c>
      <c r="C184" t="str">
        <f t="shared" si="31"/>
        <v>36-45</v>
      </c>
      <c r="D184" t="s">
        <v>56</v>
      </c>
      <c r="E184">
        <f t="shared" si="32"/>
        <v>1</v>
      </c>
      <c r="F184" t="s">
        <v>57</v>
      </c>
      <c r="G184">
        <v>1356</v>
      </c>
      <c r="H184" t="str">
        <f t="shared" si="33"/>
        <v>1001-1499</v>
      </c>
      <c r="I184" t="s">
        <v>58</v>
      </c>
      <c r="J184">
        <v>20</v>
      </c>
      <c r="K184" t="str">
        <f t="shared" si="34"/>
        <v>11-20</v>
      </c>
      <c r="L184">
        <v>2</v>
      </c>
      <c r="M184" t="s">
        <v>59</v>
      </c>
      <c r="N184" t="s">
        <v>93</v>
      </c>
      <c r="O184">
        <v>1</v>
      </c>
      <c r="P184">
        <v>2</v>
      </c>
      <c r="Q184" t="s">
        <v>61</v>
      </c>
      <c r="R184" t="s">
        <v>62</v>
      </c>
      <c r="S184">
        <v>70</v>
      </c>
      <c r="T184" t="str">
        <f t="shared" si="35"/>
        <v>51-75</v>
      </c>
      <c r="U184">
        <v>3</v>
      </c>
      <c r="V184" t="s">
        <v>63</v>
      </c>
      <c r="W184">
        <v>1</v>
      </c>
      <c r="X184" t="s">
        <v>91</v>
      </c>
      <c r="Y184">
        <v>2</v>
      </c>
      <c r="Z184" t="s">
        <v>61</v>
      </c>
      <c r="AA184" t="s">
        <v>66</v>
      </c>
      <c r="AB184" s="4">
        <v>3140</v>
      </c>
      <c r="AC184" s="4" t="str">
        <f t="shared" si="36"/>
        <v>$2,500-$4,000</v>
      </c>
      <c r="AD184">
        <v>21728</v>
      </c>
      <c r="AE184" t="str">
        <f t="shared" si="37"/>
        <v>$16,001-$22,000</v>
      </c>
      <c r="AF184">
        <v>1</v>
      </c>
      <c r="AG184" t="str">
        <f t="shared" si="38"/>
        <v>0-1</v>
      </c>
      <c r="AH184" t="s">
        <v>67</v>
      </c>
      <c r="AI184" t="s">
        <v>56</v>
      </c>
      <c r="AJ184">
        <v>22</v>
      </c>
      <c r="AK184" t="str">
        <f t="shared" si="39"/>
        <v>18-19%</v>
      </c>
      <c r="AL184">
        <v>4</v>
      </c>
      <c r="AM184" t="s">
        <v>78</v>
      </c>
      <c r="AN184">
        <v>4</v>
      </c>
      <c r="AO184" t="s">
        <v>65</v>
      </c>
      <c r="AP184">
        <v>80</v>
      </c>
      <c r="AQ184">
        <v>0</v>
      </c>
      <c r="AR184">
        <v>4</v>
      </c>
      <c r="AS184" t="str">
        <f t="shared" si="40"/>
        <v>3-5</v>
      </c>
      <c r="AT184">
        <v>5</v>
      </c>
      <c r="AU184" t="str">
        <f t="shared" si="41"/>
        <v>5-6</v>
      </c>
      <c r="AV184">
        <v>2</v>
      </c>
      <c r="AW184" t="s">
        <v>84</v>
      </c>
      <c r="AX184">
        <v>4</v>
      </c>
      <c r="AY184" t="str">
        <f t="shared" si="30"/>
        <v>2-5</v>
      </c>
      <c r="AZ184">
        <v>3</v>
      </c>
      <c r="BA184" t="str">
        <f t="shared" si="42"/>
        <v>2-5</v>
      </c>
      <c r="BB184">
        <v>0</v>
      </c>
      <c r="BC184" t="str">
        <f t="shared" si="43"/>
        <v>0-1</v>
      </c>
      <c r="BD184">
        <v>2</v>
      </c>
      <c r="BE184" t="str">
        <f t="shared" si="44"/>
        <v>2-5</v>
      </c>
    </row>
    <row r="185" spans="1:57" x14ac:dyDescent="0.3">
      <c r="A185">
        <v>249</v>
      </c>
      <c r="B185">
        <v>50</v>
      </c>
      <c r="C185" t="str">
        <f t="shared" si="31"/>
        <v>46-55</v>
      </c>
      <c r="D185" t="s">
        <v>71</v>
      </c>
      <c r="E185">
        <f t="shared" si="32"/>
        <v>0</v>
      </c>
      <c r="F185" t="s">
        <v>57</v>
      </c>
      <c r="G185">
        <v>328</v>
      </c>
      <c r="H185" t="str">
        <f t="shared" si="33"/>
        <v>102-500</v>
      </c>
      <c r="I185" t="s">
        <v>73</v>
      </c>
      <c r="J185">
        <v>1</v>
      </c>
      <c r="K185" t="str">
        <f t="shared" si="34"/>
        <v>1-5</v>
      </c>
      <c r="L185">
        <v>3</v>
      </c>
      <c r="M185" t="s">
        <v>85</v>
      </c>
      <c r="N185" t="s">
        <v>83</v>
      </c>
      <c r="O185">
        <v>1</v>
      </c>
      <c r="P185">
        <v>3</v>
      </c>
      <c r="Q185" t="s">
        <v>63</v>
      </c>
      <c r="R185" t="s">
        <v>75</v>
      </c>
      <c r="S185">
        <v>86</v>
      </c>
      <c r="T185" t="str">
        <f t="shared" si="35"/>
        <v>76-100</v>
      </c>
      <c r="U185">
        <v>2</v>
      </c>
      <c r="V185" t="s">
        <v>61</v>
      </c>
      <c r="W185">
        <v>1</v>
      </c>
      <c r="X185" t="s">
        <v>81</v>
      </c>
      <c r="Y185">
        <v>3</v>
      </c>
      <c r="Z185" t="s">
        <v>63</v>
      </c>
      <c r="AA185" t="s">
        <v>77</v>
      </c>
      <c r="AB185" s="4">
        <v>3690</v>
      </c>
      <c r="AC185" s="4" t="str">
        <f t="shared" si="36"/>
        <v>$2,500-$4,000</v>
      </c>
      <c r="AD185">
        <v>3425</v>
      </c>
      <c r="AE185" t="str">
        <f t="shared" si="37"/>
        <v>$2,094-$8,000</v>
      </c>
      <c r="AF185">
        <v>2</v>
      </c>
      <c r="AG185" t="str">
        <f t="shared" si="38"/>
        <v>2-3</v>
      </c>
      <c r="AH185" t="s">
        <v>67</v>
      </c>
      <c r="AI185" t="s">
        <v>71</v>
      </c>
      <c r="AJ185">
        <v>15</v>
      </c>
      <c r="AK185" t="str">
        <f t="shared" si="39"/>
        <v>13-15%</v>
      </c>
      <c r="AL185">
        <v>3</v>
      </c>
      <c r="AM185" t="s">
        <v>68</v>
      </c>
      <c r="AN185">
        <v>4</v>
      </c>
      <c r="AO185" t="s">
        <v>65</v>
      </c>
      <c r="AP185">
        <v>80</v>
      </c>
      <c r="AQ185">
        <v>1</v>
      </c>
      <c r="AR185">
        <v>5</v>
      </c>
      <c r="AS185" t="str">
        <f t="shared" si="40"/>
        <v>3-5</v>
      </c>
      <c r="AT185">
        <v>2</v>
      </c>
      <c r="AU185" t="str">
        <f t="shared" si="41"/>
        <v>0-2</v>
      </c>
      <c r="AV185">
        <v>2</v>
      </c>
      <c r="AW185" t="s">
        <v>84</v>
      </c>
      <c r="AX185">
        <v>3</v>
      </c>
      <c r="AY185" t="str">
        <f t="shared" si="30"/>
        <v>2-5</v>
      </c>
      <c r="AZ185">
        <v>2</v>
      </c>
      <c r="BA185" t="str">
        <f t="shared" si="42"/>
        <v>2-5</v>
      </c>
      <c r="BB185">
        <v>0</v>
      </c>
      <c r="BC185" t="str">
        <f t="shared" si="43"/>
        <v>0-1</v>
      </c>
      <c r="BD185">
        <v>2</v>
      </c>
      <c r="BE185" t="str">
        <f t="shared" si="44"/>
        <v>2-5</v>
      </c>
    </row>
    <row r="186" spans="1:57" x14ac:dyDescent="0.3">
      <c r="A186">
        <v>250</v>
      </c>
      <c r="B186">
        <v>53</v>
      </c>
      <c r="C186" t="str">
        <f t="shared" si="31"/>
        <v>46-55</v>
      </c>
      <c r="D186" t="s">
        <v>71</v>
      </c>
      <c r="E186">
        <f t="shared" si="32"/>
        <v>0</v>
      </c>
      <c r="F186" t="s">
        <v>57</v>
      </c>
      <c r="G186">
        <v>1084</v>
      </c>
      <c r="H186" t="str">
        <f t="shared" si="33"/>
        <v>1001-1499</v>
      </c>
      <c r="I186" t="s">
        <v>73</v>
      </c>
      <c r="J186">
        <v>13</v>
      </c>
      <c r="K186" t="str">
        <f t="shared" si="34"/>
        <v>11-20</v>
      </c>
      <c r="L186">
        <v>2</v>
      </c>
      <c r="M186" t="s">
        <v>59</v>
      </c>
      <c r="N186" t="s">
        <v>83</v>
      </c>
      <c r="O186">
        <v>1</v>
      </c>
      <c r="P186">
        <v>4</v>
      </c>
      <c r="Q186" t="s">
        <v>65</v>
      </c>
      <c r="R186" t="s">
        <v>62</v>
      </c>
      <c r="S186">
        <v>57</v>
      </c>
      <c r="T186" t="str">
        <f t="shared" si="35"/>
        <v>51-75</v>
      </c>
      <c r="U186">
        <v>4</v>
      </c>
      <c r="V186" t="s">
        <v>65</v>
      </c>
      <c r="W186">
        <v>2</v>
      </c>
      <c r="X186" t="s">
        <v>87</v>
      </c>
      <c r="Y186">
        <v>1</v>
      </c>
      <c r="Z186" t="s">
        <v>69</v>
      </c>
      <c r="AA186" t="s">
        <v>86</v>
      </c>
      <c r="AB186" s="4">
        <v>4450</v>
      </c>
      <c r="AC186" s="4" t="str">
        <f t="shared" si="36"/>
        <v>$4,000-$5,500</v>
      </c>
      <c r="AD186">
        <v>26250</v>
      </c>
      <c r="AE186" t="str">
        <f t="shared" si="37"/>
        <v>$22,001-$26,999</v>
      </c>
      <c r="AF186">
        <v>1</v>
      </c>
      <c r="AG186" t="str">
        <f t="shared" si="38"/>
        <v>0-1</v>
      </c>
      <c r="AH186" t="s">
        <v>67</v>
      </c>
      <c r="AI186" t="s">
        <v>71</v>
      </c>
      <c r="AJ186">
        <v>11</v>
      </c>
      <c r="AK186" t="str">
        <f t="shared" si="39"/>
        <v>11-12%</v>
      </c>
      <c r="AL186">
        <v>3</v>
      </c>
      <c r="AM186" t="s">
        <v>68</v>
      </c>
      <c r="AN186">
        <v>3</v>
      </c>
      <c r="AO186" t="s">
        <v>63</v>
      </c>
      <c r="AP186">
        <v>80</v>
      </c>
      <c r="AQ186">
        <v>2</v>
      </c>
      <c r="AR186">
        <v>5</v>
      </c>
      <c r="AS186" t="str">
        <f t="shared" si="40"/>
        <v>3-5</v>
      </c>
      <c r="AT186">
        <v>3</v>
      </c>
      <c r="AU186" t="str">
        <f t="shared" si="41"/>
        <v>3-4</v>
      </c>
      <c r="AV186">
        <v>3</v>
      </c>
      <c r="AW186" t="s">
        <v>79</v>
      </c>
      <c r="AX186">
        <v>4</v>
      </c>
      <c r="AY186" t="str">
        <f t="shared" si="30"/>
        <v>2-5</v>
      </c>
      <c r="AZ186">
        <v>2</v>
      </c>
      <c r="BA186" t="str">
        <f t="shared" si="42"/>
        <v>2-5</v>
      </c>
      <c r="BB186">
        <v>1</v>
      </c>
      <c r="BC186" t="str">
        <f t="shared" si="43"/>
        <v>0-1</v>
      </c>
      <c r="BD186">
        <v>3</v>
      </c>
      <c r="BE186" t="str">
        <f t="shared" si="44"/>
        <v>2-5</v>
      </c>
    </row>
    <row r="187" spans="1:57" x14ac:dyDescent="0.3">
      <c r="A187">
        <v>252</v>
      </c>
      <c r="B187">
        <v>33</v>
      </c>
      <c r="C187" t="str">
        <f t="shared" si="31"/>
        <v>26-35</v>
      </c>
      <c r="D187" t="s">
        <v>71</v>
      </c>
      <c r="E187">
        <f t="shared" si="32"/>
        <v>0</v>
      </c>
      <c r="F187" t="s">
        <v>57</v>
      </c>
      <c r="G187">
        <v>931</v>
      </c>
      <c r="H187" t="str">
        <f t="shared" si="33"/>
        <v>501-1000</v>
      </c>
      <c r="I187" t="s">
        <v>73</v>
      </c>
      <c r="J187">
        <v>14</v>
      </c>
      <c r="K187" t="str">
        <f t="shared" si="34"/>
        <v>11-20</v>
      </c>
      <c r="L187">
        <v>3</v>
      </c>
      <c r="M187" t="s">
        <v>85</v>
      </c>
      <c r="N187" t="s">
        <v>83</v>
      </c>
      <c r="O187">
        <v>1</v>
      </c>
      <c r="P187">
        <v>4</v>
      </c>
      <c r="Q187" t="s">
        <v>65</v>
      </c>
      <c r="R187" t="s">
        <v>62</v>
      </c>
      <c r="S187">
        <v>72</v>
      </c>
      <c r="T187" t="str">
        <f t="shared" si="35"/>
        <v>51-75</v>
      </c>
      <c r="U187">
        <v>3</v>
      </c>
      <c r="V187" t="s">
        <v>63</v>
      </c>
      <c r="W187">
        <v>1</v>
      </c>
      <c r="X187" t="s">
        <v>76</v>
      </c>
      <c r="Y187">
        <v>2</v>
      </c>
      <c r="Z187" t="s">
        <v>61</v>
      </c>
      <c r="AA187" t="s">
        <v>77</v>
      </c>
      <c r="AB187" s="4">
        <v>2756</v>
      </c>
      <c r="AC187" s="4" t="str">
        <f t="shared" si="36"/>
        <v>$2,500-$4,000</v>
      </c>
      <c r="AD187">
        <v>4673</v>
      </c>
      <c r="AE187" t="str">
        <f t="shared" si="37"/>
        <v>$2,094-$8,000</v>
      </c>
      <c r="AF187">
        <v>1</v>
      </c>
      <c r="AG187" t="str">
        <f t="shared" si="38"/>
        <v>0-1</v>
      </c>
      <c r="AH187" t="s">
        <v>67</v>
      </c>
      <c r="AI187" t="s">
        <v>71</v>
      </c>
      <c r="AJ187">
        <v>13</v>
      </c>
      <c r="AK187" t="str">
        <f t="shared" si="39"/>
        <v>13-15%</v>
      </c>
      <c r="AL187">
        <v>3</v>
      </c>
      <c r="AM187" t="s">
        <v>68</v>
      </c>
      <c r="AN187">
        <v>4</v>
      </c>
      <c r="AO187" t="s">
        <v>65</v>
      </c>
      <c r="AP187">
        <v>80</v>
      </c>
      <c r="AQ187">
        <v>1</v>
      </c>
      <c r="AR187">
        <v>8</v>
      </c>
      <c r="AS187" t="str">
        <f t="shared" si="40"/>
        <v>6-10</v>
      </c>
      <c r="AT187">
        <v>5</v>
      </c>
      <c r="AU187" t="str">
        <f t="shared" si="41"/>
        <v>5-6</v>
      </c>
      <c r="AV187">
        <v>3</v>
      </c>
      <c r="AW187" t="s">
        <v>79</v>
      </c>
      <c r="AX187">
        <v>8</v>
      </c>
      <c r="AY187" t="str">
        <f t="shared" si="30"/>
        <v>6-10</v>
      </c>
      <c r="AZ187">
        <v>7</v>
      </c>
      <c r="BA187" t="str">
        <f t="shared" si="42"/>
        <v>6-10</v>
      </c>
      <c r="BB187">
        <v>1</v>
      </c>
      <c r="BC187" t="str">
        <f t="shared" si="43"/>
        <v>0-1</v>
      </c>
      <c r="BD187">
        <v>6</v>
      </c>
      <c r="BE187" t="str">
        <f t="shared" si="44"/>
        <v>6-10</v>
      </c>
    </row>
    <row r="188" spans="1:57" x14ac:dyDescent="0.3">
      <c r="A188">
        <v>253</v>
      </c>
      <c r="B188">
        <v>40</v>
      </c>
      <c r="C188" t="str">
        <f t="shared" si="31"/>
        <v>36-45</v>
      </c>
      <c r="D188" t="s">
        <v>71</v>
      </c>
      <c r="E188">
        <f t="shared" si="32"/>
        <v>0</v>
      </c>
      <c r="F188" t="s">
        <v>57</v>
      </c>
      <c r="G188">
        <v>989</v>
      </c>
      <c r="H188" t="str">
        <f t="shared" si="33"/>
        <v>501-1000</v>
      </c>
      <c r="I188" t="s">
        <v>73</v>
      </c>
      <c r="J188">
        <v>4</v>
      </c>
      <c r="K188" t="str">
        <f t="shared" si="34"/>
        <v>1-5</v>
      </c>
      <c r="L188">
        <v>1</v>
      </c>
      <c r="M188" t="s">
        <v>74</v>
      </c>
      <c r="N188" t="s">
        <v>83</v>
      </c>
      <c r="O188">
        <v>1</v>
      </c>
      <c r="P188">
        <v>4</v>
      </c>
      <c r="Q188" t="s">
        <v>65</v>
      </c>
      <c r="R188" t="s">
        <v>62</v>
      </c>
      <c r="S188">
        <v>46</v>
      </c>
      <c r="T188" t="str">
        <f t="shared" si="35"/>
        <v>30-50</v>
      </c>
      <c r="U188">
        <v>3</v>
      </c>
      <c r="V188" t="s">
        <v>63</v>
      </c>
      <c r="W188">
        <v>5</v>
      </c>
      <c r="X188" t="s">
        <v>90</v>
      </c>
      <c r="Y188">
        <v>3</v>
      </c>
      <c r="Z188" t="s">
        <v>63</v>
      </c>
      <c r="AA188" t="s">
        <v>77</v>
      </c>
      <c r="AB188" s="4">
        <v>19033</v>
      </c>
      <c r="AC188" s="4" t="str">
        <f t="shared" si="36"/>
        <v>$19,000-$20,500</v>
      </c>
      <c r="AD188">
        <v>6499</v>
      </c>
      <c r="AE188" t="str">
        <f t="shared" si="37"/>
        <v>$2,094-$8,000</v>
      </c>
      <c r="AF188">
        <v>1</v>
      </c>
      <c r="AG188" t="str">
        <f t="shared" si="38"/>
        <v>0-1</v>
      </c>
      <c r="AH188" t="s">
        <v>67</v>
      </c>
      <c r="AI188" t="s">
        <v>71</v>
      </c>
      <c r="AJ188">
        <v>14</v>
      </c>
      <c r="AK188" t="str">
        <f t="shared" si="39"/>
        <v>13-15%</v>
      </c>
      <c r="AL188">
        <v>3</v>
      </c>
      <c r="AM188" t="s">
        <v>68</v>
      </c>
      <c r="AN188">
        <v>2</v>
      </c>
      <c r="AO188" t="s">
        <v>61</v>
      </c>
      <c r="AP188">
        <v>80</v>
      </c>
      <c r="AQ188">
        <v>1</v>
      </c>
      <c r="AR188">
        <v>21</v>
      </c>
      <c r="AS188" t="str">
        <f t="shared" si="40"/>
        <v>21-40</v>
      </c>
      <c r="AT188">
        <v>2</v>
      </c>
      <c r="AU188" t="str">
        <f t="shared" si="41"/>
        <v>0-2</v>
      </c>
      <c r="AV188">
        <v>3</v>
      </c>
      <c r="AW188" t="s">
        <v>79</v>
      </c>
      <c r="AX188">
        <v>20</v>
      </c>
      <c r="AY188" t="str">
        <f t="shared" si="30"/>
        <v>11-20</v>
      </c>
      <c r="AZ188">
        <v>8</v>
      </c>
      <c r="BA188" t="str">
        <f t="shared" si="42"/>
        <v>6-10</v>
      </c>
      <c r="BB188">
        <v>9</v>
      </c>
      <c r="BC188" t="str">
        <f t="shared" si="43"/>
        <v>6-10</v>
      </c>
      <c r="BD188">
        <v>9</v>
      </c>
      <c r="BE188" t="str">
        <f t="shared" si="44"/>
        <v>6-10</v>
      </c>
    </row>
    <row r="189" spans="1:57" x14ac:dyDescent="0.3">
      <c r="A189">
        <v>254</v>
      </c>
      <c r="B189">
        <v>55</v>
      </c>
      <c r="C189" t="str">
        <f t="shared" si="31"/>
        <v>46-55</v>
      </c>
      <c r="D189" t="s">
        <v>71</v>
      </c>
      <c r="E189">
        <f t="shared" si="32"/>
        <v>0</v>
      </c>
      <c r="F189" t="s">
        <v>57</v>
      </c>
      <c r="G189">
        <v>692</v>
      </c>
      <c r="H189" t="str">
        <f t="shared" si="33"/>
        <v>501-1000</v>
      </c>
      <c r="I189" t="s">
        <v>73</v>
      </c>
      <c r="J189">
        <v>14</v>
      </c>
      <c r="K189" t="str">
        <f t="shared" si="34"/>
        <v>11-20</v>
      </c>
      <c r="L189">
        <v>4</v>
      </c>
      <c r="M189" t="s">
        <v>82</v>
      </c>
      <c r="N189" t="s">
        <v>83</v>
      </c>
      <c r="O189">
        <v>1</v>
      </c>
      <c r="P189">
        <v>3</v>
      </c>
      <c r="Q189" t="s">
        <v>63</v>
      </c>
      <c r="R189" t="s">
        <v>75</v>
      </c>
      <c r="S189">
        <v>61</v>
      </c>
      <c r="T189" t="str">
        <f t="shared" si="35"/>
        <v>51-75</v>
      </c>
      <c r="U189">
        <v>4</v>
      </c>
      <c r="V189" t="s">
        <v>65</v>
      </c>
      <c r="W189">
        <v>5</v>
      </c>
      <c r="X189" t="s">
        <v>92</v>
      </c>
      <c r="Y189">
        <v>2</v>
      </c>
      <c r="Z189" t="s">
        <v>61</v>
      </c>
      <c r="AA189" t="s">
        <v>66</v>
      </c>
      <c r="AB189" s="4">
        <v>18722</v>
      </c>
      <c r="AC189" s="4" t="str">
        <f t="shared" si="36"/>
        <v>$17,500-$19,000</v>
      </c>
      <c r="AD189">
        <v>13339</v>
      </c>
      <c r="AE189" t="str">
        <f t="shared" si="37"/>
        <v>$8,001-$16,000</v>
      </c>
      <c r="AF189">
        <v>8</v>
      </c>
      <c r="AG189" t="str">
        <f t="shared" si="38"/>
        <v>7-9</v>
      </c>
      <c r="AH189" t="s">
        <v>67</v>
      </c>
      <c r="AI189" t="s">
        <v>71</v>
      </c>
      <c r="AJ189">
        <v>11</v>
      </c>
      <c r="AK189" t="str">
        <f t="shared" si="39"/>
        <v>11-12%</v>
      </c>
      <c r="AL189">
        <v>3</v>
      </c>
      <c r="AM189" t="s">
        <v>68</v>
      </c>
      <c r="AN189">
        <v>4</v>
      </c>
      <c r="AO189" t="s">
        <v>65</v>
      </c>
      <c r="AP189">
        <v>80</v>
      </c>
      <c r="AQ189">
        <v>0</v>
      </c>
      <c r="AR189">
        <v>36</v>
      </c>
      <c r="AS189" t="str">
        <f t="shared" si="40"/>
        <v>21-40</v>
      </c>
      <c r="AT189">
        <v>3</v>
      </c>
      <c r="AU189" t="str">
        <f t="shared" si="41"/>
        <v>3-4</v>
      </c>
      <c r="AV189">
        <v>3</v>
      </c>
      <c r="AW189" t="s">
        <v>79</v>
      </c>
      <c r="AX189">
        <v>24</v>
      </c>
      <c r="AY189" t="str">
        <f t="shared" si="30"/>
        <v>21-40</v>
      </c>
      <c r="AZ189">
        <v>15</v>
      </c>
      <c r="BA189" t="str">
        <f t="shared" si="42"/>
        <v>11-18</v>
      </c>
      <c r="BB189">
        <v>2</v>
      </c>
      <c r="BC189" t="str">
        <f t="shared" si="43"/>
        <v>2-5</v>
      </c>
      <c r="BD189">
        <v>15</v>
      </c>
      <c r="BE189" t="str">
        <f t="shared" si="44"/>
        <v>11-17</v>
      </c>
    </row>
    <row r="190" spans="1:57" x14ac:dyDescent="0.3">
      <c r="A190">
        <v>256</v>
      </c>
      <c r="B190">
        <v>34</v>
      </c>
      <c r="C190" t="str">
        <f t="shared" si="31"/>
        <v>26-35</v>
      </c>
      <c r="D190" t="s">
        <v>71</v>
      </c>
      <c r="E190">
        <f t="shared" si="32"/>
        <v>0</v>
      </c>
      <c r="F190" t="s">
        <v>72</v>
      </c>
      <c r="G190">
        <v>1069</v>
      </c>
      <c r="H190" t="str">
        <f t="shared" si="33"/>
        <v>1001-1499</v>
      </c>
      <c r="I190" t="s">
        <v>73</v>
      </c>
      <c r="J190">
        <v>2</v>
      </c>
      <c r="K190" t="str">
        <f t="shared" si="34"/>
        <v>1-5</v>
      </c>
      <c r="L190">
        <v>1</v>
      </c>
      <c r="M190" t="s">
        <v>74</v>
      </c>
      <c r="N190" t="s">
        <v>60</v>
      </c>
      <c r="O190">
        <v>1</v>
      </c>
      <c r="P190">
        <v>4</v>
      </c>
      <c r="Q190" t="s">
        <v>65</v>
      </c>
      <c r="R190" t="s">
        <v>75</v>
      </c>
      <c r="S190">
        <v>45</v>
      </c>
      <c r="T190" t="str">
        <f t="shared" si="35"/>
        <v>30-50</v>
      </c>
      <c r="U190">
        <v>2</v>
      </c>
      <c r="V190" t="s">
        <v>61</v>
      </c>
      <c r="W190">
        <v>2</v>
      </c>
      <c r="X190" t="s">
        <v>87</v>
      </c>
      <c r="Y190">
        <v>3</v>
      </c>
      <c r="Z190" t="s">
        <v>63</v>
      </c>
      <c r="AA190" t="s">
        <v>77</v>
      </c>
      <c r="AB190" s="4">
        <v>9547</v>
      </c>
      <c r="AC190" s="4" t="str">
        <f t="shared" si="36"/>
        <v>$8,500-$10,000</v>
      </c>
      <c r="AD190">
        <v>14074</v>
      </c>
      <c r="AE190" t="str">
        <f t="shared" si="37"/>
        <v>$8,001-$16,000</v>
      </c>
      <c r="AF190">
        <v>1</v>
      </c>
      <c r="AG190" t="str">
        <f t="shared" si="38"/>
        <v>0-1</v>
      </c>
      <c r="AH190" t="s">
        <v>67</v>
      </c>
      <c r="AI190" t="s">
        <v>71</v>
      </c>
      <c r="AJ190">
        <v>17</v>
      </c>
      <c r="AK190" t="str">
        <f t="shared" si="39"/>
        <v>16-17%</v>
      </c>
      <c r="AL190">
        <v>3</v>
      </c>
      <c r="AM190" t="s">
        <v>68</v>
      </c>
      <c r="AN190">
        <v>3</v>
      </c>
      <c r="AO190" t="s">
        <v>63</v>
      </c>
      <c r="AP190">
        <v>80</v>
      </c>
      <c r="AQ190">
        <v>0</v>
      </c>
      <c r="AR190">
        <v>10</v>
      </c>
      <c r="AS190" t="str">
        <f t="shared" si="40"/>
        <v>6-10</v>
      </c>
      <c r="AT190">
        <v>2</v>
      </c>
      <c r="AU190" t="str">
        <f t="shared" si="41"/>
        <v>0-2</v>
      </c>
      <c r="AV190">
        <v>2</v>
      </c>
      <c r="AW190" t="s">
        <v>84</v>
      </c>
      <c r="AX190">
        <v>10</v>
      </c>
      <c r="AY190" t="str">
        <f t="shared" si="30"/>
        <v>6-10</v>
      </c>
      <c r="AZ190">
        <v>9</v>
      </c>
      <c r="BA190" t="str">
        <f t="shared" si="42"/>
        <v>6-10</v>
      </c>
      <c r="BB190">
        <v>1</v>
      </c>
      <c r="BC190" t="str">
        <f t="shared" si="43"/>
        <v>0-1</v>
      </c>
      <c r="BD190">
        <v>9</v>
      </c>
      <c r="BE190" t="str">
        <f t="shared" si="44"/>
        <v>6-10</v>
      </c>
    </row>
    <row r="191" spans="1:57" x14ac:dyDescent="0.3">
      <c r="A191">
        <v>258</v>
      </c>
      <c r="B191">
        <v>51</v>
      </c>
      <c r="C191" t="str">
        <f t="shared" si="31"/>
        <v>46-55</v>
      </c>
      <c r="D191" t="s">
        <v>71</v>
      </c>
      <c r="E191">
        <f t="shared" si="32"/>
        <v>0</v>
      </c>
      <c r="F191" t="s">
        <v>57</v>
      </c>
      <c r="G191">
        <v>313</v>
      </c>
      <c r="H191" t="str">
        <f t="shared" si="33"/>
        <v>102-500</v>
      </c>
      <c r="I191" t="s">
        <v>73</v>
      </c>
      <c r="J191">
        <v>3</v>
      </c>
      <c r="K191" t="str">
        <f t="shared" si="34"/>
        <v>1-5</v>
      </c>
      <c r="L191">
        <v>3</v>
      </c>
      <c r="M191" t="s">
        <v>85</v>
      </c>
      <c r="N191" t="s">
        <v>83</v>
      </c>
      <c r="O191">
        <v>1</v>
      </c>
      <c r="P191">
        <v>4</v>
      </c>
      <c r="Q191" t="s">
        <v>65</v>
      </c>
      <c r="R191" t="s">
        <v>62</v>
      </c>
      <c r="S191">
        <v>98</v>
      </c>
      <c r="T191" t="str">
        <f t="shared" si="35"/>
        <v>76-100</v>
      </c>
      <c r="U191">
        <v>3</v>
      </c>
      <c r="V191" t="s">
        <v>63</v>
      </c>
      <c r="W191">
        <v>4</v>
      </c>
      <c r="X191" t="s">
        <v>88</v>
      </c>
      <c r="Y191">
        <v>2</v>
      </c>
      <c r="Z191" t="s">
        <v>61</v>
      </c>
      <c r="AA191" t="s">
        <v>66</v>
      </c>
      <c r="AB191" s="4">
        <v>13734</v>
      </c>
      <c r="AC191" s="4" t="str">
        <f t="shared" si="36"/>
        <v>$13,000-$14,500</v>
      </c>
      <c r="AD191">
        <v>7192</v>
      </c>
      <c r="AE191" t="str">
        <f t="shared" si="37"/>
        <v>$2,094-$8,000</v>
      </c>
      <c r="AF191">
        <v>3</v>
      </c>
      <c r="AG191" t="str">
        <f t="shared" si="38"/>
        <v>2-3</v>
      </c>
      <c r="AH191" t="s">
        <v>67</v>
      </c>
      <c r="AI191" t="s">
        <v>71</v>
      </c>
      <c r="AJ191">
        <v>18</v>
      </c>
      <c r="AK191" t="str">
        <f t="shared" si="39"/>
        <v>18-19%</v>
      </c>
      <c r="AL191">
        <v>3</v>
      </c>
      <c r="AM191" t="s">
        <v>68</v>
      </c>
      <c r="AN191">
        <v>3</v>
      </c>
      <c r="AO191" t="s">
        <v>63</v>
      </c>
      <c r="AP191">
        <v>80</v>
      </c>
      <c r="AQ191">
        <v>0</v>
      </c>
      <c r="AR191">
        <v>21</v>
      </c>
      <c r="AS191" t="str">
        <f t="shared" si="40"/>
        <v>21-40</v>
      </c>
      <c r="AT191">
        <v>6</v>
      </c>
      <c r="AU191" t="str">
        <f t="shared" si="41"/>
        <v>5-6</v>
      </c>
      <c r="AV191">
        <v>3</v>
      </c>
      <c r="AW191" t="s">
        <v>79</v>
      </c>
      <c r="AX191">
        <v>7</v>
      </c>
      <c r="AY191" t="str">
        <f t="shared" si="30"/>
        <v>6-10</v>
      </c>
      <c r="AZ191">
        <v>7</v>
      </c>
      <c r="BA191" t="str">
        <f t="shared" si="42"/>
        <v>6-10</v>
      </c>
      <c r="BB191">
        <v>1</v>
      </c>
      <c r="BC191" t="str">
        <f t="shared" si="43"/>
        <v>0-1</v>
      </c>
      <c r="BD191">
        <v>0</v>
      </c>
      <c r="BE191" t="str">
        <f t="shared" si="44"/>
        <v>0-1</v>
      </c>
    </row>
    <row r="192" spans="1:57" x14ac:dyDescent="0.3">
      <c r="A192">
        <v>259</v>
      </c>
      <c r="B192">
        <v>52</v>
      </c>
      <c r="C192" t="str">
        <f t="shared" si="31"/>
        <v>46-55</v>
      </c>
      <c r="D192" t="s">
        <v>71</v>
      </c>
      <c r="E192">
        <f t="shared" si="32"/>
        <v>0</v>
      </c>
      <c r="F192" t="s">
        <v>57</v>
      </c>
      <c r="G192">
        <v>699</v>
      </c>
      <c r="H192" t="str">
        <f t="shared" si="33"/>
        <v>501-1000</v>
      </c>
      <c r="I192" t="s">
        <v>73</v>
      </c>
      <c r="J192">
        <v>1</v>
      </c>
      <c r="K192" t="str">
        <f t="shared" si="34"/>
        <v>1-5</v>
      </c>
      <c r="L192">
        <v>4</v>
      </c>
      <c r="M192" t="s">
        <v>82</v>
      </c>
      <c r="N192" t="s">
        <v>60</v>
      </c>
      <c r="O192">
        <v>1</v>
      </c>
      <c r="P192">
        <v>3</v>
      </c>
      <c r="Q192" t="s">
        <v>63</v>
      </c>
      <c r="R192" t="s">
        <v>75</v>
      </c>
      <c r="S192">
        <v>65</v>
      </c>
      <c r="T192" t="str">
        <f t="shared" si="35"/>
        <v>51-75</v>
      </c>
      <c r="U192">
        <v>2</v>
      </c>
      <c r="V192" t="s">
        <v>61</v>
      </c>
      <c r="W192">
        <v>5</v>
      </c>
      <c r="X192" t="s">
        <v>90</v>
      </c>
      <c r="Y192">
        <v>3</v>
      </c>
      <c r="Z192" t="s">
        <v>63</v>
      </c>
      <c r="AA192" t="s">
        <v>77</v>
      </c>
      <c r="AB192" s="4">
        <v>19999</v>
      </c>
      <c r="AC192" s="4" t="str">
        <f t="shared" si="36"/>
        <v>$19,000-$20,500</v>
      </c>
      <c r="AD192">
        <v>5678</v>
      </c>
      <c r="AE192" t="str">
        <f t="shared" si="37"/>
        <v>$2,094-$8,000</v>
      </c>
      <c r="AF192">
        <v>0</v>
      </c>
      <c r="AG192" t="str">
        <f t="shared" si="38"/>
        <v>0-1</v>
      </c>
      <c r="AH192" t="s">
        <v>67</v>
      </c>
      <c r="AI192" t="s">
        <v>71</v>
      </c>
      <c r="AJ192">
        <v>14</v>
      </c>
      <c r="AK192" t="str">
        <f t="shared" si="39"/>
        <v>13-15%</v>
      </c>
      <c r="AL192">
        <v>3</v>
      </c>
      <c r="AM192" t="s">
        <v>68</v>
      </c>
      <c r="AN192">
        <v>1</v>
      </c>
      <c r="AO192" t="s">
        <v>69</v>
      </c>
      <c r="AP192">
        <v>80</v>
      </c>
      <c r="AQ192">
        <v>1</v>
      </c>
      <c r="AR192">
        <v>34</v>
      </c>
      <c r="AS192" t="str">
        <f t="shared" si="40"/>
        <v>21-40</v>
      </c>
      <c r="AT192">
        <v>5</v>
      </c>
      <c r="AU192" t="str">
        <f t="shared" si="41"/>
        <v>5-6</v>
      </c>
      <c r="AV192">
        <v>3</v>
      </c>
      <c r="AW192" t="s">
        <v>79</v>
      </c>
      <c r="AX192">
        <v>33</v>
      </c>
      <c r="AY192" t="str">
        <f t="shared" si="30"/>
        <v>21-40</v>
      </c>
      <c r="AZ192">
        <v>18</v>
      </c>
      <c r="BA192" t="str">
        <f t="shared" si="42"/>
        <v>11-18</v>
      </c>
      <c r="BB192">
        <v>11</v>
      </c>
      <c r="BC192" t="str">
        <f t="shared" si="43"/>
        <v>11-15</v>
      </c>
      <c r="BD192">
        <v>9</v>
      </c>
      <c r="BE192" t="str">
        <f t="shared" si="44"/>
        <v>6-10</v>
      </c>
    </row>
    <row r="193" spans="1:57" x14ac:dyDescent="0.3">
      <c r="A193">
        <v>260</v>
      </c>
      <c r="B193">
        <v>27</v>
      </c>
      <c r="C193" t="str">
        <f t="shared" si="31"/>
        <v>26-35</v>
      </c>
      <c r="D193" t="s">
        <v>71</v>
      </c>
      <c r="E193">
        <f t="shared" si="32"/>
        <v>0</v>
      </c>
      <c r="F193" t="s">
        <v>57</v>
      </c>
      <c r="G193">
        <v>894</v>
      </c>
      <c r="H193" t="str">
        <f t="shared" si="33"/>
        <v>501-1000</v>
      </c>
      <c r="I193" t="s">
        <v>73</v>
      </c>
      <c r="J193">
        <v>9</v>
      </c>
      <c r="K193" t="str">
        <f t="shared" si="34"/>
        <v>6-10</v>
      </c>
      <c r="L193">
        <v>3</v>
      </c>
      <c r="M193" t="s">
        <v>85</v>
      </c>
      <c r="N193" t="s">
        <v>83</v>
      </c>
      <c r="O193">
        <v>1</v>
      </c>
      <c r="P193">
        <v>4</v>
      </c>
      <c r="Q193" t="s">
        <v>65</v>
      </c>
      <c r="R193" t="s">
        <v>62</v>
      </c>
      <c r="S193">
        <v>99</v>
      </c>
      <c r="T193" t="str">
        <f t="shared" si="35"/>
        <v>76-100</v>
      </c>
      <c r="U193">
        <v>3</v>
      </c>
      <c r="V193" t="s">
        <v>63</v>
      </c>
      <c r="W193">
        <v>1</v>
      </c>
      <c r="X193" t="s">
        <v>76</v>
      </c>
      <c r="Y193">
        <v>2</v>
      </c>
      <c r="Z193" t="s">
        <v>61</v>
      </c>
      <c r="AA193" t="s">
        <v>66</v>
      </c>
      <c r="AB193" s="4">
        <v>2279</v>
      </c>
      <c r="AC193" s="4" t="str">
        <f t="shared" si="36"/>
        <v>$1,000-$2,500</v>
      </c>
      <c r="AD193">
        <v>11781</v>
      </c>
      <c r="AE193" t="str">
        <f t="shared" si="37"/>
        <v>$8,001-$16,000</v>
      </c>
      <c r="AF193">
        <v>1</v>
      </c>
      <c r="AG193" t="str">
        <f t="shared" si="38"/>
        <v>0-1</v>
      </c>
      <c r="AH193" t="s">
        <v>67</v>
      </c>
      <c r="AI193" t="s">
        <v>71</v>
      </c>
      <c r="AJ193">
        <v>16</v>
      </c>
      <c r="AK193" t="str">
        <f t="shared" si="39"/>
        <v>16-17%</v>
      </c>
      <c r="AL193">
        <v>3</v>
      </c>
      <c r="AM193" t="s">
        <v>68</v>
      </c>
      <c r="AN193">
        <v>4</v>
      </c>
      <c r="AO193" t="s">
        <v>65</v>
      </c>
      <c r="AP193">
        <v>80</v>
      </c>
      <c r="AQ193">
        <v>0</v>
      </c>
      <c r="AR193">
        <v>7</v>
      </c>
      <c r="AS193" t="str">
        <f t="shared" si="40"/>
        <v>6-10</v>
      </c>
      <c r="AT193">
        <v>2</v>
      </c>
      <c r="AU193" t="str">
        <f t="shared" si="41"/>
        <v>0-2</v>
      </c>
      <c r="AV193">
        <v>2</v>
      </c>
      <c r="AW193" t="s">
        <v>84</v>
      </c>
      <c r="AX193">
        <v>7</v>
      </c>
      <c r="AY193" t="str">
        <f t="shared" si="30"/>
        <v>6-10</v>
      </c>
      <c r="AZ193">
        <v>7</v>
      </c>
      <c r="BA193" t="str">
        <f t="shared" si="42"/>
        <v>6-10</v>
      </c>
      <c r="BB193">
        <v>0</v>
      </c>
      <c r="BC193" t="str">
        <f t="shared" si="43"/>
        <v>0-1</v>
      </c>
      <c r="BD193">
        <v>3</v>
      </c>
      <c r="BE193" t="str">
        <f t="shared" si="44"/>
        <v>2-5</v>
      </c>
    </row>
    <row r="194" spans="1:57" x14ac:dyDescent="0.3">
      <c r="A194">
        <v>261</v>
      </c>
      <c r="B194">
        <v>35</v>
      </c>
      <c r="C194" t="str">
        <f t="shared" si="31"/>
        <v>26-35</v>
      </c>
      <c r="D194" t="s">
        <v>56</v>
      </c>
      <c r="E194">
        <f t="shared" si="32"/>
        <v>1</v>
      </c>
      <c r="F194" t="s">
        <v>57</v>
      </c>
      <c r="G194">
        <v>556</v>
      </c>
      <c r="H194" t="str">
        <f t="shared" si="33"/>
        <v>501-1000</v>
      </c>
      <c r="I194" t="s">
        <v>73</v>
      </c>
      <c r="J194">
        <v>23</v>
      </c>
      <c r="K194" t="str">
        <f t="shared" si="34"/>
        <v>21-29</v>
      </c>
      <c r="L194">
        <v>2</v>
      </c>
      <c r="M194" t="s">
        <v>59</v>
      </c>
      <c r="N194" t="s">
        <v>60</v>
      </c>
      <c r="O194">
        <v>1</v>
      </c>
      <c r="P194">
        <v>2</v>
      </c>
      <c r="Q194" t="s">
        <v>61</v>
      </c>
      <c r="R194" t="s">
        <v>75</v>
      </c>
      <c r="S194">
        <v>50</v>
      </c>
      <c r="T194" t="str">
        <f t="shared" si="35"/>
        <v>30-50</v>
      </c>
      <c r="U194">
        <v>2</v>
      </c>
      <c r="V194" t="s">
        <v>61</v>
      </c>
      <c r="W194">
        <v>2</v>
      </c>
      <c r="X194" t="s">
        <v>87</v>
      </c>
      <c r="Y194">
        <v>3</v>
      </c>
      <c r="Z194" t="s">
        <v>63</v>
      </c>
      <c r="AA194" t="s">
        <v>77</v>
      </c>
      <c r="AB194" s="4">
        <v>5916</v>
      </c>
      <c r="AC194" s="4" t="str">
        <f t="shared" si="36"/>
        <v>$5,500-$7,000</v>
      </c>
      <c r="AD194">
        <v>15497</v>
      </c>
      <c r="AE194" t="str">
        <f t="shared" si="37"/>
        <v>$8,001-$16,000</v>
      </c>
      <c r="AF194">
        <v>3</v>
      </c>
      <c r="AG194" t="str">
        <f t="shared" si="38"/>
        <v>2-3</v>
      </c>
      <c r="AH194" t="s">
        <v>67</v>
      </c>
      <c r="AI194" t="s">
        <v>56</v>
      </c>
      <c r="AJ194">
        <v>13</v>
      </c>
      <c r="AK194" t="str">
        <f t="shared" si="39"/>
        <v>13-15%</v>
      </c>
      <c r="AL194">
        <v>3</v>
      </c>
      <c r="AM194" t="s">
        <v>68</v>
      </c>
      <c r="AN194">
        <v>1</v>
      </c>
      <c r="AO194" t="s">
        <v>69</v>
      </c>
      <c r="AP194">
        <v>80</v>
      </c>
      <c r="AQ194">
        <v>0</v>
      </c>
      <c r="AR194">
        <v>8</v>
      </c>
      <c r="AS194" t="str">
        <f t="shared" si="40"/>
        <v>6-10</v>
      </c>
      <c r="AT194">
        <v>1</v>
      </c>
      <c r="AU194" t="str">
        <f t="shared" si="41"/>
        <v>0-2</v>
      </c>
      <c r="AV194">
        <v>3</v>
      </c>
      <c r="AW194" t="s">
        <v>79</v>
      </c>
      <c r="AX194">
        <v>1</v>
      </c>
      <c r="AY194" t="str">
        <f t="shared" ref="AY194:AY257" si="45">IF(AX194&lt;=1,"0-1",IF(AX194&lt;=5,"2-5",IF(AX194&lt;=10,"6-10",IF(AX194&lt;=20,"11-20","21-40"))))</f>
        <v>0-1</v>
      </c>
      <c r="AZ194">
        <v>0</v>
      </c>
      <c r="BA194" t="str">
        <f t="shared" si="42"/>
        <v>0-1</v>
      </c>
      <c r="BB194">
        <v>0</v>
      </c>
      <c r="BC194" t="str">
        <f t="shared" si="43"/>
        <v>0-1</v>
      </c>
      <c r="BD194">
        <v>1</v>
      </c>
      <c r="BE194" t="str">
        <f t="shared" si="44"/>
        <v>0-1</v>
      </c>
    </row>
    <row r="195" spans="1:57" x14ac:dyDescent="0.3">
      <c r="A195">
        <v>262</v>
      </c>
      <c r="B195">
        <v>43</v>
      </c>
      <c r="C195" t="str">
        <f t="shared" ref="C195:C258" si="46">IF(B195&lt;=25, "18-25", IF(B195&lt;=35, "26-35", IF(B195&lt;=45, "36-45", IF(B195&lt;=55, "46-55", "56+"))))</f>
        <v>36-45</v>
      </c>
      <c r="D195" t="s">
        <v>71</v>
      </c>
      <c r="E195">
        <f t="shared" ref="E195:E258" si="47">IF(D195="Yes",1,0)</f>
        <v>0</v>
      </c>
      <c r="F195" t="s">
        <v>89</v>
      </c>
      <c r="G195">
        <v>1344</v>
      </c>
      <c r="H195" t="str">
        <f t="shared" ref="H195:H258" si="48">IF(G195&lt;=500,"102-500",IF(G195&lt;=1000,"501-1000","1001-1499"))</f>
        <v>1001-1499</v>
      </c>
      <c r="I195" t="s">
        <v>73</v>
      </c>
      <c r="J195">
        <v>7</v>
      </c>
      <c r="K195" t="str">
        <f t="shared" ref="K195:K258" si="49">IF(J195&lt;=5,"1-5",IF(J195&lt;=10,"6-10",IF(J195&lt;=20,"11-20","21-29")))</f>
        <v>6-10</v>
      </c>
      <c r="L195">
        <v>3</v>
      </c>
      <c r="M195" t="s">
        <v>85</v>
      </c>
      <c r="N195" t="s">
        <v>83</v>
      </c>
      <c r="O195">
        <v>1</v>
      </c>
      <c r="P195">
        <v>4</v>
      </c>
      <c r="Q195" t="s">
        <v>65</v>
      </c>
      <c r="R195" t="s">
        <v>75</v>
      </c>
      <c r="S195">
        <v>37</v>
      </c>
      <c r="T195" t="str">
        <f t="shared" ref="T195:T258" si="50">IF(S195&lt;=50,"30-50",IF(S195&lt;=75,"51-75","76-100"))</f>
        <v>30-50</v>
      </c>
      <c r="U195">
        <v>4</v>
      </c>
      <c r="V195" t="s">
        <v>65</v>
      </c>
      <c r="W195">
        <v>1</v>
      </c>
      <c r="X195" t="s">
        <v>76</v>
      </c>
      <c r="Y195">
        <v>4</v>
      </c>
      <c r="Z195" t="s">
        <v>65</v>
      </c>
      <c r="AA195" t="s">
        <v>86</v>
      </c>
      <c r="AB195" s="4">
        <v>2089</v>
      </c>
      <c r="AC195" s="4" t="str">
        <f t="shared" ref="AC195:AC258" si="51">IF(AB195&lt;2500,"$1,000-$2,500",IF(AB195&lt;4000,"$2,500-$4,000",IF(AB195&lt;5500,"$4,000-$5,500",IF(AB195&lt;7000,"$5,500-$7,000",IF(AB195&lt;8500,"$7,000-$8,500",IF(AB195&lt;10000,"$8,500-$10,000",IF(AB195&lt;11500,"$10,000-$11,500",IF(AB195&lt;13000,"$11,500-$13,000",IF(AB195&lt;14500,"$13,000-$14,500",IF(AB195&lt;16000,"$14,500-$16,000",IF(AB195&lt;17500,"$16,000-$17,500",IF(AB195&lt;19000,"$17,500-$19,000",IF(AB195&lt;20500,"$19,000-$20,500",IF(AB195&lt;22000,"$20,500-$22,000",IF(AB195&lt;23500,"$22,000-$23,500",IF(AB195&lt;25000,"$23,500-$25,000",IF(AB195&lt;26500,"$25,000-$26,500",IF(AB195&lt;28000,"$26,500-$28,000",IF(AB195&lt;29500,"$28,000-$29,500","$29,500+")))))))))))))))))))</f>
        <v>$1,000-$2,500</v>
      </c>
      <c r="AD195">
        <v>5228</v>
      </c>
      <c r="AE195" t="str">
        <f t="shared" ref="AE195:AE258" si="52">IF(AD195&lt;=8000,"$2,094-$8,000",IF(AD195&lt;=16000,"$8,001-$16,000",IF(AD195&lt;=22000,"$16,001-$22,000","$22,001-$26,999")))</f>
        <v>$2,094-$8,000</v>
      </c>
      <c r="AF195">
        <v>4</v>
      </c>
      <c r="AG195" t="str">
        <f t="shared" ref="AG195:AG258" si="53">IF(AF195&lt;=1,"0-1",IF(AF195&lt;=3,"2-3",IF(AF195&lt;=6,"4-6","7-9")))</f>
        <v>4-6</v>
      </c>
      <c r="AH195" t="s">
        <v>67</v>
      </c>
      <c r="AI195" t="s">
        <v>71</v>
      </c>
      <c r="AJ195">
        <v>14</v>
      </c>
      <c r="AK195" t="str">
        <f t="shared" ref="AK195:AK258" si="54">IF(AJ195&lt;=12,"11-12%",IF(AJ195&lt;=15,"13-15%",IF(AJ195&lt;=17,"16-17%","18-19%")))</f>
        <v>13-15%</v>
      </c>
      <c r="AL195">
        <v>3</v>
      </c>
      <c r="AM195" t="s">
        <v>68</v>
      </c>
      <c r="AN195">
        <v>4</v>
      </c>
      <c r="AO195" t="s">
        <v>65</v>
      </c>
      <c r="AP195">
        <v>80</v>
      </c>
      <c r="AQ195">
        <v>3</v>
      </c>
      <c r="AR195">
        <v>7</v>
      </c>
      <c r="AS195" t="str">
        <f t="shared" ref="AS195:AS258" si="55">IF(AR195&lt;=2,"0-2",IF(AR195&lt;=5,"3-5",IF(AR195&lt;=10,"6-10",IF(AR195&lt;=20,"11-20","21-40"))))</f>
        <v>6-10</v>
      </c>
      <c r="AT195">
        <v>3</v>
      </c>
      <c r="AU195" t="str">
        <f t="shared" ref="AU195:AU258" si="56">IF(AT195&lt;=2,"0-2",IF(AT195&lt;=4,"3-4","5-6"))</f>
        <v>3-4</v>
      </c>
      <c r="AV195">
        <v>4</v>
      </c>
      <c r="AW195" t="s">
        <v>94</v>
      </c>
      <c r="AX195">
        <v>5</v>
      </c>
      <c r="AY195" t="str">
        <f t="shared" si="45"/>
        <v>2-5</v>
      </c>
      <c r="AZ195">
        <v>4</v>
      </c>
      <c r="BA195" t="str">
        <f t="shared" ref="BA195:BA258" si="57">IF(AZ195&lt;=1,"0-1",IF(AZ195&lt;=5,"2-5",IF(AZ195&lt;=10,"6-10","11-18")))</f>
        <v>2-5</v>
      </c>
      <c r="BB195">
        <v>2</v>
      </c>
      <c r="BC195" t="str">
        <f t="shared" ref="BC195:BC258" si="58">IF(BB195&lt;=1,"0-1",IF(BB195&lt;=5,"2-5",IF(BB195&lt;=10,"6-10","11-15")))</f>
        <v>2-5</v>
      </c>
      <c r="BD195">
        <v>2</v>
      </c>
      <c r="BE195" t="str">
        <f t="shared" ref="BE195:BE258" si="59">IF(BD195&lt;=1,"0-1",IF(BD195&lt;=5,"2-5",IF(BD195&lt;=10,"6-10","11-17")))</f>
        <v>2-5</v>
      </c>
    </row>
    <row r="196" spans="1:57" x14ac:dyDescent="0.3">
      <c r="A196">
        <v>264</v>
      </c>
      <c r="B196">
        <v>45</v>
      </c>
      <c r="C196" t="str">
        <f t="shared" si="46"/>
        <v>36-45</v>
      </c>
      <c r="D196" t="s">
        <v>71</v>
      </c>
      <c r="E196">
        <f t="shared" si="47"/>
        <v>0</v>
      </c>
      <c r="F196" t="s">
        <v>89</v>
      </c>
      <c r="G196">
        <v>1195</v>
      </c>
      <c r="H196" t="str">
        <f t="shared" si="48"/>
        <v>1001-1499</v>
      </c>
      <c r="I196" t="s">
        <v>73</v>
      </c>
      <c r="J196">
        <v>2</v>
      </c>
      <c r="K196" t="str">
        <f t="shared" si="49"/>
        <v>1-5</v>
      </c>
      <c r="L196">
        <v>2</v>
      </c>
      <c r="M196" t="s">
        <v>59</v>
      </c>
      <c r="N196" t="s">
        <v>83</v>
      </c>
      <c r="O196">
        <v>1</v>
      </c>
      <c r="P196">
        <v>1</v>
      </c>
      <c r="Q196" t="s">
        <v>69</v>
      </c>
      <c r="R196" t="s">
        <v>75</v>
      </c>
      <c r="S196">
        <v>65</v>
      </c>
      <c r="T196" t="str">
        <f t="shared" si="50"/>
        <v>51-75</v>
      </c>
      <c r="U196">
        <v>2</v>
      </c>
      <c r="V196" t="s">
        <v>61</v>
      </c>
      <c r="W196">
        <v>4</v>
      </c>
      <c r="X196" t="s">
        <v>90</v>
      </c>
      <c r="Y196">
        <v>4</v>
      </c>
      <c r="Z196" t="s">
        <v>65</v>
      </c>
      <c r="AA196" t="s">
        <v>77</v>
      </c>
      <c r="AB196" s="4">
        <v>16792</v>
      </c>
      <c r="AC196" s="4" t="str">
        <f t="shared" si="51"/>
        <v>$16,000-$17,500</v>
      </c>
      <c r="AD196">
        <v>20462</v>
      </c>
      <c r="AE196" t="str">
        <f t="shared" si="52"/>
        <v>$16,001-$22,000</v>
      </c>
      <c r="AF196">
        <v>9</v>
      </c>
      <c r="AG196" t="str">
        <f t="shared" si="53"/>
        <v>7-9</v>
      </c>
      <c r="AH196" t="s">
        <v>67</v>
      </c>
      <c r="AI196" t="s">
        <v>71</v>
      </c>
      <c r="AJ196">
        <v>23</v>
      </c>
      <c r="AK196" t="str">
        <f t="shared" si="54"/>
        <v>18-19%</v>
      </c>
      <c r="AL196">
        <v>4</v>
      </c>
      <c r="AM196" t="s">
        <v>78</v>
      </c>
      <c r="AN196">
        <v>4</v>
      </c>
      <c r="AO196" t="s">
        <v>65</v>
      </c>
      <c r="AP196">
        <v>80</v>
      </c>
      <c r="AQ196">
        <v>1</v>
      </c>
      <c r="AR196">
        <v>22</v>
      </c>
      <c r="AS196" t="str">
        <f t="shared" si="55"/>
        <v>21-40</v>
      </c>
      <c r="AT196">
        <v>1</v>
      </c>
      <c r="AU196" t="str">
        <f t="shared" si="56"/>
        <v>0-2</v>
      </c>
      <c r="AV196">
        <v>3</v>
      </c>
      <c r="AW196" t="s">
        <v>79</v>
      </c>
      <c r="AX196">
        <v>20</v>
      </c>
      <c r="AY196" t="str">
        <f t="shared" si="45"/>
        <v>11-20</v>
      </c>
      <c r="AZ196">
        <v>8</v>
      </c>
      <c r="BA196" t="str">
        <f t="shared" si="57"/>
        <v>6-10</v>
      </c>
      <c r="BB196">
        <v>11</v>
      </c>
      <c r="BC196" t="str">
        <f t="shared" si="58"/>
        <v>11-15</v>
      </c>
      <c r="BD196">
        <v>8</v>
      </c>
      <c r="BE196" t="str">
        <f t="shared" si="59"/>
        <v>6-10</v>
      </c>
    </row>
    <row r="197" spans="1:57" x14ac:dyDescent="0.3">
      <c r="A197">
        <v>267</v>
      </c>
      <c r="B197">
        <v>37</v>
      </c>
      <c r="C197" t="str">
        <f t="shared" si="46"/>
        <v>36-45</v>
      </c>
      <c r="D197" t="s">
        <v>71</v>
      </c>
      <c r="E197">
        <f t="shared" si="47"/>
        <v>0</v>
      </c>
      <c r="F197" t="s">
        <v>57</v>
      </c>
      <c r="G197">
        <v>290</v>
      </c>
      <c r="H197" t="str">
        <f t="shared" si="48"/>
        <v>102-500</v>
      </c>
      <c r="I197" t="s">
        <v>73</v>
      </c>
      <c r="J197">
        <v>21</v>
      </c>
      <c r="K197" t="str">
        <f t="shared" si="49"/>
        <v>21-29</v>
      </c>
      <c r="L197">
        <v>3</v>
      </c>
      <c r="M197" t="s">
        <v>85</v>
      </c>
      <c r="N197" t="s">
        <v>60</v>
      </c>
      <c r="O197">
        <v>1</v>
      </c>
      <c r="P197">
        <v>2</v>
      </c>
      <c r="Q197" t="s">
        <v>61</v>
      </c>
      <c r="R197" t="s">
        <v>75</v>
      </c>
      <c r="S197">
        <v>65</v>
      </c>
      <c r="T197" t="str">
        <f t="shared" si="50"/>
        <v>51-75</v>
      </c>
      <c r="U197">
        <v>4</v>
      </c>
      <c r="V197" t="s">
        <v>65</v>
      </c>
      <c r="W197">
        <v>1</v>
      </c>
      <c r="X197" t="s">
        <v>76</v>
      </c>
      <c r="Y197">
        <v>1</v>
      </c>
      <c r="Z197" t="s">
        <v>69</v>
      </c>
      <c r="AA197" t="s">
        <v>77</v>
      </c>
      <c r="AB197" s="4">
        <v>3564</v>
      </c>
      <c r="AC197" s="4" t="str">
        <f t="shared" si="51"/>
        <v>$2,500-$4,000</v>
      </c>
      <c r="AD197">
        <v>22977</v>
      </c>
      <c r="AE197" t="str">
        <f t="shared" si="52"/>
        <v>$22,001-$26,999</v>
      </c>
      <c r="AF197">
        <v>1</v>
      </c>
      <c r="AG197" t="str">
        <f t="shared" si="53"/>
        <v>0-1</v>
      </c>
      <c r="AH197" t="s">
        <v>67</v>
      </c>
      <c r="AI197" t="s">
        <v>56</v>
      </c>
      <c r="AJ197">
        <v>12</v>
      </c>
      <c r="AK197" t="str">
        <f t="shared" si="54"/>
        <v>11-12%</v>
      </c>
      <c r="AL197">
        <v>3</v>
      </c>
      <c r="AM197" t="s">
        <v>68</v>
      </c>
      <c r="AN197">
        <v>1</v>
      </c>
      <c r="AO197" t="s">
        <v>69</v>
      </c>
      <c r="AP197">
        <v>80</v>
      </c>
      <c r="AQ197">
        <v>1</v>
      </c>
      <c r="AR197">
        <v>8</v>
      </c>
      <c r="AS197" t="str">
        <f t="shared" si="55"/>
        <v>6-10</v>
      </c>
      <c r="AT197">
        <v>3</v>
      </c>
      <c r="AU197" t="str">
        <f t="shared" si="56"/>
        <v>3-4</v>
      </c>
      <c r="AV197">
        <v>2</v>
      </c>
      <c r="AW197" t="s">
        <v>84</v>
      </c>
      <c r="AX197">
        <v>8</v>
      </c>
      <c r="AY197" t="str">
        <f t="shared" si="45"/>
        <v>6-10</v>
      </c>
      <c r="AZ197">
        <v>7</v>
      </c>
      <c r="BA197" t="str">
        <f t="shared" si="57"/>
        <v>6-10</v>
      </c>
      <c r="BB197">
        <v>1</v>
      </c>
      <c r="BC197" t="str">
        <f t="shared" si="58"/>
        <v>0-1</v>
      </c>
      <c r="BD197">
        <v>7</v>
      </c>
      <c r="BE197" t="str">
        <f t="shared" si="59"/>
        <v>6-10</v>
      </c>
    </row>
    <row r="198" spans="1:57" x14ac:dyDescent="0.3">
      <c r="A198">
        <v>269</v>
      </c>
      <c r="B198">
        <v>35</v>
      </c>
      <c r="C198" t="str">
        <f t="shared" si="46"/>
        <v>26-35</v>
      </c>
      <c r="D198" t="s">
        <v>71</v>
      </c>
      <c r="E198">
        <f t="shared" si="47"/>
        <v>0</v>
      </c>
      <c r="F198" t="s">
        <v>72</v>
      </c>
      <c r="G198">
        <v>138</v>
      </c>
      <c r="H198" t="str">
        <f t="shared" si="48"/>
        <v>102-500</v>
      </c>
      <c r="I198" t="s">
        <v>73</v>
      </c>
      <c r="J198">
        <v>2</v>
      </c>
      <c r="K198" t="str">
        <f t="shared" si="49"/>
        <v>1-5</v>
      </c>
      <c r="L198">
        <v>3</v>
      </c>
      <c r="M198" t="s">
        <v>85</v>
      </c>
      <c r="N198" t="s">
        <v>83</v>
      </c>
      <c r="O198">
        <v>1</v>
      </c>
      <c r="P198">
        <v>2</v>
      </c>
      <c r="Q198" t="s">
        <v>61</v>
      </c>
      <c r="R198" t="s">
        <v>62</v>
      </c>
      <c r="S198">
        <v>37</v>
      </c>
      <c r="T198" t="str">
        <f t="shared" si="50"/>
        <v>30-50</v>
      </c>
      <c r="U198">
        <v>3</v>
      </c>
      <c r="V198" t="s">
        <v>63</v>
      </c>
      <c r="W198">
        <v>2</v>
      </c>
      <c r="X198" t="s">
        <v>81</v>
      </c>
      <c r="Y198">
        <v>2</v>
      </c>
      <c r="Z198" t="s">
        <v>61</v>
      </c>
      <c r="AA198" t="s">
        <v>66</v>
      </c>
      <c r="AB198" s="4">
        <v>4425</v>
      </c>
      <c r="AC198" s="4" t="str">
        <f t="shared" si="51"/>
        <v>$4,000-$5,500</v>
      </c>
      <c r="AD198">
        <v>15986</v>
      </c>
      <c r="AE198" t="str">
        <f t="shared" si="52"/>
        <v>$8,001-$16,000</v>
      </c>
      <c r="AF198">
        <v>5</v>
      </c>
      <c r="AG198" t="str">
        <f t="shared" si="53"/>
        <v>4-6</v>
      </c>
      <c r="AH198" t="s">
        <v>67</v>
      </c>
      <c r="AI198" t="s">
        <v>71</v>
      </c>
      <c r="AJ198">
        <v>11</v>
      </c>
      <c r="AK198" t="str">
        <f t="shared" si="54"/>
        <v>11-12%</v>
      </c>
      <c r="AL198">
        <v>3</v>
      </c>
      <c r="AM198" t="s">
        <v>68</v>
      </c>
      <c r="AN198">
        <v>4</v>
      </c>
      <c r="AO198" t="s">
        <v>65</v>
      </c>
      <c r="AP198">
        <v>80</v>
      </c>
      <c r="AQ198">
        <v>0</v>
      </c>
      <c r="AR198">
        <v>10</v>
      </c>
      <c r="AS198" t="str">
        <f t="shared" si="55"/>
        <v>6-10</v>
      </c>
      <c r="AT198">
        <v>5</v>
      </c>
      <c r="AU198" t="str">
        <f t="shared" si="56"/>
        <v>5-6</v>
      </c>
      <c r="AV198">
        <v>3</v>
      </c>
      <c r="AW198" t="s">
        <v>79</v>
      </c>
      <c r="AX198">
        <v>6</v>
      </c>
      <c r="AY198" t="str">
        <f t="shared" si="45"/>
        <v>6-10</v>
      </c>
      <c r="AZ198">
        <v>2</v>
      </c>
      <c r="BA198" t="str">
        <f t="shared" si="57"/>
        <v>2-5</v>
      </c>
      <c r="BB198">
        <v>1</v>
      </c>
      <c r="BC198" t="str">
        <f t="shared" si="58"/>
        <v>0-1</v>
      </c>
      <c r="BD198">
        <v>2</v>
      </c>
      <c r="BE198" t="str">
        <f t="shared" si="59"/>
        <v>2-5</v>
      </c>
    </row>
    <row r="199" spans="1:57" x14ac:dyDescent="0.3">
      <c r="A199">
        <v>270</v>
      </c>
      <c r="B199">
        <v>42</v>
      </c>
      <c r="C199" t="str">
        <f t="shared" si="46"/>
        <v>36-45</v>
      </c>
      <c r="D199" t="s">
        <v>71</v>
      </c>
      <c r="E199">
        <f t="shared" si="47"/>
        <v>0</v>
      </c>
      <c r="F199" t="s">
        <v>89</v>
      </c>
      <c r="G199">
        <v>926</v>
      </c>
      <c r="H199" t="str">
        <f t="shared" si="48"/>
        <v>501-1000</v>
      </c>
      <c r="I199" t="s">
        <v>73</v>
      </c>
      <c r="J199">
        <v>21</v>
      </c>
      <c r="K199" t="str">
        <f t="shared" si="49"/>
        <v>21-29</v>
      </c>
      <c r="L199">
        <v>2</v>
      </c>
      <c r="M199" t="s">
        <v>59</v>
      </c>
      <c r="N199" t="s">
        <v>83</v>
      </c>
      <c r="O199">
        <v>1</v>
      </c>
      <c r="P199">
        <v>3</v>
      </c>
      <c r="Q199" t="s">
        <v>63</v>
      </c>
      <c r="R199" t="s">
        <v>62</v>
      </c>
      <c r="S199">
        <v>36</v>
      </c>
      <c r="T199" t="str">
        <f t="shared" si="50"/>
        <v>30-50</v>
      </c>
      <c r="U199">
        <v>3</v>
      </c>
      <c r="V199" t="s">
        <v>63</v>
      </c>
      <c r="W199">
        <v>2</v>
      </c>
      <c r="X199" t="s">
        <v>87</v>
      </c>
      <c r="Y199">
        <v>3</v>
      </c>
      <c r="Z199" t="s">
        <v>63</v>
      </c>
      <c r="AA199" t="s">
        <v>86</v>
      </c>
      <c r="AB199" s="4">
        <v>5265</v>
      </c>
      <c r="AC199" s="4" t="str">
        <f t="shared" si="51"/>
        <v>$4,000-$5,500</v>
      </c>
      <c r="AD199">
        <v>16439</v>
      </c>
      <c r="AE199" t="str">
        <f t="shared" si="52"/>
        <v>$16,001-$22,000</v>
      </c>
      <c r="AF199">
        <v>2</v>
      </c>
      <c r="AG199" t="str">
        <f t="shared" si="53"/>
        <v>2-3</v>
      </c>
      <c r="AH199" t="s">
        <v>67</v>
      </c>
      <c r="AI199" t="s">
        <v>71</v>
      </c>
      <c r="AJ199">
        <v>16</v>
      </c>
      <c r="AK199" t="str">
        <f t="shared" si="54"/>
        <v>16-17%</v>
      </c>
      <c r="AL199">
        <v>3</v>
      </c>
      <c r="AM199" t="s">
        <v>68</v>
      </c>
      <c r="AN199">
        <v>2</v>
      </c>
      <c r="AO199" t="s">
        <v>61</v>
      </c>
      <c r="AP199">
        <v>80</v>
      </c>
      <c r="AQ199">
        <v>1</v>
      </c>
      <c r="AR199">
        <v>11</v>
      </c>
      <c r="AS199" t="str">
        <f t="shared" si="55"/>
        <v>11-20</v>
      </c>
      <c r="AT199">
        <v>5</v>
      </c>
      <c r="AU199" t="str">
        <f t="shared" si="56"/>
        <v>5-6</v>
      </c>
      <c r="AV199">
        <v>3</v>
      </c>
      <c r="AW199" t="s">
        <v>79</v>
      </c>
      <c r="AX199">
        <v>5</v>
      </c>
      <c r="AY199" t="str">
        <f t="shared" si="45"/>
        <v>2-5</v>
      </c>
      <c r="AZ199">
        <v>3</v>
      </c>
      <c r="BA199" t="str">
        <f t="shared" si="57"/>
        <v>2-5</v>
      </c>
      <c r="BB199">
        <v>0</v>
      </c>
      <c r="BC199" t="str">
        <f t="shared" si="58"/>
        <v>0-1</v>
      </c>
      <c r="BD199">
        <v>2</v>
      </c>
      <c r="BE199" t="str">
        <f t="shared" si="59"/>
        <v>2-5</v>
      </c>
    </row>
    <row r="200" spans="1:57" x14ac:dyDescent="0.3">
      <c r="A200">
        <v>271</v>
      </c>
      <c r="B200">
        <v>38</v>
      </c>
      <c r="C200" t="str">
        <f t="shared" si="46"/>
        <v>36-45</v>
      </c>
      <c r="D200" t="s">
        <v>71</v>
      </c>
      <c r="E200">
        <f t="shared" si="47"/>
        <v>0</v>
      </c>
      <c r="F200" t="s">
        <v>57</v>
      </c>
      <c r="G200">
        <v>1261</v>
      </c>
      <c r="H200" t="str">
        <f t="shared" si="48"/>
        <v>1001-1499</v>
      </c>
      <c r="I200" t="s">
        <v>73</v>
      </c>
      <c r="J200">
        <v>2</v>
      </c>
      <c r="K200" t="str">
        <f t="shared" si="49"/>
        <v>1-5</v>
      </c>
      <c r="L200">
        <v>4</v>
      </c>
      <c r="M200" t="s">
        <v>82</v>
      </c>
      <c r="N200" t="s">
        <v>60</v>
      </c>
      <c r="O200">
        <v>1</v>
      </c>
      <c r="P200">
        <v>4</v>
      </c>
      <c r="Q200" t="s">
        <v>65</v>
      </c>
      <c r="R200" t="s">
        <v>75</v>
      </c>
      <c r="S200">
        <v>88</v>
      </c>
      <c r="T200" t="str">
        <f t="shared" si="50"/>
        <v>76-100</v>
      </c>
      <c r="U200">
        <v>3</v>
      </c>
      <c r="V200" t="s">
        <v>63</v>
      </c>
      <c r="W200">
        <v>2</v>
      </c>
      <c r="X200" t="s">
        <v>87</v>
      </c>
      <c r="Y200">
        <v>3</v>
      </c>
      <c r="Z200" t="s">
        <v>63</v>
      </c>
      <c r="AA200" t="s">
        <v>77</v>
      </c>
      <c r="AB200" s="4">
        <v>6553</v>
      </c>
      <c r="AC200" s="4" t="str">
        <f t="shared" si="51"/>
        <v>$5,500-$7,000</v>
      </c>
      <c r="AD200">
        <v>7259</v>
      </c>
      <c r="AE200" t="str">
        <f t="shared" si="52"/>
        <v>$2,094-$8,000</v>
      </c>
      <c r="AF200">
        <v>9</v>
      </c>
      <c r="AG200" t="str">
        <f t="shared" si="53"/>
        <v>7-9</v>
      </c>
      <c r="AH200" t="s">
        <v>67</v>
      </c>
      <c r="AI200" t="s">
        <v>71</v>
      </c>
      <c r="AJ200">
        <v>14</v>
      </c>
      <c r="AK200" t="str">
        <f t="shared" si="54"/>
        <v>13-15%</v>
      </c>
      <c r="AL200">
        <v>3</v>
      </c>
      <c r="AM200" t="s">
        <v>68</v>
      </c>
      <c r="AN200">
        <v>2</v>
      </c>
      <c r="AO200" t="s">
        <v>61</v>
      </c>
      <c r="AP200">
        <v>80</v>
      </c>
      <c r="AQ200">
        <v>0</v>
      </c>
      <c r="AR200">
        <v>14</v>
      </c>
      <c r="AS200" t="str">
        <f t="shared" si="55"/>
        <v>11-20</v>
      </c>
      <c r="AT200">
        <v>3</v>
      </c>
      <c r="AU200" t="str">
        <f t="shared" si="56"/>
        <v>3-4</v>
      </c>
      <c r="AV200">
        <v>3</v>
      </c>
      <c r="AW200" t="s">
        <v>79</v>
      </c>
      <c r="AX200">
        <v>1</v>
      </c>
      <c r="AY200" t="str">
        <f t="shared" si="45"/>
        <v>0-1</v>
      </c>
      <c r="AZ200">
        <v>0</v>
      </c>
      <c r="BA200" t="str">
        <f t="shared" si="57"/>
        <v>0-1</v>
      </c>
      <c r="BB200">
        <v>0</v>
      </c>
      <c r="BC200" t="str">
        <f t="shared" si="58"/>
        <v>0-1</v>
      </c>
      <c r="BD200">
        <v>0</v>
      </c>
      <c r="BE200" t="str">
        <f t="shared" si="59"/>
        <v>0-1</v>
      </c>
    </row>
    <row r="201" spans="1:57" x14ac:dyDescent="0.3">
      <c r="A201">
        <v>273</v>
      </c>
      <c r="B201">
        <v>38</v>
      </c>
      <c r="C201" t="str">
        <f t="shared" si="46"/>
        <v>36-45</v>
      </c>
      <c r="D201" t="s">
        <v>71</v>
      </c>
      <c r="E201">
        <f t="shared" si="47"/>
        <v>0</v>
      </c>
      <c r="F201" t="s">
        <v>57</v>
      </c>
      <c r="G201">
        <v>1084</v>
      </c>
      <c r="H201" t="str">
        <f t="shared" si="48"/>
        <v>1001-1499</v>
      </c>
      <c r="I201" t="s">
        <v>73</v>
      </c>
      <c r="J201">
        <v>29</v>
      </c>
      <c r="K201" t="str">
        <f t="shared" si="49"/>
        <v>21-29</v>
      </c>
      <c r="L201">
        <v>3</v>
      </c>
      <c r="M201" t="s">
        <v>85</v>
      </c>
      <c r="N201" t="s">
        <v>95</v>
      </c>
      <c r="O201">
        <v>1</v>
      </c>
      <c r="P201">
        <v>4</v>
      </c>
      <c r="Q201" t="s">
        <v>65</v>
      </c>
      <c r="R201" t="s">
        <v>75</v>
      </c>
      <c r="S201">
        <v>54</v>
      </c>
      <c r="T201" t="str">
        <f t="shared" si="50"/>
        <v>51-75</v>
      </c>
      <c r="U201">
        <v>3</v>
      </c>
      <c r="V201" t="s">
        <v>63</v>
      </c>
      <c r="W201">
        <v>2</v>
      </c>
      <c r="X201" t="s">
        <v>87</v>
      </c>
      <c r="Y201">
        <v>4</v>
      </c>
      <c r="Z201" t="s">
        <v>65</v>
      </c>
      <c r="AA201" t="s">
        <v>77</v>
      </c>
      <c r="AB201" s="4">
        <v>6261</v>
      </c>
      <c r="AC201" s="4" t="str">
        <f t="shared" si="51"/>
        <v>$5,500-$7,000</v>
      </c>
      <c r="AD201">
        <v>4185</v>
      </c>
      <c r="AE201" t="str">
        <f t="shared" si="52"/>
        <v>$2,094-$8,000</v>
      </c>
      <c r="AF201">
        <v>3</v>
      </c>
      <c r="AG201" t="str">
        <f t="shared" si="53"/>
        <v>2-3</v>
      </c>
      <c r="AH201" t="s">
        <v>67</v>
      </c>
      <c r="AI201" t="s">
        <v>71</v>
      </c>
      <c r="AJ201">
        <v>18</v>
      </c>
      <c r="AK201" t="str">
        <f t="shared" si="54"/>
        <v>18-19%</v>
      </c>
      <c r="AL201">
        <v>3</v>
      </c>
      <c r="AM201" t="s">
        <v>68</v>
      </c>
      <c r="AN201">
        <v>1</v>
      </c>
      <c r="AO201" t="s">
        <v>69</v>
      </c>
      <c r="AP201">
        <v>80</v>
      </c>
      <c r="AQ201">
        <v>1</v>
      </c>
      <c r="AR201">
        <v>9</v>
      </c>
      <c r="AS201" t="str">
        <f t="shared" si="55"/>
        <v>6-10</v>
      </c>
      <c r="AT201">
        <v>3</v>
      </c>
      <c r="AU201" t="str">
        <f t="shared" si="56"/>
        <v>3-4</v>
      </c>
      <c r="AV201">
        <v>1</v>
      </c>
      <c r="AW201" t="s">
        <v>70</v>
      </c>
      <c r="AX201">
        <v>7</v>
      </c>
      <c r="AY201" t="str">
        <f t="shared" si="45"/>
        <v>6-10</v>
      </c>
      <c r="AZ201">
        <v>7</v>
      </c>
      <c r="BA201" t="str">
        <f t="shared" si="57"/>
        <v>6-10</v>
      </c>
      <c r="BB201">
        <v>1</v>
      </c>
      <c r="BC201" t="str">
        <f t="shared" si="58"/>
        <v>0-1</v>
      </c>
      <c r="BD201">
        <v>7</v>
      </c>
      <c r="BE201" t="str">
        <f t="shared" si="59"/>
        <v>6-10</v>
      </c>
    </row>
    <row r="202" spans="1:57" x14ac:dyDescent="0.3">
      <c r="A202">
        <v>274</v>
      </c>
      <c r="B202">
        <v>27</v>
      </c>
      <c r="C202" t="str">
        <f t="shared" si="46"/>
        <v>26-35</v>
      </c>
      <c r="D202" t="s">
        <v>71</v>
      </c>
      <c r="E202">
        <f t="shared" si="47"/>
        <v>0</v>
      </c>
      <c r="F202" t="s">
        <v>72</v>
      </c>
      <c r="G202">
        <v>472</v>
      </c>
      <c r="H202" t="str">
        <f t="shared" si="48"/>
        <v>102-500</v>
      </c>
      <c r="I202" t="s">
        <v>73</v>
      </c>
      <c r="J202">
        <v>1</v>
      </c>
      <c r="K202" t="str">
        <f t="shared" si="49"/>
        <v>1-5</v>
      </c>
      <c r="L202">
        <v>1</v>
      </c>
      <c r="M202" t="s">
        <v>74</v>
      </c>
      <c r="N202" t="s">
        <v>95</v>
      </c>
      <c r="O202">
        <v>1</v>
      </c>
      <c r="P202">
        <v>3</v>
      </c>
      <c r="Q202" t="s">
        <v>63</v>
      </c>
      <c r="R202" t="s">
        <v>75</v>
      </c>
      <c r="S202">
        <v>60</v>
      </c>
      <c r="T202" t="str">
        <f t="shared" si="50"/>
        <v>51-75</v>
      </c>
      <c r="U202">
        <v>2</v>
      </c>
      <c r="V202" t="s">
        <v>61</v>
      </c>
      <c r="W202">
        <v>2</v>
      </c>
      <c r="X202" t="s">
        <v>87</v>
      </c>
      <c r="Y202">
        <v>1</v>
      </c>
      <c r="Z202" t="s">
        <v>69</v>
      </c>
      <c r="AA202" t="s">
        <v>77</v>
      </c>
      <c r="AB202" s="4">
        <v>4298</v>
      </c>
      <c r="AC202" s="4" t="str">
        <f t="shared" si="51"/>
        <v>$4,000-$5,500</v>
      </c>
      <c r="AD202">
        <v>9679</v>
      </c>
      <c r="AE202" t="str">
        <f t="shared" si="52"/>
        <v>$8,001-$16,000</v>
      </c>
      <c r="AF202">
        <v>5</v>
      </c>
      <c r="AG202" t="str">
        <f t="shared" si="53"/>
        <v>4-6</v>
      </c>
      <c r="AH202" t="s">
        <v>67</v>
      </c>
      <c r="AI202" t="s">
        <v>71</v>
      </c>
      <c r="AJ202">
        <v>19</v>
      </c>
      <c r="AK202" t="str">
        <f t="shared" si="54"/>
        <v>18-19%</v>
      </c>
      <c r="AL202">
        <v>3</v>
      </c>
      <c r="AM202" t="s">
        <v>68</v>
      </c>
      <c r="AN202">
        <v>3</v>
      </c>
      <c r="AO202" t="s">
        <v>63</v>
      </c>
      <c r="AP202">
        <v>80</v>
      </c>
      <c r="AQ202">
        <v>1</v>
      </c>
      <c r="AR202">
        <v>6</v>
      </c>
      <c r="AS202" t="str">
        <f t="shared" si="55"/>
        <v>6-10</v>
      </c>
      <c r="AT202">
        <v>1</v>
      </c>
      <c r="AU202" t="str">
        <f t="shared" si="56"/>
        <v>0-2</v>
      </c>
      <c r="AV202">
        <v>3</v>
      </c>
      <c r="AW202" t="s">
        <v>79</v>
      </c>
      <c r="AX202">
        <v>2</v>
      </c>
      <c r="AY202" t="str">
        <f t="shared" si="45"/>
        <v>2-5</v>
      </c>
      <c r="AZ202">
        <v>2</v>
      </c>
      <c r="BA202" t="str">
        <f t="shared" si="57"/>
        <v>2-5</v>
      </c>
      <c r="BB202">
        <v>2</v>
      </c>
      <c r="BC202" t="str">
        <f t="shared" si="58"/>
        <v>2-5</v>
      </c>
      <c r="BD202">
        <v>0</v>
      </c>
      <c r="BE202" t="str">
        <f t="shared" si="59"/>
        <v>0-1</v>
      </c>
    </row>
    <row r="203" spans="1:57" x14ac:dyDescent="0.3">
      <c r="A203">
        <v>275</v>
      </c>
      <c r="B203">
        <v>49</v>
      </c>
      <c r="C203" t="str">
        <f t="shared" si="46"/>
        <v>46-55</v>
      </c>
      <c r="D203" t="s">
        <v>71</v>
      </c>
      <c r="E203">
        <f t="shared" si="47"/>
        <v>0</v>
      </c>
      <c r="F203" t="s">
        <v>89</v>
      </c>
      <c r="G203">
        <v>1002</v>
      </c>
      <c r="H203" t="str">
        <f t="shared" si="48"/>
        <v>1001-1499</v>
      </c>
      <c r="I203" t="s">
        <v>73</v>
      </c>
      <c r="J203">
        <v>18</v>
      </c>
      <c r="K203" t="str">
        <f t="shared" si="49"/>
        <v>11-20</v>
      </c>
      <c r="L203">
        <v>4</v>
      </c>
      <c r="M203" t="s">
        <v>82</v>
      </c>
      <c r="N203" t="s">
        <v>60</v>
      </c>
      <c r="O203">
        <v>1</v>
      </c>
      <c r="P203">
        <v>4</v>
      </c>
      <c r="Q203" t="s">
        <v>65</v>
      </c>
      <c r="R203" t="s">
        <v>75</v>
      </c>
      <c r="S203">
        <v>92</v>
      </c>
      <c r="T203" t="str">
        <f t="shared" si="50"/>
        <v>76-100</v>
      </c>
      <c r="U203">
        <v>3</v>
      </c>
      <c r="V203" t="s">
        <v>63</v>
      </c>
      <c r="W203">
        <v>2</v>
      </c>
      <c r="X203" t="s">
        <v>87</v>
      </c>
      <c r="Y203">
        <v>4</v>
      </c>
      <c r="Z203" t="s">
        <v>65</v>
      </c>
      <c r="AA203" t="s">
        <v>86</v>
      </c>
      <c r="AB203" s="4">
        <v>6804</v>
      </c>
      <c r="AC203" s="4" t="str">
        <f t="shared" si="51"/>
        <v>$5,500-$7,000</v>
      </c>
      <c r="AD203">
        <v>23793</v>
      </c>
      <c r="AE203" t="str">
        <f t="shared" si="52"/>
        <v>$22,001-$26,999</v>
      </c>
      <c r="AF203">
        <v>1</v>
      </c>
      <c r="AG203" t="str">
        <f t="shared" si="53"/>
        <v>0-1</v>
      </c>
      <c r="AH203" t="s">
        <v>67</v>
      </c>
      <c r="AI203" t="s">
        <v>56</v>
      </c>
      <c r="AJ203">
        <v>15</v>
      </c>
      <c r="AK203" t="str">
        <f t="shared" si="54"/>
        <v>13-15%</v>
      </c>
      <c r="AL203">
        <v>3</v>
      </c>
      <c r="AM203" t="s">
        <v>68</v>
      </c>
      <c r="AN203">
        <v>1</v>
      </c>
      <c r="AO203" t="s">
        <v>69</v>
      </c>
      <c r="AP203">
        <v>80</v>
      </c>
      <c r="AQ203">
        <v>2</v>
      </c>
      <c r="AR203">
        <v>7</v>
      </c>
      <c r="AS203" t="str">
        <f t="shared" si="55"/>
        <v>6-10</v>
      </c>
      <c r="AT203">
        <v>0</v>
      </c>
      <c r="AU203" t="str">
        <f t="shared" si="56"/>
        <v>0-2</v>
      </c>
      <c r="AV203">
        <v>3</v>
      </c>
      <c r="AW203" t="s">
        <v>79</v>
      </c>
      <c r="AX203">
        <v>7</v>
      </c>
      <c r="AY203" t="str">
        <f t="shared" si="45"/>
        <v>6-10</v>
      </c>
      <c r="AZ203">
        <v>7</v>
      </c>
      <c r="BA203" t="str">
        <f t="shared" si="57"/>
        <v>6-10</v>
      </c>
      <c r="BB203">
        <v>1</v>
      </c>
      <c r="BC203" t="str">
        <f t="shared" si="58"/>
        <v>0-1</v>
      </c>
      <c r="BD203">
        <v>7</v>
      </c>
      <c r="BE203" t="str">
        <f t="shared" si="59"/>
        <v>6-10</v>
      </c>
    </row>
    <row r="204" spans="1:57" x14ac:dyDescent="0.3">
      <c r="A204">
        <v>277</v>
      </c>
      <c r="B204">
        <v>34</v>
      </c>
      <c r="C204" t="str">
        <f t="shared" si="46"/>
        <v>26-35</v>
      </c>
      <c r="D204" t="s">
        <v>71</v>
      </c>
      <c r="E204">
        <f t="shared" si="47"/>
        <v>0</v>
      </c>
      <c r="F204" t="s">
        <v>72</v>
      </c>
      <c r="G204">
        <v>878</v>
      </c>
      <c r="H204" t="str">
        <f t="shared" si="48"/>
        <v>501-1000</v>
      </c>
      <c r="I204" t="s">
        <v>73</v>
      </c>
      <c r="J204">
        <v>10</v>
      </c>
      <c r="K204" t="str">
        <f t="shared" si="49"/>
        <v>6-10</v>
      </c>
      <c r="L204">
        <v>4</v>
      </c>
      <c r="M204" t="s">
        <v>82</v>
      </c>
      <c r="N204" t="s">
        <v>83</v>
      </c>
      <c r="O204">
        <v>1</v>
      </c>
      <c r="P204">
        <v>4</v>
      </c>
      <c r="Q204" t="s">
        <v>65</v>
      </c>
      <c r="R204" t="s">
        <v>75</v>
      </c>
      <c r="S204">
        <v>43</v>
      </c>
      <c r="T204" t="str">
        <f t="shared" si="50"/>
        <v>30-50</v>
      </c>
      <c r="U204">
        <v>3</v>
      </c>
      <c r="V204" t="s">
        <v>63</v>
      </c>
      <c r="W204">
        <v>1</v>
      </c>
      <c r="X204" t="s">
        <v>76</v>
      </c>
      <c r="Y204">
        <v>3</v>
      </c>
      <c r="Z204" t="s">
        <v>63</v>
      </c>
      <c r="AA204" t="s">
        <v>86</v>
      </c>
      <c r="AB204" s="4">
        <v>3815</v>
      </c>
      <c r="AC204" s="4" t="str">
        <f t="shared" si="51"/>
        <v>$2,500-$4,000</v>
      </c>
      <c r="AD204">
        <v>5972</v>
      </c>
      <c r="AE204" t="str">
        <f t="shared" si="52"/>
        <v>$2,094-$8,000</v>
      </c>
      <c r="AF204">
        <v>1</v>
      </c>
      <c r="AG204" t="str">
        <f t="shared" si="53"/>
        <v>0-1</v>
      </c>
      <c r="AH204" t="s">
        <v>67</v>
      </c>
      <c r="AI204" t="s">
        <v>56</v>
      </c>
      <c r="AJ204">
        <v>17</v>
      </c>
      <c r="AK204" t="str">
        <f t="shared" si="54"/>
        <v>16-17%</v>
      </c>
      <c r="AL204">
        <v>3</v>
      </c>
      <c r="AM204" t="s">
        <v>68</v>
      </c>
      <c r="AN204">
        <v>4</v>
      </c>
      <c r="AO204" t="s">
        <v>65</v>
      </c>
      <c r="AP204">
        <v>80</v>
      </c>
      <c r="AQ204">
        <v>1</v>
      </c>
      <c r="AR204">
        <v>5</v>
      </c>
      <c r="AS204" t="str">
        <f t="shared" si="55"/>
        <v>3-5</v>
      </c>
      <c r="AT204">
        <v>4</v>
      </c>
      <c r="AU204" t="str">
        <f t="shared" si="56"/>
        <v>3-4</v>
      </c>
      <c r="AV204">
        <v>4</v>
      </c>
      <c r="AW204" t="s">
        <v>94</v>
      </c>
      <c r="AX204">
        <v>5</v>
      </c>
      <c r="AY204" t="str">
        <f t="shared" si="45"/>
        <v>2-5</v>
      </c>
      <c r="AZ204">
        <v>3</v>
      </c>
      <c r="BA204" t="str">
        <f t="shared" si="57"/>
        <v>2-5</v>
      </c>
      <c r="BB204">
        <v>2</v>
      </c>
      <c r="BC204" t="str">
        <f t="shared" si="58"/>
        <v>2-5</v>
      </c>
      <c r="BD204">
        <v>0</v>
      </c>
      <c r="BE204" t="str">
        <f t="shared" si="59"/>
        <v>0-1</v>
      </c>
    </row>
    <row r="205" spans="1:57" x14ac:dyDescent="0.3">
      <c r="A205">
        <v>281</v>
      </c>
      <c r="B205">
        <v>40</v>
      </c>
      <c r="C205" t="str">
        <f t="shared" si="46"/>
        <v>36-45</v>
      </c>
      <c r="D205" t="s">
        <v>71</v>
      </c>
      <c r="E205">
        <f t="shared" si="47"/>
        <v>0</v>
      </c>
      <c r="F205" t="s">
        <v>57</v>
      </c>
      <c r="G205">
        <v>905</v>
      </c>
      <c r="H205" t="str">
        <f t="shared" si="48"/>
        <v>501-1000</v>
      </c>
      <c r="I205" t="s">
        <v>73</v>
      </c>
      <c r="J205">
        <v>19</v>
      </c>
      <c r="K205" t="str">
        <f t="shared" si="49"/>
        <v>11-20</v>
      </c>
      <c r="L205">
        <v>2</v>
      </c>
      <c r="M205" t="s">
        <v>59</v>
      </c>
      <c r="N205" t="s">
        <v>83</v>
      </c>
      <c r="O205">
        <v>1</v>
      </c>
      <c r="P205">
        <v>3</v>
      </c>
      <c r="Q205" t="s">
        <v>63</v>
      </c>
      <c r="R205" t="s">
        <v>75</v>
      </c>
      <c r="S205">
        <v>99</v>
      </c>
      <c r="T205" t="str">
        <f t="shared" si="50"/>
        <v>76-100</v>
      </c>
      <c r="U205">
        <v>3</v>
      </c>
      <c r="V205" t="s">
        <v>63</v>
      </c>
      <c r="W205">
        <v>2</v>
      </c>
      <c r="X205" t="s">
        <v>81</v>
      </c>
      <c r="Y205">
        <v>4</v>
      </c>
      <c r="Z205" t="s">
        <v>65</v>
      </c>
      <c r="AA205" t="s">
        <v>77</v>
      </c>
      <c r="AB205" s="4">
        <v>2741</v>
      </c>
      <c r="AC205" s="4" t="str">
        <f t="shared" si="51"/>
        <v>$2,500-$4,000</v>
      </c>
      <c r="AD205">
        <v>16523</v>
      </c>
      <c r="AE205" t="str">
        <f t="shared" si="52"/>
        <v>$16,001-$22,000</v>
      </c>
      <c r="AF205">
        <v>8</v>
      </c>
      <c r="AG205" t="str">
        <f t="shared" si="53"/>
        <v>7-9</v>
      </c>
      <c r="AH205" t="s">
        <v>67</v>
      </c>
      <c r="AI205" t="s">
        <v>56</v>
      </c>
      <c r="AJ205">
        <v>15</v>
      </c>
      <c r="AK205" t="str">
        <f t="shared" si="54"/>
        <v>13-15%</v>
      </c>
      <c r="AL205">
        <v>3</v>
      </c>
      <c r="AM205" t="s">
        <v>68</v>
      </c>
      <c r="AN205">
        <v>3</v>
      </c>
      <c r="AO205" t="s">
        <v>63</v>
      </c>
      <c r="AP205">
        <v>80</v>
      </c>
      <c r="AQ205">
        <v>1</v>
      </c>
      <c r="AR205">
        <v>15</v>
      </c>
      <c r="AS205" t="str">
        <f t="shared" si="55"/>
        <v>11-20</v>
      </c>
      <c r="AT205">
        <v>2</v>
      </c>
      <c r="AU205" t="str">
        <f t="shared" si="56"/>
        <v>0-2</v>
      </c>
      <c r="AV205">
        <v>4</v>
      </c>
      <c r="AW205" t="s">
        <v>94</v>
      </c>
      <c r="AX205">
        <v>7</v>
      </c>
      <c r="AY205" t="str">
        <f t="shared" si="45"/>
        <v>6-10</v>
      </c>
      <c r="AZ205">
        <v>2</v>
      </c>
      <c r="BA205" t="str">
        <f t="shared" si="57"/>
        <v>2-5</v>
      </c>
      <c r="BB205">
        <v>3</v>
      </c>
      <c r="BC205" t="str">
        <f t="shared" si="58"/>
        <v>2-5</v>
      </c>
      <c r="BD205">
        <v>7</v>
      </c>
      <c r="BE205" t="str">
        <f t="shared" si="59"/>
        <v>6-10</v>
      </c>
    </row>
    <row r="206" spans="1:57" x14ac:dyDescent="0.3">
      <c r="A206">
        <v>282</v>
      </c>
      <c r="B206">
        <v>38</v>
      </c>
      <c r="C206" t="str">
        <f t="shared" si="46"/>
        <v>36-45</v>
      </c>
      <c r="D206" t="s">
        <v>56</v>
      </c>
      <c r="E206">
        <f t="shared" si="47"/>
        <v>1</v>
      </c>
      <c r="F206" t="s">
        <v>57</v>
      </c>
      <c r="G206">
        <v>1180</v>
      </c>
      <c r="H206" t="str">
        <f t="shared" si="48"/>
        <v>1001-1499</v>
      </c>
      <c r="I206" t="s">
        <v>73</v>
      </c>
      <c r="J206">
        <v>29</v>
      </c>
      <c r="K206" t="str">
        <f t="shared" si="49"/>
        <v>21-29</v>
      </c>
      <c r="L206">
        <v>1</v>
      </c>
      <c r="M206" t="s">
        <v>74</v>
      </c>
      <c r="N206" t="s">
        <v>83</v>
      </c>
      <c r="O206">
        <v>1</v>
      </c>
      <c r="P206">
        <v>2</v>
      </c>
      <c r="Q206" t="s">
        <v>61</v>
      </c>
      <c r="R206" t="s">
        <v>75</v>
      </c>
      <c r="S206">
        <v>70</v>
      </c>
      <c r="T206" t="str">
        <f t="shared" si="50"/>
        <v>51-75</v>
      </c>
      <c r="U206">
        <v>3</v>
      </c>
      <c r="V206" t="s">
        <v>63</v>
      </c>
      <c r="W206">
        <v>2</v>
      </c>
      <c r="X206" t="s">
        <v>88</v>
      </c>
      <c r="Y206">
        <v>1</v>
      </c>
      <c r="Z206" t="s">
        <v>69</v>
      </c>
      <c r="AA206" t="s">
        <v>77</v>
      </c>
      <c r="AB206" s="4">
        <v>6673</v>
      </c>
      <c r="AC206" s="4" t="str">
        <f t="shared" si="51"/>
        <v>$5,500-$7,000</v>
      </c>
      <c r="AD206">
        <v>11354</v>
      </c>
      <c r="AE206" t="str">
        <f t="shared" si="52"/>
        <v>$8,001-$16,000</v>
      </c>
      <c r="AF206">
        <v>7</v>
      </c>
      <c r="AG206" t="str">
        <f t="shared" si="53"/>
        <v>7-9</v>
      </c>
      <c r="AH206" t="s">
        <v>67</v>
      </c>
      <c r="AI206" t="s">
        <v>56</v>
      </c>
      <c r="AJ206">
        <v>19</v>
      </c>
      <c r="AK206" t="str">
        <f t="shared" si="54"/>
        <v>18-19%</v>
      </c>
      <c r="AL206">
        <v>3</v>
      </c>
      <c r="AM206" t="s">
        <v>68</v>
      </c>
      <c r="AN206">
        <v>2</v>
      </c>
      <c r="AO206" t="s">
        <v>61</v>
      </c>
      <c r="AP206">
        <v>80</v>
      </c>
      <c r="AQ206">
        <v>0</v>
      </c>
      <c r="AR206">
        <v>17</v>
      </c>
      <c r="AS206" t="str">
        <f t="shared" si="55"/>
        <v>11-20</v>
      </c>
      <c r="AT206">
        <v>2</v>
      </c>
      <c r="AU206" t="str">
        <f t="shared" si="56"/>
        <v>0-2</v>
      </c>
      <c r="AV206">
        <v>3</v>
      </c>
      <c r="AW206" t="s">
        <v>79</v>
      </c>
      <c r="AX206">
        <v>1</v>
      </c>
      <c r="AY206" t="str">
        <f t="shared" si="45"/>
        <v>0-1</v>
      </c>
      <c r="AZ206">
        <v>0</v>
      </c>
      <c r="BA206" t="str">
        <f t="shared" si="57"/>
        <v>0-1</v>
      </c>
      <c r="BB206">
        <v>0</v>
      </c>
      <c r="BC206" t="str">
        <f t="shared" si="58"/>
        <v>0-1</v>
      </c>
      <c r="BD206">
        <v>0</v>
      </c>
      <c r="BE206" t="str">
        <f t="shared" si="59"/>
        <v>0-1</v>
      </c>
    </row>
    <row r="207" spans="1:57" x14ac:dyDescent="0.3">
      <c r="A207">
        <v>283</v>
      </c>
      <c r="B207">
        <v>29</v>
      </c>
      <c r="C207" t="str">
        <f t="shared" si="46"/>
        <v>26-35</v>
      </c>
      <c r="D207" t="s">
        <v>56</v>
      </c>
      <c r="E207">
        <f t="shared" si="47"/>
        <v>1</v>
      </c>
      <c r="F207" t="s">
        <v>57</v>
      </c>
      <c r="G207">
        <v>121</v>
      </c>
      <c r="H207" t="str">
        <f t="shared" si="48"/>
        <v>102-500</v>
      </c>
      <c r="I207" t="s">
        <v>58</v>
      </c>
      <c r="J207">
        <v>27</v>
      </c>
      <c r="K207" t="str">
        <f t="shared" si="49"/>
        <v>21-29</v>
      </c>
      <c r="L207">
        <v>3</v>
      </c>
      <c r="M207" t="s">
        <v>85</v>
      </c>
      <c r="N207" t="s">
        <v>93</v>
      </c>
      <c r="O207">
        <v>1</v>
      </c>
      <c r="P207">
        <v>2</v>
      </c>
      <c r="Q207" t="s">
        <v>61</v>
      </c>
      <c r="R207" t="s">
        <v>62</v>
      </c>
      <c r="S207">
        <v>35</v>
      </c>
      <c r="T207" t="str">
        <f t="shared" si="50"/>
        <v>30-50</v>
      </c>
      <c r="U207">
        <v>3</v>
      </c>
      <c r="V207" t="s">
        <v>63</v>
      </c>
      <c r="W207">
        <v>3</v>
      </c>
      <c r="X207" t="s">
        <v>64</v>
      </c>
      <c r="Y207">
        <v>4</v>
      </c>
      <c r="Z207" t="s">
        <v>65</v>
      </c>
      <c r="AA207" t="s">
        <v>77</v>
      </c>
      <c r="AB207" s="4">
        <v>7639</v>
      </c>
      <c r="AC207" s="4" t="str">
        <f t="shared" si="51"/>
        <v>$7,000-$8,500</v>
      </c>
      <c r="AD207">
        <v>24525</v>
      </c>
      <c r="AE207" t="str">
        <f t="shared" si="52"/>
        <v>$22,001-$26,999</v>
      </c>
      <c r="AF207">
        <v>1</v>
      </c>
      <c r="AG207" t="str">
        <f t="shared" si="53"/>
        <v>0-1</v>
      </c>
      <c r="AH207" t="s">
        <v>67</v>
      </c>
      <c r="AI207" t="s">
        <v>71</v>
      </c>
      <c r="AJ207">
        <v>22</v>
      </c>
      <c r="AK207" t="str">
        <f t="shared" si="54"/>
        <v>18-19%</v>
      </c>
      <c r="AL207">
        <v>4</v>
      </c>
      <c r="AM207" t="s">
        <v>78</v>
      </c>
      <c r="AN207">
        <v>4</v>
      </c>
      <c r="AO207" t="s">
        <v>65</v>
      </c>
      <c r="AP207">
        <v>80</v>
      </c>
      <c r="AQ207">
        <v>3</v>
      </c>
      <c r="AR207">
        <v>10</v>
      </c>
      <c r="AS207" t="str">
        <f t="shared" si="55"/>
        <v>6-10</v>
      </c>
      <c r="AT207">
        <v>3</v>
      </c>
      <c r="AU207" t="str">
        <f t="shared" si="56"/>
        <v>3-4</v>
      </c>
      <c r="AV207">
        <v>2</v>
      </c>
      <c r="AW207" t="s">
        <v>84</v>
      </c>
      <c r="AX207">
        <v>10</v>
      </c>
      <c r="AY207" t="str">
        <f t="shared" si="45"/>
        <v>6-10</v>
      </c>
      <c r="AZ207">
        <v>4</v>
      </c>
      <c r="BA207" t="str">
        <f t="shared" si="57"/>
        <v>2-5</v>
      </c>
      <c r="BB207">
        <v>1</v>
      </c>
      <c r="BC207" t="str">
        <f t="shared" si="58"/>
        <v>0-1</v>
      </c>
      <c r="BD207">
        <v>9</v>
      </c>
      <c r="BE207" t="str">
        <f t="shared" si="59"/>
        <v>6-10</v>
      </c>
    </row>
    <row r="208" spans="1:57" x14ac:dyDescent="0.3">
      <c r="A208">
        <v>284</v>
      </c>
      <c r="B208">
        <v>22</v>
      </c>
      <c r="C208" t="str">
        <f t="shared" si="46"/>
        <v>18-25</v>
      </c>
      <c r="D208" t="s">
        <v>71</v>
      </c>
      <c r="E208">
        <f t="shared" si="47"/>
        <v>0</v>
      </c>
      <c r="F208" t="s">
        <v>57</v>
      </c>
      <c r="G208">
        <v>1136</v>
      </c>
      <c r="H208" t="str">
        <f t="shared" si="48"/>
        <v>1001-1499</v>
      </c>
      <c r="I208" t="s">
        <v>73</v>
      </c>
      <c r="J208">
        <v>5</v>
      </c>
      <c r="K208" t="str">
        <f t="shared" si="49"/>
        <v>1-5</v>
      </c>
      <c r="L208">
        <v>3</v>
      </c>
      <c r="M208" t="s">
        <v>85</v>
      </c>
      <c r="N208" t="s">
        <v>60</v>
      </c>
      <c r="O208">
        <v>1</v>
      </c>
      <c r="P208">
        <v>4</v>
      </c>
      <c r="Q208" t="s">
        <v>65</v>
      </c>
      <c r="R208" t="s">
        <v>75</v>
      </c>
      <c r="S208">
        <v>60</v>
      </c>
      <c r="T208" t="str">
        <f t="shared" si="50"/>
        <v>51-75</v>
      </c>
      <c r="U208">
        <v>4</v>
      </c>
      <c r="V208" t="s">
        <v>65</v>
      </c>
      <c r="W208">
        <v>1</v>
      </c>
      <c r="X208" t="s">
        <v>76</v>
      </c>
      <c r="Y208">
        <v>2</v>
      </c>
      <c r="Z208" t="s">
        <v>61</v>
      </c>
      <c r="AA208" t="s">
        <v>86</v>
      </c>
      <c r="AB208" s="4">
        <v>2328</v>
      </c>
      <c r="AC208" s="4" t="str">
        <f t="shared" si="51"/>
        <v>$1,000-$2,500</v>
      </c>
      <c r="AD208">
        <v>12392</v>
      </c>
      <c r="AE208" t="str">
        <f t="shared" si="52"/>
        <v>$8,001-$16,000</v>
      </c>
      <c r="AF208">
        <v>1</v>
      </c>
      <c r="AG208" t="str">
        <f t="shared" si="53"/>
        <v>0-1</v>
      </c>
      <c r="AH208" t="s">
        <v>67</v>
      </c>
      <c r="AI208" t="s">
        <v>56</v>
      </c>
      <c r="AJ208">
        <v>16</v>
      </c>
      <c r="AK208" t="str">
        <f t="shared" si="54"/>
        <v>16-17%</v>
      </c>
      <c r="AL208">
        <v>3</v>
      </c>
      <c r="AM208" t="s">
        <v>68</v>
      </c>
      <c r="AN208">
        <v>1</v>
      </c>
      <c r="AO208" t="s">
        <v>69</v>
      </c>
      <c r="AP208">
        <v>80</v>
      </c>
      <c r="AQ208">
        <v>1</v>
      </c>
      <c r="AR208">
        <v>4</v>
      </c>
      <c r="AS208" t="str">
        <f t="shared" si="55"/>
        <v>3-5</v>
      </c>
      <c r="AT208">
        <v>2</v>
      </c>
      <c r="AU208" t="str">
        <f t="shared" si="56"/>
        <v>0-2</v>
      </c>
      <c r="AV208">
        <v>2</v>
      </c>
      <c r="AW208" t="s">
        <v>84</v>
      </c>
      <c r="AX208">
        <v>4</v>
      </c>
      <c r="AY208" t="str">
        <f t="shared" si="45"/>
        <v>2-5</v>
      </c>
      <c r="AZ208">
        <v>2</v>
      </c>
      <c r="BA208" t="str">
        <f t="shared" si="57"/>
        <v>2-5</v>
      </c>
      <c r="BB208">
        <v>2</v>
      </c>
      <c r="BC208" t="str">
        <f t="shared" si="58"/>
        <v>2-5</v>
      </c>
      <c r="BD208">
        <v>2</v>
      </c>
      <c r="BE208" t="str">
        <f t="shared" si="59"/>
        <v>2-5</v>
      </c>
    </row>
    <row r="209" spans="1:57" x14ac:dyDescent="0.3">
      <c r="A209">
        <v>286</v>
      </c>
      <c r="B209">
        <v>36</v>
      </c>
      <c r="C209" t="str">
        <f t="shared" si="46"/>
        <v>36-45</v>
      </c>
      <c r="D209" t="s">
        <v>71</v>
      </c>
      <c r="E209">
        <f t="shared" si="47"/>
        <v>0</v>
      </c>
      <c r="F209" t="s">
        <v>72</v>
      </c>
      <c r="G209">
        <v>635</v>
      </c>
      <c r="H209" t="str">
        <f t="shared" si="48"/>
        <v>501-1000</v>
      </c>
      <c r="I209" t="s">
        <v>73</v>
      </c>
      <c r="J209">
        <v>18</v>
      </c>
      <c r="K209" t="str">
        <f t="shared" si="49"/>
        <v>11-20</v>
      </c>
      <c r="L209">
        <v>1</v>
      </c>
      <c r="M209" t="s">
        <v>74</v>
      </c>
      <c r="N209" t="s">
        <v>83</v>
      </c>
      <c r="O209">
        <v>1</v>
      </c>
      <c r="P209">
        <v>2</v>
      </c>
      <c r="Q209" t="s">
        <v>61</v>
      </c>
      <c r="R209" t="s">
        <v>62</v>
      </c>
      <c r="S209">
        <v>73</v>
      </c>
      <c r="T209" t="str">
        <f t="shared" si="50"/>
        <v>51-75</v>
      </c>
      <c r="U209">
        <v>3</v>
      </c>
      <c r="V209" t="s">
        <v>63</v>
      </c>
      <c r="W209">
        <v>1</v>
      </c>
      <c r="X209" t="s">
        <v>81</v>
      </c>
      <c r="Y209">
        <v>4</v>
      </c>
      <c r="Z209" t="s">
        <v>65</v>
      </c>
      <c r="AA209" t="s">
        <v>66</v>
      </c>
      <c r="AB209" s="4">
        <v>2153</v>
      </c>
      <c r="AC209" s="4" t="str">
        <f t="shared" si="51"/>
        <v>$1,000-$2,500</v>
      </c>
      <c r="AD209">
        <v>7703</v>
      </c>
      <c r="AE209" t="str">
        <f t="shared" si="52"/>
        <v>$2,094-$8,000</v>
      </c>
      <c r="AF209">
        <v>1</v>
      </c>
      <c r="AG209" t="str">
        <f t="shared" si="53"/>
        <v>0-1</v>
      </c>
      <c r="AH209" t="s">
        <v>67</v>
      </c>
      <c r="AI209" t="s">
        <v>71</v>
      </c>
      <c r="AJ209">
        <v>13</v>
      </c>
      <c r="AK209" t="str">
        <f t="shared" si="54"/>
        <v>13-15%</v>
      </c>
      <c r="AL209">
        <v>3</v>
      </c>
      <c r="AM209" t="s">
        <v>68</v>
      </c>
      <c r="AN209">
        <v>1</v>
      </c>
      <c r="AO209" t="s">
        <v>69</v>
      </c>
      <c r="AP209">
        <v>80</v>
      </c>
      <c r="AQ209">
        <v>0</v>
      </c>
      <c r="AR209">
        <v>8</v>
      </c>
      <c r="AS209" t="str">
        <f t="shared" si="55"/>
        <v>6-10</v>
      </c>
      <c r="AT209">
        <v>2</v>
      </c>
      <c r="AU209" t="str">
        <f t="shared" si="56"/>
        <v>0-2</v>
      </c>
      <c r="AV209">
        <v>3</v>
      </c>
      <c r="AW209" t="s">
        <v>79</v>
      </c>
      <c r="AX209">
        <v>8</v>
      </c>
      <c r="AY209" t="str">
        <f t="shared" si="45"/>
        <v>6-10</v>
      </c>
      <c r="AZ209">
        <v>1</v>
      </c>
      <c r="BA209" t="str">
        <f t="shared" si="57"/>
        <v>0-1</v>
      </c>
      <c r="BB209">
        <v>1</v>
      </c>
      <c r="BC209" t="str">
        <f t="shared" si="58"/>
        <v>0-1</v>
      </c>
      <c r="BD209">
        <v>7</v>
      </c>
      <c r="BE209" t="str">
        <f t="shared" si="59"/>
        <v>6-10</v>
      </c>
    </row>
    <row r="210" spans="1:57" x14ac:dyDescent="0.3">
      <c r="A210">
        <v>287</v>
      </c>
      <c r="B210">
        <v>40</v>
      </c>
      <c r="C210" t="str">
        <f t="shared" si="46"/>
        <v>36-45</v>
      </c>
      <c r="D210" t="s">
        <v>71</v>
      </c>
      <c r="E210">
        <f t="shared" si="47"/>
        <v>0</v>
      </c>
      <c r="F210" t="s">
        <v>89</v>
      </c>
      <c r="G210">
        <v>1151</v>
      </c>
      <c r="H210" t="str">
        <f t="shared" si="48"/>
        <v>1001-1499</v>
      </c>
      <c r="I210" t="s">
        <v>73</v>
      </c>
      <c r="J210">
        <v>9</v>
      </c>
      <c r="K210" t="str">
        <f t="shared" si="49"/>
        <v>6-10</v>
      </c>
      <c r="L210">
        <v>5</v>
      </c>
      <c r="M210" t="s">
        <v>96</v>
      </c>
      <c r="N210" t="s">
        <v>60</v>
      </c>
      <c r="O210">
        <v>1</v>
      </c>
      <c r="P210">
        <v>4</v>
      </c>
      <c r="Q210" t="s">
        <v>65</v>
      </c>
      <c r="R210" t="s">
        <v>75</v>
      </c>
      <c r="S210">
        <v>63</v>
      </c>
      <c r="T210" t="str">
        <f t="shared" si="50"/>
        <v>51-75</v>
      </c>
      <c r="U210">
        <v>2</v>
      </c>
      <c r="V210" t="s">
        <v>61</v>
      </c>
      <c r="W210">
        <v>2</v>
      </c>
      <c r="X210" t="s">
        <v>88</v>
      </c>
      <c r="Y210">
        <v>4</v>
      </c>
      <c r="Z210" t="s">
        <v>65</v>
      </c>
      <c r="AA210" t="s">
        <v>77</v>
      </c>
      <c r="AB210" s="4">
        <v>4876</v>
      </c>
      <c r="AC210" s="4" t="str">
        <f t="shared" si="51"/>
        <v>$4,000-$5,500</v>
      </c>
      <c r="AD210">
        <v>14242</v>
      </c>
      <c r="AE210" t="str">
        <f t="shared" si="52"/>
        <v>$8,001-$16,000</v>
      </c>
      <c r="AF210">
        <v>9</v>
      </c>
      <c r="AG210" t="str">
        <f t="shared" si="53"/>
        <v>7-9</v>
      </c>
      <c r="AH210" t="s">
        <v>67</v>
      </c>
      <c r="AI210" t="s">
        <v>71</v>
      </c>
      <c r="AJ210">
        <v>14</v>
      </c>
      <c r="AK210" t="str">
        <f t="shared" si="54"/>
        <v>13-15%</v>
      </c>
      <c r="AL210">
        <v>3</v>
      </c>
      <c r="AM210" t="s">
        <v>68</v>
      </c>
      <c r="AN210">
        <v>4</v>
      </c>
      <c r="AO210" t="s">
        <v>65</v>
      </c>
      <c r="AP210">
        <v>80</v>
      </c>
      <c r="AQ210">
        <v>1</v>
      </c>
      <c r="AR210">
        <v>5</v>
      </c>
      <c r="AS210" t="str">
        <f t="shared" si="55"/>
        <v>3-5</v>
      </c>
      <c r="AT210">
        <v>5</v>
      </c>
      <c r="AU210" t="str">
        <f t="shared" si="56"/>
        <v>5-6</v>
      </c>
      <c r="AV210">
        <v>1</v>
      </c>
      <c r="AW210" t="s">
        <v>70</v>
      </c>
      <c r="AX210">
        <v>3</v>
      </c>
      <c r="AY210" t="str">
        <f t="shared" si="45"/>
        <v>2-5</v>
      </c>
      <c r="AZ210">
        <v>2</v>
      </c>
      <c r="BA210" t="str">
        <f t="shared" si="57"/>
        <v>2-5</v>
      </c>
      <c r="BB210">
        <v>0</v>
      </c>
      <c r="BC210" t="str">
        <f t="shared" si="58"/>
        <v>0-1</v>
      </c>
      <c r="BD210">
        <v>2</v>
      </c>
      <c r="BE210" t="str">
        <f t="shared" si="59"/>
        <v>2-5</v>
      </c>
    </row>
    <row r="211" spans="1:57" x14ac:dyDescent="0.3">
      <c r="A211">
        <v>288</v>
      </c>
      <c r="B211">
        <v>46</v>
      </c>
      <c r="C211" t="str">
        <f t="shared" si="46"/>
        <v>46-55</v>
      </c>
      <c r="D211" t="s">
        <v>71</v>
      </c>
      <c r="E211">
        <f t="shared" si="47"/>
        <v>0</v>
      </c>
      <c r="F211" t="s">
        <v>57</v>
      </c>
      <c r="G211">
        <v>644</v>
      </c>
      <c r="H211" t="str">
        <f t="shared" si="48"/>
        <v>501-1000</v>
      </c>
      <c r="I211" t="s">
        <v>73</v>
      </c>
      <c r="J211">
        <v>1</v>
      </c>
      <c r="K211" t="str">
        <f t="shared" si="49"/>
        <v>1-5</v>
      </c>
      <c r="L211">
        <v>4</v>
      </c>
      <c r="M211" t="s">
        <v>82</v>
      </c>
      <c r="N211" t="s">
        <v>83</v>
      </c>
      <c r="O211">
        <v>1</v>
      </c>
      <c r="P211">
        <v>4</v>
      </c>
      <c r="Q211" t="s">
        <v>65</v>
      </c>
      <c r="R211" t="s">
        <v>75</v>
      </c>
      <c r="S211">
        <v>97</v>
      </c>
      <c r="T211" t="str">
        <f t="shared" si="50"/>
        <v>76-100</v>
      </c>
      <c r="U211">
        <v>3</v>
      </c>
      <c r="V211" t="s">
        <v>63</v>
      </c>
      <c r="W211">
        <v>3</v>
      </c>
      <c r="X211" t="s">
        <v>88</v>
      </c>
      <c r="Y211">
        <v>1</v>
      </c>
      <c r="Z211" t="s">
        <v>69</v>
      </c>
      <c r="AA211" t="s">
        <v>86</v>
      </c>
      <c r="AB211" s="4">
        <v>9396</v>
      </c>
      <c r="AC211" s="4" t="str">
        <f t="shared" si="51"/>
        <v>$8,500-$10,000</v>
      </c>
      <c r="AD211">
        <v>12368</v>
      </c>
      <c r="AE211" t="str">
        <f t="shared" si="52"/>
        <v>$8,001-$16,000</v>
      </c>
      <c r="AF211">
        <v>7</v>
      </c>
      <c r="AG211" t="str">
        <f t="shared" si="53"/>
        <v>7-9</v>
      </c>
      <c r="AH211" t="s">
        <v>67</v>
      </c>
      <c r="AI211" t="s">
        <v>71</v>
      </c>
      <c r="AJ211">
        <v>16</v>
      </c>
      <c r="AK211" t="str">
        <f t="shared" si="54"/>
        <v>16-17%</v>
      </c>
      <c r="AL211">
        <v>3</v>
      </c>
      <c r="AM211" t="s">
        <v>68</v>
      </c>
      <c r="AN211">
        <v>3</v>
      </c>
      <c r="AO211" t="s">
        <v>63</v>
      </c>
      <c r="AP211">
        <v>80</v>
      </c>
      <c r="AQ211">
        <v>1</v>
      </c>
      <c r="AR211">
        <v>17</v>
      </c>
      <c r="AS211" t="str">
        <f t="shared" si="55"/>
        <v>11-20</v>
      </c>
      <c r="AT211">
        <v>3</v>
      </c>
      <c r="AU211" t="str">
        <f t="shared" si="56"/>
        <v>3-4</v>
      </c>
      <c r="AV211">
        <v>3</v>
      </c>
      <c r="AW211" t="s">
        <v>79</v>
      </c>
      <c r="AX211">
        <v>4</v>
      </c>
      <c r="AY211" t="str">
        <f t="shared" si="45"/>
        <v>2-5</v>
      </c>
      <c r="AZ211">
        <v>2</v>
      </c>
      <c r="BA211" t="str">
        <f t="shared" si="57"/>
        <v>2-5</v>
      </c>
      <c r="BB211">
        <v>0</v>
      </c>
      <c r="BC211" t="str">
        <f t="shared" si="58"/>
        <v>0-1</v>
      </c>
      <c r="BD211">
        <v>3</v>
      </c>
      <c r="BE211" t="str">
        <f t="shared" si="59"/>
        <v>2-5</v>
      </c>
    </row>
    <row r="212" spans="1:57" x14ac:dyDescent="0.3">
      <c r="A212">
        <v>291</v>
      </c>
      <c r="B212">
        <v>32</v>
      </c>
      <c r="C212" t="str">
        <f t="shared" si="46"/>
        <v>26-35</v>
      </c>
      <c r="D212" t="s">
        <v>56</v>
      </c>
      <c r="E212">
        <f t="shared" si="47"/>
        <v>1</v>
      </c>
      <c r="F212" t="s">
        <v>57</v>
      </c>
      <c r="G212">
        <v>1045</v>
      </c>
      <c r="H212" t="str">
        <f t="shared" si="48"/>
        <v>1001-1499</v>
      </c>
      <c r="I212" t="s">
        <v>58</v>
      </c>
      <c r="J212">
        <v>4</v>
      </c>
      <c r="K212" t="str">
        <f t="shared" si="49"/>
        <v>1-5</v>
      </c>
      <c r="L212">
        <v>4</v>
      </c>
      <c r="M212" t="s">
        <v>82</v>
      </c>
      <c r="N212" t="s">
        <v>83</v>
      </c>
      <c r="O212">
        <v>1</v>
      </c>
      <c r="P212">
        <v>4</v>
      </c>
      <c r="Q212" t="s">
        <v>65</v>
      </c>
      <c r="R212" t="s">
        <v>75</v>
      </c>
      <c r="S212">
        <v>32</v>
      </c>
      <c r="T212" t="str">
        <f t="shared" si="50"/>
        <v>30-50</v>
      </c>
      <c r="U212">
        <v>1</v>
      </c>
      <c r="V212" t="s">
        <v>69</v>
      </c>
      <c r="W212">
        <v>3</v>
      </c>
      <c r="X212" t="s">
        <v>64</v>
      </c>
      <c r="Y212">
        <v>4</v>
      </c>
      <c r="Z212" t="s">
        <v>65</v>
      </c>
      <c r="AA212" t="s">
        <v>77</v>
      </c>
      <c r="AB212" s="4">
        <v>10400</v>
      </c>
      <c r="AC212" s="4" t="str">
        <f t="shared" si="51"/>
        <v>$10,000-$11,500</v>
      </c>
      <c r="AD212">
        <v>25812</v>
      </c>
      <c r="AE212" t="str">
        <f t="shared" si="52"/>
        <v>$22,001-$26,999</v>
      </c>
      <c r="AF212">
        <v>1</v>
      </c>
      <c r="AG212" t="str">
        <f t="shared" si="53"/>
        <v>0-1</v>
      </c>
      <c r="AH212" t="s">
        <v>67</v>
      </c>
      <c r="AI212" t="s">
        <v>71</v>
      </c>
      <c r="AJ212">
        <v>11</v>
      </c>
      <c r="AK212" t="str">
        <f t="shared" si="54"/>
        <v>11-12%</v>
      </c>
      <c r="AL212">
        <v>3</v>
      </c>
      <c r="AM212" t="s">
        <v>68</v>
      </c>
      <c r="AN212">
        <v>3</v>
      </c>
      <c r="AO212" t="s">
        <v>63</v>
      </c>
      <c r="AP212">
        <v>80</v>
      </c>
      <c r="AQ212">
        <v>0</v>
      </c>
      <c r="AR212">
        <v>14</v>
      </c>
      <c r="AS212" t="str">
        <f t="shared" si="55"/>
        <v>11-20</v>
      </c>
      <c r="AT212">
        <v>2</v>
      </c>
      <c r="AU212" t="str">
        <f t="shared" si="56"/>
        <v>0-2</v>
      </c>
      <c r="AV212">
        <v>2</v>
      </c>
      <c r="AW212" t="s">
        <v>84</v>
      </c>
      <c r="AX212">
        <v>14</v>
      </c>
      <c r="AY212" t="str">
        <f t="shared" si="45"/>
        <v>11-20</v>
      </c>
      <c r="AZ212">
        <v>8</v>
      </c>
      <c r="BA212" t="str">
        <f t="shared" si="57"/>
        <v>6-10</v>
      </c>
      <c r="BB212">
        <v>9</v>
      </c>
      <c r="BC212" t="str">
        <f t="shared" si="58"/>
        <v>6-10</v>
      </c>
      <c r="BD212">
        <v>8</v>
      </c>
      <c r="BE212" t="str">
        <f t="shared" si="59"/>
        <v>6-10</v>
      </c>
    </row>
    <row r="213" spans="1:57" x14ac:dyDescent="0.3">
      <c r="A213">
        <v>292</v>
      </c>
      <c r="B213">
        <v>30</v>
      </c>
      <c r="C213" t="str">
        <f t="shared" si="46"/>
        <v>26-35</v>
      </c>
      <c r="D213" t="s">
        <v>71</v>
      </c>
      <c r="E213">
        <f t="shared" si="47"/>
        <v>0</v>
      </c>
      <c r="F213" t="s">
        <v>89</v>
      </c>
      <c r="G213">
        <v>829</v>
      </c>
      <c r="H213" t="str">
        <f t="shared" si="48"/>
        <v>501-1000</v>
      </c>
      <c r="I213" t="s">
        <v>73</v>
      </c>
      <c r="J213">
        <v>1</v>
      </c>
      <c r="K213" t="str">
        <f t="shared" si="49"/>
        <v>1-5</v>
      </c>
      <c r="L213">
        <v>1</v>
      </c>
      <c r="M213" t="s">
        <v>74</v>
      </c>
      <c r="N213" t="s">
        <v>60</v>
      </c>
      <c r="O213">
        <v>1</v>
      </c>
      <c r="P213">
        <v>3</v>
      </c>
      <c r="Q213" t="s">
        <v>63</v>
      </c>
      <c r="R213" t="s">
        <v>75</v>
      </c>
      <c r="S213">
        <v>88</v>
      </c>
      <c r="T213" t="str">
        <f t="shared" si="50"/>
        <v>76-100</v>
      </c>
      <c r="U213">
        <v>2</v>
      </c>
      <c r="V213" t="s">
        <v>61</v>
      </c>
      <c r="W213">
        <v>3</v>
      </c>
      <c r="X213" t="s">
        <v>87</v>
      </c>
      <c r="Y213">
        <v>3</v>
      </c>
      <c r="Z213" t="s">
        <v>63</v>
      </c>
      <c r="AA213" t="s">
        <v>66</v>
      </c>
      <c r="AB213" s="4">
        <v>8474</v>
      </c>
      <c r="AC213" s="4" t="str">
        <f t="shared" si="51"/>
        <v>$7,000-$8,500</v>
      </c>
      <c r="AD213">
        <v>20925</v>
      </c>
      <c r="AE213" t="str">
        <f t="shared" si="52"/>
        <v>$16,001-$22,000</v>
      </c>
      <c r="AF213">
        <v>1</v>
      </c>
      <c r="AG213" t="str">
        <f t="shared" si="53"/>
        <v>0-1</v>
      </c>
      <c r="AH213" t="s">
        <v>67</v>
      </c>
      <c r="AI213" t="s">
        <v>71</v>
      </c>
      <c r="AJ213">
        <v>22</v>
      </c>
      <c r="AK213" t="str">
        <f t="shared" si="54"/>
        <v>18-19%</v>
      </c>
      <c r="AL213">
        <v>4</v>
      </c>
      <c r="AM213" t="s">
        <v>78</v>
      </c>
      <c r="AN213">
        <v>3</v>
      </c>
      <c r="AO213" t="s">
        <v>63</v>
      </c>
      <c r="AP213">
        <v>80</v>
      </c>
      <c r="AQ213">
        <v>0</v>
      </c>
      <c r="AR213">
        <v>12</v>
      </c>
      <c r="AS213" t="str">
        <f t="shared" si="55"/>
        <v>11-20</v>
      </c>
      <c r="AT213">
        <v>2</v>
      </c>
      <c r="AU213" t="str">
        <f t="shared" si="56"/>
        <v>0-2</v>
      </c>
      <c r="AV213">
        <v>3</v>
      </c>
      <c r="AW213" t="s">
        <v>79</v>
      </c>
      <c r="AX213">
        <v>11</v>
      </c>
      <c r="AY213" t="str">
        <f t="shared" si="45"/>
        <v>11-20</v>
      </c>
      <c r="AZ213">
        <v>8</v>
      </c>
      <c r="BA213" t="str">
        <f t="shared" si="57"/>
        <v>6-10</v>
      </c>
      <c r="BB213">
        <v>5</v>
      </c>
      <c r="BC213" t="str">
        <f t="shared" si="58"/>
        <v>2-5</v>
      </c>
      <c r="BD213">
        <v>8</v>
      </c>
      <c r="BE213" t="str">
        <f t="shared" si="59"/>
        <v>6-10</v>
      </c>
    </row>
    <row r="214" spans="1:57" x14ac:dyDescent="0.3">
      <c r="A214">
        <v>293</v>
      </c>
      <c r="B214">
        <v>27</v>
      </c>
      <c r="C214" t="str">
        <f t="shared" si="46"/>
        <v>26-35</v>
      </c>
      <c r="D214" t="s">
        <v>71</v>
      </c>
      <c r="E214">
        <f t="shared" si="47"/>
        <v>0</v>
      </c>
      <c r="F214" t="s">
        <v>72</v>
      </c>
      <c r="G214">
        <v>1242</v>
      </c>
      <c r="H214" t="str">
        <f t="shared" si="48"/>
        <v>1001-1499</v>
      </c>
      <c r="I214" t="s">
        <v>58</v>
      </c>
      <c r="J214">
        <v>20</v>
      </c>
      <c r="K214" t="str">
        <f t="shared" si="49"/>
        <v>11-20</v>
      </c>
      <c r="L214">
        <v>3</v>
      </c>
      <c r="M214" t="s">
        <v>85</v>
      </c>
      <c r="N214" t="s">
        <v>60</v>
      </c>
      <c r="O214">
        <v>1</v>
      </c>
      <c r="P214">
        <v>4</v>
      </c>
      <c r="Q214" t="s">
        <v>65</v>
      </c>
      <c r="R214" t="s">
        <v>62</v>
      </c>
      <c r="S214">
        <v>90</v>
      </c>
      <c r="T214" t="str">
        <f t="shared" si="50"/>
        <v>76-100</v>
      </c>
      <c r="U214">
        <v>3</v>
      </c>
      <c r="V214" t="s">
        <v>63</v>
      </c>
      <c r="W214">
        <v>2</v>
      </c>
      <c r="X214" t="s">
        <v>64</v>
      </c>
      <c r="Y214">
        <v>3</v>
      </c>
      <c r="Z214" t="s">
        <v>63</v>
      </c>
      <c r="AA214" t="s">
        <v>66</v>
      </c>
      <c r="AB214" s="4">
        <v>9981</v>
      </c>
      <c r="AC214" s="4" t="str">
        <f t="shared" si="51"/>
        <v>$8,500-$10,000</v>
      </c>
      <c r="AD214">
        <v>12916</v>
      </c>
      <c r="AE214" t="str">
        <f t="shared" si="52"/>
        <v>$8,001-$16,000</v>
      </c>
      <c r="AF214">
        <v>1</v>
      </c>
      <c r="AG214" t="str">
        <f t="shared" si="53"/>
        <v>0-1</v>
      </c>
      <c r="AH214" t="s">
        <v>67</v>
      </c>
      <c r="AI214" t="s">
        <v>71</v>
      </c>
      <c r="AJ214">
        <v>14</v>
      </c>
      <c r="AK214" t="str">
        <f t="shared" si="54"/>
        <v>13-15%</v>
      </c>
      <c r="AL214">
        <v>3</v>
      </c>
      <c r="AM214" t="s">
        <v>68</v>
      </c>
      <c r="AN214">
        <v>4</v>
      </c>
      <c r="AO214" t="s">
        <v>65</v>
      </c>
      <c r="AP214">
        <v>80</v>
      </c>
      <c r="AQ214">
        <v>0</v>
      </c>
      <c r="AR214">
        <v>7</v>
      </c>
      <c r="AS214" t="str">
        <f t="shared" si="55"/>
        <v>6-10</v>
      </c>
      <c r="AT214">
        <v>2</v>
      </c>
      <c r="AU214" t="str">
        <f t="shared" si="56"/>
        <v>0-2</v>
      </c>
      <c r="AV214">
        <v>3</v>
      </c>
      <c r="AW214" t="s">
        <v>79</v>
      </c>
      <c r="AX214">
        <v>7</v>
      </c>
      <c r="AY214" t="str">
        <f t="shared" si="45"/>
        <v>6-10</v>
      </c>
      <c r="AZ214">
        <v>7</v>
      </c>
      <c r="BA214" t="str">
        <f t="shared" si="57"/>
        <v>6-10</v>
      </c>
      <c r="BB214">
        <v>0</v>
      </c>
      <c r="BC214" t="str">
        <f t="shared" si="58"/>
        <v>0-1</v>
      </c>
      <c r="BD214">
        <v>7</v>
      </c>
      <c r="BE214" t="str">
        <f t="shared" si="59"/>
        <v>6-10</v>
      </c>
    </row>
    <row r="215" spans="1:57" x14ac:dyDescent="0.3">
      <c r="A215">
        <v>296</v>
      </c>
      <c r="B215">
        <v>51</v>
      </c>
      <c r="C215" t="str">
        <f t="shared" si="46"/>
        <v>46-55</v>
      </c>
      <c r="D215" t="s">
        <v>71</v>
      </c>
      <c r="E215">
        <f t="shared" si="47"/>
        <v>0</v>
      </c>
      <c r="F215" t="s">
        <v>57</v>
      </c>
      <c r="G215">
        <v>1469</v>
      </c>
      <c r="H215" t="str">
        <f t="shared" si="48"/>
        <v>1001-1499</v>
      </c>
      <c r="I215" t="s">
        <v>73</v>
      </c>
      <c r="J215">
        <v>8</v>
      </c>
      <c r="K215" t="str">
        <f t="shared" si="49"/>
        <v>6-10</v>
      </c>
      <c r="L215">
        <v>4</v>
      </c>
      <c r="M215" t="s">
        <v>82</v>
      </c>
      <c r="N215" t="s">
        <v>60</v>
      </c>
      <c r="O215">
        <v>1</v>
      </c>
      <c r="P215">
        <v>2</v>
      </c>
      <c r="Q215" t="s">
        <v>61</v>
      </c>
      <c r="R215" t="s">
        <v>75</v>
      </c>
      <c r="S215">
        <v>81</v>
      </c>
      <c r="T215" t="str">
        <f t="shared" si="50"/>
        <v>76-100</v>
      </c>
      <c r="U215">
        <v>2</v>
      </c>
      <c r="V215" t="s">
        <v>61</v>
      </c>
      <c r="W215">
        <v>3</v>
      </c>
      <c r="X215" t="s">
        <v>92</v>
      </c>
      <c r="Y215">
        <v>2</v>
      </c>
      <c r="Z215" t="s">
        <v>61</v>
      </c>
      <c r="AA215" t="s">
        <v>77</v>
      </c>
      <c r="AB215" s="4">
        <v>12490</v>
      </c>
      <c r="AC215" s="4" t="str">
        <f t="shared" si="51"/>
        <v>$11,500-$13,000</v>
      </c>
      <c r="AD215">
        <v>15736</v>
      </c>
      <c r="AE215" t="str">
        <f t="shared" si="52"/>
        <v>$8,001-$16,000</v>
      </c>
      <c r="AF215">
        <v>5</v>
      </c>
      <c r="AG215" t="str">
        <f t="shared" si="53"/>
        <v>4-6</v>
      </c>
      <c r="AH215" t="s">
        <v>67</v>
      </c>
      <c r="AI215" t="s">
        <v>71</v>
      </c>
      <c r="AJ215">
        <v>16</v>
      </c>
      <c r="AK215" t="str">
        <f t="shared" si="54"/>
        <v>16-17%</v>
      </c>
      <c r="AL215">
        <v>3</v>
      </c>
      <c r="AM215" t="s">
        <v>68</v>
      </c>
      <c r="AN215">
        <v>4</v>
      </c>
      <c r="AO215" t="s">
        <v>65</v>
      </c>
      <c r="AP215">
        <v>80</v>
      </c>
      <c r="AQ215">
        <v>2</v>
      </c>
      <c r="AR215">
        <v>16</v>
      </c>
      <c r="AS215" t="str">
        <f t="shared" si="55"/>
        <v>11-20</v>
      </c>
      <c r="AT215">
        <v>5</v>
      </c>
      <c r="AU215" t="str">
        <f t="shared" si="56"/>
        <v>5-6</v>
      </c>
      <c r="AV215">
        <v>1</v>
      </c>
      <c r="AW215" t="s">
        <v>70</v>
      </c>
      <c r="AX215">
        <v>10</v>
      </c>
      <c r="AY215" t="str">
        <f t="shared" si="45"/>
        <v>6-10</v>
      </c>
      <c r="AZ215">
        <v>9</v>
      </c>
      <c r="BA215" t="str">
        <f t="shared" si="57"/>
        <v>6-10</v>
      </c>
      <c r="BB215">
        <v>4</v>
      </c>
      <c r="BC215" t="str">
        <f t="shared" si="58"/>
        <v>2-5</v>
      </c>
      <c r="BD215">
        <v>7</v>
      </c>
      <c r="BE215" t="str">
        <f t="shared" si="59"/>
        <v>6-10</v>
      </c>
    </row>
    <row r="216" spans="1:57" x14ac:dyDescent="0.3">
      <c r="A216">
        <v>297</v>
      </c>
      <c r="B216">
        <v>30</v>
      </c>
      <c r="C216" t="str">
        <f t="shared" si="46"/>
        <v>26-35</v>
      </c>
      <c r="D216" t="s">
        <v>56</v>
      </c>
      <c r="E216">
        <f t="shared" si="47"/>
        <v>1</v>
      </c>
      <c r="F216" t="s">
        <v>57</v>
      </c>
      <c r="G216">
        <v>1005</v>
      </c>
      <c r="H216" t="str">
        <f t="shared" si="48"/>
        <v>1001-1499</v>
      </c>
      <c r="I216" t="s">
        <v>73</v>
      </c>
      <c r="J216">
        <v>3</v>
      </c>
      <c r="K216" t="str">
        <f t="shared" si="49"/>
        <v>1-5</v>
      </c>
      <c r="L216">
        <v>3</v>
      </c>
      <c r="M216" t="s">
        <v>85</v>
      </c>
      <c r="N216" t="s">
        <v>95</v>
      </c>
      <c r="O216">
        <v>1</v>
      </c>
      <c r="P216">
        <v>4</v>
      </c>
      <c r="Q216" t="s">
        <v>65</v>
      </c>
      <c r="R216" t="s">
        <v>62</v>
      </c>
      <c r="S216">
        <v>88</v>
      </c>
      <c r="T216" t="str">
        <f t="shared" si="50"/>
        <v>76-100</v>
      </c>
      <c r="U216">
        <v>3</v>
      </c>
      <c r="V216" t="s">
        <v>63</v>
      </c>
      <c r="W216">
        <v>1</v>
      </c>
      <c r="X216" t="s">
        <v>76</v>
      </c>
      <c r="Y216">
        <v>1</v>
      </c>
      <c r="Z216" t="s">
        <v>69</v>
      </c>
      <c r="AA216" t="s">
        <v>66</v>
      </c>
      <c r="AB216" s="4">
        <v>2657</v>
      </c>
      <c r="AC216" s="4" t="str">
        <f t="shared" si="51"/>
        <v>$2,500-$4,000</v>
      </c>
      <c r="AD216">
        <v>8556</v>
      </c>
      <c r="AE216" t="str">
        <f t="shared" si="52"/>
        <v>$8,001-$16,000</v>
      </c>
      <c r="AF216">
        <v>5</v>
      </c>
      <c r="AG216" t="str">
        <f t="shared" si="53"/>
        <v>4-6</v>
      </c>
      <c r="AH216" t="s">
        <v>67</v>
      </c>
      <c r="AI216" t="s">
        <v>56</v>
      </c>
      <c r="AJ216">
        <v>11</v>
      </c>
      <c r="AK216" t="str">
        <f t="shared" si="54"/>
        <v>11-12%</v>
      </c>
      <c r="AL216">
        <v>3</v>
      </c>
      <c r="AM216" t="s">
        <v>68</v>
      </c>
      <c r="AN216">
        <v>3</v>
      </c>
      <c r="AO216" t="s">
        <v>63</v>
      </c>
      <c r="AP216">
        <v>80</v>
      </c>
      <c r="AQ216">
        <v>0</v>
      </c>
      <c r="AR216">
        <v>8</v>
      </c>
      <c r="AS216" t="str">
        <f t="shared" si="55"/>
        <v>6-10</v>
      </c>
      <c r="AT216">
        <v>5</v>
      </c>
      <c r="AU216" t="str">
        <f t="shared" si="56"/>
        <v>5-6</v>
      </c>
      <c r="AV216">
        <v>3</v>
      </c>
      <c r="AW216" t="s">
        <v>79</v>
      </c>
      <c r="AX216">
        <v>5</v>
      </c>
      <c r="AY216" t="str">
        <f t="shared" si="45"/>
        <v>2-5</v>
      </c>
      <c r="AZ216">
        <v>2</v>
      </c>
      <c r="BA216" t="str">
        <f t="shared" si="57"/>
        <v>2-5</v>
      </c>
      <c r="BB216">
        <v>0</v>
      </c>
      <c r="BC216" t="str">
        <f t="shared" si="58"/>
        <v>0-1</v>
      </c>
      <c r="BD216">
        <v>4</v>
      </c>
      <c r="BE216" t="str">
        <f t="shared" si="59"/>
        <v>2-5</v>
      </c>
    </row>
    <row r="217" spans="1:57" x14ac:dyDescent="0.3">
      <c r="A217">
        <v>298</v>
      </c>
      <c r="B217">
        <v>41</v>
      </c>
      <c r="C217" t="str">
        <f t="shared" si="46"/>
        <v>36-45</v>
      </c>
      <c r="D217" t="s">
        <v>71</v>
      </c>
      <c r="E217">
        <f t="shared" si="47"/>
        <v>0</v>
      </c>
      <c r="F217" t="s">
        <v>57</v>
      </c>
      <c r="G217">
        <v>896</v>
      </c>
      <c r="H217" t="str">
        <f t="shared" si="48"/>
        <v>501-1000</v>
      </c>
      <c r="I217" t="s">
        <v>58</v>
      </c>
      <c r="J217">
        <v>6</v>
      </c>
      <c r="K217" t="str">
        <f t="shared" si="49"/>
        <v>6-10</v>
      </c>
      <c r="L217">
        <v>3</v>
      </c>
      <c r="M217" t="s">
        <v>85</v>
      </c>
      <c r="N217" t="s">
        <v>60</v>
      </c>
      <c r="O217">
        <v>1</v>
      </c>
      <c r="P217">
        <v>4</v>
      </c>
      <c r="Q217" t="s">
        <v>65</v>
      </c>
      <c r="R217" t="s">
        <v>62</v>
      </c>
      <c r="S217">
        <v>75</v>
      </c>
      <c r="T217" t="str">
        <f t="shared" si="50"/>
        <v>51-75</v>
      </c>
      <c r="U217">
        <v>3</v>
      </c>
      <c r="V217" t="s">
        <v>63</v>
      </c>
      <c r="W217">
        <v>3</v>
      </c>
      <c r="X217" t="s">
        <v>90</v>
      </c>
      <c r="Y217">
        <v>4</v>
      </c>
      <c r="Z217" t="s">
        <v>65</v>
      </c>
      <c r="AA217" t="s">
        <v>66</v>
      </c>
      <c r="AB217" s="4">
        <v>13591</v>
      </c>
      <c r="AC217" s="4" t="str">
        <f t="shared" si="51"/>
        <v>$13,000-$14,500</v>
      </c>
      <c r="AD217">
        <v>14674</v>
      </c>
      <c r="AE217" t="str">
        <f t="shared" si="52"/>
        <v>$8,001-$16,000</v>
      </c>
      <c r="AF217">
        <v>3</v>
      </c>
      <c r="AG217" t="str">
        <f t="shared" si="53"/>
        <v>2-3</v>
      </c>
      <c r="AH217" t="s">
        <v>67</v>
      </c>
      <c r="AI217" t="s">
        <v>56</v>
      </c>
      <c r="AJ217">
        <v>18</v>
      </c>
      <c r="AK217" t="str">
        <f t="shared" si="54"/>
        <v>18-19%</v>
      </c>
      <c r="AL217">
        <v>3</v>
      </c>
      <c r="AM217" t="s">
        <v>68</v>
      </c>
      <c r="AN217">
        <v>3</v>
      </c>
      <c r="AO217" t="s">
        <v>63</v>
      </c>
      <c r="AP217">
        <v>80</v>
      </c>
      <c r="AQ217">
        <v>0</v>
      </c>
      <c r="AR217">
        <v>16</v>
      </c>
      <c r="AS217" t="str">
        <f t="shared" si="55"/>
        <v>11-20</v>
      </c>
      <c r="AT217">
        <v>3</v>
      </c>
      <c r="AU217" t="str">
        <f t="shared" si="56"/>
        <v>3-4</v>
      </c>
      <c r="AV217">
        <v>3</v>
      </c>
      <c r="AW217" t="s">
        <v>79</v>
      </c>
      <c r="AX217">
        <v>1</v>
      </c>
      <c r="AY217" t="str">
        <f t="shared" si="45"/>
        <v>0-1</v>
      </c>
      <c r="AZ217">
        <v>0</v>
      </c>
      <c r="BA217" t="str">
        <f t="shared" si="57"/>
        <v>0-1</v>
      </c>
      <c r="BB217">
        <v>0</v>
      </c>
      <c r="BC217" t="str">
        <f t="shared" si="58"/>
        <v>0-1</v>
      </c>
      <c r="BD217">
        <v>0</v>
      </c>
      <c r="BE217" t="str">
        <f t="shared" si="59"/>
        <v>0-1</v>
      </c>
    </row>
    <row r="218" spans="1:57" x14ac:dyDescent="0.3">
      <c r="A218">
        <v>299</v>
      </c>
      <c r="B218">
        <v>30</v>
      </c>
      <c r="C218" t="str">
        <f t="shared" si="46"/>
        <v>26-35</v>
      </c>
      <c r="D218" t="s">
        <v>56</v>
      </c>
      <c r="E218">
        <f t="shared" si="47"/>
        <v>1</v>
      </c>
      <c r="F218" t="s">
        <v>72</v>
      </c>
      <c r="G218">
        <v>334</v>
      </c>
      <c r="H218" t="str">
        <f t="shared" si="48"/>
        <v>102-500</v>
      </c>
      <c r="I218" t="s">
        <v>58</v>
      </c>
      <c r="J218">
        <v>26</v>
      </c>
      <c r="K218" t="str">
        <f t="shared" si="49"/>
        <v>21-29</v>
      </c>
      <c r="L218">
        <v>4</v>
      </c>
      <c r="M218" t="s">
        <v>82</v>
      </c>
      <c r="N218" t="s">
        <v>93</v>
      </c>
      <c r="O218">
        <v>1</v>
      </c>
      <c r="P218">
        <v>3</v>
      </c>
      <c r="Q218" t="s">
        <v>63</v>
      </c>
      <c r="R218" t="s">
        <v>62</v>
      </c>
      <c r="S218">
        <v>52</v>
      </c>
      <c r="T218" t="str">
        <f t="shared" si="50"/>
        <v>51-75</v>
      </c>
      <c r="U218">
        <v>2</v>
      </c>
      <c r="V218" t="s">
        <v>61</v>
      </c>
      <c r="W218">
        <v>2</v>
      </c>
      <c r="X218" t="s">
        <v>64</v>
      </c>
      <c r="Y218">
        <v>1</v>
      </c>
      <c r="Z218" t="s">
        <v>69</v>
      </c>
      <c r="AA218" t="s">
        <v>66</v>
      </c>
      <c r="AB218" s="4">
        <v>6696</v>
      </c>
      <c r="AC218" s="4" t="str">
        <f t="shared" si="51"/>
        <v>$5,500-$7,000</v>
      </c>
      <c r="AD218">
        <v>22967</v>
      </c>
      <c r="AE218" t="str">
        <f t="shared" si="52"/>
        <v>$22,001-$26,999</v>
      </c>
      <c r="AF218">
        <v>5</v>
      </c>
      <c r="AG218" t="str">
        <f t="shared" si="53"/>
        <v>4-6</v>
      </c>
      <c r="AH218" t="s">
        <v>67</v>
      </c>
      <c r="AI218" t="s">
        <v>71</v>
      </c>
      <c r="AJ218">
        <v>15</v>
      </c>
      <c r="AK218" t="str">
        <f t="shared" si="54"/>
        <v>13-15%</v>
      </c>
      <c r="AL218">
        <v>3</v>
      </c>
      <c r="AM218" t="s">
        <v>68</v>
      </c>
      <c r="AN218">
        <v>3</v>
      </c>
      <c r="AO218" t="s">
        <v>63</v>
      </c>
      <c r="AP218">
        <v>80</v>
      </c>
      <c r="AQ218">
        <v>0</v>
      </c>
      <c r="AR218">
        <v>9</v>
      </c>
      <c r="AS218" t="str">
        <f t="shared" si="55"/>
        <v>6-10</v>
      </c>
      <c r="AT218">
        <v>5</v>
      </c>
      <c r="AU218" t="str">
        <f t="shared" si="56"/>
        <v>5-6</v>
      </c>
      <c r="AV218">
        <v>2</v>
      </c>
      <c r="AW218" t="s">
        <v>84</v>
      </c>
      <c r="AX218">
        <v>6</v>
      </c>
      <c r="AY218" t="str">
        <f t="shared" si="45"/>
        <v>6-10</v>
      </c>
      <c r="AZ218">
        <v>3</v>
      </c>
      <c r="BA218" t="str">
        <f t="shared" si="57"/>
        <v>2-5</v>
      </c>
      <c r="BB218">
        <v>0</v>
      </c>
      <c r="BC218" t="str">
        <f t="shared" si="58"/>
        <v>0-1</v>
      </c>
      <c r="BD218">
        <v>1</v>
      </c>
      <c r="BE218" t="str">
        <f t="shared" si="59"/>
        <v>0-1</v>
      </c>
    </row>
    <row r="219" spans="1:57" x14ac:dyDescent="0.3">
      <c r="A219">
        <v>300</v>
      </c>
      <c r="B219">
        <v>29</v>
      </c>
      <c r="C219" t="str">
        <f t="shared" si="46"/>
        <v>26-35</v>
      </c>
      <c r="D219" t="s">
        <v>56</v>
      </c>
      <c r="E219">
        <f t="shared" si="47"/>
        <v>1</v>
      </c>
      <c r="F219" t="s">
        <v>57</v>
      </c>
      <c r="G219">
        <v>992</v>
      </c>
      <c r="H219" t="str">
        <f t="shared" si="48"/>
        <v>501-1000</v>
      </c>
      <c r="I219" t="s">
        <v>73</v>
      </c>
      <c r="J219">
        <v>1</v>
      </c>
      <c r="K219" t="str">
        <f t="shared" si="49"/>
        <v>1-5</v>
      </c>
      <c r="L219">
        <v>3</v>
      </c>
      <c r="M219" t="s">
        <v>85</v>
      </c>
      <c r="N219" t="s">
        <v>95</v>
      </c>
      <c r="O219">
        <v>1</v>
      </c>
      <c r="P219">
        <v>3</v>
      </c>
      <c r="Q219" t="s">
        <v>63</v>
      </c>
      <c r="R219" t="s">
        <v>75</v>
      </c>
      <c r="S219">
        <v>85</v>
      </c>
      <c r="T219" t="str">
        <f t="shared" si="50"/>
        <v>76-100</v>
      </c>
      <c r="U219">
        <v>3</v>
      </c>
      <c r="V219" t="s">
        <v>63</v>
      </c>
      <c r="W219">
        <v>1</v>
      </c>
      <c r="X219" t="s">
        <v>76</v>
      </c>
      <c r="Y219">
        <v>3</v>
      </c>
      <c r="Z219" t="s">
        <v>63</v>
      </c>
      <c r="AA219" t="s">
        <v>66</v>
      </c>
      <c r="AB219" s="4">
        <v>2058</v>
      </c>
      <c r="AC219" s="4" t="str">
        <f t="shared" si="51"/>
        <v>$1,000-$2,500</v>
      </c>
      <c r="AD219">
        <v>19757</v>
      </c>
      <c r="AE219" t="str">
        <f t="shared" si="52"/>
        <v>$16,001-$22,000</v>
      </c>
      <c r="AF219">
        <v>0</v>
      </c>
      <c r="AG219" t="str">
        <f t="shared" si="53"/>
        <v>0-1</v>
      </c>
      <c r="AH219" t="s">
        <v>67</v>
      </c>
      <c r="AI219" t="s">
        <v>71</v>
      </c>
      <c r="AJ219">
        <v>14</v>
      </c>
      <c r="AK219" t="str">
        <f t="shared" si="54"/>
        <v>13-15%</v>
      </c>
      <c r="AL219">
        <v>3</v>
      </c>
      <c r="AM219" t="s">
        <v>68</v>
      </c>
      <c r="AN219">
        <v>4</v>
      </c>
      <c r="AO219" t="s">
        <v>65</v>
      </c>
      <c r="AP219">
        <v>80</v>
      </c>
      <c r="AQ219">
        <v>0</v>
      </c>
      <c r="AR219">
        <v>7</v>
      </c>
      <c r="AS219" t="str">
        <f t="shared" si="55"/>
        <v>6-10</v>
      </c>
      <c r="AT219">
        <v>1</v>
      </c>
      <c r="AU219" t="str">
        <f t="shared" si="56"/>
        <v>0-2</v>
      </c>
      <c r="AV219">
        <v>2</v>
      </c>
      <c r="AW219" t="s">
        <v>84</v>
      </c>
      <c r="AX219">
        <v>6</v>
      </c>
      <c r="AY219" t="str">
        <f t="shared" si="45"/>
        <v>6-10</v>
      </c>
      <c r="AZ219">
        <v>2</v>
      </c>
      <c r="BA219" t="str">
        <f t="shared" si="57"/>
        <v>2-5</v>
      </c>
      <c r="BB219">
        <v>1</v>
      </c>
      <c r="BC219" t="str">
        <f t="shared" si="58"/>
        <v>0-1</v>
      </c>
      <c r="BD219">
        <v>5</v>
      </c>
      <c r="BE219" t="str">
        <f t="shared" si="59"/>
        <v>2-5</v>
      </c>
    </row>
    <row r="220" spans="1:57" x14ac:dyDescent="0.3">
      <c r="A220">
        <v>302</v>
      </c>
      <c r="B220">
        <v>45</v>
      </c>
      <c r="C220" t="str">
        <f t="shared" si="46"/>
        <v>36-45</v>
      </c>
      <c r="D220" t="s">
        <v>71</v>
      </c>
      <c r="E220">
        <f t="shared" si="47"/>
        <v>0</v>
      </c>
      <c r="F220" t="s">
        <v>89</v>
      </c>
      <c r="G220">
        <v>1052</v>
      </c>
      <c r="H220" t="str">
        <f t="shared" si="48"/>
        <v>1001-1499</v>
      </c>
      <c r="I220" t="s">
        <v>58</v>
      </c>
      <c r="J220">
        <v>6</v>
      </c>
      <c r="K220" t="str">
        <f t="shared" si="49"/>
        <v>6-10</v>
      </c>
      <c r="L220">
        <v>3</v>
      </c>
      <c r="M220" t="s">
        <v>85</v>
      </c>
      <c r="N220" t="s">
        <v>83</v>
      </c>
      <c r="O220">
        <v>1</v>
      </c>
      <c r="P220">
        <v>4</v>
      </c>
      <c r="Q220" t="s">
        <v>65</v>
      </c>
      <c r="R220" t="s">
        <v>62</v>
      </c>
      <c r="S220">
        <v>57</v>
      </c>
      <c r="T220" t="str">
        <f t="shared" si="50"/>
        <v>51-75</v>
      </c>
      <c r="U220">
        <v>2</v>
      </c>
      <c r="V220" t="s">
        <v>61</v>
      </c>
      <c r="W220">
        <v>3</v>
      </c>
      <c r="X220" t="s">
        <v>64</v>
      </c>
      <c r="Y220">
        <v>4</v>
      </c>
      <c r="Z220" t="s">
        <v>65</v>
      </c>
      <c r="AA220" t="s">
        <v>66</v>
      </c>
      <c r="AB220" s="4">
        <v>8865</v>
      </c>
      <c r="AC220" s="4" t="str">
        <f t="shared" si="51"/>
        <v>$8,500-$10,000</v>
      </c>
      <c r="AD220">
        <v>16840</v>
      </c>
      <c r="AE220" t="str">
        <f t="shared" si="52"/>
        <v>$16,001-$22,000</v>
      </c>
      <c r="AF220">
        <v>6</v>
      </c>
      <c r="AG220" t="str">
        <f t="shared" si="53"/>
        <v>4-6</v>
      </c>
      <c r="AH220" t="s">
        <v>67</v>
      </c>
      <c r="AI220" t="s">
        <v>71</v>
      </c>
      <c r="AJ220">
        <v>12</v>
      </c>
      <c r="AK220" t="str">
        <f t="shared" si="54"/>
        <v>11-12%</v>
      </c>
      <c r="AL220">
        <v>3</v>
      </c>
      <c r="AM220" t="s">
        <v>68</v>
      </c>
      <c r="AN220">
        <v>4</v>
      </c>
      <c r="AO220" t="s">
        <v>65</v>
      </c>
      <c r="AP220">
        <v>80</v>
      </c>
      <c r="AQ220">
        <v>0</v>
      </c>
      <c r="AR220">
        <v>23</v>
      </c>
      <c r="AS220" t="str">
        <f t="shared" si="55"/>
        <v>21-40</v>
      </c>
      <c r="AT220">
        <v>2</v>
      </c>
      <c r="AU220" t="str">
        <f t="shared" si="56"/>
        <v>0-2</v>
      </c>
      <c r="AV220">
        <v>3</v>
      </c>
      <c r="AW220" t="s">
        <v>79</v>
      </c>
      <c r="AX220">
        <v>19</v>
      </c>
      <c r="AY220" t="str">
        <f t="shared" si="45"/>
        <v>11-20</v>
      </c>
      <c r="AZ220">
        <v>7</v>
      </c>
      <c r="BA220" t="str">
        <f t="shared" si="57"/>
        <v>6-10</v>
      </c>
      <c r="BB220">
        <v>12</v>
      </c>
      <c r="BC220" t="str">
        <f t="shared" si="58"/>
        <v>11-15</v>
      </c>
      <c r="BD220">
        <v>8</v>
      </c>
      <c r="BE220" t="str">
        <f t="shared" si="59"/>
        <v>6-10</v>
      </c>
    </row>
    <row r="221" spans="1:57" x14ac:dyDescent="0.3">
      <c r="A221">
        <v>303</v>
      </c>
      <c r="B221">
        <v>54</v>
      </c>
      <c r="C221" t="str">
        <f t="shared" si="46"/>
        <v>46-55</v>
      </c>
      <c r="D221" t="s">
        <v>71</v>
      </c>
      <c r="E221">
        <f t="shared" si="47"/>
        <v>0</v>
      </c>
      <c r="F221" t="s">
        <v>57</v>
      </c>
      <c r="G221">
        <v>1147</v>
      </c>
      <c r="H221" t="str">
        <f t="shared" si="48"/>
        <v>1001-1499</v>
      </c>
      <c r="I221" t="s">
        <v>58</v>
      </c>
      <c r="J221">
        <v>3</v>
      </c>
      <c r="K221" t="str">
        <f t="shared" si="49"/>
        <v>1-5</v>
      </c>
      <c r="L221">
        <v>3</v>
      </c>
      <c r="M221" t="s">
        <v>85</v>
      </c>
      <c r="N221" t="s">
        <v>93</v>
      </c>
      <c r="O221">
        <v>1</v>
      </c>
      <c r="P221">
        <v>4</v>
      </c>
      <c r="Q221" t="s">
        <v>65</v>
      </c>
      <c r="R221" t="s">
        <v>62</v>
      </c>
      <c r="S221">
        <v>52</v>
      </c>
      <c r="T221" t="str">
        <f t="shared" si="50"/>
        <v>51-75</v>
      </c>
      <c r="U221">
        <v>3</v>
      </c>
      <c r="V221" t="s">
        <v>63</v>
      </c>
      <c r="W221">
        <v>2</v>
      </c>
      <c r="X221" t="s">
        <v>64</v>
      </c>
      <c r="Y221">
        <v>1</v>
      </c>
      <c r="Z221" t="s">
        <v>69</v>
      </c>
      <c r="AA221" t="s">
        <v>77</v>
      </c>
      <c r="AB221" s="4">
        <v>5940</v>
      </c>
      <c r="AC221" s="4" t="str">
        <f t="shared" si="51"/>
        <v>$5,500-$7,000</v>
      </c>
      <c r="AD221">
        <v>17011</v>
      </c>
      <c r="AE221" t="str">
        <f t="shared" si="52"/>
        <v>$16,001-$22,000</v>
      </c>
      <c r="AF221">
        <v>2</v>
      </c>
      <c r="AG221" t="str">
        <f t="shared" si="53"/>
        <v>2-3</v>
      </c>
      <c r="AH221" t="s">
        <v>67</v>
      </c>
      <c r="AI221" t="s">
        <v>71</v>
      </c>
      <c r="AJ221">
        <v>14</v>
      </c>
      <c r="AK221" t="str">
        <f t="shared" si="54"/>
        <v>13-15%</v>
      </c>
      <c r="AL221">
        <v>3</v>
      </c>
      <c r="AM221" t="s">
        <v>68</v>
      </c>
      <c r="AN221">
        <v>4</v>
      </c>
      <c r="AO221" t="s">
        <v>65</v>
      </c>
      <c r="AP221">
        <v>80</v>
      </c>
      <c r="AQ221">
        <v>1</v>
      </c>
      <c r="AR221">
        <v>16</v>
      </c>
      <c r="AS221" t="str">
        <f t="shared" si="55"/>
        <v>11-20</v>
      </c>
      <c r="AT221">
        <v>4</v>
      </c>
      <c r="AU221" t="str">
        <f t="shared" si="56"/>
        <v>3-4</v>
      </c>
      <c r="AV221">
        <v>3</v>
      </c>
      <c r="AW221" t="s">
        <v>79</v>
      </c>
      <c r="AX221">
        <v>6</v>
      </c>
      <c r="AY221" t="str">
        <f t="shared" si="45"/>
        <v>6-10</v>
      </c>
      <c r="AZ221">
        <v>2</v>
      </c>
      <c r="BA221" t="str">
        <f t="shared" si="57"/>
        <v>2-5</v>
      </c>
      <c r="BB221">
        <v>0</v>
      </c>
      <c r="BC221" t="str">
        <f t="shared" si="58"/>
        <v>0-1</v>
      </c>
      <c r="BD221">
        <v>5</v>
      </c>
      <c r="BE221" t="str">
        <f t="shared" si="59"/>
        <v>2-5</v>
      </c>
    </row>
    <row r="222" spans="1:57" x14ac:dyDescent="0.3">
      <c r="A222">
        <v>304</v>
      </c>
      <c r="B222">
        <v>36</v>
      </c>
      <c r="C222" t="str">
        <f t="shared" si="46"/>
        <v>36-45</v>
      </c>
      <c r="D222" t="s">
        <v>71</v>
      </c>
      <c r="E222">
        <f t="shared" si="47"/>
        <v>0</v>
      </c>
      <c r="F222" t="s">
        <v>57</v>
      </c>
      <c r="G222">
        <v>1396</v>
      </c>
      <c r="H222" t="str">
        <f t="shared" si="48"/>
        <v>1001-1499</v>
      </c>
      <c r="I222" t="s">
        <v>73</v>
      </c>
      <c r="J222">
        <v>5</v>
      </c>
      <c r="K222" t="str">
        <f t="shared" si="49"/>
        <v>1-5</v>
      </c>
      <c r="L222">
        <v>2</v>
      </c>
      <c r="M222" t="s">
        <v>59</v>
      </c>
      <c r="N222" t="s">
        <v>60</v>
      </c>
      <c r="O222">
        <v>1</v>
      </c>
      <c r="P222">
        <v>4</v>
      </c>
      <c r="Q222" t="s">
        <v>65</v>
      </c>
      <c r="R222" t="s">
        <v>75</v>
      </c>
      <c r="S222">
        <v>62</v>
      </c>
      <c r="T222" t="str">
        <f t="shared" si="50"/>
        <v>51-75</v>
      </c>
      <c r="U222">
        <v>3</v>
      </c>
      <c r="V222" t="s">
        <v>63</v>
      </c>
      <c r="W222">
        <v>2</v>
      </c>
      <c r="X222" t="s">
        <v>81</v>
      </c>
      <c r="Y222">
        <v>2</v>
      </c>
      <c r="Z222" t="s">
        <v>61</v>
      </c>
      <c r="AA222" t="s">
        <v>66</v>
      </c>
      <c r="AB222" s="4">
        <v>5914</v>
      </c>
      <c r="AC222" s="4" t="str">
        <f t="shared" si="51"/>
        <v>$5,500-$7,000</v>
      </c>
      <c r="AD222">
        <v>9945</v>
      </c>
      <c r="AE222" t="str">
        <f t="shared" si="52"/>
        <v>$8,001-$16,000</v>
      </c>
      <c r="AF222">
        <v>8</v>
      </c>
      <c r="AG222" t="str">
        <f t="shared" si="53"/>
        <v>7-9</v>
      </c>
      <c r="AH222" t="s">
        <v>67</v>
      </c>
      <c r="AI222" t="s">
        <v>71</v>
      </c>
      <c r="AJ222">
        <v>16</v>
      </c>
      <c r="AK222" t="str">
        <f t="shared" si="54"/>
        <v>16-17%</v>
      </c>
      <c r="AL222">
        <v>3</v>
      </c>
      <c r="AM222" t="s">
        <v>68</v>
      </c>
      <c r="AN222">
        <v>4</v>
      </c>
      <c r="AO222" t="s">
        <v>65</v>
      </c>
      <c r="AP222">
        <v>80</v>
      </c>
      <c r="AQ222">
        <v>0</v>
      </c>
      <c r="AR222">
        <v>16</v>
      </c>
      <c r="AS222" t="str">
        <f t="shared" si="55"/>
        <v>11-20</v>
      </c>
      <c r="AT222">
        <v>3</v>
      </c>
      <c r="AU222" t="str">
        <f t="shared" si="56"/>
        <v>3-4</v>
      </c>
      <c r="AV222">
        <v>4</v>
      </c>
      <c r="AW222" t="s">
        <v>94</v>
      </c>
      <c r="AX222">
        <v>13</v>
      </c>
      <c r="AY222" t="str">
        <f t="shared" si="45"/>
        <v>11-20</v>
      </c>
      <c r="AZ222">
        <v>11</v>
      </c>
      <c r="BA222" t="str">
        <f t="shared" si="57"/>
        <v>11-18</v>
      </c>
      <c r="BB222">
        <v>3</v>
      </c>
      <c r="BC222" t="str">
        <f t="shared" si="58"/>
        <v>2-5</v>
      </c>
      <c r="BD222">
        <v>7</v>
      </c>
      <c r="BE222" t="str">
        <f t="shared" si="59"/>
        <v>6-10</v>
      </c>
    </row>
    <row r="223" spans="1:57" x14ac:dyDescent="0.3">
      <c r="A223">
        <v>305</v>
      </c>
      <c r="B223">
        <v>33</v>
      </c>
      <c r="C223" t="str">
        <f t="shared" si="46"/>
        <v>26-35</v>
      </c>
      <c r="D223" t="s">
        <v>71</v>
      </c>
      <c r="E223">
        <f t="shared" si="47"/>
        <v>0</v>
      </c>
      <c r="F223" t="s">
        <v>57</v>
      </c>
      <c r="G223">
        <v>147</v>
      </c>
      <c r="H223" t="str">
        <f t="shared" si="48"/>
        <v>102-500</v>
      </c>
      <c r="I223" t="s">
        <v>73</v>
      </c>
      <c r="J223">
        <v>4</v>
      </c>
      <c r="K223" t="str">
        <f t="shared" si="49"/>
        <v>1-5</v>
      </c>
      <c r="L223">
        <v>4</v>
      </c>
      <c r="M223" t="s">
        <v>82</v>
      </c>
      <c r="N223" t="s">
        <v>83</v>
      </c>
      <c r="O223">
        <v>1</v>
      </c>
      <c r="P223">
        <v>3</v>
      </c>
      <c r="Q223" t="s">
        <v>63</v>
      </c>
      <c r="R223" t="s">
        <v>62</v>
      </c>
      <c r="S223">
        <v>47</v>
      </c>
      <c r="T223" t="str">
        <f t="shared" si="50"/>
        <v>30-50</v>
      </c>
      <c r="U223">
        <v>2</v>
      </c>
      <c r="V223" t="s">
        <v>61</v>
      </c>
      <c r="W223">
        <v>1</v>
      </c>
      <c r="X223" t="s">
        <v>76</v>
      </c>
      <c r="Y223">
        <v>2</v>
      </c>
      <c r="Z223" t="s">
        <v>61</v>
      </c>
      <c r="AA223" t="s">
        <v>77</v>
      </c>
      <c r="AB223" s="4">
        <v>2622</v>
      </c>
      <c r="AC223" s="4" t="str">
        <f t="shared" si="51"/>
        <v>$2,500-$4,000</v>
      </c>
      <c r="AD223">
        <v>13248</v>
      </c>
      <c r="AE223" t="str">
        <f t="shared" si="52"/>
        <v>$8,001-$16,000</v>
      </c>
      <c r="AF223">
        <v>6</v>
      </c>
      <c r="AG223" t="str">
        <f t="shared" si="53"/>
        <v>4-6</v>
      </c>
      <c r="AH223" t="s">
        <v>67</v>
      </c>
      <c r="AI223" t="s">
        <v>71</v>
      </c>
      <c r="AJ223">
        <v>21</v>
      </c>
      <c r="AK223" t="str">
        <f t="shared" si="54"/>
        <v>18-19%</v>
      </c>
      <c r="AL223">
        <v>4</v>
      </c>
      <c r="AM223" t="s">
        <v>78</v>
      </c>
      <c r="AN223">
        <v>4</v>
      </c>
      <c r="AO223" t="s">
        <v>65</v>
      </c>
      <c r="AP223">
        <v>80</v>
      </c>
      <c r="AQ223">
        <v>0</v>
      </c>
      <c r="AR223">
        <v>7</v>
      </c>
      <c r="AS223" t="str">
        <f t="shared" si="55"/>
        <v>6-10</v>
      </c>
      <c r="AT223">
        <v>3</v>
      </c>
      <c r="AU223" t="str">
        <f t="shared" si="56"/>
        <v>3-4</v>
      </c>
      <c r="AV223">
        <v>3</v>
      </c>
      <c r="AW223" t="s">
        <v>79</v>
      </c>
      <c r="AX223">
        <v>3</v>
      </c>
      <c r="AY223" t="str">
        <f t="shared" si="45"/>
        <v>2-5</v>
      </c>
      <c r="AZ223">
        <v>2</v>
      </c>
      <c r="BA223" t="str">
        <f t="shared" si="57"/>
        <v>2-5</v>
      </c>
      <c r="BB223">
        <v>1</v>
      </c>
      <c r="BC223" t="str">
        <f t="shared" si="58"/>
        <v>0-1</v>
      </c>
      <c r="BD223">
        <v>1</v>
      </c>
      <c r="BE223" t="str">
        <f t="shared" si="59"/>
        <v>0-1</v>
      </c>
    </row>
    <row r="224" spans="1:57" x14ac:dyDescent="0.3">
      <c r="A224">
        <v>306</v>
      </c>
      <c r="B224">
        <v>37</v>
      </c>
      <c r="C224" t="str">
        <f t="shared" si="46"/>
        <v>36-45</v>
      </c>
      <c r="D224" t="s">
        <v>71</v>
      </c>
      <c r="E224">
        <f t="shared" si="47"/>
        <v>0</v>
      </c>
      <c r="F224" t="s">
        <v>72</v>
      </c>
      <c r="G224">
        <v>663</v>
      </c>
      <c r="H224" t="str">
        <f t="shared" si="48"/>
        <v>501-1000</v>
      </c>
      <c r="I224" t="s">
        <v>73</v>
      </c>
      <c r="J224">
        <v>11</v>
      </c>
      <c r="K224" t="str">
        <f t="shared" si="49"/>
        <v>11-20</v>
      </c>
      <c r="L224">
        <v>3</v>
      </c>
      <c r="M224" t="s">
        <v>85</v>
      </c>
      <c r="N224" t="s">
        <v>80</v>
      </c>
      <c r="O224">
        <v>1</v>
      </c>
      <c r="P224">
        <v>2</v>
      </c>
      <c r="Q224" t="s">
        <v>61</v>
      </c>
      <c r="R224" t="s">
        <v>75</v>
      </c>
      <c r="S224">
        <v>47</v>
      </c>
      <c r="T224" t="str">
        <f t="shared" si="50"/>
        <v>30-50</v>
      </c>
      <c r="U224">
        <v>3</v>
      </c>
      <c r="V224" t="s">
        <v>63</v>
      </c>
      <c r="W224">
        <v>3</v>
      </c>
      <c r="X224" t="s">
        <v>92</v>
      </c>
      <c r="Y224">
        <v>4</v>
      </c>
      <c r="Z224" t="s">
        <v>65</v>
      </c>
      <c r="AA224" t="s">
        <v>86</v>
      </c>
      <c r="AB224" s="4">
        <v>12185</v>
      </c>
      <c r="AC224" s="4" t="str">
        <f t="shared" si="51"/>
        <v>$11,500-$13,000</v>
      </c>
      <c r="AD224">
        <v>10056</v>
      </c>
      <c r="AE224" t="str">
        <f t="shared" si="52"/>
        <v>$8,001-$16,000</v>
      </c>
      <c r="AF224">
        <v>1</v>
      </c>
      <c r="AG224" t="str">
        <f t="shared" si="53"/>
        <v>0-1</v>
      </c>
      <c r="AH224" t="s">
        <v>67</v>
      </c>
      <c r="AI224" t="s">
        <v>56</v>
      </c>
      <c r="AJ224">
        <v>14</v>
      </c>
      <c r="AK224" t="str">
        <f t="shared" si="54"/>
        <v>13-15%</v>
      </c>
      <c r="AL224">
        <v>3</v>
      </c>
      <c r="AM224" t="s">
        <v>68</v>
      </c>
      <c r="AN224">
        <v>3</v>
      </c>
      <c r="AO224" t="s">
        <v>63</v>
      </c>
      <c r="AP224">
        <v>80</v>
      </c>
      <c r="AQ224">
        <v>3</v>
      </c>
      <c r="AR224">
        <v>10</v>
      </c>
      <c r="AS224" t="str">
        <f t="shared" si="55"/>
        <v>6-10</v>
      </c>
      <c r="AT224">
        <v>1</v>
      </c>
      <c r="AU224" t="str">
        <f t="shared" si="56"/>
        <v>0-2</v>
      </c>
      <c r="AV224">
        <v>3</v>
      </c>
      <c r="AW224" t="s">
        <v>79</v>
      </c>
      <c r="AX224">
        <v>10</v>
      </c>
      <c r="AY224" t="str">
        <f t="shared" si="45"/>
        <v>6-10</v>
      </c>
      <c r="AZ224">
        <v>8</v>
      </c>
      <c r="BA224" t="str">
        <f t="shared" si="57"/>
        <v>6-10</v>
      </c>
      <c r="BB224">
        <v>0</v>
      </c>
      <c r="BC224" t="str">
        <f t="shared" si="58"/>
        <v>0-1</v>
      </c>
      <c r="BD224">
        <v>7</v>
      </c>
      <c r="BE224" t="str">
        <f t="shared" si="59"/>
        <v>6-10</v>
      </c>
    </row>
    <row r="225" spans="1:57" x14ac:dyDescent="0.3">
      <c r="A225">
        <v>307</v>
      </c>
      <c r="B225">
        <v>38</v>
      </c>
      <c r="C225" t="str">
        <f t="shared" si="46"/>
        <v>36-45</v>
      </c>
      <c r="D225" t="s">
        <v>71</v>
      </c>
      <c r="E225">
        <f t="shared" si="47"/>
        <v>0</v>
      </c>
      <c r="F225" t="s">
        <v>57</v>
      </c>
      <c r="G225">
        <v>119</v>
      </c>
      <c r="H225" t="str">
        <f t="shared" si="48"/>
        <v>102-500</v>
      </c>
      <c r="I225" t="s">
        <v>58</v>
      </c>
      <c r="J225">
        <v>3</v>
      </c>
      <c r="K225" t="str">
        <f t="shared" si="49"/>
        <v>1-5</v>
      </c>
      <c r="L225">
        <v>3</v>
      </c>
      <c r="M225" t="s">
        <v>85</v>
      </c>
      <c r="N225" t="s">
        <v>60</v>
      </c>
      <c r="O225">
        <v>1</v>
      </c>
      <c r="P225">
        <v>1</v>
      </c>
      <c r="Q225" t="s">
        <v>69</v>
      </c>
      <c r="R225" t="s">
        <v>75</v>
      </c>
      <c r="S225">
        <v>76</v>
      </c>
      <c r="T225" t="str">
        <f t="shared" si="50"/>
        <v>76-100</v>
      </c>
      <c r="U225">
        <v>3</v>
      </c>
      <c r="V225" t="s">
        <v>63</v>
      </c>
      <c r="W225">
        <v>3</v>
      </c>
      <c r="X225" t="s">
        <v>64</v>
      </c>
      <c r="Y225">
        <v>3</v>
      </c>
      <c r="Z225" t="s">
        <v>63</v>
      </c>
      <c r="AA225" t="s">
        <v>86</v>
      </c>
      <c r="AB225" s="4">
        <v>10609</v>
      </c>
      <c r="AC225" s="4" t="str">
        <f t="shared" si="51"/>
        <v>$10,000-$11,500</v>
      </c>
      <c r="AD225">
        <v>9647</v>
      </c>
      <c r="AE225" t="str">
        <f t="shared" si="52"/>
        <v>$8,001-$16,000</v>
      </c>
      <c r="AF225">
        <v>0</v>
      </c>
      <c r="AG225" t="str">
        <f t="shared" si="53"/>
        <v>0-1</v>
      </c>
      <c r="AH225" t="s">
        <v>67</v>
      </c>
      <c r="AI225" t="s">
        <v>71</v>
      </c>
      <c r="AJ225">
        <v>12</v>
      </c>
      <c r="AK225" t="str">
        <f t="shared" si="54"/>
        <v>11-12%</v>
      </c>
      <c r="AL225">
        <v>3</v>
      </c>
      <c r="AM225" t="s">
        <v>68</v>
      </c>
      <c r="AN225">
        <v>3</v>
      </c>
      <c r="AO225" t="s">
        <v>63</v>
      </c>
      <c r="AP225">
        <v>80</v>
      </c>
      <c r="AQ225">
        <v>2</v>
      </c>
      <c r="AR225">
        <v>17</v>
      </c>
      <c r="AS225" t="str">
        <f t="shared" si="55"/>
        <v>11-20</v>
      </c>
      <c r="AT225">
        <v>6</v>
      </c>
      <c r="AU225" t="str">
        <f t="shared" si="56"/>
        <v>5-6</v>
      </c>
      <c r="AV225">
        <v>2</v>
      </c>
      <c r="AW225" t="s">
        <v>84</v>
      </c>
      <c r="AX225">
        <v>16</v>
      </c>
      <c r="AY225" t="str">
        <f t="shared" si="45"/>
        <v>11-20</v>
      </c>
      <c r="AZ225">
        <v>10</v>
      </c>
      <c r="BA225" t="str">
        <f t="shared" si="57"/>
        <v>6-10</v>
      </c>
      <c r="BB225">
        <v>5</v>
      </c>
      <c r="BC225" t="str">
        <f t="shared" si="58"/>
        <v>2-5</v>
      </c>
      <c r="BD225">
        <v>13</v>
      </c>
      <c r="BE225" t="str">
        <f t="shared" si="59"/>
        <v>11-17</v>
      </c>
    </row>
    <row r="226" spans="1:57" x14ac:dyDescent="0.3">
      <c r="A226">
        <v>308</v>
      </c>
      <c r="B226">
        <v>31</v>
      </c>
      <c r="C226" t="str">
        <f t="shared" si="46"/>
        <v>26-35</v>
      </c>
      <c r="D226" t="s">
        <v>71</v>
      </c>
      <c r="E226">
        <f t="shared" si="47"/>
        <v>0</v>
      </c>
      <c r="F226" t="s">
        <v>89</v>
      </c>
      <c r="G226">
        <v>979</v>
      </c>
      <c r="H226" t="str">
        <f t="shared" si="48"/>
        <v>501-1000</v>
      </c>
      <c r="I226" t="s">
        <v>73</v>
      </c>
      <c r="J226">
        <v>1</v>
      </c>
      <c r="K226" t="str">
        <f t="shared" si="49"/>
        <v>1-5</v>
      </c>
      <c r="L226">
        <v>4</v>
      </c>
      <c r="M226" t="s">
        <v>82</v>
      </c>
      <c r="N226" t="s">
        <v>83</v>
      </c>
      <c r="O226">
        <v>1</v>
      </c>
      <c r="P226">
        <v>3</v>
      </c>
      <c r="Q226" t="s">
        <v>63</v>
      </c>
      <c r="R226" t="s">
        <v>75</v>
      </c>
      <c r="S226">
        <v>90</v>
      </c>
      <c r="T226" t="str">
        <f t="shared" si="50"/>
        <v>76-100</v>
      </c>
      <c r="U226">
        <v>1</v>
      </c>
      <c r="V226" t="s">
        <v>69</v>
      </c>
      <c r="W226">
        <v>2</v>
      </c>
      <c r="X226" t="s">
        <v>87</v>
      </c>
      <c r="Y226">
        <v>3</v>
      </c>
      <c r="Z226" t="s">
        <v>63</v>
      </c>
      <c r="AA226" t="s">
        <v>77</v>
      </c>
      <c r="AB226" s="4">
        <v>4345</v>
      </c>
      <c r="AC226" s="4" t="str">
        <f t="shared" si="51"/>
        <v>$4,000-$5,500</v>
      </c>
      <c r="AD226">
        <v>4381</v>
      </c>
      <c r="AE226" t="str">
        <f t="shared" si="52"/>
        <v>$2,094-$8,000</v>
      </c>
      <c r="AF226">
        <v>0</v>
      </c>
      <c r="AG226" t="str">
        <f t="shared" si="53"/>
        <v>0-1</v>
      </c>
      <c r="AH226" t="s">
        <v>67</v>
      </c>
      <c r="AI226" t="s">
        <v>71</v>
      </c>
      <c r="AJ226">
        <v>12</v>
      </c>
      <c r="AK226" t="str">
        <f t="shared" si="54"/>
        <v>11-12%</v>
      </c>
      <c r="AL226">
        <v>3</v>
      </c>
      <c r="AM226" t="s">
        <v>68</v>
      </c>
      <c r="AN226">
        <v>4</v>
      </c>
      <c r="AO226" t="s">
        <v>65</v>
      </c>
      <c r="AP226">
        <v>80</v>
      </c>
      <c r="AQ226">
        <v>1</v>
      </c>
      <c r="AR226">
        <v>6</v>
      </c>
      <c r="AS226" t="str">
        <f t="shared" si="55"/>
        <v>6-10</v>
      </c>
      <c r="AT226">
        <v>2</v>
      </c>
      <c r="AU226" t="str">
        <f t="shared" si="56"/>
        <v>0-2</v>
      </c>
      <c r="AV226">
        <v>3</v>
      </c>
      <c r="AW226" t="s">
        <v>79</v>
      </c>
      <c r="AX226">
        <v>5</v>
      </c>
      <c r="AY226" t="str">
        <f t="shared" si="45"/>
        <v>2-5</v>
      </c>
      <c r="AZ226">
        <v>4</v>
      </c>
      <c r="BA226" t="str">
        <f t="shared" si="57"/>
        <v>2-5</v>
      </c>
      <c r="BB226">
        <v>1</v>
      </c>
      <c r="BC226" t="str">
        <f t="shared" si="58"/>
        <v>0-1</v>
      </c>
      <c r="BD226">
        <v>4</v>
      </c>
      <c r="BE226" t="str">
        <f t="shared" si="59"/>
        <v>2-5</v>
      </c>
    </row>
    <row r="227" spans="1:57" x14ac:dyDescent="0.3">
      <c r="A227">
        <v>309</v>
      </c>
      <c r="B227">
        <v>59</v>
      </c>
      <c r="C227" t="str">
        <f t="shared" si="46"/>
        <v>56+</v>
      </c>
      <c r="D227" t="s">
        <v>71</v>
      </c>
      <c r="E227">
        <f t="shared" si="47"/>
        <v>0</v>
      </c>
      <c r="F227" t="s">
        <v>57</v>
      </c>
      <c r="G227">
        <v>142</v>
      </c>
      <c r="H227" t="str">
        <f t="shared" si="48"/>
        <v>102-500</v>
      </c>
      <c r="I227" t="s">
        <v>73</v>
      </c>
      <c r="J227">
        <v>3</v>
      </c>
      <c r="K227" t="str">
        <f t="shared" si="49"/>
        <v>1-5</v>
      </c>
      <c r="L227">
        <v>3</v>
      </c>
      <c r="M227" t="s">
        <v>85</v>
      </c>
      <c r="N227" t="s">
        <v>60</v>
      </c>
      <c r="O227">
        <v>1</v>
      </c>
      <c r="P227">
        <v>3</v>
      </c>
      <c r="Q227" t="s">
        <v>63</v>
      </c>
      <c r="R227" t="s">
        <v>75</v>
      </c>
      <c r="S227">
        <v>70</v>
      </c>
      <c r="T227" t="str">
        <f t="shared" si="50"/>
        <v>51-75</v>
      </c>
      <c r="U227">
        <v>2</v>
      </c>
      <c r="V227" t="s">
        <v>61</v>
      </c>
      <c r="W227">
        <v>1</v>
      </c>
      <c r="X227" t="s">
        <v>76</v>
      </c>
      <c r="Y227">
        <v>4</v>
      </c>
      <c r="Z227" t="s">
        <v>65</v>
      </c>
      <c r="AA227" t="s">
        <v>77</v>
      </c>
      <c r="AB227" s="4">
        <v>2177</v>
      </c>
      <c r="AC227" s="4" t="str">
        <f t="shared" si="51"/>
        <v>$1,000-$2,500</v>
      </c>
      <c r="AD227">
        <v>8456</v>
      </c>
      <c r="AE227" t="str">
        <f t="shared" si="52"/>
        <v>$8,001-$16,000</v>
      </c>
      <c r="AF227">
        <v>3</v>
      </c>
      <c r="AG227" t="str">
        <f t="shared" si="53"/>
        <v>2-3</v>
      </c>
      <c r="AH227" t="s">
        <v>67</v>
      </c>
      <c r="AI227" t="s">
        <v>71</v>
      </c>
      <c r="AJ227">
        <v>17</v>
      </c>
      <c r="AK227" t="str">
        <f t="shared" si="54"/>
        <v>16-17%</v>
      </c>
      <c r="AL227">
        <v>3</v>
      </c>
      <c r="AM227" t="s">
        <v>68</v>
      </c>
      <c r="AN227">
        <v>1</v>
      </c>
      <c r="AO227" t="s">
        <v>69</v>
      </c>
      <c r="AP227">
        <v>80</v>
      </c>
      <c r="AQ227">
        <v>1</v>
      </c>
      <c r="AR227">
        <v>7</v>
      </c>
      <c r="AS227" t="str">
        <f t="shared" si="55"/>
        <v>6-10</v>
      </c>
      <c r="AT227">
        <v>6</v>
      </c>
      <c r="AU227" t="str">
        <f t="shared" si="56"/>
        <v>5-6</v>
      </c>
      <c r="AV227">
        <v>3</v>
      </c>
      <c r="AW227" t="s">
        <v>79</v>
      </c>
      <c r="AX227">
        <v>1</v>
      </c>
      <c r="AY227" t="str">
        <f t="shared" si="45"/>
        <v>0-1</v>
      </c>
      <c r="AZ227">
        <v>0</v>
      </c>
      <c r="BA227" t="str">
        <f t="shared" si="57"/>
        <v>0-1</v>
      </c>
      <c r="BB227">
        <v>0</v>
      </c>
      <c r="BC227" t="str">
        <f t="shared" si="58"/>
        <v>0-1</v>
      </c>
      <c r="BD227">
        <v>0</v>
      </c>
      <c r="BE227" t="str">
        <f t="shared" si="59"/>
        <v>0-1</v>
      </c>
    </row>
    <row r="228" spans="1:57" x14ac:dyDescent="0.3">
      <c r="A228">
        <v>311</v>
      </c>
      <c r="B228">
        <v>37</v>
      </c>
      <c r="C228" t="str">
        <f t="shared" si="46"/>
        <v>36-45</v>
      </c>
      <c r="D228" t="s">
        <v>71</v>
      </c>
      <c r="E228">
        <f t="shared" si="47"/>
        <v>0</v>
      </c>
      <c r="F228" t="s">
        <v>72</v>
      </c>
      <c r="G228">
        <v>319</v>
      </c>
      <c r="H228" t="str">
        <f t="shared" si="48"/>
        <v>102-500</v>
      </c>
      <c r="I228" t="s">
        <v>58</v>
      </c>
      <c r="J228">
        <v>4</v>
      </c>
      <c r="K228" t="str">
        <f t="shared" si="49"/>
        <v>1-5</v>
      </c>
      <c r="L228">
        <v>4</v>
      </c>
      <c r="M228" t="s">
        <v>82</v>
      </c>
      <c r="N228" t="s">
        <v>93</v>
      </c>
      <c r="O228">
        <v>1</v>
      </c>
      <c r="P228">
        <v>1</v>
      </c>
      <c r="Q228" t="s">
        <v>69</v>
      </c>
      <c r="R228" t="s">
        <v>75</v>
      </c>
      <c r="S228">
        <v>41</v>
      </c>
      <c r="T228" t="str">
        <f t="shared" si="50"/>
        <v>30-50</v>
      </c>
      <c r="U228">
        <v>3</v>
      </c>
      <c r="V228" t="s">
        <v>63</v>
      </c>
      <c r="W228">
        <v>1</v>
      </c>
      <c r="X228" t="s">
        <v>91</v>
      </c>
      <c r="Y228">
        <v>4</v>
      </c>
      <c r="Z228" t="s">
        <v>65</v>
      </c>
      <c r="AA228" t="s">
        <v>86</v>
      </c>
      <c r="AB228" s="4">
        <v>2793</v>
      </c>
      <c r="AC228" s="4" t="str">
        <f t="shared" si="51"/>
        <v>$2,500-$4,000</v>
      </c>
      <c r="AD228">
        <v>2539</v>
      </c>
      <c r="AE228" t="str">
        <f t="shared" si="52"/>
        <v>$2,094-$8,000</v>
      </c>
      <c r="AF228">
        <v>4</v>
      </c>
      <c r="AG228" t="str">
        <f t="shared" si="53"/>
        <v>4-6</v>
      </c>
      <c r="AH228" t="s">
        <v>67</v>
      </c>
      <c r="AI228" t="s">
        <v>71</v>
      </c>
      <c r="AJ228">
        <v>17</v>
      </c>
      <c r="AK228" t="str">
        <f t="shared" si="54"/>
        <v>16-17%</v>
      </c>
      <c r="AL228">
        <v>3</v>
      </c>
      <c r="AM228" t="s">
        <v>68</v>
      </c>
      <c r="AN228">
        <v>3</v>
      </c>
      <c r="AO228" t="s">
        <v>63</v>
      </c>
      <c r="AP228">
        <v>80</v>
      </c>
      <c r="AQ228">
        <v>1</v>
      </c>
      <c r="AR228">
        <v>13</v>
      </c>
      <c r="AS228" t="str">
        <f t="shared" si="55"/>
        <v>11-20</v>
      </c>
      <c r="AT228">
        <v>2</v>
      </c>
      <c r="AU228" t="str">
        <f t="shared" si="56"/>
        <v>0-2</v>
      </c>
      <c r="AV228">
        <v>3</v>
      </c>
      <c r="AW228" t="s">
        <v>79</v>
      </c>
      <c r="AX228">
        <v>9</v>
      </c>
      <c r="AY228" t="str">
        <f t="shared" si="45"/>
        <v>6-10</v>
      </c>
      <c r="AZ228">
        <v>8</v>
      </c>
      <c r="BA228" t="str">
        <f t="shared" si="57"/>
        <v>6-10</v>
      </c>
      <c r="BB228">
        <v>5</v>
      </c>
      <c r="BC228" t="str">
        <f t="shared" si="58"/>
        <v>2-5</v>
      </c>
      <c r="BD228">
        <v>8</v>
      </c>
      <c r="BE228" t="str">
        <f t="shared" si="59"/>
        <v>6-10</v>
      </c>
    </row>
    <row r="229" spans="1:57" x14ac:dyDescent="0.3">
      <c r="A229">
        <v>312</v>
      </c>
      <c r="B229">
        <v>29</v>
      </c>
      <c r="C229" t="str">
        <f t="shared" si="46"/>
        <v>26-35</v>
      </c>
      <c r="D229" t="s">
        <v>71</v>
      </c>
      <c r="E229">
        <f t="shared" si="47"/>
        <v>0</v>
      </c>
      <c r="F229" t="s">
        <v>72</v>
      </c>
      <c r="G229">
        <v>1413</v>
      </c>
      <c r="H229" t="str">
        <f t="shared" si="48"/>
        <v>1001-1499</v>
      </c>
      <c r="I229" t="s">
        <v>58</v>
      </c>
      <c r="J229">
        <v>1</v>
      </c>
      <c r="K229" t="str">
        <f t="shared" si="49"/>
        <v>1-5</v>
      </c>
      <c r="L229">
        <v>1</v>
      </c>
      <c r="M229" t="s">
        <v>74</v>
      </c>
      <c r="N229" t="s">
        <v>83</v>
      </c>
      <c r="O229">
        <v>1</v>
      </c>
      <c r="P229">
        <v>2</v>
      </c>
      <c r="Q229" t="s">
        <v>61</v>
      </c>
      <c r="R229" t="s">
        <v>62</v>
      </c>
      <c r="S229">
        <v>42</v>
      </c>
      <c r="T229" t="str">
        <f t="shared" si="50"/>
        <v>30-50</v>
      </c>
      <c r="U229">
        <v>3</v>
      </c>
      <c r="V229" t="s">
        <v>63</v>
      </c>
      <c r="W229">
        <v>3</v>
      </c>
      <c r="X229" t="s">
        <v>64</v>
      </c>
      <c r="Y229">
        <v>4</v>
      </c>
      <c r="Z229" t="s">
        <v>65</v>
      </c>
      <c r="AA229" t="s">
        <v>77</v>
      </c>
      <c r="AB229" s="4">
        <v>7918</v>
      </c>
      <c r="AC229" s="4" t="str">
        <f t="shared" si="51"/>
        <v>$7,000-$8,500</v>
      </c>
      <c r="AD229">
        <v>6599</v>
      </c>
      <c r="AE229" t="str">
        <f t="shared" si="52"/>
        <v>$2,094-$8,000</v>
      </c>
      <c r="AF229">
        <v>1</v>
      </c>
      <c r="AG229" t="str">
        <f t="shared" si="53"/>
        <v>0-1</v>
      </c>
      <c r="AH229" t="s">
        <v>67</v>
      </c>
      <c r="AI229" t="s">
        <v>71</v>
      </c>
      <c r="AJ229">
        <v>14</v>
      </c>
      <c r="AK229" t="str">
        <f t="shared" si="54"/>
        <v>13-15%</v>
      </c>
      <c r="AL229">
        <v>3</v>
      </c>
      <c r="AM229" t="s">
        <v>68</v>
      </c>
      <c r="AN229">
        <v>4</v>
      </c>
      <c r="AO229" t="s">
        <v>65</v>
      </c>
      <c r="AP229">
        <v>80</v>
      </c>
      <c r="AQ229">
        <v>1</v>
      </c>
      <c r="AR229">
        <v>11</v>
      </c>
      <c r="AS229" t="str">
        <f t="shared" si="55"/>
        <v>11-20</v>
      </c>
      <c r="AT229">
        <v>5</v>
      </c>
      <c r="AU229" t="str">
        <f t="shared" si="56"/>
        <v>5-6</v>
      </c>
      <c r="AV229">
        <v>3</v>
      </c>
      <c r="AW229" t="s">
        <v>79</v>
      </c>
      <c r="AX229">
        <v>11</v>
      </c>
      <c r="AY229" t="str">
        <f t="shared" si="45"/>
        <v>11-20</v>
      </c>
      <c r="AZ229">
        <v>10</v>
      </c>
      <c r="BA229" t="str">
        <f t="shared" si="57"/>
        <v>6-10</v>
      </c>
      <c r="BB229">
        <v>4</v>
      </c>
      <c r="BC229" t="str">
        <f t="shared" si="58"/>
        <v>2-5</v>
      </c>
      <c r="BD229">
        <v>1</v>
      </c>
      <c r="BE229" t="str">
        <f t="shared" si="59"/>
        <v>0-1</v>
      </c>
    </row>
    <row r="230" spans="1:57" x14ac:dyDescent="0.3">
      <c r="A230">
        <v>314</v>
      </c>
      <c r="B230">
        <v>35</v>
      </c>
      <c r="C230" t="str">
        <f t="shared" si="46"/>
        <v>26-35</v>
      </c>
      <c r="D230" t="s">
        <v>71</v>
      </c>
      <c r="E230">
        <f t="shared" si="47"/>
        <v>0</v>
      </c>
      <c r="F230" t="s">
        <v>72</v>
      </c>
      <c r="G230">
        <v>944</v>
      </c>
      <c r="H230" t="str">
        <f t="shared" si="48"/>
        <v>501-1000</v>
      </c>
      <c r="I230" t="s">
        <v>58</v>
      </c>
      <c r="J230">
        <v>1</v>
      </c>
      <c r="K230" t="str">
        <f t="shared" si="49"/>
        <v>1-5</v>
      </c>
      <c r="L230">
        <v>3</v>
      </c>
      <c r="M230" t="s">
        <v>85</v>
      </c>
      <c r="N230" t="s">
        <v>93</v>
      </c>
      <c r="O230">
        <v>1</v>
      </c>
      <c r="P230">
        <v>3</v>
      </c>
      <c r="Q230" t="s">
        <v>63</v>
      </c>
      <c r="R230" t="s">
        <v>62</v>
      </c>
      <c r="S230">
        <v>92</v>
      </c>
      <c r="T230" t="str">
        <f t="shared" si="50"/>
        <v>76-100</v>
      </c>
      <c r="U230">
        <v>3</v>
      </c>
      <c r="V230" t="s">
        <v>63</v>
      </c>
      <c r="W230">
        <v>3</v>
      </c>
      <c r="X230" t="s">
        <v>64</v>
      </c>
      <c r="Y230">
        <v>3</v>
      </c>
      <c r="Z230" t="s">
        <v>63</v>
      </c>
      <c r="AA230" t="s">
        <v>66</v>
      </c>
      <c r="AB230" s="4">
        <v>8789</v>
      </c>
      <c r="AC230" s="4" t="str">
        <f t="shared" si="51"/>
        <v>$8,500-$10,000</v>
      </c>
      <c r="AD230">
        <v>9096</v>
      </c>
      <c r="AE230" t="str">
        <f t="shared" si="52"/>
        <v>$8,001-$16,000</v>
      </c>
      <c r="AF230">
        <v>1</v>
      </c>
      <c r="AG230" t="str">
        <f t="shared" si="53"/>
        <v>0-1</v>
      </c>
      <c r="AH230" t="s">
        <v>67</v>
      </c>
      <c r="AI230" t="s">
        <v>71</v>
      </c>
      <c r="AJ230">
        <v>14</v>
      </c>
      <c r="AK230" t="str">
        <f t="shared" si="54"/>
        <v>13-15%</v>
      </c>
      <c r="AL230">
        <v>3</v>
      </c>
      <c r="AM230" t="s">
        <v>68</v>
      </c>
      <c r="AN230">
        <v>1</v>
      </c>
      <c r="AO230" t="s">
        <v>69</v>
      </c>
      <c r="AP230">
        <v>80</v>
      </c>
      <c r="AQ230">
        <v>0</v>
      </c>
      <c r="AR230">
        <v>10</v>
      </c>
      <c r="AS230" t="str">
        <f t="shared" si="55"/>
        <v>6-10</v>
      </c>
      <c r="AT230">
        <v>3</v>
      </c>
      <c r="AU230" t="str">
        <f t="shared" si="56"/>
        <v>3-4</v>
      </c>
      <c r="AV230">
        <v>4</v>
      </c>
      <c r="AW230" t="s">
        <v>94</v>
      </c>
      <c r="AX230">
        <v>10</v>
      </c>
      <c r="AY230" t="str">
        <f t="shared" si="45"/>
        <v>6-10</v>
      </c>
      <c r="AZ230">
        <v>7</v>
      </c>
      <c r="BA230" t="str">
        <f t="shared" si="57"/>
        <v>6-10</v>
      </c>
      <c r="BB230">
        <v>0</v>
      </c>
      <c r="BC230" t="str">
        <f t="shared" si="58"/>
        <v>0-1</v>
      </c>
      <c r="BD230">
        <v>8</v>
      </c>
      <c r="BE230" t="str">
        <f t="shared" si="59"/>
        <v>6-10</v>
      </c>
    </row>
    <row r="231" spans="1:57" x14ac:dyDescent="0.3">
      <c r="A231">
        <v>315</v>
      </c>
      <c r="B231">
        <v>29</v>
      </c>
      <c r="C231" t="str">
        <f t="shared" si="46"/>
        <v>26-35</v>
      </c>
      <c r="D231" t="s">
        <v>56</v>
      </c>
      <c r="E231">
        <f t="shared" si="47"/>
        <v>1</v>
      </c>
      <c r="F231" t="s">
        <v>57</v>
      </c>
      <c r="G231">
        <v>896</v>
      </c>
      <c r="H231" t="str">
        <f t="shared" si="48"/>
        <v>501-1000</v>
      </c>
      <c r="I231" t="s">
        <v>73</v>
      </c>
      <c r="J231">
        <v>18</v>
      </c>
      <c r="K231" t="str">
        <f t="shared" si="49"/>
        <v>11-20</v>
      </c>
      <c r="L231">
        <v>1</v>
      </c>
      <c r="M231" t="s">
        <v>74</v>
      </c>
      <c r="N231" t="s">
        <v>83</v>
      </c>
      <c r="O231">
        <v>1</v>
      </c>
      <c r="P231">
        <v>3</v>
      </c>
      <c r="Q231" t="s">
        <v>63</v>
      </c>
      <c r="R231" t="s">
        <v>75</v>
      </c>
      <c r="S231">
        <v>86</v>
      </c>
      <c r="T231" t="str">
        <f t="shared" si="50"/>
        <v>76-100</v>
      </c>
      <c r="U231">
        <v>2</v>
      </c>
      <c r="V231" t="s">
        <v>61</v>
      </c>
      <c r="W231">
        <v>1</v>
      </c>
      <c r="X231" t="s">
        <v>76</v>
      </c>
      <c r="Y231">
        <v>4</v>
      </c>
      <c r="Z231" t="s">
        <v>65</v>
      </c>
      <c r="AA231" t="s">
        <v>66</v>
      </c>
      <c r="AB231" s="4">
        <v>2389</v>
      </c>
      <c r="AC231" s="4" t="str">
        <f t="shared" si="51"/>
        <v>$1,000-$2,500</v>
      </c>
      <c r="AD231">
        <v>14961</v>
      </c>
      <c r="AE231" t="str">
        <f t="shared" si="52"/>
        <v>$8,001-$16,000</v>
      </c>
      <c r="AF231">
        <v>1</v>
      </c>
      <c r="AG231" t="str">
        <f t="shared" si="53"/>
        <v>0-1</v>
      </c>
      <c r="AH231" t="s">
        <v>67</v>
      </c>
      <c r="AI231" t="s">
        <v>56</v>
      </c>
      <c r="AJ231">
        <v>13</v>
      </c>
      <c r="AK231" t="str">
        <f t="shared" si="54"/>
        <v>13-15%</v>
      </c>
      <c r="AL231">
        <v>3</v>
      </c>
      <c r="AM231" t="s">
        <v>68</v>
      </c>
      <c r="AN231">
        <v>3</v>
      </c>
      <c r="AO231" t="s">
        <v>63</v>
      </c>
      <c r="AP231">
        <v>80</v>
      </c>
      <c r="AQ231">
        <v>0</v>
      </c>
      <c r="AR231">
        <v>4</v>
      </c>
      <c r="AS231" t="str">
        <f t="shared" si="55"/>
        <v>3-5</v>
      </c>
      <c r="AT231">
        <v>3</v>
      </c>
      <c r="AU231" t="str">
        <f t="shared" si="56"/>
        <v>3-4</v>
      </c>
      <c r="AV231">
        <v>2</v>
      </c>
      <c r="AW231" t="s">
        <v>84</v>
      </c>
      <c r="AX231">
        <v>4</v>
      </c>
      <c r="AY231" t="str">
        <f t="shared" si="45"/>
        <v>2-5</v>
      </c>
      <c r="AZ231">
        <v>3</v>
      </c>
      <c r="BA231" t="str">
        <f t="shared" si="57"/>
        <v>2-5</v>
      </c>
      <c r="BB231">
        <v>0</v>
      </c>
      <c r="BC231" t="str">
        <f t="shared" si="58"/>
        <v>0-1</v>
      </c>
      <c r="BD231">
        <v>1</v>
      </c>
      <c r="BE231" t="str">
        <f t="shared" si="59"/>
        <v>0-1</v>
      </c>
    </row>
    <row r="232" spans="1:57" x14ac:dyDescent="0.3">
      <c r="A232">
        <v>316</v>
      </c>
      <c r="B232">
        <v>52</v>
      </c>
      <c r="C232" t="str">
        <f t="shared" si="46"/>
        <v>46-55</v>
      </c>
      <c r="D232" t="s">
        <v>71</v>
      </c>
      <c r="E232">
        <f t="shared" si="47"/>
        <v>0</v>
      </c>
      <c r="F232" t="s">
        <v>57</v>
      </c>
      <c r="G232">
        <v>1323</v>
      </c>
      <c r="H232" t="str">
        <f t="shared" si="48"/>
        <v>1001-1499</v>
      </c>
      <c r="I232" t="s">
        <v>73</v>
      </c>
      <c r="J232">
        <v>2</v>
      </c>
      <c r="K232" t="str">
        <f t="shared" si="49"/>
        <v>1-5</v>
      </c>
      <c r="L232">
        <v>3</v>
      </c>
      <c r="M232" t="s">
        <v>85</v>
      </c>
      <c r="N232" t="s">
        <v>60</v>
      </c>
      <c r="O232">
        <v>1</v>
      </c>
      <c r="P232">
        <v>3</v>
      </c>
      <c r="Q232" t="s">
        <v>63</v>
      </c>
      <c r="R232" t="s">
        <v>62</v>
      </c>
      <c r="S232">
        <v>89</v>
      </c>
      <c r="T232" t="str">
        <f t="shared" si="50"/>
        <v>76-100</v>
      </c>
      <c r="U232">
        <v>2</v>
      </c>
      <c r="V232" t="s">
        <v>61</v>
      </c>
      <c r="W232">
        <v>1</v>
      </c>
      <c r="X232" t="s">
        <v>81</v>
      </c>
      <c r="Y232">
        <v>4</v>
      </c>
      <c r="Z232" t="s">
        <v>65</v>
      </c>
      <c r="AA232" t="s">
        <v>66</v>
      </c>
      <c r="AB232" s="4">
        <v>3212</v>
      </c>
      <c r="AC232" s="4" t="str">
        <f t="shared" si="51"/>
        <v>$2,500-$4,000</v>
      </c>
      <c r="AD232">
        <v>3300</v>
      </c>
      <c r="AE232" t="str">
        <f t="shared" si="52"/>
        <v>$2,094-$8,000</v>
      </c>
      <c r="AF232">
        <v>7</v>
      </c>
      <c r="AG232" t="str">
        <f t="shared" si="53"/>
        <v>7-9</v>
      </c>
      <c r="AH232" t="s">
        <v>67</v>
      </c>
      <c r="AI232" t="s">
        <v>71</v>
      </c>
      <c r="AJ232">
        <v>15</v>
      </c>
      <c r="AK232" t="str">
        <f t="shared" si="54"/>
        <v>13-15%</v>
      </c>
      <c r="AL232">
        <v>3</v>
      </c>
      <c r="AM232" t="s">
        <v>68</v>
      </c>
      <c r="AN232">
        <v>2</v>
      </c>
      <c r="AO232" t="s">
        <v>61</v>
      </c>
      <c r="AP232">
        <v>80</v>
      </c>
      <c r="AQ232">
        <v>0</v>
      </c>
      <c r="AR232">
        <v>6</v>
      </c>
      <c r="AS232" t="str">
        <f t="shared" si="55"/>
        <v>6-10</v>
      </c>
      <c r="AT232">
        <v>3</v>
      </c>
      <c r="AU232" t="str">
        <f t="shared" si="56"/>
        <v>3-4</v>
      </c>
      <c r="AV232">
        <v>2</v>
      </c>
      <c r="AW232" t="s">
        <v>84</v>
      </c>
      <c r="AX232">
        <v>2</v>
      </c>
      <c r="AY232" t="str">
        <f t="shared" si="45"/>
        <v>2-5</v>
      </c>
      <c r="AZ232">
        <v>2</v>
      </c>
      <c r="BA232" t="str">
        <f t="shared" si="57"/>
        <v>2-5</v>
      </c>
      <c r="BB232">
        <v>2</v>
      </c>
      <c r="BC232" t="str">
        <f t="shared" si="58"/>
        <v>2-5</v>
      </c>
      <c r="BD232">
        <v>2</v>
      </c>
      <c r="BE232" t="str">
        <f t="shared" si="59"/>
        <v>2-5</v>
      </c>
    </row>
    <row r="233" spans="1:57" x14ac:dyDescent="0.3">
      <c r="A233">
        <v>319</v>
      </c>
      <c r="B233">
        <v>42</v>
      </c>
      <c r="C233" t="str">
        <f t="shared" si="46"/>
        <v>36-45</v>
      </c>
      <c r="D233" t="s">
        <v>71</v>
      </c>
      <c r="E233">
        <f t="shared" si="47"/>
        <v>0</v>
      </c>
      <c r="F233" t="s">
        <v>57</v>
      </c>
      <c r="G233">
        <v>532</v>
      </c>
      <c r="H233" t="str">
        <f t="shared" si="48"/>
        <v>501-1000</v>
      </c>
      <c r="I233" t="s">
        <v>73</v>
      </c>
      <c r="J233">
        <v>4</v>
      </c>
      <c r="K233" t="str">
        <f t="shared" si="49"/>
        <v>1-5</v>
      </c>
      <c r="L233">
        <v>2</v>
      </c>
      <c r="M233" t="s">
        <v>59</v>
      </c>
      <c r="N233" t="s">
        <v>95</v>
      </c>
      <c r="O233">
        <v>1</v>
      </c>
      <c r="P233">
        <v>3</v>
      </c>
      <c r="Q233" t="s">
        <v>63</v>
      </c>
      <c r="R233" t="s">
        <v>75</v>
      </c>
      <c r="S233">
        <v>58</v>
      </c>
      <c r="T233" t="str">
        <f t="shared" si="50"/>
        <v>51-75</v>
      </c>
      <c r="U233">
        <v>3</v>
      </c>
      <c r="V233" t="s">
        <v>63</v>
      </c>
      <c r="W233">
        <v>5</v>
      </c>
      <c r="X233" t="s">
        <v>90</v>
      </c>
      <c r="Y233">
        <v>4</v>
      </c>
      <c r="Z233" t="s">
        <v>65</v>
      </c>
      <c r="AA233" t="s">
        <v>77</v>
      </c>
      <c r="AB233" s="4">
        <v>19232</v>
      </c>
      <c r="AC233" s="4" t="str">
        <f t="shared" si="51"/>
        <v>$19,000-$20,500</v>
      </c>
      <c r="AD233">
        <v>4933</v>
      </c>
      <c r="AE233" t="str">
        <f t="shared" si="52"/>
        <v>$2,094-$8,000</v>
      </c>
      <c r="AF233">
        <v>1</v>
      </c>
      <c r="AG233" t="str">
        <f t="shared" si="53"/>
        <v>0-1</v>
      </c>
      <c r="AH233" t="s">
        <v>67</v>
      </c>
      <c r="AI233" t="s">
        <v>71</v>
      </c>
      <c r="AJ233">
        <v>11</v>
      </c>
      <c r="AK233" t="str">
        <f t="shared" si="54"/>
        <v>11-12%</v>
      </c>
      <c r="AL233">
        <v>3</v>
      </c>
      <c r="AM233" t="s">
        <v>68</v>
      </c>
      <c r="AN233">
        <v>4</v>
      </c>
      <c r="AO233" t="s">
        <v>65</v>
      </c>
      <c r="AP233">
        <v>80</v>
      </c>
      <c r="AQ233">
        <v>0</v>
      </c>
      <c r="AR233">
        <v>22</v>
      </c>
      <c r="AS233" t="str">
        <f t="shared" si="55"/>
        <v>21-40</v>
      </c>
      <c r="AT233">
        <v>3</v>
      </c>
      <c r="AU233" t="str">
        <f t="shared" si="56"/>
        <v>3-4</v>
      </c>
      <c r="AV233">
        <v>3</v>
      </c>
      <c r="AW233" t="s">
        <v>79</v>
      </c>
      <c r="AX233">
        <v>22</v>
      </c>
      <c r="AY233" t="str">
        <f t="shared" si="45"/>
        <v>21-40</v>
      </c>
      <c r="AZ233">
        <v>17</v>
      </c>
      <c r="BA233" t="str">
        <f t="shared" si="57"/>
        <v>11-18</v>
      </c>
      <c r="BB233">
        <v>11</v>
      </c>
      <c r="BC233" t="str">
        <f t="shared" si="58"/>
        <v>11-15</v>
      </c>
      <c r="BD233">
        <v>15</v>
      </c>
      <c r="BE233" t="str">
        <f t="shared" si="59"/>
        <v>11-17</v>
      </c>
    </row>
    <row r="234" spans="1:57" x14ac:dyDescent="0.3">
      <c r="A234">
        <v>321</v>
      </c>
      <c r="B234">
        <v>59</v>
      </c>
      <c r="C234" t="str">
        <f t="shared" si="46"/>
        <v>56+</v>
      </c>
      <c r="D234" t="s">
        <v>71</v>
      </c>
      <c r="E234">
        <f t="shared" si="47"/>
        <v>0</v>
      </c>
      <c r="F234" t="s">
        <v>57</v>
      </c>
      <c r="G234">
        <v>818</v>
      </c>
      <c r="H234" t="str">
        <f t="shared" si="48"/>
        <v>501-1000</v>
      </c>
      <c r="I234" t="s">
        <v>97</v>
      </c>
      <c r="J234">
        <v>6</v>
      </c>
      <c r="K234" t="str">
        <f t="shared" si="49"/>
        <v>6-10</v>
      </c>
      <c r="L234">
        <v>2</v>
      </c>
      <c r="M234" t="s">
        <v>59</v>
      </c>
      <c r="N234" t="s">
        <v>83</v>
      </c>
      <c r="O234">
        <v>1</v>
      </c>
      <c r="P234">
        <v>2</v>
      </c>
      <c r="Q234" t="s">
        <v>61</v>
      </c>
      <c r="R234" t="s">
        <v>75</v>
      </c>
      <c r="S234">
        <v>52</v>
      </c>
      <c r="T234" t="str">
        <f t="shared" si="50"/>
        <v>51-75</v>
      </c>
      <c r="U234">
        <v>3</v>
      </c>
      <c r="V234" t="s">
        <v>63</v>
      </c>
      <c r="W234">
        <v>1</v>
      </c>
      <c r="X234" t="s">
        <v>97</v>
      </c>
      <c r="Y234">
        <v>3</v>
      </c>
      <c r="Z234" t="s">
        <v>63</v>
      </c>
      <c r="AA234" t="s">
        <v>77</v>
      </c>
      <c r="AB234" s="4">
        <v>2267</v>
      </c>
      <c r="AC234" s="4" t="str">
        <f t="shared" si="51"/>
        <v>$1,000-$2,500</v>
      </c>
      <c r="AD234">
        <v>25657</v>
      </c>
      <c r="AE234" t="str">
        <f t="shared" si="52"/>
        <v>$22,001-$26,999</v>
      </c>
      <c r="AF234">
        <v>8</v>
      </c>
      <c r="AG234" t="str">
        <f t="shared" si="53"/>
        <v>7-9</v>
      </c>
      <c r="AH234" t="s">
        <v>67</v>
      </c>
      <c r="AI234" t="s">
        <v>71</v>
      </c>
      <c r="AJ234">
        <v>17</v>
      </c>
      <c r="AK234" t="str">
        <f t="shared" si="54"/>
        <v>16-17%</v>
      </c>
      <c r="AL234">
        <v>3</v>
      </c>
      <c r="AM234" t="s">
        <v>68</v>
      </c>
      <c r="AN234">
        <v>4</v>
      </c>
      <c r="AO234" t="s">
        <v>65</v>
      </c>
      <c r="AP234">
        <v>80</v>
      </c>
      <c r="AQ234">
        <v>0</v>
      </c>
      <c r="AR234">
        <v>7</v>
      </c>
      <c r="AS234" t="str">
        <f t="shared" si="55"/>
        <v>6-10</v>
      </c>
      <c r="AT234">
        <v>2</v>
      </c>
      <c r="AU234" t="str">
        <f t="shared" si="56"/>
        <v>0-2</v>
      </c>
      <c r="AV234">
        <v>2</v>
      </c>
      <c r="AW234" t="s">
        <v>84</v>
      </c>
      <c r="AX234">
        <v>2</v>
      </c>
      <c r="AY234" t="str">
        <f t="shared" si="45"/>
        <v>2-5</v>
      </c>
      <c r="AZ234">
        <v>2</v>
      </c>
      <c r="BA234" t="str">
        <f t="shared" si="57"/>
        <v>2-5</v>
      </c>
      <c r="BB234">
        <v>2</v>
      </c>
      <c r="BC234" t="str">
        <f t="shared" si="58"/>
        <v>2-5</v>
      </c>
      <c r="BD234">
        <v>2</v>
      </c>
      <c r="BE234" t="str">
        <f t="shared" si="59"/>
        <v>2-5</v>
      </c>
    </row>
    <row r="235" spans="1:57" x14ac:dyDescent="0.3">
      <c r="A235">
        <v>323</v>
      </c>
      <c r="B235">
        <v>50</v>
      </c>
      <c r="C235" t="str">
        <f t="shared" si="46"/>
        <v>46-55</v>
      </c>
      <c r="D235" t="s">
        <v>71</v>
      </c>
      <c r="E235">
        <f t="shared" si="47"/>
        <v>0</v>
      </c>
      <c r="F235" t="s">
        <v>57</v>
      </c>
      <c r="G235">
        <v>854</v>
      </c>
      <c r="H235" t="str">
        <f t="shared" si="48"/>
        <v>501-1000</v>
      </c>
      <c r="I235" t="s">
        <v>58</v>
      </c>
      <c r="J235">
        <v>1</v>
      </c>
      <c r="K235" t="str">
        <f t="shared" si="49"/>
        <v>1-5</v>
      </c>
      <c r="L235">
        <v>4</v>
      </c>
      <c r="M235" t="s">
        <v>82</v>
      </c>
      <c r="N235" t="s">
        <v>83</v>
      </c>
      <c r="O235">
        <v>1</v>
      </c>
      <c r="P235">
        <v>4</v>
      </c>
      <c r="Q235" t="s">
        <v>65</v>
      </c>
      <c r="R235" t="s">
        <v>62</v>
      </c>
      <c r="S235">
        <v>68</v>
      </c>
      <c r="T235" t="str">
        <f t="shared" si="50"/>
        <v>51-75</v>
      </c>
      <c r="U235">
        <v>3</v>
      </c>
      <c r="V235" t="s">
        <v>63</v>
      </c>
      <c r="W235">
        <v>5</v>
      </c>
      <c r="X235" t="s">
        <v>90</v>
      </c>
      <c r="Y235">
        <v>4</v>
      </c>
      <c r="Z235" t="s">
        <v>65</v>
      </c>
      <c r="AA235" t="s">
        <v>86</v>
      </c>
      <c r="AB235" s="4">
        <v>19517</v>
      </c>
      <c r="AC235" s="4" t="str">
        <f t="shared" si="51"/>
        <v>$19,000-$20,500</v>
      </c>
      <c r="AD235">
        <v>24118</v>
      </c>
      <c r="AE235" t="str">
        <f t="shared" si="52"/>
        <v>$22,001-$26,999</v>
      </c>
      <c r="AF235">
        <v>3</v>
      </c>
      <c r="AG235" t="str">
        <f t="shared" si="53"/>
        <v>2-3</v>
      </c>
      <c r="AH235" t="s">
        <v>67</v>
      </c>
      <c r="AI235" t="s">
        <v>71</v>
      </c>
      <c r="AJ235">
        <v>11</v>
      </c>
      <c r="AK235" t="str">
        <f t="shared" si="54"/>
        <v>11-12%</v>
      </c>
      <c r="AL235">
        <v>3</v>
      </c>
      <c r="AM235" t="s">
        <v>68</v>
      </c>
      <c r="AN235">
        <v>3</v>
      </c>
      <c r="AO235" t="s">
        <v>63</v>
      </c>
      <c r="AP235">
        <v>80</v>
      </c>
      <c r="AQ235">
        <v>1</v>
      </c>
      <c r="AR235">
        <v>32</v>
      </c>
      <c r="AS235" t="str">
        <f t="shared" si="55"/>
        <v>21-40</v>
      </c>
      <c r="AT235">
        <v>3</v>
      </c>
      <c r="AU235" t="str">
        <f t="shared" si="56"/>
        <v>3-4</v>
      </c>
      <c r="AV235">
        <v>2</v>
      </c>
      <c r="AW235" t="s">
        <v>84</v>
      </c>
      <c r="AX235">
        <v>7</v>
      </c>
      <c r="AY235" t="str">
        <f t="shared" si="45"/>
        <v>6-10</v>
      </c>
      <c r="AZ235">
        <v>0</v>
      </c>
      <c r="BA235" t="str">
        <f t="shared" si="57"/>
        <v>0-1</v>
      </c>
      <c r="BB235">
        <v>0</v>
      </c>
      <c r="BC235" t="str">
        <f t="shared" si="58"/>
        <v>0-1</v>
      </c>
      <c r="BD235">
        <v>6</v>
      </c>
      <c r="BE235" t="str">
        <f t="shared" si="59"/>
        <v>6-10</v>
      </c>
    </row>
    <row r="236" spans="1:57" x14ac:dyDescent="0.3">
      <c r="A236">
        <v>325</v>
      </c>
      <c r="B236">
        <v>33</v>
      </c>
      <c r="C236" t="str">
        <f t="shared" si="46"/>
        <v>26-35</v>
      </c>
      <c r="D236" t="s">
        <v>56</v>
      </c>
      <c r="E236">
        <f t="shared" si="47"/>
        <v>1</v>
      </c>
      <c r="F236" t="s">
        <v>57</v>
      </c>
      <c r="G236">
        <v>813</v>
      </c>
      <c r="H236" t="str">
        <f t="shared" si="48"/>
        <v>501-1000</v>
      </c>
      <c r="I236" t="s">
        <v>73</v>
      </c>
      <c r="J236">
        <v>14</v>
      </c>
      <c r="K236" t="str">
        <f t="shared" si="49"/>
        <v>11-20</v>
      </c>
      <c r="L236">
        <v>3</v>
      </c>
      <c r="M236" t="s">
        <v>85</v>
      </c>
      <c r="N236" t="s">
        <v>83</v>
      </c>
      <c r="O236">
        <v>1</v>
      </c>
      <c r="P236">
        <v>3</v>
      </c>
      <c r="Q236" t="s">
        <v>63</v>
      </c>
      <c r="R236" t="s">
        <v>75</v>
      </c>
      <c r="S236">
        <v>58</v>
      </c>
      <c r="T236" t="str">
        <f t="shared" si="50"/>
        <v>51-75</v>
      </c>
      <c r="U236">
        <v>3</v>
      </c>
      <c r="V236" t="s">
        <v>63</v>
      </c>
      <c r="W236">
        <v>1</v>
      </c>
      <c r="X236" t="s">
        <v>81</v>
      </c>
      <c r="Y236">
        <v>4</v>
      </c>
      <c r="Z236" t="s">
        <v>65</v>
      </c>
      <c r="AA236" t="s">
        <v>77</v>
      </c>
      <c r="AB236" s="4">
        <v>2436</v>
      </c>
      <c r="AC236" s="4" t="str">
        <f t="shared" si="51"/>
        <v>$1,000-$2,500</v>
      </c>
      <c r="AD236">
        <v>22149</v>
      </c>
      <c r="AE236" t="str">
        <f t="shared" si="52"/>
        <v>$22,001-$26,999</v>
      </c>
      <c r="AF236">
        <v>5</v>
      </c>
      <c r="AG236" t="str">
        <f t="shared" si="53"/>
        <v>4-6</v>
      </c>
      <c r="AH236" t="s">
        <v>67</v>
      </c>
      <c r="AI236" t="s">
        <v>56</v>
      </c>
      <c r="AJ236">
        <v>13</v>
      </c>
      <c r="AK236" t="str">
        <f t="shared" si="54"/>
        <v>13-15%</v>
      </c>
      <c r="AL236">
        <v>3</v>
      </c>
      <c r="AM236" t="s">
        <v>68</v>
      </c>
      <c r="AN236">
        <v>3</v>
      </c>
      <c r="AO236" t="s">
        <v>63</v>
      </c>
      <c r="AP236">
        <v>80</v>
      </c>
      <c r="AQ236">
        <v>1</v>
      </c>
      <c r="AR236">
        <v>8</v>
      </c>
      <c r="AS236" t="str">
        <f t="shared" si="55"/>
        <v>6-10</v>
      </c>
      <c r="AT236">
        <v>2</v>
      </c>
      <c r="AU236" t="str">
        <f t="shared" si="56"/>
        <v>0-2</v>
      </c>
      <c r="AV236">
        <v>1</v>
      </c>
      <c r="AW236" t="s">
        <v>70</v>
      </c>
      <c r="AX236">
        <v>5</v>
      </c>
      <c r="AY236" t="str">
        <f t="shared" si="45"/>
        <v>2-5</v>
      </c>
      <c r="AZ236">
        <v>4</v>
      </c>
      <c r="BA236" t="str">
        <f t="shared" si="57"/>
        <v>2-5</v>
      </c>
      <c r="BB236">
        <v>0</v>
      </c>
      <c r="BC236" t="str">
        <f t="shared" si="58"/>
        <v>0-1</v>
      </c>
      <c r="BD236">
        <v>4</v>
      </c>
      <c r="BE236" t="str">
        <f t="shared" si="59"/>
        <v>2-5</v>
      </c>
    </row>
    <row r="237" spans="1:57" x14ac:dyDescent="0.3">
      <c r="A237">
        <v>327</v>
      </c>
      <c r="B237">
        <v>43</v>
      </c>
      <c r="C237" t="str">
        <f t="shared" si="46"/>
        <v>36-45</v>
      </c>
      <c r="D237" t="s">
        <v>71</v>
      </c>
      <c r="E237">
        <f t="shared" si="47"/>
        <v>0</v>
      </c>
      <c r="F237" t="s">
        <v>57</v>
      </c>
      <c r="G237">
        <v>1034</v>
      </c>
      <c r="H237" t="str">
        <f t="shared" si="48"/>
        <v>1001-1499</v>
      </c>
      <c r="I237" t="s">
        <v>58</v>
      </c>
      <c r="J237">
        <v>16</v>
      </c>
      <c r="K237" t="str">
        <f t="shared" si="49"/>
        <v>11-20</v>
      </c>
      <c r="L237">
        <v>3</v>
      </c>
      <c r="M237" t="s">
        <v>85</v>
      </c>
      <c r="N237" t="s">
        <v>93</v>
      </c>
      <c r="O237">
        <v>1</v>
      </c>
      <c r="P237">
        <v>4</v>
      </c>
      <c r="Q237" t="s">
        <v>65</v>
      </c>
      <c r="R237" t="s">
        <v>62</v>
      </c>
      <c r="S237">
        <v>80</v>
      </c>
      <c r="T237" t="str">
        <f t="shared" si="50"/>
        <v>76-100</v>
      </c>
      <c r="U237">
        <v>3</v>
      </c>
      <c r="V237" t="s">
        <v>63</v>
      </c>
      <c r="W237">
        <v>4</v>
      </c>
      <c r="X237" t="s">
        <v>90</v>
      </c>
      <c r="Y237">
        <v>4</v>
      </c>
      <c r="Z237" t="s">
        <v>65</v>
      </c>
      <c r="AA237" t="s">
        <v>77</v>
      </c>
      <c r="AB237" s="4">
        <v>16064</v>
      </c>
      <c r="AC237" s="4" t="str">
        <f t="shared" si="51"/>
        <v>$16,000-$17,500</v>
      </c>
      <c r="AD237">
        <v>7744</v>
      </c>
      <c r="AE237" t="str">
        <f t="shared" si="52"/>
        <v>$2,094-$8,000</v>
      </c>
      <c r="AF237">
        <v>5</v>
      </c>
      <c r="AG237" t="str">
        <f t="shared" si="53"/>
        <v>4-6</v>
      </c>
      <c r="AH237" t="s">
        <v>67</v>
      </c>
      <c r="AI237" t="s">
        <v>56</v>
      </c>
      <c r="AJ237">
        <v>22</v>
      </c>
      <c r="AK237" t="str">
        <f t="shared" si="54"/>
        <v>18-19%</v>
      </c>
      <c r="AL237">
        <v>4</v>
      </c>
      <c r="AM237" t="s">
        <v>78</v>
      </c>
      <c r="AN237">
        <v>3</v>
      </c>
      <c r="AO237" t="s">
        <v>63</v>
      </c>
      <c r="AP237">
        <v>80</v>
      </c>
      <c r="AQ237">
        <v>1</v>
      </c>
      <c r="AR237">
        <v>22</v>
      </c>
      <c r="AS237" t="str">
        <f t="shared" si="55"/>
        <v>21-40</v>
      </c>
      <c r="AT237">
        <v>3</v>
      </c>
      <c r="AU237" t="str">
        <f t="shared" si="56"/>
        <v>3-4</v>
      </c>
      <c r="AV237">
        <v>3</v>
      </c>
      <c r="AW237" t="s">
        <v>79</v>
      </c>
      <c r="AX237">
        <v>17</v>
      </c>
      <c r="AY237" t="str">
        <f t="shared" si="45"/>
        <v>11-20</v>
      </c>
      <c r="AZ237">
        <v>13</v>
      </c>
      <c r="BA237" t="str">
        <f t="shared" si="57"/>
        <v>11-18</v>
      </c>
      <c r="BB237">
        <v>1</v>
      </c>
      <c r="BC237" t="str">
        <f t="shared" si="58"/>
        <v>0-1</v>
      </c>
      <c r="BD237">
        <v>9</v>
      </c>
      <c r="BE237" t="str">
        <f t="shared" si="59"/>
        <v>6-10</v>
      </c>
    </row>
    <row r="238" spans="1:57" x14ac:dyDescent="0.3">
      <c r="A238">
        <v>328</v>
      </c>
      <c r="B238">
        <v>33</v>
      </c>
      <c r="C238" t="str">
        <f t="shared" si="46"/>
        <v>26-35</v>
      </c>
      <c r="D238" t="s">
        <v>56</v>
      </c>
      <c r="E238">
        <f t="shared" si="47"/>
        <v>1</v>
      </c>
      <c r="F238" t="s">
        <v>57</v>
      </c>
      <c r="G238">
        <v>465</v>
      </c>
      <c r="H238" t="str">
        <f t="shared" si="48"/>
        <v>102-500</v>
      </c>
      <c r="I238" t="s">
        <v>73</v>
      </c>
      <c r="J238">
        <v>2</v>
      </c>
      <c r="K238" t="str">
        <f t="shared" si="49"/>
        <v>1-5</v>
      </c>
      <c r="L238">
        <v>2</v>
      </c>
      <c r="M238" t="s">
        <v>59</v>
      </c>
      <c r="N238" t="s">
        <v>60</v>
      </c>
      <c r="O238">
        <v>1</v>
      </c>
      <c r="P238">
        <v>1</v>
      </c>
      <c r="Q238" t="s">
        <v>69</v>
      </c>
      <c r="R238" t="s">
        <v>62</v>
      </c>
      <c r="S238">
        <v>39</v>
      </c>
      <c r="T238" t="str">
        <f t="shared" si="50"/>
        <v>30-50</v>
      </c>
      <c r="U238">
        <v>3</v>
      </c>
      <c r="V238" t="s">
        <v>63</v>
      </c>
      <c r="W238">
        <v>1</v>
      </c>
      <c r="X238" t="s">
        <v>81</v>
      </c>
      <c r="Y238">
        <v>1</v>
      </c>
      <c r="Z238" t="s">
        <v>69</v>
      </c>
      <c r="AA238" t="s">
        <v>77</v>
      </c>
      <c r="AB238" s="4">
        <v>2707</v>
      </c>
      <c r="AC238" s="4" t="str">
        <f t="shared" si="51"/>
        <v>$2,500-$4,000</v>
      </c>
      <c r="AD238">
        <v>21509</v>
      </c>
      <c r="AE238" t="str">
        <f t="shared" si="52"/>
        <v>$16,001-$22,000</v>
      </c>
      <c r="AF238">
        <v>7</v>
      </c>
      <c r="AG238" t="str">
        <f t="shared" si="53"/>
        <v>7-9</v>
      </c>
      <c r="AH238" t="s">
        <v>67</v>
      </c>
      <c r="AI238" t="s">
        <v>71</v>
      </c>
      <c r="AJ238">
        <v>20</v>
      </c>
      <c r="AK238" t="str">
        <f t="shared" si="54"/>
        <v>18-19%</v>
      </c>
      <c r="AL238">
        <v>4</v>
      </c>
      <c r="AM238" t="s">
        <v>78</v>
      </c>
      <c r="AN238">
        <v>1</v>
      </c>
      <c r="AO238" t="s">
        <v>69</v>
      </c>
      <c r="AP238">
        <v>80</v>
      </c>
      <c r="AQ238">
        <v>0</v>
      </c>
      <c r="AR238">
        <v>13</v>
      </c>
      <c r="AS238" t="str">
        <f t="shared" si="55"/>
        <v>11-20</v>
      </c>
      <c r="AT238">
        <v>3</v>
      </c>
      <c r="AU238" t="str">
        <f t="shared" si="56"/>
        <v>3-4</v>
      </c>
      <c r="AV238">
        <v>4</v>
      </c>
      <c r="AW238" t="s">
        <v>94</v>
      </c>
      <c r="AX238">
        <v>9</v>
      </c>
      <c r="AY238" t="str">
        <f t="shared" si="45"/>
        <v>6-10</v>
      </c>
      <c r="AZ238">
        <v>7</v>
      </c>
      <c r="BA238" t="str">
        <f t="shared" si="57"/>
        <v>6-10</v>
      </c>
      <c r="BB238">
        <v>1</v>
      </c>
      <c r="BC238" t="str">
        <f t="shared" si="58"/>
        <v>0-1</v>
      </c>
      <c r="BD238">
        <v>7</v>
      </c>
      <c r="BE238" t="str">
        <f t="shared" si="59"/>
        <v>6-10</v>
      </c>
    </row>
    <row r="239" spans="1:57" x14ac:dyDescent="0.3">
      <c r="A239">
        <v>329</v>
      </c>
      <c r="B239">
        <v>52</v>
      </c>
      <c r="C239" t="str">
        <f t="shared" si="46"/>
        <v>46-55</v>
      </c>
      <c r="D239" t="s">
        <v>71</v>
      </c>
      <c r="E239">
        <f t="shared" si="47"/>
        <v>0</v>
      </c>
      <c r="F239" t="s">
        <v>89</v>
      </c>
      <c r="G239">
        <v>771</v>
      </c>
      <c r="H239" t="str">
        <f t="shared" si="48"/>
        <v>501-1000</v>
      </c>
      <c r="I239" t="s">
        <v>58</v>
      </c>
      <c r="J239">
        <v>2</v>
      </c>
      <c r="K239" t="str">
        <f t="shared" si="49"/>
        <v>1-5</v>
      </c>
      <c r="L239">
        <v>4</v>
      </c>
      <c r="M239" t="s">
        <v>82</v>
      </c>
      <c r="N239" t="s">
        <v>60</v>
      </c>
      <c r="O239">
        <v>1</v>
      </c>
      <c r="P239">
        <v>1</v>
      </c>
      <c r="Q239" t="s">
        <v>69</v>
      </c>
      <c r="R239" t="s">
        <v>75</v>
      </c>
      <c r="S239">
        <v>79</v>
      </c>
      <c r="T239" t="str">
        <f t="shared" si="50"/>
        <v>76-100</v>
      </c>
      <c r="U239">
        <v>2</v>
      </c>
      <c r="V239" t="s">
        <v>61</v>
      </c>
      <c r="W239">
        <v>5</v>
      </c>
      <c r="X239" t="s">
        <v>90</v>
      </c>
      <c r="Y239">
        <v>3</v>
      </c>
      <c r="Z239" t="s">
        <v>63</v>
      </c>
      <c r="AA239" t="s">
        <v>66</v>
      </c>
      <c r="AB239" s="4">
        <v>19068</v>
      </c>
      <c r="AC239" s="4" t="str">
        <f t="shared" si="51"/>
        <v>$19,000-$20,500</v>
      </c>
      <c r="AD239">
        <v>21030</v>
      </c>
      <c r="AE239" t="str">
        <f t="shared" si="52"/>
        <v>$16,001-$22,000</v>
      </c>
      <c r="AF239">
        <v>1</v>
      </c>
      <c r="AG239" t="str">
        <f t="shared" si="53"/>
        <v>0-1</v>
      </c>
      <c r="AH239" t="s">
        <v>67</v>
      </c>
      <c r="AI239" t="s">
        <v>56</v>
      </c>
      <c r="AJ239">
        <v>18</v>
      </c>
      <c r="AK239" t="str">
        <f t="shared" si="54"/>
        <v>18-19%</v>
      </c>
      <c r="AL239">
        <v>3</v>
      </c>
      <c r="AM239" t="s">
        <v>68</v>
      </c>
      <c r="AN239">
        <v>4</v>
      </c>
      <c r="AO239" t="s">
        <v>65</v>
      </c>
      <c r="AP239">
        <v>80</v>
      </c>
      <c r="AQ239">
        <v>0</v>
      </c>
      <c r="AR239">
        <v>33</v>
      </c>
      <c r="AS239" t="str">
        <f t="shared" si="55"/>
        <v>21-40</v>
      </c>
      <c r="AT239">
        <v>2</v>
      </c>
      <c r="AU239" t="str">
        <f t="shared" si="56"/>
        <v>0-2</v>
      </c>
      <c r="AV239">
        <v>4</v>
      </c>
      <c r="AW239" t="s">
        <v>94</v>
      </c>
      <c r="AX239">
        <v>33</v>
      </c>
      <c r="AY239" t="str">
        <f t="shared" si="45"/>
        <v>21-40</v>
      </c>
      <c r="AZ239">
        <v>7</v>
      </c>
      <c r="BA239" t="str">
        <f t="shared" si="57"/>
        <v>6-10</v>
      </c>
      <c r="BB239">
        <v>15</v>
      </c>
      <c r="BC239" t="str">
        <f t="shared" si="58"/>
        <v>11-15</v>
      </c>
      <c r="BD239">
        <v>12</v>
      </c>
      <c r="BE239" t="str">
        <f t="shared" si="59"/>
        <v>11-17</v>
      </c>
    </row>
    <row r="240" spans="1:57" x14ac:dyDescent="0.3">
      <c r="A240">
        <v>330</v>
      </c>
      <c r="B240">
        <v>32</v>
      </c>
      <c r="C240" t="str">
        <f t="shared" si="46"/>
        <v>26-35</v>
      </c>
      <c r="D240" t="s">
        <v>71</v>
      </c>
      <c r="E240">
        <f t="shared" si="47"/>
        <v>0</v>
      </c>
      <c r="F240" t="s">
        <v>57</v>
      </c>
      <c r="G240">
        <v>1401</v>
      </c>
      <c r="H240" t="str">
        <f t="shared" si="48"/>
        <v>1001-1499</v>
      </c>
      <c r="I240" t="s">
        <v>58</v>
      </c>
      <c r="J240">
        <v>4</v>
      </c>
      <c r="K240" t="str">
        <f t="shared" si="49"/>
        <v>1-5</v>
      </c>
      <c r="L240">
        <v>2</v>
      </c>
      <c r="M240" t="s">
        <v>59</v>
      </c>
      <c r="N240" t="s">
        <v>60</v>
      </c>
      <c r="O240">
        <v>1</v>
      </c>
      <c r="P240">
        <v>3</v>
      </c>
      <c r="Q240" t="s">
        <v>63</v>
      </c>
      <c r="R240" t="s">
        <v>62</v>
      </c>
      <c r="S240">
        <v>56</v>
      </c>
      <c r="T240" t="str">
        <f t="shared" si="50"/>
        <v>51-75</v>
      </c>
      <c r="U240">
        <v>3</v>
      </c>
      <c r="V240" t="s">
        <v>63</v>
      </c>
      <c r="W240">
        <v>1</v>
      </c>
      <c r="X240" t="s">
        <v>91</v>
      </c>
      <c r="Y240">
        <v>2</v>
      </c>
      <c r="Z240" t="s">
        <v>61</v>
      </c>
      <c r="AA240" t="s">
        <v>77</v>
      </c>
      <c r="AB240" s="4">
        <v>3931</v>
      </c>
      <c r="AC240" s="4" t="str">
        <f t="shared" si="51"/>
        <v>$2,500-$4,000</v>
      </c>
      <c r="AD240">
        <v>20990</v>
      </c>
      <c r="AE240" t="str">
        <f t="shared" si="52"/>
        <v>$16,001-$22,000</v>
      </c>
      <c r="AF240">
        <v>2</v>
      </c>
      <c r="AG240" t="str">
        <f t="shared" si="53"/>
        <v>2-3</v>
      </c>
      <c r="AH240" t="s">
        <v>67</v>
      </c>
      <c r="AI240" t="s">
        <v>71</v>
      </c>
      <c r="AJ240">
        <v>11</v>
      </c>
      <c r="AK240" t="str">
        <f t="shared" si="54"/>
        <v>11-12%</v>
      </c>
      <c r="AL240">
        <v>3</v>
      </c>
      <c r="AM240" t="s">
        <v>68</v>
      </c>
      <c r="AN240">
        <v>1</v>
      </c>
      <c r="AO240" t="s">
        <v>69</v>
      </c>
      <c r="AP240">
        <v>80</v>
      </c>
      <c r="AQ240">
        <v>1</v>
      </c>
      <c r="AR240">
        <v>6</v>
      </c>
      <c r="AS240" t="str">
        <f t="shared" si="55"/>
        <v>6-10</v>
      </c>
      <c r="AT240">
        <v>5</v>
      </c>
      <c r="AU240" t="str">
        <f t="shared" si="56"/>
        <v>5-6</v>
      </c>
      <c r="AV240">
        <v>3</v>
      </c>
      <c r="AW240" t="s">
        <v>79</v>
      </c>
      <c r="AX240">
        <v>4</v>
      </c>
      <c r="AY240" t="str">
        <f t="shared" si="45"/>
        <v>2-5</v>
      </c>
      <c r="AZ240">
        <v>3</v>
      </c>
      <c r="BA240" t="str">
        <f t="shared" si="57"/>
        <v>2-5</v>
      </c>
      <c r="BB240">
        <v>1</v>
      </c>
      <c r="BC240" t="str">
        <f t="shared" si="58"/>
        <v>0-1</v>
      </c>
      <c r="BD240">
        <v>2</v>
      </c>
      <c r="BE240" t="str">
        <f t="shared" si="59"/>
        <v>2-5</v>
      </c>
    </row>
    <row r="241" spans="1:57" x14ac:dyDescent="0.3">
      <c r="A241">
        <v>331</v>
      </c>
      <c r="B241">
        <v>32</v>
      </c>
      <c r="C241" t="str">
        <f t="shared" si="46"/>
        <v>26-35</v>
      </c>
      <c r="D241" t="s">
        <v>56</v>
      </c>
      <c r="E241">
        <f t="shared" si="47"/>
        <v>1</v>
      </c>
      <c r="F241" t="s">
        <v>57</v>
      </c>
      <c r="G241">
        <v>515</v>
      </c>
      <c r="H241" t="str">
        <f t="shared" si="48"/>
        <v>501-1000</v>
      </c>
      <c r="I241" t="s">
        <v>73</v>
      </c>
      <c r="J241">
        <v>1</v>
      </c>
      <c r="K241" t="str">
        <f t="shared" si="49"/>
        <v>1-5</v>
      </c>
      <c r="L241">
        <v>3</v>
      </c>
      <c r="M241" t="s">
        <v>85</v>
      </c>
      <c r="N241" t="s">
        <v>60</v>
      </c>
      <c r="O241">
        <v>1</v>
      </c>
      <c r="P241">
        <v>4</v>
      </c>
      <c r="Q241" t="s">
        <v>65</v>
      </c>
      <c r="R241" t="s">
        <v>75</v>
      </c>
      <c r="S241">
        <v>62</v>
      </c>
      <c r="T241" t="str">
        <f t="shared" si="50"/>
        <v>51-75</v>
      </c>
      <c r="U241">
        <v>2</v>
      </c>
      <c r="V241" t="s">
        <v>61</v>
      </c>
      <c r="W241">
        <v>1</v>
      </c>
      <c r="X241" t="s">
        <v>81</v>
      </c>
      <c r="Y241">
        <v>3</v>
      </c>
      <c r="Z241" t="s">
        <v>63</v>
      </c>
      <c r="AA241" t="s">
        <v>66</v>
      </c>
      <c r="AB241" s="4">
        <v>3730</v>
      </c>
      <c r="AC241" s="4" t="str">
        <f t="shared" si="51"/>
        <v>$2,500-$4,000</v>
      </c>
      <c r="AD241">
        <v>9571</v>
      </c>
      <c r="AE241" t="str">
        <f t="shared" si="52"/>
        <v>$8,001-$16,000</v>
      </c>
      <c r="AF241">
        <v>0</v>
      </c>
      <c r="AG241" t="str">
        <f t="shared" si="53"/>
        <v>0-1</v>
      </c>
      <c r="AH241" t="s">
        <v>67</v>
      </c>
      <c r="AI241" t="s">
        <v>56</v>
      </c>
      <c r="AJ241">
        <v>14</v>
      </c>
      <c r="AK241" t="str">
        <f t="shared" si="54"/>
        <v>13-15%</v>
      </c>
      <c r="AL241">
        <v>3</v>
      </c>
      <c r="AM241" t="s">
        <v>68</v>
      </c>
      <c r="AN241">
        <v>4</v>
      </c>
      <c r="AO241" t="s">
        <v>65</v>
      </c>
      <c r="AP241">
        <v>80</v>
      </c>
      <c r="AQ241">
        <v>0</v>
      </c>
      <c r="AR241">
        <v>4</v>
      </c>
      <c r="AS241" t="str">
        <f t="shared" si="55"/>
        <v>3-5</v>
      </c>
      <c r="AT241">
        <v>2</v>
      </c>
      <c r="AU241" t="str">
        <f t="shared" si="56"/>
        <v>0-2</v>
      </c>
      <c r="AV241">
        <v>1</v>
      </c>
      <c r="AW241" t="s">
        <v>70</v>
      </c>
      <c r="AX241">
        <v>3</v>
      </c>
      <c r="AY241" t="str">
        <f t="shared" si="45"/>
        <v>2-5</v>
      </c>
      <c r="AZ241">
        <v>2</v>
      </c>
      <c r="BA241" t="str">
        <f t="shared" si="57"/>
        <v>2-5</v>
      </c>
      <c r="BB241">
        <v>1</v>
      </c>
      <c r="BC241" t="str">
        <f t="shared" si="58"/>
        <v>0-1</v>
      </c>
      <c r="BD241">
        <v>2</v>
      </c>
      <c r="BE241" t="str">
        <f t="shared" si="59"/>
        <v>2-5</v>
      </c>
    </row>
    <row r="242" spans="1:57" x14ac:dyDescent="0.3">
      <c r="A242">
        <v>332</v>
      </c>
      <c r="B242">
        <v>39</v>
      </c>
      <c r="C242" t="str">
        <f t="shared" si="46"/>
        <v>36-45</v>
      </c>
      <c r="D242" t="s">
        <v>71</v>
      </c>
      <c r="E242">
        <f t="shared" si="47"/>
        <v>0</v>
      </c>
      <c r="F242" t="s">
        <v>57</v>
      </c>
      <c r="G242">
        <v>1431</v>
      </c>
      <c r="H242" t="str">
        <f t="shared" si="48"/>
        <v>1001-1499</v>
      </c>
      <c r="I242" t="s">
        <v>73</v>
      </c>
      <c r="J242">
        <v>1</v>
      </c>
      <c r="K242" t="str">
        <f t="shared" si="49"/>
        <v>1-5</v>
      </c>
      <c r="L242">
        <v>4</v>
      </c>
      <c r="M242" t="s">
        <v>82</v>
      </c>
      <c r="N242" t="s">
        <v>83</v>
      </c>
      <c r="O242">
        <v>1</v>
      </c>
      <c r="P242">
        <v>3</v>
      </c>
      <c r="Q242" t="s">
        <v>63</v>
      </c>
      <c r="R242" t="s">
        <v>62</v>
      </c>
      <c r="S242">
        <v>96</v>
      </c>
      <c r="T242" t="str">
        <f t="shared" si="50"/>
        <v>76-100</v>
      </c>
      <c r="U242">
        <v>3</v>
      </c>
      <c r="V242" t="s">
        <v>63</v>
      </c>
      <c r="W242">
        <v>1</v>
      </c>
      <c r="X242" t="s">
        <v>81</v>
      </c>
      <c r="Y242">
        <v>3</v>
      </c>
      <c r="Z242" t="s">
        <v>63</v>
      </c>
      <c r="AA242" t="s">
        <v>86</v>
      </c>
      <c r="AB242" s="4">
        <v>2232</v>
      </c>
      <c r="AC242" s="4" t="str">
        <f t="shared" si="51"/>
        <v>$1,000-$2,500</v>
      </c>
      <c r="AD242">
        <v>15417</v>
      </c>
      <c r="AE242" t="str">
        <f t="shared" si="52"/>
        <v>$8,001-$16,000</v>
      </c>
      <c r="AF242">
        <v>7</v>
      </c>
      <c r="AG242" t="str">
        <f t="shared" si="53"/>
        <v>7-9</v>
      </c>
      <c r="AH242" t="s">
        <v>67</v>
      </c>
      <c r="AI242" t="s">
        <v>71</v>
      </c>
      <c r="AJ242">
        <v>14</v>
      </c>
      <c r="AK242" t="str">
        <f t="shared" si="54"/>
        <v>13-15%</v>
      </c>
      <c r="AL242">
        <v>3</v>
      </c>
      <c r="AM242" t="s">
        <v>68</v>
      </c>
      <c r="AN242">
        <v>3</v>
      </c>
      <c r="AO242" t="s">
        <v>63</v>
      </c>
      <c r="AP242">
        <v>80</v>
      </c>
      <c r="AQ242">
        <v>3</v>
      </c>
      <c r="AR242">
        <v>7</v>
      </c>
      <c r="AS242" t="str">
        <f t="shared" si="55"/>
        <v>6-10</v>
      </c>
      <c r="AT242">
        <v>1</v>
      </c>
      <c r="AU242" t="str">
        <f t="shared" si="56"/>
        <v>0-2</v>
      </c>
      <c r="AV242">
        <v>3</v>
      </c>
      <c r="AW242" t="s">
        <v>79</v>
      </c>
      <c r="AX242">
        <v>3</v>
      </c>
      <c r="AY242" t="str">
        <f t="shared" si="45"/>
        <v>2-5</v>
      </c>
      <c r="AZ242">
        <v>2</v>
      </c>
      <c r="BA242" t="str">
        <f t="shared" si="57"/>
        <v>2-5</v>
      </c>
      <c r="BB242">
        <v>1</v>
      </c>
      <c r="BC242" t="str">
        <f t="shared" si="58"/>
        <v>0-1</v>
      </c>
      <c r="BD242">
        <v>2</v>
      </c>
      <c r="BE242" t="str">
        <f t="shared" si="59"/>
        <v>2-5</v>
      </c>
    </row>
    <row r="243" spans="1:57" x14ac:dyDescent="0.3">
      <c r="A243">
        <v>333</v>
      </c>
      <c r="B243">
        <v>32</v>
      </c>
      <c r="C243" t="str">
        <f t="shared" si="46"/>
        <v>26-35</v>
      </c>
      <c r="D243" t="s">
        <v>71</v>
      </c>
      <c r="E243">
        <f t="shared" si="47"/>
        <v>0</v>
      </c>
      <c r="F243" t="s">
        <v>89</v>
      </c>
      <c r="G243">
        <v>976</v>
      </c>
      <c r="H243" t="str">
        <f t="shared" si="48"/>
        <v>501-1000</v>
      </c>
      <c r="I243" t="s">
        <v>58</v>
      </c>
      <c r="J243">
        <v>26</v>
      </c>
      <c r="K243" t="str">
        <f t="shared" si="49"/>
        <v>21-29</v>
      </c>
      <c r="L243">
        <v>4</v>
      </c>
      <c r="M243" t="s">
        <v>82</v>
      </c>
      <c r="N243" t="s">
        <v>93</v>
      </c>
      <c r="O243">
        <v>1</v>
      </c>
      <c r="P243">
        <v>3</v>
      </c>
      <c r="Q243" t="s">
        <v>63</v>
      </c>
      <c r="R243" t="s">
        <v>75</v>
      </c>
      <c r="S243">
        <v>100</v>
      </c>
      <c r="T243" t="str">
        <f t="shared" si="50"/>
        <v>76-100</v>
      </c>
      <c r="U243">
        <v>3</v>
      </c>
      <c r="V243" t="s">
        <v>63</v>
      </c>
      <c r="W243">
        <v>2</v>
      </c>
      <c r="X243" t="s">
        <v>64</v>
      </c>
      <c r="Y243">
        <v>4</v>
      </c>
      <c r="Z243" t="s">
        <v>65</v>
      </c>
      <c r="AA243" t="s">
        <v>77</v>
      </c>
      <c r="AB243" s="4">
        <v>4465</v>
      </c>
      <c r="AC243" s="4" t="str">
        <f t="shared" si="51"/>
        <v>$4,000-$5,500</v>
      </c>
      <c r="AD243">
        <v>12069</v>
      </c>
      <c r="AE243" t="str">
        <f t="shared" si="52"/>
        <v>$8,001-$16,000</v>
      </c>
      <c r="AF243">
        <v>0</v>
      </c>
      <c r="AG243" t="str">
        <f t="shared" si="53"/>
        <v>0-1</v>
      </c>
      <c r="AH243" t="s">
        <v>67</v>
      </c>
      <c r="AI243" t="s">
        <v>71</v>
      </c>
      <c r="AJ243">
        <v>18</v>
      </c>
      <c r="AK243" t="str">
        <f t="shared" si="54"/>
        <v>18-19%</v>
      </c>
      <c r="AL243">
        <v>3</v>
      </c>
      <c r="AM243" t="s">
        <v>68</v>
      </c>
      <c r="AN243">
        <v>1</v>
      </c>
      <c r="AO243" t="s">
        <v>69</v>
      </c>
      <c r="AP243">
        <v>80</v>
      </c>
      <c r="AQ243">
        <v>0</v>
      </c>
      <c r="AR243">
        <v>4</v>
      </c>
      <c r="AS243" t="str">
        <f t="shared" si="55"/>
        <v>3-5</v>
      </c>
      <c r="AT243">
        <v>2</v>
      </c>
      <c r="AU243" t="str">
        <f t="shared" si="56"/>
        <v>0-2</v>
      </c>
      <c r="AV243">
        <v>3</v>
      </c>
      <c r="AW243" t="s">
        <v>79</v>
      </c>
      <c r="AX243">
        <v>3</v>
      </c>
      <c r="AY243" t="str">
        <f t="shared" si="45"/>
        <v>2-5</v>
      </c>
      <c r="AZ243">
        <v>2</v>
      </c>
      <c r="BA243" t="str">
        <f t="shared" si="57"/>
        <v>2-5</v>
      </c>
      <c r="BB243">
        <v>2</v>
      </c>
      <c r="BC243" t="str">
        <f t="shared" si="58"/>
        <v>2-5</v>
      </c>
      <c r="BD243">
        <v>2</v>
      </c>
      <c r="BE243" t="str">
        <f t="shared" si="59"/>
        <v>2-5</v>
      </c>
    </row>
    <row r="244" spans="1:57" x14ac:dyDescent="0.3">
      <c r="A244">
        <v>334</v>
      </c>
      <c r="B244">
        <v>41</v>
      </c>
      <c r="C244" t="str">
        <f t="shared" si="46"/>
        <v>36-45</v>
      </c>
      <c r="D244" t="s">
        <v>71</v>
      </c>
      <c r="E244">
        <f t="shared" si="47"/>
        <v>0</v>
      </c>
      <c r="F244" t="s">
        <v>57</v>
      </c>
      <c r="G244">
        <v>1411</v>
      </c>
      <c r="H244" t="str">
        <f t="shared" si="48"/>
        <v>1001-1499</v>
      </c>
      <c r="I244" t="s">
        <v>73</v>
      </c>
      <c r="J244">
        <v>19</v>
      </c>
      <c r="K244" t="str">
        <f t="shared" si="49"/>
        <v>11-20</v>
      </c>
      <c r="L244">
        <v>2</v>
      </c>
      <c r="M244" t="s">
        <v>59</v>
      </c>
      <c r="N244" t="s">
        <v>60</v>
      </c>
      <c r="O244">
        <v>1</v>
      </c>
      <c r="P244">
        <v>3</v>
      </c>
      <c r="Q244" t="s">
        <v>63</v>
      </c>
      <c r="R244" t="s">
        <v>75</v>
      </c>
      <c r="S244">
        <v>36</v>
      </c>
      <c r="T244" t="str">
        <f t="shared" si="50"/>
        <v>30-50</v>
      </c>
      <c r="U244">
        <v>3</v>
      </c>
      <c r="V244" t="s">
        <v>63</v>
      </c>
      <c r="W244">
        <v>2</v>
      </c>
      <c r="X244" t="s">
        <v>76</v>
      </c>
      <c r="Y244">
        <v>1</v>
      </c>
      <c r="Z244" t="s">
        <v>69</v>
      </c>
      <c r="AA244" t="s">
        <v>86</v>
      </c>
      <c r="AB244" s="4">
        <v>3072</v>
      </c>
      <c r="AC244" s="4" t="str">
        <f t="shared" si="51"/>
        <v>$2,500-$4,000</v>
      </c>
      <c r="AD244">
        <v>19877</v>
      </c>
      <c r="AE244" t="str">
        <f t="shared" si="52"/>
        <v>$16,001-$22,000</v>
      </c>
      <c r="AF244">
        <v>2</v>
      </c>
      <c r="AG244" t="str">
        <f t="shared" si="53"/>
        <v>2-3</v>
      </c>
      <c r="AH244" t="s">
        <v>67</v>
      </c>
      <c r="AI244" t="s">
        <v>71</v>
      </c>
      <c r="AJ244">
        <v>16</v>
      </c>
      <c r="AK244" t="str">
        <f t="shared" si="54"/>
        <v>16-17%</v>
      </c>
      <c r="AL244">
        <v>3</v>
      </c>
      <c r="AM244" t="s">
        <v>68</v>
      </c>
      <c r="AN244">
        <v>1</v>
      </c>
      <c r="AO244" t="s">
        <v>69</v>
      </c>
      <c r="AP244">
        <v>80</v>
      </c>
      <c r="AQ244">
        <v>2</v>
      </c>
      <c r="AR244">
        <v>17</v>
      </c>
      <c r="AS244" t="str">
        <f t="shared" si="55"/>
        <v>11-20</v>
      </c>
      <c r="AT244">
        <v>2</v>
      </c>
      <c r="AU244" t="str">
        <f t="shared" si="56"/>
        <v>0-2</v>
      </c>
      <c r="AV244">
        <v>2</v>
      </c>
      <c r="AW244" t="s">
        <v>84</v>
      </c>
      <c r="AX244">
        <v>1</v>
      </c>
      <c r="AY244" t="str">
        <f t="shared" si="45"/>
        <v>0-1</v>
      </c>
      <c r="AZ244">
        <v>0</v>
      </c>
      <c r="BA244" t="str">
        <f t="shared" si="57"/>
        <v>0-1</v>
      </c>
      <c r="BB244">
        <v>0</v>
      </c>
      <c r="BC244" t="str">
        <f t="shared" si="58"/>
        <v>0-1</v>
      </c>
      <c r="BD244">
        <v>0</v>
      </c>
      <c r="BE244" t="str">
        <f t="shared" si="59"/>
        <v>0-1</v>
      </c>
    </row>
    <row r="245" spans="1:57" x14ac:dyDescent="0.3">
      <c r="A245">
        <v>335</v>
      </c>
      <c r="B245">
        <v>40</v>
      </c>
      <c r="C245" t="str">
        <f t="shared" si="46"/>
        <v>36-45</v>
      </c>
      <c r="D245" t="s">
        <v>71</v>
      </c>
      <c r="E245">
        <f t="shared" si="47"/>
        <v>0</v>
      </c>
      <c r="F245" t="s">
        <v>57</v>
      </c>
      <c r="G245">
        <v>1300</v>
      </c>
      <c r="H245" t="str">
        <f t="shared" si="48"/>
        <v>1001-1499</v>
      </c>
      <c r="I245" t="s">
        <v>73</v>
      </c>
      <c r="J245">
        <v>24</v>
      </c>
      <c r="K245" t="str">
        <f t="shared" si="49"/>
        <v>21-29</v>
      </c>
      <c r="L245">
        <v>2</v>
      </c>
      <c r="M245" t="s">
        <v>59</v>
      </c>
      <c r="N245" t="s">
        <v>95</v>
      </c>
      <c r="O245">
        <v>1</v>
      </c>
      <c r="P245">
        <v>1</v>
      </c>
      <c r="Q245" t="s">
        <v>69</v>
      </c>
      <c r="R245" t="s">
        <v>75</v>
      </c>
      <c r="S245">
        <v>62</v>
      </c>
      <c r="T245" t="str">
        <f t="shared" si="50"/>
        <v>51-75</v>
      </c>
      <c r="U245">
        <v>3</v>
      </c>
      <c r="V245" t="s">
        <v>63</v>
      </c>
      <c r="W245">
        <v>2</v>
      </c>
      <c r="X245" t="s">
        <v>76</v>
      </c>
      <c r="Y245">
        <v>4</v>
      </c>
      <c r="Z245" t="s">
        <v>65</v>
      </c>
      <c r="AA245" t="s">
        <v>86</v>
      </c>
      <c r="AB245" s="4">
        <v>3319</v>
      </c>
      <c r="AC245" s="4" t="str">
        <f t="shared" si="51"/>
        <v>$2,500-$4,000</v>
      </c>
      <c r="AD245">
        <v>24447</v>
      </c>
      <c r="AE245" t="str">
        <f t="shared" si="52"/>
        <v>$22,001-$26,999</v>
      </c>
      <c r="AF245">
        <v>1</v>
      </c>
      <c r="AG245" t="str">
        <f t="shared" si="53"/>
        <v>0-1</v>
      </c>
      <c r="AH245" t="s">
        <v>67</v>
      </c>
      <c r="AI245" t="s">
        <v>71</v>
      </c>
      <c r="AJ245">
        <v>17</v>
      </c>
      <c r="AK245" t="str">
        <f t="shared" si="54"/>
        <v>16-17%</v>
      </c>
      <c r="AL245">
        <v>3</v>
      </c>
      <c r="AM245" t="s">
        <v>68</v>
      </c>
      <c r="AN245">
        <v>1</v>
      </c>
      <c r="AO245" t="s">
        <v>69</v>
      </c>
      <c r="AP245">
        <v>80</v>
      </c>
      <c r="AQ245">
        <v>2</v>
      </c>
      <c r="AR245">
        <v>9</v>
      </c>
      <c r="AS245" t="str">
        <f t="shared" si="55"/>
        <v>6-10</v>
      </c>
      <c r="AT245">
        <v>3</v>
      </c>
      <c r="AU245" t="str">
        <f t="shared" si="56"/>
        <v>3-4</v>
      </c>
      <c r="AV245">
        <v>3</v>
      </c>
      <c r="AW245" t="s">
        <v>79</v>
      </c>
      <c r="AX245">
        <v>9</v>
      </c>
      <c r="AY245" t="str">
        <f t="shared" si="45"/>
        <v>6-10</v>
      </c>
      <c r="AZ245">
        <v>8</v>
      </c>
      <c r="BA245" t="str">
        <f t="shared" si="57"/>
        <v>6-10</v>
      </c>
      <c r="BB245">
        <v>4</v>
      </c>
      <c r="BC245" t="str">
        <f t="shared" si="58"/>
        <v>2-5</v>
      </c>
      <c r="BD245">
        <v>7</v>
      </c>
      <c r="BE245" t="str">
        <f t="shared" si="59"/>
        <v>6-10</v>
      </c>
    </row>
    <row r="246" spans="1:57" x14ac:dyDescent="0.3">
      <c r="A246">
        <v>336</v>
      </c>
      <c r="B246">
        <v>45</v>
      </c>
      <c r="C246" t="str">
        <f t="shared" si="46"/>
        <v>36-45</v>
      </c>
      <c r="D246" t="s">
        <v>71</v>
      </c>
      <c r="E246">
        <f t="shared" si="47"/>
        <v>0</v>
      </c>
      <c r="F246" t="s">
        <v>57</v>
      </c>
      <c r="G246">
        <v>252</v>
      </c>
      <c r="H246" t="str">
        <f t="shared" si="48"/>
        <v>102-500</v>
      </c>
      <c r="I246" t="s">
        <v>73</v>
      </c>
      <c r="J246">
        <v>1</v>
      </c>
      <c r="K246" t="str">
        <f t="shared" si="49"/>
        <v>1-5</v>
      </c>
      <c r="L246">
        <v>3</v>
      </c>
      <c r="M246" t="s">
        <v>85</v>
      </c>
      <c r="N246" t="s">
        <v>80</v>
      </c>
      <c r="O246">
        <v>1</v>
      </c>
      <c r="P246">
        <v>3</v>
      </c>
      <c r="Q246" t="s">
        <v>63</v>
      </c>
      <c r="R246" t="s">
        <v>75</v>
      </c>
      <c r="S246">
        <v>70</v>
      </c>
      <c r="T246" t="str">
        <f t="shared" si="50"/>
        <v>51-75</v>
      </c>
      <c r="U246">
        <v>4</v>
      </c>
      <c r="V246" t="s">
        <v>65</v>
      </c>
      <c r="W246">
        <v>5</v>
      </c>
      <c r="X246" t="s">
        <v>90</v>
      </c>
      <c r="Y246">
        <v>4</v>
      </c>
      <c r="Z246" t="s">
        <v>65</v>
      </c>
      <c r="AA246" t="s">
        <v>77</v>
      </c>
      <c r="AB246" s="4">
        <v>19202</v>
      </c>
      <c r="AC246" s="4" t="str">
        <f t="shared" si="51"/>
        <v>$19,000-$20,500</v>
      </c>
      <c r="AD246">
        <v>15970</v>
      </c>
      <c r="AE246" t="str">
        <f t="shared" si="52"/>
        <v>$8,001-$16,000</v>
      </c>
      <c r="AF246">
        <v>0</v>
      </c>
      <c r="AG246" t="str">
        <f t="shared" si="53"/>
        <v>0-1</v>
      </c>
      <c r="AH246" t="s">
        <v>67</v>
      </c>
      <c r="AI246" t="s">
        <v>71</v>
      </c>
      <c r="AJ246">
        <v>11</v>
      </c>
      <c r="AK246" t="str">
        <f t="shared" si="54"/>
        <v>11-12%</v>
      </c>
      <c r="AL246">
        <v>3</v>
      </c>
      <c r="AM246" t="s">
        <v>68</v>
      </c>
      <c r="AN246">
        <v>3</v>
      </c>
      <c r="AO246" t="s">
        <v>63</v>
      </c>
      <c r="AP246">
        <v>80</v>
      </c>
      <c r="AQ246">
        <v>1</v>
      </c>
      <c r="AR246">
        <v>25</v>
      </c>
      <c r="AS246" t="str">
        <f t="shared" si="55"/>
        <v>21-40</v>
      </c>
      <c r="AT246">
        <v>2</v>
      </c>
      <c r="AU246" t="str">
        <f t="shared" si="56"/>
        <v>0-2</v>
      </c>
      <c r="AV246">
        <v>3</v>
      </c>
      <c r="AW246" t="s">
        <v>79</v>
      </c>
      <c r="AX246">
        <v>24</v>
      </c>
      <c r="AY246" t="str">
        <f t="shared" si="45"/>
        <v>21-40</v>
      </c>
      <c r="AZ246">
        <v>0</v>
      </c>
      <c r="BA246" t="str">
        <f t="shared" si="57"/>
        <v>0-1</v>
      </c>
      <c r="BB246">
        <v>1</v>
      </c>
      <c r="BC246" t="str">
        <f t="shared" si="58"/>
        <v>0-1</v>
      </c>
      <c r="BD246">
        <v>7</v>
      </c>
      <c r="BE246" t="str">
        <f t="shared" si="59"/>
        <v>6-10</v>
      </c>
    </row>
    <row r="247" spans="1:57" x14ac:dyDescent="0.3">
      <c r="A247">
        <v>337</v>
      </c>
      <c r="B247">
        <v>31</v>
      </c>
      <c r="C247" t="str">
        <f t="shared" si="46"/>
        <v>26-35</v>
      </c>
      <c r="D247" t="s">
        <v>71</v>
      </c>
      <c r="E247">
        <f t="shared" si="47"/>
        <v>0</v>
      </c>
      <c r="F247" t="s">
        <v>72</v>
      </c>
      <c r="G247">
        <v>1327</v>
      </c>
      <c r="H247" t="str">
        <f t="shared" si="48"/>
        <v>1001-1499</v>
      </c>
      <c r="I247" t="s">
        <v>73</v>
      </c>
      <c r="J247">
        <v>3</v>
      </c>
      <c r="K247" t="str">
        <f t="shared" si="49"/>
        <v>1-5</v>
      </c>
      <c r="L247">
        <v>4</v>
      </c>
      <c r="M247" t="s">
        <v>82</v>
      </c>
      <c r="N247" t="s">
        <v>83</v>
      </c>
      <c r="O247">
        <v>1</v>
      </c>
      <c r="P247">
        <v>2</v>
      </c>
      <c r="Q247" t="s">
        <v>61</v>
      </c>
      <c r="R247" t="s">
        <v>75</v>
      </c>
      <c r="S247">
        <v>73</v>
      </c>
      <c r="T247" t="str">
        <f t="shared" si="50"/>
        <v>51-75</v>
      </c>
      <c r="U247">
        <v>3</v>
      </c>
      <c r="V247" t="s">
        <v>63</v>
      </c>
      <c r="W247">
        <v>3</v>
      </c>
      <c r="X247" t="s">
        <v>92</v>
      </c>
      <c r="Y247">
        <v>3</v>
      </c>
      <c r="Z247" t="s">
        <v>63</v>
      </c>
      <c r="AA247" t="s">
        <v>86</v>
      </c>
      <c r="AB247" s="4">
        <v>13675</v>
      </c>
      <c r="AC247" s="4" t="str">
        <f t="shared" si="51"/>
        <v>$13,000-$14,500</v>
      </c>
      <c r="AD247">
        <v>13523</v>
      </c>
      <c r="AE247" t="str">
        <f t="shared" si="52"/>
        <v>$8,001-$16,000</v>
      </c>
      <c r="AF247">
        <v>9</v>
      </c>
      <c r="AG247" t="str">
        <f t="shared" si="53"/>
        <v>7-9</v>
      </c>
      <c r="AH247" t="s">
        <v>67</v>
      </c>
      <c r="AI247" t="s">
        <v>71</v>
      </c>
      <c r="AJ247">
        <v>12</v>
      </c>
      <c r="AK247" t="str">
        <f t="shared" si="54"/>
        <v>11-12%</v>
      </c>
      <c r="AL247">
        <v>3</v>
      </c>
      <c r="AM247" t="s">
        <v>68</v>
      </c>
      <c r="AN247">
        <v>1</v>
      </c>
      <c r="AO247" t="s">
        <v>69</v>
      </c>
      <c r="AP247">
        <v>80</v>
      </c>
      <c r="AQ247">
        <v>1</v>
      </c>
      <c r="AR247">
        <v>9</v>
      </c>
      <c r="AS247" t="str">
        <f t="shared" si="55"/>
        <v>6-10</v>
      </c>
      <c r="AT247">
        <v>3</v>
      </c>
      <c r="AU247" t="str">
        <f t="shared" si="56"/>
        <v>3-4</v>
      </c>
      <c r="AV247">
        <v>3</v>
      </c>
      <c r="AW247" t="s">
        <v>79</v>
      </c>
      <c r="AX247">
        <v>2</v>
      </c>
      <c r="AY247" t="str">
        <f t="shared" si="45"/>
        <v>2-5</v>
      </c>
      <c r="AZ247">
        <v>2</v>
      </c>
      <c r="BA247" t="str">
        <f t="shared" si="57"/>
        <v>2-5</v>
      </c>
      <c r="BB247">
        <v>2</v>
      </c>
      <c r="BC247" t="str">
        <f t="shared" si="58"/>
        <v>2-5</v>
      </c>
      <c r="BD247">
        <v>2</v>
      </c>
      <c r="BE247" t="str">
        <f t="shared" si="59"/>
        <v>2-5</v>
      </c>
    </row>
    <row r="248" spans="1:57" x14ac:dyDescent="0.3">
      <c r="A248">
        <v>338</v>
      </c>
      <c r="B248">
        <v>33</v>
      </c>
      <c r="C248" t="str">
        <f t="shared" si="46"/>
        <v>26-35</v>
      </c>
      <c r="D248" t="s">
        <v>71</v>
      </c>
      <c r="E248">
        <f t="shared" si="47"/>
        <v>0</v>
      </c>
      <c r="F248" t="s">
        <v>57</v>
      </c>
      <c r="G248">
        <v>832</v>
      </c>
      <c r="H248" t="str">
        <f t="shared" si="48"/>
        <v>501-1000</v>
      </c>
      <c r="I248" t="s">
        <v>73</v>
      </c>
      <c r="J248">
        <v>5</v>
      </c>
      <c r="K248" t="str">
        <f t="shared" si="49"/>
        <v>1-5</v>
      </c>
      <c r="L248">
        <v>4</v>
      </c>
      <c r="M248" t="s">
        <v>82</v>
      </c>
      <c r="N248" t="s">
        <v>60</v>
      </c>
      <c r="O248">
        <v>1</v>
      </c>
      <c r="P248">
        <v>3</v>
      </c>
      <c r="Q248" t="s">
        <v>63</v>
      </c>
      <c r="R248" t="s">
        <v>62</v>
      </c>
      <c r="S248">
        <v>63</v>
      </c>
      <c r="T248" t="str">
        <f t="shared" si="50"/>
        <v>51-75</v>
      </c>
      <c r="U248">
        <v>2</v>
      </c>
      <c r="V248" t="s">
        <v>61</v>
      </c>
      <c r="W248">
        <v>1</v>
      </c>
      <c r="X248" t="s">
        <v>76</v>
      </c>
      <c r="Y248">
        <v>4</v>
      </c>
      <c r="Z248" t="s">
        <v>65</v>
      </c>
      <c r="AA248" t="s">
        <v>77</v>
      </c>
      <c r="AB248" s="4">
        <v>2911</v>
      </c>
      <c r="AC248" s="4" t="str">
        <f t="shared" si="51"/>
        <v>$2,500-$4,000</v>
      </c>
      <c r="AD248">
        <v>14776</v>
      </c>
      <c r="AE248" t="str">
        <f t="shared" si="52"/>
        <v>$8,001-$16,000</v>
      </c>
      <c r="AF248">
        <v>1</v>
      </c>
      <c r="AG248" t="str">
        <f t="shared" si="53"/>
        <v>0-1</v>
      </c>
      <c r="AH248" t="s">
        <v>67</v>
      </c>
      <c r="AI248" t="s">
        <v>71</v>
      </c>
      <c r="AJ248">
        <v>13</v>
      </c>
      <c r="AK248" t="str">
        <f t="shared" si="54"/>
        <v>13-15%</v>
      </c>
      <c r="AL248">
        <v>3</v>
      </c>
      <c r="AM248" t="s">
        <v>68</v>
      </c>
      <c r="AN248">
        <v>3</v>
      </c>
      <c r="AO248" t="s">
        <v>63</v>
      </c>
      <c r="AP248">
        <v>80</v>
      </c>
      <c r="AQ248">
        <v>1</v>
      </c>
      <c r="AR248">
        <v>2</v>
      </c>
      <c r="AS248" t="str">
        <f t="shared" si="55"/>
        <v>0-2</v>
      </c>
      <c r="AT248">
        <v>2</v>
      </c>
      <c r="AU248" t="str">
        <f t="shared" si="56"/>
        <v>0-2</v>
      </c>
      <c r="AV248">
        <v>2</v>
      </c>
      <c r="AW248" t="s">
        <v>84</v>
      </c>
      <c r="AX248">
        <v>2</v>
      </c>
      <c r="AY248" t="str">
        <f t="shared" si="45"/>
        <v>2-5</v>
      </c>
      <c r="AZ248">
        <v>2</v>
      </c>
      <c r="BA248" t="str">
        <f t="shared" si="57"/>
        <v>2-5</v>
      </c>
      <c r="BB248">
        <v>0</v>
      </c>
      <c r="BC248" t="str">
        <f t="shared" si="58"/>
        <v>0-1</v>
      </c>
      <c r="BD248">
        <v>2</v>
      </c>
      <c r="BE248" t="str">
        <f t="shared" si="59"/>
        <v>2-5</v>
      </c>
    </row>
    <row r="249" spans="1:57" x14ac:dyDescent="0.3">
      <c r="A249">
        <v>339</v>
      </c>
      <c r="B249">
        <v>34</v>
      </c>
      <c r="C249" t="str">
        <f t="shared" si="46"/>
        <v>26-35</v>
      </c>
      <c r="D249" t="s">
        <v>71</v>
      </c>
      <c r="E249">
        <f t="shared" si="47"/>
        <v>0</v>
      </c>
      <c r="F249" t="s">
        <v>57</v>
      </c>
      <c r="G249">
        <v>470</v>
      </c>
      <c r="H249" t="str">
        <f t="shared" si="48"/>
        <v>102-500</v>
      </c>
      <c r="I249" t="s">
        <v>73</v>
      </c>
      <c r="J249">
        <v>2</v>
      </c>
      <c r="K249" t="str">
        <f t="shared" si="49"/>
        <v>1-5</v>
      </c>
      <c r="L249">
        <v>4</v>
      </c>
      <c r="M249" t="s">
        <v>82</v>
      </c>
      <c r="N249" t="s">
        <v>60</v>
      </c>
      <c r="O249">
        <v>1</v>
      </c>
      <c r="P249">
        <v>4</v>
      </c>
      <c r="Q249" t="s">
        <v>65</v>
      </c>
      <c r="R249" t="s">
        <v>75</v>
      </c>
      <c r="S249">
        <v>84</v>
      </c>
      <c r="T249" t="str">
        <f t="shared" si="50"/>
        <v>76-100</v>
      </c>
      <c r="U249">
        <v>2</v>
      </c>
      <c r="V249" t="s">
        <v>61</v>
      </c>
      <c r="W249">
        <v>2</v>
      </c>
      <c r="X249" t="s">
        <v>87</v>
      </c>
      <c r="Y249">
        <v>1</v>
      </c>
      <c r="Z249" t="s">
        <v>69</v>
      </c>
      <c r="AA249" t="s">
        <v>77</v>
      </c>
      <c r="AB249" s="4">
        <v>5957</v>
      </c>
      <c r="AC249" s="4" t="str">
        <f t="shared" si="51"/>
        <v>$5,500-$7,000</v>
      </c>
      <c r="AD249">
        <v>23687</v>
      </c>
      <c r="AE249" t="str">
        <f t="shared" si="52"/>
        <v>$22,001-$26,999</v>
      </c>
      <c r="AF249">
        <v>6</v>
      </c>
      <c r="AG249" t="str">
        <f t="shared" si="53"/>
        <v>4-6</v>
      </c>
      <c r="AH249" t="s">
        <v>67</v>
      </c>
      <c r="AI249" t="s">
        <v>71</v>
      </c>
      <c r="AJ249">
        <v>13</v>
      </c>
      <c r="AK249" t="str">
        <f t="shared" si="54"/>
        <v>13-15%</v>
      </c>
      <c r="AL249">
        <v>3</v>
      </c>
      <c r="AM249" t="s">
        <v>68</v>
      </c>
      <c r="AN249">
        <v>2</v>
      </c>
      <c r="AO249" t="s">
        <v>61</v>
      </c>
      <c r="AP249">
        <v>80</v>
      </c>
      <c r="AQ249">
        <v>1</v>
      </c>
      <c r="AR249">
        <v>13</v>
      </c>
      <c r="AS249" t="str">
        <f t="shared" si="55"/>
        <v>11-20</v>
      </c>
      <c r="AT249">
        <v>3</v>
      </c>
      <c r="AU249" t="str">
        <f t="shared" si="56"/>
        <v>3-4</v>
      </c>
      <c r="AV249">
        <v>3</v>
      </c>
      <c r="AW249" t="s">
        <v>79</v>
      </c>
      <c r="AX249">
        <v>11</v>
      </c>
      <c r="AY249" t="str">
        <f t="shared" si="45"/>
        <v>11-20</v>
      </c>
      <c r="AZ249">
        <v>9</v>
      </c>
      <c r="BA249" t="str">
        <f t="shared" si="57"/>
        <v>6-10</v>
      </c>
      <c r="BB249">
        <v>5</v>
      </c>
      <c r="BC249" t="str">
        <f t="shared" si="58"/>
        <v>2-5</v>
      </c>
      <c r="BD249">
        <v>9</v>
      </c>
      <c r="BE249" t="str">
        <f t="shared" si="59"/>
        <v>6-10</v>
      </c>
    </row>
    <row r="250" spans="1:57" x14ac:dyDescent="0.3">
      <c r="A250">
        <v>340</v>
      </c>
      <c r="B250">
        <v>37</v>
      </c>
      <c r="C250" t="str">
        <f t="shared" si="46"/>
        <v>36-45</v>
      </c>
      <c r="D250" t="s">
        <v>71</v>
      </c>
      <c r="E250">
        <f t="shared" si="47"/>
        <v>0</v>
      </c>
      <c r="F250" t="s">
        <v>57</v>
      </c>
      <c r="G250">
        <v>1017</v>
      </c>
      <c r="H250" t="str">
        <f t="shared" si="48"/>
        <v>1001-1499</v>
      </c>
      <c r="I250" t="s">
        <v>73</v>
      </c>
      <c r="J250">
        <v>1</v>
      </c>
      <c r="K250" t="str">
        <f t="shared" si="49"/>
        <v>1-5</v>
      </c>
      <c r="L250">
        <v>2</v>
      </c>
      <c r="M250" t="s">
        <v>59</v>
      </c>
      <c r="N250" t="s">
        <v>83</v>
      </c>
      <c r="O250">
        <v>1</v>
      </c>
      <c r="P250">
        <v>3</v>
      </c>
      <c r="Q250" t="s">
        <v>63</v>
      </c>
      <c r="R250" t="s">
        <v>62</v>
      </c>
      <c r="S250">
        <v>83</v>
      </c>
      <c r="T250" t="str">
        <f t="shared" si="50"/>
        <v>76-100</v>
      </c>
      <c r="U250">
        <v>2</v>
      </c>
      <c r="V250" t="s">
        <v>61</v>
      </c>
      <c r="W250">
        <v>1</v>
      </c>
      <c r="X250" t="s">
        <v>76</v>
      </c>
      <c r="Y250">
        <v>1</v>
      </c>
      <c r="Z250" t="s">
        <v>69</v>
      </c>
      <c r="AA250" t="s">
        <v>77</v>
      </c>
      <c r="AB250" s="4">
        <v>3920</v>
      </c>
      <c r="AC250" s="4" t="str">
        <f t="shared" si="51"/>
        <v>$2,500-$4,000</v>
      </c>
      <c r="AD250">
        <v>18697</v>
      </c>
      <c r="AE250" t="str">
        <f t="shared" si="52"/>
        <v>$16,001-$22,000</v>
      </c>
      <c r="AF250">
        <v>2</v>
      </c>
      <c r="AG250" t="str">
        <f t="shared" si="53"/>
        <v>2-3</v>
      </c>
      <c r="AH250" t="s">
        <v>67</v>
      </c>
      <c r="AI250" t="s">
        <v>71</v>
      </c>
      <c r="AJ250">
        <v>14</v>
      </c>
      <c r="AK250" t="str">
        <f t="shared" si="54"/>
        <v>13-15%</v>
      </c>
      <c r="AL250">
        <v>3</v>
      </c>
      <c r="AM250" t="s">
        <v>68</v>
      </c>
      <c r="AN250">
        <v>1</v>
      </c>
      <c r="AO250" t="s">
        <v>69</v>
      </c>
      <c r="AP250">
        <v>80</v>
      </c>
      <c r="AQ250">
        <v>1</v>
      </c>
      <c r="AR250">
        <v>17</v>
      </c>
      <c r="AS250" t="str">
        <f t="shared" si="55"/>
        <v>11-20</v>
      </c>
      <c r="AT250">
        <v>2</v>
      </c>
      <c r="AU250" t="str">
        <f t="shared" si="56"/>
        <v>0-2</v>
      </c>
      <c r="AV250">
        <v>2</v>
      </c>
      <c r="AW250" t="s">
        <v>84</v>
      </c>
      <c r="AX250">
        <v>3</v>
      </c>
      <c r="AY250" t="str">
        <f t="shared" si="45"/>
        <v>2-5</v>
      </c>
      <c r="AZ250">
        <v>1</v>
      </c>
      <c r="BA250" t="str">
        <f t="shared" si="57"/>
        <v>0-1</v>
      </c>
      <c r="BB250">
        <v>0</v>
      </c>
      <c r="BC250" t="str">
        <f t="shared" si="58"/>
        <v>0-1</v>
      </c>
      <c r="BD250">
        <v>2</v>
      </c>
      <c r="BE250" t="str">
        <f t="shared" si="59"/>
        <v>2-5</v>
      </c>
    </row>
    <row r="251" spans="1:57" x14ac:dyDescent="0.3">
      <c r="A251">
        <v>341</v>
      </c>
      <c r="B251">
        <v>45</v>
      </c>
      <c r="C251" t="str">
        <f t="shared" si="46"/>
        <v>36-45</v>
      </c>
      <c r="D251" t="s">
        <v>71</v>
      </c>
      <c r="E251">
        <f t="shared" si="47"/>
        <v>0</v>
      </c>
      <c r="F251" t="s">
        <v>72</v>
      </c>
      <c r="G251">
        <v>1199</v>
      </c>
      <c r="H251" t="str">
        <f t="shared" si="48"/>
        <v>1001-1499</v>
      </c>
      <c r="I251" t="s">
        <v>73</v>
      </c>
      <c r="J251">
        <v>7</v>
      </c>
      <c r="K251" t="str">
        <f t="shared" si="49"/>
        <v>6-10</v>
      </c>
      <c r="L251">
        <v>4</v>
      </c>
      <c r="M251" t="s">
        <v>82</v>
      </c>
      <c r="N251" t="s">
        <v>60</v>
      </c>
      <c r="O251">
        <v>1</v>
      </c>
      <c r="P251">
        <v>1</v>
      </c>
      <c r="Q251" t="s">
        <v>69</v>
      </c>
      <c r="R251" t="s">
        <v>75</v>
      </c>
      <c r="S251">
        <v>77</v>
      </c>
      <c r="T251" t="str">
        <f t="shared" si="50"/>
        <v>76-100</v>
      </c>
      <c r="U251">
        <v>4</v>
      </c>
      <c r="V251" t="s">
        <v>65</v>
      </c>
      <c r="W251">
        <v>2</v>
      </c>
      <c r="X251" t="s">
        <v>87</v>
      </c>
      <c r="Y251">
        <v>3</v>
      </c>
      <c r="Z251" t="s">
        <v>63</v>
      </c>
      <c r="AA251" t="s">
        <v>77</v>
      </c>
      <c r="AB251" s="4">
        <v>6434</v>
      </c>
      <c r="AC251" s="4" t="str">
        <f t="shared" si="51"/>
        <v>$5,500-$7,000</v>
      </c>
      <c r="AD251">
        <v>5118</v>
      </c>
      <c r="AE251" t="str">
        <f t="shared" si="52"/>
        <v>$2,094-$8,000</v>
      </c>
      <c r="AF251">
        <v>4</v>
      </c>
      <c r="AG251" t="str">
        <f t="shared" si="53"/>
        <v>4-6</v>
      </c>
      <c r="AH251" t="s">
        <v>67</v>
      </c>
      <c r="AI251" t="s">
        <v>71</v>
      </c>
      <c r="AJ251">
        <v>17</v>
      </c>
      <c r="AK251" t="str">
        <f t="shared" si="54"/>
        <v>16-17%</v>
      </c>
      <c r="AL251">
        <v>3</v>
      </c>
      <c r="AM251" t="s">
        <v>68</v>
      </c>
      <c r="AN251">
        <v>4</v>
      </c>
      <c r="AO251" t="s">
        <v>65</v>
      </c>
      <c r="AP251">
        <v>80</v>
      </c>
      <c r="AQ251">
        <v>1</v>
      </c>
      <c r="AR251">
        <v>9</v>
      </c>
      <c r="AS251" t="str">
        <f t="shared" si="55"/>
        <v>6-10</v>
      </c>
      <c r="AT251">
        <v>1</v>
      </c>
      <c r="AU251" t="str">
        <f t="shared" si="56"/>
        <v>0-2</v>
      </c>
      <c r="AV251">
        <v>3</v>
      </c>
      <c r="AW251" t="s">
        <v>79</v>
      </c>
      <c r="AX251">
        <v>3</v>
      </c>
      <c r="AY251" t="str">
        <f t="shared" si="45"/>
        <v>2-5</v>
      </c>
      <c r="AZ251">
        <v>2</v>
      </c>
      <c r="BA251" t="str">
        <f t="shared" si="57"/>
        <v>2-5</v>
      </c>
      <c r="BB251">
        <v>0</v>
      </c>
      <c r="BC251" t="str">
        <f t="shared" si="58"/>
        <v>0-1</v>
      </c>
      <c r="BD251">
        <v>2</v>
      </c>
      <c r="BE251" t="str">
        <f t="shared" si="59"/>
        <v>2-5</v>
      </c>
    </row>
    <row r="252" spans="1:57" x14ac:dyDescent="0.3">
      <c r="A252">
        <v>342</v>
      </c>
      <c r="B252">
        <v>37</v>
      </c>
      <c r="C252" t="str">
        <f t="shared" si="46"/>
        <v>36-45</v>
      </c>
      <c r="D252" t="s">
        <v>56</v>
      </c>
      <c r="E252">
        <f t="shared" si="47"/>
        <v>1</v>
      </c>
      <c r="F252" t="s">
        <v>72</v>
      </c>
      <c r="G252">
        <v>504</v>
      </c>
      <c r="H252" t="str">
        <f t="shared" si="48"/>
        <v>501-1000</v>
      </c>
      <c r="I252" t="s">
        <v>73</v>
      </c>
      <c r="J252">
        <v>10</v>
      </c>
      <c r="K252" t="str">
        <f t="shared" si="49"/>
        <v>6-10</v>
      </c>
      <c r="L252">
        <v>3</v>
      </c>
      <c r="M252" t="s">
        <v>85</v>
      </c>
      <c r="N252" t="s">
        <v>83</v>
      </c>
      <c r="O252">
        <v>1</v>
      </c>
      <c r="P252">
        <v>1</v>
      </c>
      <c r="Q252" t="s">
        <v>69</v>
      </c>
      <c r="R252" t="s">
        <v>75</v>
      </c>
      <c r="S252">
        <v>61</v>
      </c>
      <c r="T252" t="str">
        <f t="shared" si="50"/>
        <v>51-75</v>
      </c>
      <c r="U252">
        <v>3</v>
      </c>
      <c r="V252" t="s">
        <v>63</v>
      </c>
      <c r="W252">
        <v>3</v>
      </c>
      <c r="X252" t="s">
        <v>87</v>
      </c>
      <c r="Y252">
        <v>3</v>
      </c>
      <c r="Z252" t="s">
        <v>63</v>
      </c>
      <c r="AA252" t="s">
        <v>86</v>
      </c>
      <c r="AB252" s="4">
        <v>10048</v>
      </c>
      <c r="AC252" s="4" t="str">
        <f t="shared" si="51"/>
        <v>$10,000-$11,500</v>
      </c>
      <c r="AD252">
        <v>22573</v>
      </c>
      <c r="AE252" t="str">
        <f t="shared" si="52"/>
        <v>$22,001-$26,999</v>
      </c>
      <c r="AF252">
        <v>6</v>
      </c>
      <c r="AG252" t="str">
        <f t="shared" si="53"/>
        <v>4-6</v>
      </c>
      <c r="AH252" t="s">
        <v>67</v>
      </c>
      <c r="AI252" t="s">
        <v>71</v>
      </c>
      <c r="AJ252">
        <v>11</v>
      </c>
      <c r="AK252" t="str">
        <f t="shared" si="54"/>
        <v>11-12%</v>
      </c>
      <c r="AL252">
        <v>3</v>
      </c>
      <c r="AM252" t="s">
        <v>68</v>
      </c>
      <c r="AN252">
        <v>2</v>
      </c>
      <c r="AO252" t="s">
        <v>61</v>
      </c>
      <c r="AP252">
        <v>80</v>
      </c>
      <c r="AQ252">
        <v>2</v>
      </c>
      <c r="AR252">
        <v>17</v>
      </c>
      <c r="AS252" t="str">
        <f t="shared" si="55"/>
        <v>11-20</v>
      </c>
      <c r="AT252">
        <v>5</v>
      </c>
      <c r="AU252" t="str">
        <f t="shared" si="56"/>
        <v>5-6</v>
      </c>
      <c r="AV252">
        <v>3</v>
      </c>
      <c r="AW252" t="s">
        <v>79</v>
      </c>
      <c r="AX252">
        <v>1</v>
      </c>
      <c r="AY252" t="str">
        <f t="shared" si="45"/>
        <v>0-1</v>
      </c>
      <c r="AZ252">
        <v>0</v>
      </c>
      <c r="BA252" t="str">
        <f t="shared" si="57"/>
        <v>0-1</v>
      </c>
      <c r="BB252">
        <v>0</v>
      </c>
      <c r="BC252" t="str">
        <f t="shared" si="58"/>
        <v>0-1</v>
      </c>
      <c r="BD252">
        <v>0</v>
      </c>
      <c r="BE252" t="str">
        <f t="shared" si="59"/>
        <v>0-1</v>
      </c>
    </row>
    <row r="253" spans="1:57" x14ac:dyDescent="0.3">
      <c r="A253">
        <v>343</v>
      </c>
      <c r="B253">
        <v>39</v>
      </c>
      <c r="C253" t="str">
        <f t="shared" si="46"/>
        <v>36-45</v>
      </c>
      <c r="D253" t="s">
        <v>71</v>
      </c>
      <c r="E253">
        <f t="shared" si="47"/>
        <v>0</v>
      </c>
      <c r="F253" t="s">
        <v>72</v>
      </c>
      <c r="G253">
        <v>505</v>
      </c>
      <c r="H253" t="str">
        <f t="shared" si="48"/>
        <v>501-1000</v>
      </c>
      <c r="I253" t="s">
        <v>73</v>
      </c>
      <c r="J253">
        <v>2</v>
      </c>
      <c r="K253" t="str">
        <f t="shared" si="49"/>
        <v>1-5</v>
      </c>
      <c r="L253">
        <v>4</v>
      </c>
      <c r="M253" t="s">
        <v>82</v>
      </c>
      <c r="N253" t="s">
        <v>95</v>
      </c>
      <c r="O253">
        <v>1</v>
      </c>
      <c r="P253">
        <v>3</v>
      </c>
      <c r="Q253" t="s">
        <v>63</v>
      </c>
      <c r="R253" t="s">
        <v>62</v>
      </c>
      <c r="S253">
        <v>64</v>
      </c>
      <c r="T253" t="str">
        <f t="shared" si="50"/>
        <v>51-75</v>
      </c>
      <c r="U253">
        <v>3</v>
      </c>
      <c r="V253" t="s">
        <v>63</v>
      </c>
      <c r="W253">
        <v>3</v>
      </c>
      <c r="X253" t="s">
        <v>88</v>
      </c>
      <c r="Y253">
        <v>3</v>
      </c>
      <c r="Z253" t="s">
        <v>63</v>
      </c>
      <c r="AA253" t="s">
        <v>66</v>
      </c>
      <c r="AB253" s="4">
        <v>10938</v>
      </c>
      <c r="AC253" s="4" t="str">
        <f t="shared" si="51"/>
        <v>$10,000-$11,500</v>
      </c>
      <c r="AD253">
        <v>6420</v>
      </c>
      <c r="AE253" t="str">
        <f t="shared" si="52"/>
        <v>$2,094-$8,000</v>
      </c>
      <c r="AF253">
        <v>0</v>
      </c>
      <c r="AG253" t="str">
        <f t="shared" si="53"/>
        <v>0-1</v>
      </c>
      <c r="AH253" t="s">
        <v>67</v>
      </c>
      <c r="AI253" t="s">
        <v>71</v>
      </c>
      <c r="AJ253">
        <v>25</v>
      </c>
      <c r="AK253" t="str">
        <f t="shared" si="54"/>
        <v>18-19%</v>
      </c>
      <c r="AL253">
        <v>4</v>
      </c>
      <c r="AM253" t="s">
        <v>78</v>
      </c>
      <c r="AN253">
        <v>4</v>
      </c>
      <c r="AO253" t="s">
        <v>65</v>
      </c>
      <c r="AP253">
        <v>80</v>
      </c>
      <c r="AQ253">
        <v>0</v>
      </c>
      <c r="AR253">
        <v>20</v>
      </c>
      <c r="AS253" t="str">
        <f t="shared" si="55"/>
        <v>11-20</v>
      </c>
      <c r="AT253">
        <v>1</v>
      </c>
      <c r="AU253" t="str">
        <f t="shared" si="56"/>
        <v>0-2</v>
      </c>
      <c r="AV253">
        <v>3</v>
      </c>
      <c r="AW253" t="s">
        <v>79</v>
      </c>
      <c r="AX253">
        <v>19</v>
      </c>
      <c r="AY253" t="str">
        <f t="shared" si="45"/>
        <v>11-20</v>
      </c>
      <c r="AZ253">
        <v>6</v>
      </c>
      <c r="BA253" t="str">
        <f t="shared" si="57"/>
        <v>6-10</v>
      </c>
      <c r="BB253">
        <v>11</v>
      </c>
      <c r="BC253" t="str">
        <f t="shared" si="58"/>
        <v>11-15</v>
      </c>
      <c r="BD253">
        <v>8</v>
      </c>
      <c r="BE253" t="str">
        <f t="shared" si="59"/>
        <v>6-10</v>
      </c>
    </row>
    <row r="254" spans="1:57" x14ac:dyDescent="0.3">
      <c r="A254">
        <v>346</v>
      </c>
      <c r="B254">
        <v>29</v>
      </c>
      <c r="C254" t="str">
        <f t="shared" si="46"/>
        <v>26-35</v>
      </c>
      <c r="D254" t="s">
        <v>71</v>
      </c>
      <c r="E254">
        <f t="shared" si="47"/>
        <v>0</v>
      </c>
      <c r="F254" t="s">
        <v>57</v>
      </c>
      <c r="G254">
        <v>665</v>
      </c>
      <c r="H254" t="str">
        <f t="shared" si="48"/>
        <v>501-1000</v>
      </c>
      <c r="I254" t="s">
        <v>73</v>
      </c>
      <c r="J254">
        <v>15</v>
      </c>
      <c r="K254" t="str">
        <f t="shared" si="49"/>
        <v>11-20</v>
      </c>
      <c r="L254">
        <v>3</v>
      </c>
      <c r="M254" t="s">
        <v>85</v>
      </c>
      <c r="N254" t="s">
        <v>60</v>
      </c>
      <c r="O254">
        <v>1</v>
      </c>
      <c r="P254">
        <v>3</v>
      </c>
      <c r="Q254" t="s">
        <v>63</v>
      </c>
      <c r="R254" t="s">
        <v>75</v>
      </c>
      <c r="S254">
        <v>60</v>
      </c>
      <c r="T254" t="str">
        <f t="shared" si="50"/>
        <v>51-75</v>
      </c>
      <c r="U254">
        <v>3</v>
      </c>
      <c r="V254" t="s">
        <v>63</v>
      </c>
      <c r="W254">
        <v>1</v>
      </c>
      <c r="X254" t="s">
        <v>76</v>
      </c>
      <c r="Y254">
        <v>4</v>
      </c>
      <c r="Z254" t="s">
        <v>65</v>
      </c>
      <c r="AA254" t="s">
        <v>66</v>
      </c>
      <c r="AB254" s="4">
        <v>2340</v>
      </c>
      <c r="AC254" s="4" t="str">
        <f t="shared" si="51"/>
        <v>$1,000-$2,500</v>
      </c>
      <c r="AD254">
        <v>22673</v>
      </c>
      <c r="AE254" t="str">
        <f t="shared" si="52"/>
        <v>$22,001-$26,999</v>
      </c>
      <c r="AF254">
        <v>1</v>
      </c>
      <c r="AG254" t="str">
        <f t="shared" si="53"/>
        <v>0-1</v>
      </c>
      <c r="AH254" t="s">
        <v>67</v>
      </c>
      <c r="AI254" t="s">
        <v>71</v>
      </c>
      <c r="AJ254">
        <v>19</v>
      </c>
      <c r="AK254" t="str">
        <f t="shared" si="54"/>
        <v>18-19%</v>
      </c>
      <c r="AL254">
        <v>3</v>
      </c>
      <c r="AM254" t="s">
        <v>68</v>
      </c>
      <c r="AN254">
        <v>1</v>
      </c>
      <c r="AO254" t="s">
        <v>69</v>
      </c>
      <c r="AP254">
        <v>80</v>
      </c>
      <c r="AQ254">
        <v>0</v>
      </c>
      <c r="AR254">
        <v>6</v>
      </c>
      <c r="AS254" t="str">
        <f t="shared" si="55"/>
        <v>6-10</v>
      </c>
      <c r="AT254">
        <v>1</v>
      </c>
      <c r="AU254" t="str">
        <f t="shared" si="56"/>
        <v>0-2</v>
      </c>
      <c r="AV254">
        <v>3</v>
      </c>
      <c r="AW254" t="s">
        <v>79</v>
      </c>
      <c r="AX254">
        <v>6</v>
      </c>
      <c r="AY254" t="str">
        <f t="shared" si="45"/>
        <v>6-10</v>
      </c>
      <c r="AZ254">
        <v>5</v>
      </c>
      <c r="BA254" t="str">
        <f t="shared" si="57"/>
        <v>2-5</v>
      </c>
      <c r="BB254">
        <v>1</v>
      </c>
      <c r="BC254" t="str">
        <f t="shared" si="58"/>
        <v>0-1</v>
      </c>
      <c r="BD254">
        <v>5</v>
      </c>
      <c r="BE254" t="str">
        <f t="shared" si="59"/>
        <v>2-5</v>
      </c>
    </row>
    <row r="255" spans="1:57" x14ac:dyDescent="0.3">
      <c r="A255">
        <v>347</v>
      </c>
      <c r="B255">
        <v>42</v>
      </c>
      <c r="C255" t="str">
        <f t="shared" si="46"/>
        <v>36-45</v>
      </c>
      <c r="D255" t="s">
        <v>71</v>
      </c>
      <c r="E255">
        <f t="shared" si="47"/>
        <v>0</v>
      </c>
      <c r="F255" t="s">
        <v>57</v>
      </c>
      <c r="G255">
        <v>916</v>
      </c>
      <c r="H255" t="str">
        <f t="shared" si="48"/>
        <v>501-1000</v>
      </c>
      <c r="I255" t="s">
        <v>73</v>
      </c>
      <c r="J255">
        <v>17</v>
      </c>
      <c r="K255" t="str">
        <f t="shared" si="49"/>
        <v>11-20</v>
      </c>
      <c r="L255">
        <v>2</v>
      </c>
      <c r="M255" t="s">
        <v>59</v>
      </c>
      <c r="N255" t="s">
        <v>60</v>
      </c>
      <c r="O255">
        <v>1</v>
      </c>
      <c r="P255">
        <v>4</v>
      </c>
      <c r="Q255" t="s">
        <v>65</v>
      </c>
      <c r="R255" t="s">
        <v>62</v>
      </c>
      <c r="S255">
        <v>82</v>
      </c>
      <c r="T255" t="str">
        <f t="shared" si="50"/>
        <v>76-100</v>
      </c>
      <c r="U255">
        <v>4</v>
      </c>
      <c r="V255" t="s">
        <v>65</v>
      </c>
      <c r="W255">
        <v>2</v>
      </c>
      <c r="X255" t="s">
        <v>76</v>
      </c>
      <c r="Y255">
        <v>1</v>
      </c>
      <c r="Z255" t="s">
        <v>69</v>
      </c>
      <c r="AA255" t="s">
        <v>66</v>
      </c>
      <c r="AB255" s="4">
        <v>6545</v>
      </c>
      <c r="AC255" s="4" t="str">
        <f t="shared" si="51"/>
        <v>$5,500-$7,000</v>
      </c>
      <c r="AD255">
        <v>23016</v>
      </c>
      <c r="AE255" t="str">
        <f t="shared" si="52"/>
        <v>$22,001-$26,999</v>
      </c>
      <c r="AF255">
        <v>3</v>
      </c>
      <c r="AG255" t="str">
        <f t="shared" si="53"/>
        <v>2-3</v>
      </c>
      <c r="AH255" t="s">
        <v>67</v>
      </c>
      <c r="AI255" t="s">
        <v>56</v>
      </c>
      <c r="AJ255">
        <v>13</v>
      </c>
      <c r="AK255" t="str">
        <f t="shared" si="54"/>
        <v>13-15%</v>
      </c>
      <c r="AL255">
        <v>3</v>
      </c>
      <c r="AM255" t="s">
        <v>68</v>
      </c>
      <c r="AN255">
        <v>3</v>
      </c>
      <c r="AO255" t="s">
        <v>63</v>
      </c>
      <c r="AP255">
        <v>80</v>
      </c>
      <c r="AQ255">
        <v>0</v>
      </c>
      <c r="AR255">
        <v>10</v>
      </c>
      <c r="AS255" t="str">
        <f t="shared" si="55"/>
        <v>6-10</v>
      </c>
      <c r="AT255">
        <v>1</v>
      </c>
      <c r="AU255" t="str">
        <f t="shared" si="56"/>
        <v>0-2</v>
      </c>
      <c r="AV255">
        <v>3</v>
      </c>
      <c r="AW255" t="s">
        <v>79</v>
      </c>
      <c r="AX255">
        <v>3</v>
      </c>
      <c r="AY255" t="str">
        <f t="shared" si="45"/>
        <v>2-5</v>
      </c>
      <c r="AZ255">
        <v>2</v>
      </c>
      <c r="BA255" t="str">
        <f t="shared" si="57"/>
        <v>2-5</v>
      </c>
      <c r="BB255">
        <v>0</v>
      </c>
      <c r="BC255" t="str">
        <f t="shared" si="58"/>
        <v>0-1</v>
      </c>
      <c r="BD255">
        <v>2</v>
      </c>
      <c r="BE255" t="str">
        <f t="shared" si="59"/>
        <v>2-5</v>
      </c>
    </row>
    <row r="256" spans="1:57" x14ac:dyDescent="0.3">
      <c r="A256">
        <v>349</v>
      </c>
      <c r="B256">
        <v>29</v>
      </c>
      <c r="C256" t="str">
        <f t="shared" si="46"/>
        <v>26-35</v>
      </c>
      <c r="D256" t="s">
        <v>71</v>
      </c>
      <c r="E256">
        <f t="shared" si="47"/>
        <v>0</v>
      </c>
      <c r="F256" t="s">
        <v>57</v>
      </c>
      <c r="G256">
        <v>1247</v>
      </c>
      <c r="H256" t="str">
        <f t="shared" si="48"/>
        <v>1001-1499</v>
      </c>
      <c r="I256" t="s">
        <v>58</v>
      </c>
      <c r="J256">
        <v>20</v>
      </c>
      <c r="K256" t="str">
        <f t="shared" si="49"/>
        <v>11-20</v>
      </c>
      <c r="L256">
        <v>2</v>
      </c>
      <c r="M256" t="s">
        <v>59</v>
      </c>
      <c r="N256" t="s">
        <v>93</v>
      </c>
      <c r="O256">
        <v>1</v>
      </c>
      <c r="P256">
        <v>4</v>
      </c>
      <c r="Q256" t="s">
        <v>65</v>
      </c>
      <c r="R256" t="s">
        <v>75</v>
      </c>
      <c r="S256">
        <v>45</v>
      </c>
      <c r="T256" t="str">
        <f t="shared" si="50"/>
        <v>30-50</v>
      </c>
      <c r="U256">
        <v>3</v>
      </c>
      <c r="V256" t="s">
        <v>63</v>
      </c>
      <c r="W256">
        <v>2</v>
      </c>
      <c r="X256" t="s">
        <v>64</v>
      </c>
      <c r="Y256">
        <v>4</v>
      </c>
      <c r="Z256" t="s">
        <v>65</v>
      </c>
      <c r="AA256" t="s">
        <v>86</v>
      </c>
      <c r="AB256" s="4">
        <v>6931</v>
      </c>
      <c r="AC256" s="4" t="str">
        <f t="shared" si="51"/>
        <v>$5,500-$7,000</v>
      </c>
      <c r="AD256">
        <v>10732</v>
      </c>
      <c r="AE256" t="str">
        <f t="shared" si="52"/>
        <v>$8,001-$16,000</v>
      </c>
      <c r="AF256">
        <v>2</v>
      </c>
      <c r="AG256" t="str">
        <f t="shared" si="53"/>
        <v>2-3</v>
      </c>
      <c r="AH256" t="s">
        <v>67</v>
      </c>
      <c r="AI256" t="s">
        <v>71</v>
      </c>
      <c r="AJ256">
        <v>14</v>
      </c>
      <c r="AK256" t="str">
        <f t="shared" si="54"/>
        <v>13-15%</v>
      </c>
      <c r="AL256">
        <v>3</v>
      </c>
      <c r="AM256" t="s">
        <v>68</v>
      </c>
      <c r="AN256">
        <v>4</v>
      </c>
      <c r="AO256" t="s">
        <v>65</v>
      </c>
      <c r="AP256">
        <v>80</v>
      </c>
      <c r="AQ256">
        <v>1</v>
      </c>
      <c r="AR256">
        <v>10</v>
      </c>
      <c r="AS256" t="str">
        <f t="shared" si="55"/>
        <v>6-10</v>
      </c>
      <c r="AT256">
        <v>2</v>
      </c>
      <c r="AU256" t="str">
        <f t="shared" si="56"/>
        <v>0-2</v>
      </c>
      <c r="AV256">
        <v>3</v>
      </c>
      <c r="AW256" t="s">
        <v>79</v>
      </c>
      <c r="AX256">
        <v>3</v>
      </c>
      <c r="AY256" t="str">
        <f t="shared" si="45"/>
        <v>2-5</v>
      </c>
      <c r="AZ256">
        <v>2</v>
      </c>
      <c r="BA256" t="str">
        <f t="shared" si="57"/>
        <v>2-5</v>
      </c>
      <c r="BB256">
        <v>0</v>
      </c>
      <c r="BC256" t="str">
        <f t="shared" si="58"/>
        <v>0-1</v>
      </c>
      <c r="BD256">
        <v>2</v>
      </c>
      <c r="BE256" t="str">
        <f t="shared" si="59"/>
        <v>2-5</v>
      </c>
    </row>
    <row r="257" spans="1:57" x14ac:dyDescent="0.3">
      <c r="A257">
        <v>350</v>
      </c>
      <c r="B257">
        <v>25</v>
      </c>
      <c r="C257" t="str">
        <f t="shared" si="46"/>
        <v>18-25</v>
      </c>
      <c r="D257" t="s">
        <v>71</v>
      </c>
      <c r="E257">
        <f t="shared" si="47"/>
        <v>0</v>
      </c>
      <c r="F257" t="s">
        <v>57</v>
      </c>
      <c r="G257">
        <v>685</v>
      </c>
      <c r="H257" t="str">
        <f t="shared" si="48"/>
        <v>501-1000</v>
      </c>
      <c r="I257" t="s">
        <v>73</v>
      </c>
      <c r="J257">
        <v>1</v>
      </c>
      <c r="K257" t="str">
        <f t="shared" si="49"/>
        <v>1-5</v>
      </c>
      <c r="L257">
        <v>3</v>
      </c>
      <c r="M257" t="s">
        <v>85</v>
      </c>
      <c r="N257" t="s">
        <v>60</v>
      </c>
      <c r="O257">
        <v>1</v>
      </c>
      <c r="P257">
        <v>1</v>
      </c>
      <c r="Q257" t="s">
        <v>69</v>
      </c>
      <c r="R257" t="s">
        <v>62</v>
      </c>
      <c r="S257">
        <v>62</v>
      </c>
      <c r="T257" t="str">
        <f t="shared" si="50"/>
        <v>51-75</v>
      </c>
      <c r="U257">
        <v>3</v>
      </c>
      <c r="V257" t="s">
        <v>63</v>
      </c>
      <c r="W257">
        <v>2</v>
      </c>
      <c r="X257" t="s">
        <v>87</v>
      </c>
      <c r="Y257">
        <v>3</v>
      </c>
      <c r="Z257" t="s">
        <v>63</v>
      </c>
      <c r="AA257" t="s">
        <v>77</v>
      </c>
      <c r="AB257" s="4">
        <v>4898</v>
      </c>
      <c r="AC257" s="4" t="str">
        <f t="shared" si="51"/>
        <v>$4,000-$5,500</v>
      </c>
      <c r="AD257">
        <v>7505</v>
      </c>
      <c r="AE257" t="str">
        <f t="shared" si="52"/>
        <v>$2,094-$8,000</v>
      </c>
      <c r="AF257">
        <v>0</v>
      </c>
      <c r="AG257" t="str">
        <f t="shared" si="53"/>
        <v>0-1</v>
      </c>
      <c r="AH257" t="s">
        <v>67</v>
      </c>
      <c r="AI257" t="s">
        <v>71</v>
      </c>
      <c r="AJ257">
        <v>12</v>
      </c>
      <c r="AK257" t="str">
        <f t="shared" si="54"/>
        <v>11-12%</v>
      </c>
      <c r="AL257">
        <v>3</v>
      </c>
      <c r="AM257" t="s">
        <v>68</v>
      </c>
      <c r="AN257">
        <v>4</v>
      </c>
      <c r="AO257" t="s">
        <v>65</v>
      </c>
      <c r="AP257">
        <v>80</v>
      </c>
      <c r="AQ257">
        <v>2</v>
      </c>
      <c r="AR257">
        <v>5</v>
      </c>
      <c r="AS257" t="str">
        <f t="shared" si="55"/>
        <v>3-5</v>
      </c>
      <c r="AT257">
        <v>3</v>
      </c>
      <c r="AU257" t="str">
        <f t="shared" si="56"/>
        <v>3-4</v>
      </c>
      <c r="AV257">
        <v>3</v>
      </c>
      <c r="AW257" t="s">
        <v>79</v>
      </c>
      <c r="AX257">
        <v>4</v>
      </c>
      <c r="AY257" t="str">
        <f t="shared" si="45"/>
        <v>2-5</v>
      </c>
      <c r="AZ257">
        <v>2</v>
      </c>
      <c r="BA257" t="str">
        <f t="shared" si="57"/>
        <v>2-5</v>
      </c>
      <c r="BB257">
        <v>1</v>
      </c>
      <c r="BC257" t="str">
        <f t="shared" si="58"/>
        <v>0-1</v>
      </c>
      <c r="BD257">
        <v>2</v>
      </c>
      <c r="BE257" t="str">
        <f t="shared" si="59"/>
        <v>2-5</v>
      </c>
    </row>
    <row r="258" spans="1:57" x14ac:dyDescent="0.3">
      <c r="A258">
        <v>351</v>
      </c>
      <c r="B258">
        <v>42</v>
      </c>
      <c r="C258" t="str">
        <f t="shared" si="46"/>
        <v>36-45</v>
      </c>
      <c r="D258" t="s">
        <v>71</v>
      </c>
      <c r="E258">
        <f t="shared" si="47"/>
        <v>0</v>
      </c>
      <c r="F258" t="s">
        <v>57</v>
      </c>
      <c r="G258">
        <v>269</v>
      </c>
      <c r="H258" t="str">
        <f t="shared" si="48"/>
        <v>102-500</v>
      </c>
      <c r="I258" t="s">
        <v>73</v>
      </c>
      <c r="J258">
        <v>2</v>
      </c>
      <c r="K258" t="str">
        <f t="shared" si="49"/>
        <v>1-5</v>
      </c>
      <c r="L258">
        <v>3</v>
      </c>
      <c r="M258" t="s">
        <v>85</v>
      </c>
      <c r="N258" t="s">
        <v>83</v>
      </c>
      <c r="O258">
        <v>1</v>
      </c>
      <c r="P258">
        <v>4</v>
      </c>
      <c r="Q258" t="s">
        <v>65</v>
      </c>
      <c r="R258" t="s">
        <v>62</v>
      </c>
      <c r="S258">
        <v>56</v>
      </c>
      <c r="T258" t="str">
        <f t="shared" si="50"/>
        <v>51-75</v>
      </c>
      <c r="U258">
        <v>2</v>
      </c>
      <c r="V258" t="s">
        <v>61</v>
      </c>
      <c r="W258">
        <v>1</v>
      </c>
      <c r="X258" t="s">
        <v>81</v>
      </c>
      <c r="Y258">
        <v>1</v>
      </c>
      <c r="Z258" t="s">
        <v>69</v>
      </c>
      <c r="AA258" t="s">
        <v>86</v>
      </c>
      <c r="AB258" s="4">
        <v>2593</v>
      </c>
      <c r="AC258" s="4" t="str">
        <f t="shared" si="51"/>
        <v>$2,500-$4,000</v>
      </c>
      <c r="AD258">
        <v>8007</v>
      </c>
      <c r="AE258" t="str">
        <f t="shared" si="52"/>
        <v>$8,001-$16,000</v>
      </c>
      <c r="AF258">
        <v>0</v>
      </c>
      <c r="AG258" t="str">
        <f t="shared" si="53"/>
        <v>0-1</v>
      </c>
      <c r="AH258" t="s">
        <v>67</v>
      </c>
      <c r="AI258" t="s">
        <v>56</v>
      </c>
      <c r="AJ258">
        <v>11</v>
      </c>
      <c r="AK258" t="str">
        <f t="shared" si="54"/>
        <v>11-12%</v>
      </c>
      <c r="AL258">
        <v>3</v>
      </c>
      <c r="AM258" t="s">
        <v>68</v>
      </c>
      <c r="AN258">
        <v>3</v>
      </c>
      <c r="AO258" t="s">
        <v>63</v>
      </c>
      <c r="AP258">
        <v>80</v>
      </c>
      <c r="AQ258">
        <v>1</v>
      </c>
      <c r="AR258">
        <v>10</v>
      </c>
      <c r="AS258" t="str">
        <f t="shared" si="55"/>
        <v>6-10</v>
      </c>
      <c r="AT258">
        <v>4</v>
      </c>
      <c r="AU258" t="str">
        <f t="shared" si="56"/>
        <v>3-4</v>
      </c>
      <c r="AV258">
        <v>3</v>
      </c>
      <c r="AW258" t="s">
        <v>79</v>
      </c>
      <c r="AX258">
        <v>9</v>
      </c>
      <c r="AY258" t="str">
        <f t="shared" ref="AY258:AY321" si="60">IF(AX258&lt;=1,"0-1",IF(AX258&lt;=5,"2-5",IF(AX258&lt;=10,"6-10",IF(AX258&lt;=20,"11-20","21-40"))))</f>
        <v>6-10</v>
      </c>
      <c r="AZ258">
        <v>6</v>
      </c>
      <c r="BA258" t="str">
        <f t="shared" si="57"/>
        <v>6-10</v>
      </c>
      <c r="BB258">
        <v>7</v>
      </c>
      <c r="BC258" t="str">
        <f t="shared" si="58"/>
        <v>6-10</v>
      </c>
      <c r="BD258">
        <v>8</v>
      </c>
      <c r="BE258" t="str">
        <f t="shared" si="59"/>
        <v>6-10</v>
      </c>
    </row>
    <row r="259" spans="1:57" x14ac:dyDescent="0.3">
      <c r="A259">
        <v>352</v>
      </c>
      <c r="B259">
        <v>40</v>
      </c>
      <c r="C259" t="str">
        <f t="shared" ref="C259:C322" si="61">IF(B259&lt;=25, "18-25", IF(B259&lt;=35, "26-35", IF(B259&lt;=45, "36-45", IF(B259&lt;=55, "46-55", "56+"))))</f>
        <v>36-45</v>
      </c>
      <c r="D259" t="s">
        <v>71</v>
      </c>
      <c r="E259">
        <f t="shared" ref="E259:E322" si="62">IF(D259="Yes",1,0)</f>
        <v>0</v>
      </c>
      <c r="F259" t="s">
        <v>57</v>
      </c>
      <c r="G259">
        <v>1416</v>
      </c>
      <c r="H259" t="str">
        <f t="shared" ref="H259:H322" si="63">IF(G259&lt;=500,"102-500",IF(G259&lt;=1000,"501-1000","1001-1499"))</f>
        <v>1001-1499</v>
      </c>
      <c r="I259" t="s">
        <v>73</v>
      </c>
      <c r="J259">
        <v>2</v>
      </c>
      <c r="K259" t="str">
        <f t="shared" ref="K259:K322" si="64">IF(J259&lt;=5,"1-5",IF(J259&lt;=10,"6-10",IF(J259&lt;=20,"11-20","21-29")))</f>
        <v>1-5</v>
      </c>
      <c r="L259">
        <v>2</v>
      </c>
      <c r="M259" t="s">
        <v>59</v>
      </c>
      <c r="N259" t="s">
        <v>83</v>
      </c>
      <c r="O259">
        <v>1</v>
      </c>
      <c r="P259">
        <v>1</v>
      </c>
      <c r="Q259" t="s">
        <v>69</v>
      </c>
      <c r="R259" t="s">
        <v>75</v>
      </c>
      <c r="S259">
        <v>49</v>
      </c>
      <c r="T259" t="str">
        <f t="shared" ref="T259:T322" si="65">IF(S259&lt;=50,"30-50",IF(S259&lt;=75,"51-75","76-100"))</f>
        <v>30-50</v>
      </c>
      <c r="U259">
        <v>3</v>
      </c>
      <c r="V259" t="s">
        <v>63</v>
      </c>
      <c r="W259">
        <v>5</v>
      </c>
      <c r="X259" t="s">
        <v>92</v>
      </c>
      <c r="Y259">
        <v>3</v>
      </c>
      <c r="Z259" t="s">
        <v>63</v>
      </c>
      <c r="AA259" t="s">
        <v>86</v>
      </c>
      <c r="AB259" s="4">
        <v>19436</v>
      </c>
      <c r="AC259" s="4" t="str">
        <f t="shared" ref="AC259:AC322" si="66">IF(AB259&lt;2500,"$1,000-$2,500",IF(AB259&lt;4000,"$2,500-$4,000",IF(AB259&lt;5500,"$4,000-$5,500",IF(AB259&lt;7000,"$5,500-$7,000",IF(AB259&lt;8500,"$7,000-$8,500",IF(AB259&lt;10000,"$8,500-$10,000",IF(AB259&lt;11500,"$10,000-$11,500",IF(AB259&lt;13000,"$11,500-$13,000",IF(AB259&lt;14500,"$13,000-$14,500",IF(AB259&lt;16000,"$14,500-$16,000",IF(AB259&lt;17500,"$16,000-$17,500",IF(AB259&lt;19000,"$17,500-$19,000",IF(AB259&lt;20500,"$19,000-$20,500",IF(AB259&lt;22000,"$20,500-$22,000",IF(AB259&lt;23500,"$22,000-$23,500",IF(AB259&lt;25000,"$23,500-$25,000",IF(AB259&lt;26500,"$25,000-$26,500",IF(AB259&lt;28000,"$26,500-$28,000",IF(AB259&lt;29500,"$28,000-$29,500","$29,500+")))))))))))))))))))</f>
        <v>$19,000-$20,500</v>
      </c>
      <c r="AD259">
        <v>5949</v>
      </c>
      <c r="AE259" t="str">
        <f t="shared" ref="AE259:AE322" si="67">IF(AD259&lt;=8000,"$2,094-$8,000",IF(AD259&lt;=16000,"$8,001-$16,000",IF(AD259&lt;=22000,"$16,001-$22,000","$22,001-$26,999")))</f>
        <v>$2,094-$8,000</v>
      </c>
      <c r="AF259">
        <v>0</v>
      </c>
      <c r="AG259" t="str">
        <f t="shared" ref="AG259:AG322" si="68">IF(AF259&lt;=1,"0-1",IF(AF259&lt;=3,"2-3",IF(AF259&lt;=6,"4-6","7-9")))</f>
        <v>0-1</v>
      </c>
      <c r="AH259" t="s">
        <v>67</v>
      </c>
      <c r="AI259" t="s">
        <v>71</v>
      </c>
      <c r="AJ259">
        <v>19</v>
      </c>
      <c r="AK259" t="str">
        <f t="shared" ref="AK259:AK322" si="69">IF(AJ259&lt;=12,"11-12%",IF(AJ259&lt;=15,"13-15%",IF(AJ259&lt;=17,"16-17%","18-19%")))</f>
        <v>18-19%</v>
      </c>
      <c r="AL259">
        <v>3</v>
      </c>
      <c r="AM259" t="s">
        <v>68</v>
      </c>
      <c r="AN259">
        <v>4</v>
      </c>
      <c r="AO259" t="s">
        <v>65</v>
      </c>
      <c r="AP259">
        <v>80</v>
      </c>
      <c r="AQ259">
        <v>1</v>
      </c>
      <c r="AR259">
        <v>22</v>
      </c>
      <c r="AS259" t="str">
        <f t="shared" ref="AS259:AS322" si="70">IF(AR259&lt;=2,"0-2",IF(AR259&lt;=5,"3-5",IF(AR259&lt;=10,"6-10",IF(AR259&lt;=20,"11-20","21-40"))))</f>
        <v>21-40</v>
      </c>
      <c r="AT259">
        <v>5</v>
      </c>
      <c r="AU259" t="str">
        <f t="shared" ref="AU259:AU322" si="71">IF(AT259&lt;=2,"0-2",IF(AT259&lt;=4,"3-4","5-6"))</f>
        <v>5-6</v>
      </c>
      <c r="AV259">
        <v>3</v>
      </c>
      <c r="AW259" t="s">
        <v>79</v>
      </c>
      <c r="AX259">
        <v>21</v>
      </c>
      <c r="AY259" t="str">
        <f t="shared" si="60"/>
        <v>21-40</v>
      </c>
      <c r="AZ259">
        <v>7</v>
      </c>
      <c r="BA259" t="str">
        <f t="shared" ref="BA259:BA322" si="72">IF(AZ259&lt;=1,"0-1",IF(AZ259&lt;=5,"2-5",IF(AZ259&lt;=10,"6-10","11-18")))</f>
        <v>6-10</v>
      </c>
      <c r="BB259">
        <v>3</v>
      </c>
      <c r="BC259" t="str">
        <f t="shared" ref="BC259:BC322" si="73">IF(BB259&lt;=1,"0-1",IF(BB259&lt;=5,"2-5",IF(BB259&lt;=10,"6-10","11-15")))</f>
        <v>2-5</v>
      </c>
      <c r="BD259">
        <v>9</v>
      </c>
      <c r="BE259" t="str">
        <f t="shared" ref="BE259:BE322" si="74">IF(BD259&lt;=1,"0-1",IF(BD259&lt;=5,"2-5",IF(BD259&lt;=10,"6-10","11-17")))</f>
        <v>6-10</v>
      </c>
    </row>
    <row r="260" spans="1:57" x14ac:dyDescent="0.3">
      <c r="A260">
        <v>353</v>
      </c>
      <c r="B260">
        <v>51</v>
      </c>
      <c r="C260" t="str">
        <f t="shared" si="61"/>
        <v>46-55</v>
      </c>
      <c r="D260" t="s">
        <v>71</v>
      </c>
      <c r="E260">
        <f t="shared" si="62"/>
        <v>0</v>
      </c>
      <c r="F260" t="s">
        <v>57</v>
      </c>
      <c r="G260">
        <v>833</v>
      </c>
      <c r="H260" t="str">
        <f t="shared" si="63"/>
        <v>501-1000</v>
      </c>
      <c r="I260" t="s">
        <v>73</v>
      </c>
      <c r="J260">
        <v>1</v>
      </c>
      <c r="K260" t="str">
        <f t="shared" si="64"/>
        <v>1-5</v>
      </c>
      <c r="L260">
        <v>3</v>
      </c>
      <c r="M260" t="s">
        <v>85</v>
      </c>
      <c r="N260" t="s">
        <v>60</v>
      </c>
      <c r="O260">
        <v>1</v>
      </c>
      <c r="P260">
        <v>3</v>
      </c>
      <c r="Q260" t="s">
        <v>63</v>
      </c>
      <c r="R260" t="s">
        <v>75</v>
      </c>
      <c r="S260">
        <v>96</v>
      </c>
      <c r="T260" t="str">
        <f t="shared" si="65"/>
        <v>76-100</v>
      </c>
      <c r="U260">
        <v>3</v>
      </c>
      <c r="V260" t="s">
        <v>63</v>
      </c>
      <c r="W260">
        <v>1</v>
      </c>
      <c r="X260" t="s">
        <v>76</v>
      </c>
      <c r="Y260">
        <v>4</v>
      </c>
      <c r="Z260" t="s">
        <v>65</v>
      </c>
      <c r="AA260" t="s">
        <v>77</v>
      </c>
      <c r="AB260" s="4">
        <v>2723</v>
      </c>
      <c r="AC260" s="4" t="str">
        <f t="shared" si="66"/>
        <v>$2,500-$4,000</v>
      </c>
      <c r="AD260">
        <v>23231</v>
      </c>
      <c r="AE260" t="str">
        <f t="shared" si="67"/>
        <v>$22,001-$26,999</v>
      </c>
      <c r="AF260">
        <v>1</v>
      </c>
      <c r="AG260" t="str">
        <f t="shared" si="68"/>
        <v>0-1</v>
      </c>
      <c r="AH260" t="s">
        <v>67</v>
      </c>
      <c r="AI260" t="s">
        <v>71</v>
      </c>
      <c r="AJ260">
        <v>11</v>
      </c>
      <c r="AK260" t="str">
        <f t="shared" si="69"/>
        <v>11-12%</v>
      </c>
      <c r="AL260">
        <v>3</v>
      </c>
      <c r="AM260" t="s">
        <v>68</v>
      </c>
      <c r="AN260">
        <v>2</v>
      </c>
      <c r="AO260" t="s">
        <v>61</v>
      </c>
      <c r="AP260">
        <v>80</v>
      </c>
      <c r="AQ260">
        <v>0</v>
      </c>
      <c r="AR260">
        <v>1</v>
      </c>
      <c r="AS260" t="str">
        <f t="shared" si="70"/>
        <v>0-2</v>
      </c>
      <c r="AT260">
        <v>0</v>
      </c>
      <c r="AU260" t="str">
        <f t="shared" si="71"/>
        <v>0-2</v>
      </c>
      <c r="AV260">
        <v>2</v>
      </c>
      <c r="AW260" t="s">
        <v>84</v>
      </c>
      <c r="AX260">
        <v>1</v>
      </c>
      <c r="AY260" t="str">
        <f t="shared" si="60"/>
        <v>0-1</v>
      </c>
      <c r="AZ260">
        <v>0</v>
      </c>
      <c r="BA260" t="str">
        <f t="shared" si="72"/>
        <v>0-1</v>
      </c>
      <c r="BB260">
        <v>0</v>
      </c>
      <c r="BC260" t="str">
        <f t="shared" si="73"/>
        <v>0-1</v>
      </c>
      <c r="BD260">
        <v>0</v>
      </c>
      <c r="BE260" t="str">
        <f t="shared" si="74"/>
        <v>0-1</v>
      </c>
    </row>
    <row r="261" spans="1:57" x14ac:dyDescent="0.3">
      <c r="A261">
        <v>355</v>
      </c>
      <c r="B261">
        <v>31</v>
      </c>
      <c r="C261" t="str">
        <f t="shared" si="61"/>
        <v>26-35</v>
      </c>
      <c r="D261" t="s">
        <v>56</v>
      </c>
      <c r="E261">
        <f t="shared" si="62"/>
        <v>1</v>
      </c>
      <c r="F261" t="s">
        <v>72</v>
      </c>
      <c r="G261">
        <v>307</v>
      </c>
      <c r="H261" t="str">
        <f t="shared" si="63"/>
        <v>102-500</v>
      </c>
      <c r="I261" t="s">
        <v>73</v>
      </c>
      <c r="J261">
        <v>29</v>
      </c>
      <c r="K261" t="str">
        <f t="shared" si="64"/>
        <v>21-29</v>
      </c>
      <c r="L261">
        <v>2</v>
      </c>
      <c r="M261" t="s">
        <v>59</v>
      </c>
      <c r="N261" t="s">
        <v>83</v>
      </c>
      <c r="O261">
        <v>1</v>
      </c>
      <c r="P261">
        <v>3</v>
      </c>
      <c r="Q261" t="s">
        <v>63</v>
      </c>
      <c r="R261" t="s">
        <v>75</v>
      </c>
      <c r="S261">
        <v>71</v>
      </c>
      <c r="T261" t="str">
        <f t="shared" si="65"/>
        <v>51-75</v>
      </c>
      <c r="U261">
        <v>2</v>
      </c>
      <c r="V261" t="s">
        <v>61</v>
      </c>
      <c r="W261">
        <v>1</v>
      </c>
      <c r="X261" t="s">
        <v>81</v>
      </c>
      <c r="Y261">
        <v>2</v>
      </c>
      <c r="Z261" t="s">
        <v>61</v>
      </c>
      <c r="AA261" t="s">
        <v>66</v>
      </c>
      <c r="AB261" s="4">
        <v>3479</v>
      </c>
      <c r="AC261" s="4" t="str">
        <f t="shared" si="66"/>
        <v>$2,500-$4,000</v>
      </c>
      <c r="AD261">
        <v>11652</v>
      </c>
      <c r="AE261" t="str">
        <f t="shared" si="67"/>
        <v>$8,001-$16,000</v>
      </c>
      <c r="AF261">
        <v>0</v>
      </c>
      <c r="AG261" t="str">
        <f t="shared" si="68"/>
        <v>0-1</v>
      </c>
      <c r="AH261" t="s">
        <v>67</v>
      </c>
      <c r="AI261" t="s">
        <v>71</v>
      </c>
      <c r="AJ261">
        <v>11</v>
      </c>
      <c r="AK261" t="str">
        <f t="shared" si="69"/>
        <v>11-12%</v>
      </c>
      <c r="AL261">
        <v>3</v>
      </c>
      <c r="AM261" t="s">
        <v>68</v>
      </c>
      <c r="AN261">
        <v>2</v>
      </c>
      <c r="AO261" t="s">
        <v>61</v>
      </c>
      <c r="AP261">
        <v>80</v>
      </c>
      <c r="AQ261">
        <v>0</v>
      </c>
      <c r="AR261">
        <v>6</v>
      </c>
      <c r="AS261" t="str">
        <f t="shared" si="70"/>
        <v>6-10</v>
      </c>
      <c r="AT261">
        <v>2</v>
      </c>
      <c r="AU261" t="str">
        <f t="shared" si="71"/>
        <v>0-2</v>
      </c>
      <c r="AV261">
        <v>4</v>
      </c>
      <c r="AW261" t="s">
        <v>94</v>
      </c>
      <c r="AX261">
        <v>5</v>
      </c>
      <c r="AY261" t="str">
        <f t="shared" si="60"/>
        <v>2-5</v>
      </c>
      <c r="AZ261">
        <v>4</v>
      </c>
      <c r="BA261" t="str">
        <f t="shared" si="72"/>
        <v>2-5</v>
      </c>
      <c r="BB261">
        <v>1</v>
      </c>
      <c r="BC261" t="str">
        <f t="shared" si="73"/>
        <v>0-1</v>
      </c>
      <c r="BD261">
        <v>4</v>
      </c>
      <c r="BE261" t="str">
        <f t="shared" si="74"/>
        <v>2-5</v>
      </c>
    </row>
    <row r="262" spans="1:57" x14ac:dyDescent="0.3">
      <c r="A262">
        <v>359</v>
      </c>
      <c r="B262">
        <v>32</v>
      </c>
      <c r="C262" t="str">
        <f t="shared" si="61"/>
        <v>26-35</v>
      </c>
      <c r="D262" t="s">
        <v>71</v>
      </c>
      <c r="E262">
        <f t="shared" si="62"/>
        <v>0</v>
      </c>
      <c r="F262" t="s">
        <v>72</v>
      </c>
      <c r="G262">
        <v>1311</v>
      </c>
      <c r="H262" t="str">
        <f t="shared" si="63"/>
        <v>1001-1499</v>
      </c>
      <c r="I262" t="s">
        <v>73</v>
      </c>
      <c r="J262">
        <v>7</v>
      </c>
      <c r="K262" t="str">
        <f t="shared" si="64"/>
        <v>6-10</v>
      </c>
      <c r="L262">
        <v>3</v>
      </c>
      <c r="M262" t="s">
        <v>85</v>
      </c>
      <c r="N262" t="s">
        <v>60</v>
      </c>
      <c r="O262">
        <v>1</v>
      </c>
      <c r="P262">
        <v>2</v>
      </c>
      <c r="Q262" t="s">
        <v>61</v>
      </c>
      <c r="R262" t="s">
        <v>75</v>
      </c>
      <c r="S262">
        <v>100</v>
      </c>
      <c r="T262" t="str">
        <f t="shared" si="65"/>
        <v>76-100</v>
      </c>
      <c r="U262">
        <v>4</v>
      </c>
      <c r="V262" t="s">
        <v>65</v>
      </c>
      <c r="W262">
        <v>1</v>
      </c>
      <c r="X262" t="s">
        <v>81</v>
      </c>
      <c r="Y262">
        <v>2</v>
      </c>
      <c r="Z262" t="s">
        <v>61</v>
      </c>
      <c r="AA262" t="s">
        <v>77</v>
      </c>
      <c r="AB262" s="4">
        <v>2794</v>
      </c>
      <c r="AC262" s="4" t="str">
        <f t="shared" si="66"/>
        <v>$2,500-$4,000</v>
      </c>
      <c r="AD262">
        <v>26062</v>
      </c>
      <c r="AE262" t="str">
        <f t="shared" si="67"/>
        <v>$22,001-$26,999</v>
      </c>
      <c r="AF262">
        <v>1</v>
      </c>
      <c r="AG262" t="str">
        <f t="shared" si="68"/>
        <v>0-1</v>
      </c>
      <c r="AH262" t="s">
        <v>67</v>
      </c>
      <c r="AI262" t="s">
        <v>71</v>
      </c>
      <c r="AJ262">
        <v>20</v>
      </c>
      <c r="AK262" t="str">
        <f t="shared" si="69"/>
        <v>18-19%</v>
      </c>
      <c r="AL262">
        <v>4</v>
      </c>
      <c r="AM262" t="s">
        <v>78</v>
      </c>
      <c r="AN262">
        <v>3</v>
      </c>
      <c r="AO262" t="s">
        <v>63</v>
      </c>
      <c r="AP262">
        <v>80</v>
      </c>
      <c r="AQ262">
        <v>0</v>
      </c>
      <c r="AR262">
        <v>5</v>
      </c>
      <c r="AS262" t="str">
        <f t="shared" si="70"/>
        <v>3-5</v>
      </c>
      <c r="AT262">
        <v>3</v>
      </c>
      <c r="AU262" t="str">
        <f t="shared" si="71"/>
        <v>3-4</v>
      </c>
      <c r="AV262">
        <v>1</v>
      </c>
      <c r="AW262" t="s">
        <v>70</v>
      </c>
      <c r="AX262">
        <v>5</v>
      </c>
      <c r="AY262" t="str">
        <f t="shared" si="60"/>
        <v>2-5</v>
      </c>
      <c r="AZ262">
        <v>1</v>
      </c>
      <c r="BA262" t="str">
        <f t="shared" si="72"/>
        <v>0-1</v>
      </c>
      <c r="BB262">
        <v>0</v>
      </c>
      <c r="BC262" t="str">
        <f t="shared" si="73"/>
        <v>0-1</v>
      </c>
      <c r="BD262">
        <v>3</v>
      </c>
      <c r="BE262" t="str">
        <f t="shared" si="74"/>
        <v>2-5</v>
      </c>
    </row>
    <row r="263" spans="1:57" x14ac:dyDescent="0.3">
      <c r="A263">
        <v>361</v>
      </c>
      <c r="B263">
        <v>38</v>
      </c>
      <c r="C263" t="str">
        <f t="shared" si="61"/>
        <v>36-45</v>
      </c>
      <c r="D263" t="s">
        <v>71</v>
      </c>
      <c r="E263">
        <f t="shared" si="62"/>
        <v>0</v>
      </c>
      <c r="F263" t="s">
        <v>89</v>
      </c>
      <c r="G263">
        <v>1327</v>
      </c>
      <c r="H263" t="str">
        <f t="shared" si="63"/>
        <v>1001-1499</v>
      </c>
      <c r="I263" t="s">
        <v>58</v>
      </c>
      <c r="J263">
        <v>2</v>
      </c>
      <c r="K263" t="str">
        <f t="shared" si="64"/>
        <v>1-5</v>
      </c>
      <c r="L263">
        <v>2</v>
      </c>
      <c r="M263" t="s">
        <v>59</v>
      </c>
      <c r="N263" t="s">
        <v>60</v>
      </c>
      <c r="O263">
        <v>1</v>
      </c>
      <c r="P263">
        <v>4</v>
      </c>
      <c r="Q263" t="s">
        <v>65</v>
      </c>
      <c r="R263" t="s">
        <v>75</v>
      </c>
      <c r="S263">
        <v>39</v>
      </c>
      <c r="T263" t="str">
        <f t="shared" si="65"/>
        <v>30-50</v>
      </c>
      <c r="U263">
        <v>2</v>
      </c>
      <c r="V263" t="s">
        <v>61</v>
      </c>
      <c r="W263">
        <v>2</v>
      </c>
      <c r="X263" t="s">
        <v>64</v>
      </c>
      <c r="Y263">
        <v>4</v>
      </c>
      <c r="Z263" t="s">
        <v>65</v>
      </c>
      <c r="AA263" t="s">
        <v>77</v>
      </c>
      <c r="AB263" s="4">
        <v>5249</v>
      </c>
      <c r="AC263" s="4" t="str">
        <f t="shared" si="66"/>
        <v>$4,000-$5,500</v>
      </c>
      <c r="AD263">
        <v>19682</v>
      </c>
      <c r="AE263" t="str">
        <f t="shared" si="67"/>
        <v>$16,001-$22,000</v>
      </c>
      <c r="AF263">
        <v>3</v>
      </c>
      <c r="AG263" t="str">
        <f t="shared" si="68"/>
        <v>2-3</v>
      </c>
      <c r="AH263" t="s">
        <v>67</v>
      </c>
      <c r="AI263" t="s">
        <v>71</v>
      </c>
      <c r="AJ263">
        <v>18</v>
      </c>
      <c r="AK263" t="str">
        <f t="shared" si="69"/>
        <v>18-19%</v>
      </c>
      <c r="AL263">
        <v>3</v>
      </c>
      <c r="AM263" t="s">
        <v>68</v>
      </c>
      <c r="AN263">
        <v>4</v>
      </c>
      <c r="AO263" t="s">
        <v>65</v>
      </c>
      <c r="AP263">
        <v>80</v>
      </c>
      <c r="AQ263">
        <v>1</v>
      </c>
      <c r="AR263">
        <v>13</v>
      </c>
      <c r="AS263" t="str">
        <f t="shared" si="70"/>
        <v>11-20</v>
      </c>
      <c r="AT263">
        <v>0</v>
      </c>
      <c r="AU263" t="str">
        <f t="shared" si="71"/>
        <v>0-2</v>
      </c>
      <c r="AV263">
        <v>3</v>
      </c>
      <c r="AW263" t="s">
        <v>79</v>
      </c>
      <c r="AX263">
        <v>8</v>
      </c>
      <c r="AY263" t="str">
        <f t="shared" si="60"/>
        <v>6-10</v>
      </c>
      <c r="AZ263">
        <v>7</v>
      </c>
      <c r="BA263" t="str">
        <f t="shared" si="72"/>
        <v>6-10</v>
      </c>
      <c r="BB263">
        <v>7</v>
      </c>
      <c r="BC263" t="str">
        <f t="shared" si="73"/>
        <v>6-10</v>
      </c>
      <c r="BD263">
        <v>5</v>
      </c>
      <c r="BE263" t="str">
        <f t="shared" si="74"/>
        <v>2-5</v>
      </c>
    </row>
    <row r="264" spans="1:57" x14ac:dyDescent="0.3">
      <c r="A264">
        <v>362</v>
      </c>
      <c r="B264">
        <v>32</v>
      </c>
      <c r="C264" t="str">
        <f t="shared" si="61"/>
        <v>26-35</v>
      </c>
      <c r="D264" t="s">
        <v>71</v>
      </c>
      <c r="E264">
        <f t="shared" si="62"/>
        <v>0</v>
      </c>
      <c r="F264" t="s">
        <v>57</v>
      </c>
      <c r="G264">
        <v>128</v>
      </c>
      <c r="H264" t="str">
        <f t="shared" si="63"/>
        <v>102-500</v>
      </c>
      <c r="I264" t="s">
        <v>73</v>
      </c>
      <c r="J264">
        <v>2</v>
      </c>
      <c r="K264" t="str">
        <f t="shared" si="64"/>
        <v>1-5</v>
      </c>
      <c r="L264">
        <v>1</v>
      </c>
      <c r="M264" t="s">
        <v>74</v>
      </c>
      <c r="N264" t="s">
        <v>95</v>
      </c>
      <c r="O264">
        <v>1</v>
      </c>
      <c r="P264">
        <v>4</v>
      </c>
      <c r="Q264" t="s">
        <v>65</v>
      </c>
      <c r="R264" t="s">
        <v>75</v>
      </c>
      <c r="S264">
        <v>84</v>
      </c>
      <c r="T264" t="str">
        <f t="shared" si="65"/>
        <v>76-100</v>
      </c>
      <c r="U264">
        <v>2</v>
      </c>
      <c r="V264" t="s">
        <v>61</v>
      </c>
      <c r="W264">
        <v>2</v>
      </c>
      <c r="X264" t="s">
        <v>81</v>
      </c>
      <c r="Y264">
        <v>1</v>
      </c>
      <c r="Z264" t="s">
        <v>69</v>
      </c>
      <c r="AA264" t="s">
        <v>66</v>
      </c>
      <c r="AB264" s="4">
        <v>2176</v>
      </c>
      <c r="AC264" s="4" t="str">
        <f t="shared" si="66"/>
        <v>$1,000-$2,500</v>
      </c>
      <c r="AD264">
        <v>19737</v>
      </c>
      <c r="AE264" t="str">
        <f t="shared" si="67"/>
        <v>$16,001-$22,000</v>
      </c>
      <c r="AF264">
        <v>4</v>
      </c>
      <c r="AG264" t="str">
        <f t="shared" si="68"/>
        <v>4-6</v>
      </c>
      <c r="AH264" t="s">
        <v>67</v>
      </c>
      <c r="AI264" t="s">
        <v>71</v>
      </c>
      <c r="AJ264">
        <v>13</v>
      </c>
      <c r="AK264" t="str">
        <f t="shared" si="69"/>
        <v>13-15%</v>
      </c>
      <c r="AL264">
        <v>3</v>
      </c>
      <c r="AM264" t="s">
        <v>68</v>
      </c>
      <c r="AN264">
        <v>4</v>
      </c>
      <c r="AO264" t="s">
        <v>65</v>
      </c>
      <c r="AP264">
        <v>80</v>
      </c>
      <c r="AQ264">
        <v>0</v>
      </c>
      <c r="AR264">
        <v>9</v>
      </c>
      <c r="AS264" t="str">
        <f t="shared" si="70"/>
        <v>6-10</v>
      </c>
      <c r="AT264">
        <v>5</v>
      </c>
      <c r="AU264" t="str">
        <f t="shared" si="71"/>
        <v>5-6</v>
      </c>
      <c r="AV264">
        <v>3</v>
      </c>
      <c r="AW264" t="s">
        <v>79</v>
      </c>
      <c r="AX264">
        <v>6</v>
      </c>
      <c r="AY264" t="str">
        <f t="shared" si="60"/>
        <v>6-10</v>
      </c>
      <c r="AZ264">
        <v>2</v>
      </c>
      <c r="BA264" t="str">
        <f t="shared" si="72"/>
        <v>2-5</v>
      </c>
      <c r="BB264">
        <v>0</v>
      </c>
      <c r="BC264" t="str">
        <f t="shared" si="73"/>
        <v>0-1</v>
      </c>
      <c r="BD264">
        <v>4</v>
      </c>
      <c r="BE264" t="str">
        <f t="shared" si="74"/>
        <v>2-5</v>
      </c>
    </row>
    <row r="265" spans="1:57" x14ac:dyDescent="0.3">
      <c r="A265">
        <v>363</v>
      </c>
      <c r="B265">
        <v>46</v>
      </c>
      <c r="C265" t="str">
        <f t="shared" si="61"/>
        <v>46-55</v>
      </c>
      <c r="D265" t="s">
        <v>71</v>
      </c>
      <c r="E265">
        <f t="shared" si="62"/>
        <v>0</v>
      </c>
      <c r="F265" t="s">
        <v>57</v>
      </c>
      <c r="G265">
        <v>488</v>
      </c>
      <c r="H265" t="str">
        <f t="shared" si="63"/>
        <v>102-500</v>
      </c>
      <c r="I265" t="s">
        <v>58</v>
      </c>
      <c r="J265">
        <v>2</v>
      </c>
      <c r="K265" t="str">
        <f t="shared" si="64"/>
        <v>1-5</v>
      </c>
      <c r="L265">
        <v>3</v>
      </c>
      <c r="M265" t="s">
        <v>85</v>
      </c>
      <c r="N265" t="s">
        <v>95</v>
      </c>
      <c r="O265">
        <v>1</v>
      </c>
      <c r="P265">
        <v>3</v>
      </c>
      <c r="Q265" t="s">
        <v>63</v>
      </c>
      <c r="R265" t="s">
        <v>62</v>
      </c>
      <c r="S265">
        <v>75</v>
      </c>
      <c r="T265" t="str">
        <f t="shared" si="65"/>
        <v>51-75</v>
      </c>
      <c r="U265">
        <v>1</v>
      </c>
      <c r="V265" t="s">
        <v>69</v>
      </c>
      <c r="W265">
        <v>4</v>
      </c>
      <c r="X265" t="s">
        <v>90</v>
      </c>
      <c r="Y265">
        <v>2</v>
      </c>
      <c r="Z265" t="s">
        <v>61</v>
      </c>
      <c r="AA265" t="s">
        <v>77</v>
      </c>
      <c r="AB265" s="4">
        <v>16872</v>
      </c>
      <c r="AC265" s="4" t="str">
        <f t="shared" si="66"/>
        <v>$16,000-$17,500</v>
      </c>
      <c r="AD265">
        <v>14977</v>
      </c>
      <c r="AE265" t="str">
        <f t="shared" si="67"/>
        <v>$8,001-$16,000</v>
      </c>
      <c r="AF265">
        <v>3</v>
      </c>
      <c r="AG265" t="str">
        <f t="shared" si="68"/>
        <v>2-3</v>
      </c>
      <c r="AH265" t="s">
        <v>67</v>
      </c>
      <c r="AI265" t="s">
        <v>56</v>
      </c>
      <c r="AJ265">
        <v>12</v>
      </c>
      <c r="AK265" t="str">
        <f t="shared" si="69"/>
        <v>11-12%</v>
      </c>
      <c r="AL265">
        <v>3</v>
      </c>
      <c r="AM265" t="s">
        <v>68</v>
      </c>
      <c r="AN265">
        <v>2</v>
      </c>
      <c r="AO265" t="s">
        <v>61</v>
      </c>
      <c r="AP265">
        <v>80</v>
      </c>
      <c r="AQ265">
        <v>1</v>
      </c>
      <c r="AR265">
        <v>28</v>
      </c>
      <c r="AS265" t="str">
        <f t="shared" si="70"/>
        <v>21-40</v>
      </c>
      <c r="AT265">
        <v>2</v>
      </c>
      <c r="AU265" t="str">
        <f t="shared" si="71"/>
        <v>0-2</v>
      </c>
      <c r="AV265">
        <v>2</v>
      </c>
      <c r="AW265" t="s">
        <v>84</v>
      </c>
      <c r="AX265">
        <v>7</v>
      </c>
      <c r="AY265" t="str">
        <f t="shared" si="60"/>
        <v>6-10</v>
      </c>
      <c r="AZ265">
        <v>7</v>
      </c>
      <c r="BA265" t="str">
        <f t="shared" si="72"/>
        <v>6-10</v>
      </c>
      <c r="BB265">
        <v>7</v>
      </c>
      <c r="BC265" t="str">
        <f t="shared" si="73"/>
        <v>6-10</v>
      </c>
      <c r="BD265">
        <v>7</v>
      </c>
      <c r="BE265" t="str">
        <f t="shared" si="74"/>
        <v>6-10</v>
      </c>
    </row>
    <row r="266" spans="1:57" x14ac:dyDescent="0.3">
      <c r="A266">
        <v>364</v>
      </c>
      <c r="B266">
        <v>28</v>
      </c>
      <c r="C266" t="str">
        <f t="shared" si="61"/>
        <v>26-35</v>
      </c>
      <c r="D266" t="s">
        <v>56</v>
      </c>
      <c r="E266">
        <f t="shared" si="62"/>
        <v>1</v>
      </c>
      <c r="F266" t="s">
        <v>57</v>
      </c>
      <c r="G266">
        <v>529</v>
      </c>
      <c r="H266" t="str">
        <f t="shared" si="63"/>
        <v>501-1000</v>
      </c>
      <c r="I266" t="s">
        <v>73</v>
      </c>
      <c r="J266">
        <v>2</v>
      </c>
      <c r="K266" t="str">
        <f t="shared" si="64"/>
        <v>1-5</v>
      </c>
      <c r="L266">
        <v>4</v>
      </c>
      <c r="M266" t="s">
        <v>82</v>
      </c>
      <c r="N266" t="s">
        <v>60</v>
      </c>
      <c r="O266">
        <v>1</v>
      </c>
      <c r="P266">
        <v>1</v>
      </c>
      <c r="Q266" t="s">
        <v>69</v>
      </c>
      <c r="R266" t="s">
        <v>75</v>
      </c>
      <c r="S266">
        <v>79</v>
      </c>
      <c r="T266" t="str">
        <f t="shared" si="65"/>
        <v>76-100</v>
      </c>
      <c r="U266">
        <v>3</v>
      </c>
      <c r="V266" t="s">
        <v>63</v>
      </c>
      <c r="W266">
        <v>1</v>
      </c>
      <c r="X266" t="s">
        <v>81</v>
      </c>
      <c r="Y266">
        <v>3</v>
      </c>
      <c r="Z266" t="s">
        <v>63</v>
      </c>
      <c r="AA266" t="s">
        <v>66</v>
      </c>
      <c r="AB266" s="4">
        <v>3485</v>
      </c>
      <c r="AC266" s="4" t="str">
        <f t="shared" si="66"/>
        <v>$2,500-$4,000</v>
      </c>
      <c r="AD266">
        <v>14935</v>
      </c>
      <c r="AE266" t="str">
        <f t="shared" si="67"/>
        <v>$8,001-$16,000</v>
      </c>
      <c r="AF266">
        <v>2</v>
      </c>
      <c r="AG266" t="str">
        <f t="shared" si="68"/>
        <v>2-3</v>
      </c>
      <c r="AH266" t="s">
        <v>67</v>
      </c>
      <c r="AI266" t="s">
        <v>71</v>
      </c>
      <c r="AJ266">
        <v>11</v>
      </c>
      <c r="AK266" t="str">
        <f t="shared" si="69"/>
        <v>11-12%</v>
      </c>
      <c r="AL266">
        <v>3</v>
      </c>
      <c r="AM266" t="s">
        <v>68</v>
      </c>
      <c r="AN266">
        <v>3</v>
      </c>
      <c r="AO266" t="s">
        <v>63</v>
      </c>
      <c r="AP266">
        <v>80</v>
      </c>
      <c r="AQ266">
        <v>0</v>
      </c>
      <c r="AR266">
        <v>5</v>
      </c>
      <c r="AS266" t="str">
        <f t="shared" si="70"/>
        <v>3-5</v>
      </c>
      <c r="AT266">
        <v>5</v>
      </c>
      <c r="AU266" t="str">
        <f t="shared" si="71"/>
        <v>5-6</v>
      </c>
      <c r="AV266">
        <v>1</v>
      </c>
      <c r="AW266" t="s">
        <v>70</v>
      </c>
      <c r="AX266">
        <v>0</v>
      </c>
      <c r="AY266" t="str">
        <f t="shared" si="60"/>
        <v>0-1</v>
      </c>
      <c r="AZ266">
        <v>0</v>
      </c>
      <c r="BA266" t="str">
        <f t="shared" si="72"/>
        <v>0-1</v>
      </c>
      <c r="BB266">
        <v>0</v>
      </c>
      <c r="BC266" t="str">
        <f t="shared" si="73"/>
        <v>0-1</v>
      </c>
      <c r="BD266">
        <v>0</v>
      </c>
      <c r="BE266" t="str">
        <f t="shared" si="74"/>
        <v>0-1</v>
      </c>
    </row>
    <row r="267" spans="1:57" x14ac:dyDescent="0.3">
      <c r="A267">
        <v>366</v>
      </c>
      <c r="B267">
        <v>29</v>
      </c>
      <c r="C267" t="str">
        <f t="shared" si="61"/>
        <v>26-35</v>
      </c>
      <c r="D267" t="s">
        <v>71</v>
      </c>
      <c r="E267">
        <f t="shared" si="62"/>
        <v>0</v>
      </c>
      <c r="F267" t="s">
        <v>57</v>
      </c>
      <c r="G267">
        <v>1210</v>
      </c>
      <c r="H267" t="str">
        <f t="shared" si="63"/>
        <v>1001-1499</v>
      </c>
      <c r="I267" t="s">
        <v>58</v>
      </c>
      <c r="J267">
        <v>2</v>
      </c>
      <c r="K267" t="str">
        <f t="shared" si="64"/>
        <v>1-5</v>
      </c>
      <c r="L267">
        <v>3</v>
      </c>
      <c r="M267" t="s">
        <v>85</v>
      </c>
      <c r="N267" t="s">
        <v>83</v>
      </c>
      <c r="O267">
        <v>1</v>
      </c>
      <c r="P267">
        <v>1</v>
      </c>
      <c r="Q267" t="s">
        <v>69</v>
      </c>
      <c r="R267" t="s">
        <v>75</v>
      </c>
      <c r="S267">
        <v>78</v>
      </c>
      <c r="T267" t="str">
        <f t="shared" si="65"/>
        <v>76-100</v>
      </c>
      <c r="U267">
        <v>2</v>
      </c>
      <c r="V267" t="s">
        <v>61</v>
      </c>
      <c r="W267">
        <v>2</v>
      </c>
      <c r="X267" t="s">
        <v>64</v>
      </c>
      <c r="Y267">
        <v>2</v>
      </c>
      <c r="Z267" t="s">
        <v>61</v>
      </c>
      <c r="AA267" t="s">
        <v>77</v>
      </c>
      <c r="AB267" s="4">
        <v>6644</v>
      </c>
      <c r="AC267" s="4" t="str">
        <f t="shared" si="66"/>
        <v>$5,500-$7,000</v>
      </c>
      <c r="AD267">
        <v>3687</v>
      </c>
      <c r="AE267" t="str">
        <f t="shared" si="67"/>
        <v>$2,094-$8,000</v>
      </c>
      <c r="AF267">
        <v>2</v>
      </c>
      <c r="AG267" t="str">
        <f t="shared" si="68"/>
        <v>2-3</v>
      </c>
      <c r="AH267" t="s">
        <v>67</v>
      </c>
      <c r="AI267" t="s">
        <v>71</v>
      </c>
      <c r="AJ267">
        <v>19</v>
      </c>
      <c r="AK267" t="str">
        <f t="shared" si="69"/>
        <v>18-19%</v>
      </c>
      <c r="AL267">
        <v>3</v>
      </c>
      <c r="AM267" t="s">
        <v>68</v>
      </c>
      <c r="AN267">
        <v>2</v>
      </c>
      <c r="AO267" t="s">
        <v>61</v>
      </c>
      <c r="AP267">
        <v>80</v>
      </c>
      <c r="AQ267">
        <v>2</v>
      </c>
      <c r="AR267">
        <v>10</v>
      </c>
      <c r="AS267" t="str">
        <f t="shared" si="70"/>
        <v>6-10</v>
      </c>
      <c r="AT267">
        <v>2</v>
      </c>
      <c r="AU267" t="str">
        <f t="shared" si="71"/>
        <v>0-2</v>
      </c>
      <c r="AV267">
        <v>3</v>
      </c>
      <c r="AW267" t="s">
        <v>79</v>
      </c>
      <c r="AX267">
        <v>0</v>
      </c>
      <c r="AY267" t="str">
        <f t="shared" si="60"/>
        <v>0-1</v>
      </c>
      <c r="AZ267">
        <v>0</v>
      </c>
      <c r="BA267" t="str">
        <f t="shared" si="72"/>
        <v>0-1</v>
      </c>
      <c r="BB267">
        <v>0</v>
      </c>
      <c r="BC267" t="str">
        <f t="shared" si="73"/>
        <v>0-1</v>
      </c>
      <c r="BD267">
        <v>0</v>
      </c>
      <c r="BE267" t="str">
        <f t="shared" si="74"/>
        <v>0-1</v>
      </c>
    </row>
    <row r="268" spans="1:57" x14ac:dyDescent="0.3">
      <c r="A268">
        <v>367</v>
      </c>
      <c r="B268">
        <v>31</v>
      </c>
      <c r="C268" t="str">
        <f t="shared" si="61"/>
        <v>26-35</v>
      </c>
      <c r="D268" t="s">
        <v>71</v>
      </c>
      <c r="E268">
        <f t="shared" si="62"/>
        <v>0</v>
      </c>
      <c r="F268" t="s">
        <v>57</v>
      </c>
      <c r="G268">
        <v>1463</v>
      </c>
      <c r="H268" t="str">
        <f t="shared" si="63"/>
        <v>1001-1499</v>
      </c>
      <c r="I268" t="s">
        <v>73</v>
      </c>
      <c r="J268">
        <v>23</v>
      </c>
      <c r="K268" t="str">
        <f t="shared" si="64"/>
        <v>21-29</v>
      </c>
      <c r="L268">
        <v>3</v>
      </c>
      <c r="M268" t="s">
        <v>85</v>
      </c>
      <c r="N268" t="s">
        <v>83</v>
      </c>
      <c r="O268">
        <v>1</v>
      </c>
      <c r="P268">
        <v>2</v>
      </c>
      <c r="Q268" t="s">
        <v>61</v>
      </c>
      <c r="R268" t="s">
        <v>75</v>
      </c>
      <c r="S268">
        <v>64</v>
      </c>
      <c r="T268" t="str">
        <f t="shared" si="65"/>
        <v>51-75</v>
      </c>
      <c r="U268">
        <v>2</v>
      </c>
      <c r="V268" t="s">
        <v>61</v>
      </c>
      <c r="W268">
        <v>2</v>
      </c>
      <c r="X268" t="s">
        <v>88</v>
      </c>
      <c r="Y268">
        <v>4</v>
      </c>
      <c r="Z268" t="s">
        <v>65</v>
      </c>
      <c r="AA268" t="s">
        <v>77</v>
      </c>
      <c r="AB268" s="4">
        <v>5582</v>
      </c>
      <c r="AC268" s="4" t="str">
        <f t="shared" si="66"/>
        <v>$5,500-$7,000</v>
      </c>
      <c r="AD268">
        <v>14408</v>
      </c>
      <c r="AE268" t="str">
        <f t="shared" si="67"/>
        <v>$8,001-$16,000</v>
      </c>
      <c r="AF268">
        <v>0</v>
      </c>
      <c r="AG268" t="str">
        <f t="shared" si="68"/>
        <v>0-1</v>
      </c>
      <c r="AH268" t="s">
        <v>67</v>
      </c>
      <c r="AI268" t="s">
        <v>71</v>
      </c>
      <c r="AJ268">
        <v>21</v>
      </c>
      <c r="AK268" t="str">
        <f t="shared" si="69"/>
        <v>18-19%</v>
      </c>
      <c r="AL268">
        <v>4</v>
      </c>
      <c r="AM268" t="s">
        <v>78</v>
      </c>
      <c r="AN268">
        <v>2</v>
      </c>
      <c r="AO268" t="s">
        <v>61</v>
      </c>
      <c r="AP268">
        <v>80</v>
      </c>
      <c r="AQ268">
        <v>1</v>
      </c>
      <c r="AR268">
        <v>10</v>
      </c>
      <c r="AS268" t="str">
        <f t="shared" si="70"/>
        <v>6-10</v>
      </c>
      <c r="AT268">
        <v>2</v>
      </c>
      <c r="AU268" t="str">
        <f t="shared" si="71"/>
        <v>0-2</v>
      </c>
      <c r="AV268">
        <v>3</v>
      </c>
      <c r="AW268" t="s">
        <v>79</v>
      </c>
      <c r="AX268">
        <v>9</v>
      </c>
      <c r="AY268" t="str">
        <f t="shared" si="60"/>
        <v>6-10</v>
      </c>
      <c r="AZ268">
        <v>0</v>
      </c>
      <c r="BA268" t="str">
        <f t="shared" si="72"/>
        <v>0-1</v>
      </c>
      <c r="BB268">
        <v>7</v>
      </c>
      <c r="BC268" t="str">
        <f t="shared" si="73"/>
        <v>6-10</v>
      </c>
      <c r="BD268">
        <v>8</v>
      </c>
      <c r="BE268" t="str">
        <f t="shared" si="74"/>
        <v>6-10</v>
      </c>
    </row>
    <row r="269" spans="1:57" x14ac:dyDescent="0.3">
      <c r="A269">
        <v>369</v>
      </c>
      <c r="B269">
        <v>25</v>
      </c>
      <c r="C269" t="str">
        <f t="shared" si="61"/>
        <v>18-25</v>
      </c>
      <c r="D269" t="s">
        <v>71</v>
      </c>
      <c r="E269">
        <f t="shared" si="62"/>
        <v>0</v>
      </c>
      <c r="F269" t="s">
        <v>89</v>
      </c>
      <c r="G269">
        <v>675</v>
      </c>
      <c r="H269" t="str">
        <f t="shared" si="63"/>
        <v>501-1000</v>
      </c>
      <c r="I269" t="s">
        <v>73</v>
      </c>
      <c r="J269">
        <v>5</v>
      </c>
      <c r="K269" t="str">
        <f t="shared" si="64"/>
        <v>1-5</v>
      </c>
      <c r="L269">
        <v>2</v>
      </c>
      <c r="M269" t="s">
        <v>59</v>
      </c>
      <c r="N269" t="s">
        <v>60</v>
      </c>
      <c r="O269">
        <v>1</v>
      </c>
      <c r="P269">
        <v>2</v>
      </c>
      <c r="Q269" t="s">
        <v>61</v>
      </c>
      <c r="R269" t="s">
        <v>75</v>
      </c>
      <c r="S269">
        <v>85</v>
      </c>
      <c r="T269" t="str">
        <f t="shared" si="65"/>
        <v>76-100</v>
      </c>
      <c r="U269">
        <v>4</v>
      </c>
      <c r="V269" t="s">
        <v>65</v>
      </c>
      <c r="W269">
        <v>2</v>
      </c>
      <c r="X269" t="s">
        <v>88</v>
      </c>
      <c r="Y269">
        <v>1</v>
      </c>
      <c r="Z269" t="s">
        <v>69</v>
      </c>
      <c r="AA269" t="s">
        <v>86</v>
      </c>
      <c r="AB269" s="4">
        <v>4000</v>
      </c>
      <c r="AC269" s="4" t="str">
        <f t="shared" si="66"/>
        <v>$4,000-$5,500</v>
      </c>
      <c r="AD269">
        <v>18384</v>
      </c>
      <c r="AE269" t="str">
        <f t="shared" si="67"/>
        <v>$16,001-$22,000</v>
      </c>
      <c r="AF269">
        <v>1</v>
      </c>
      <c r="AG269" t="str">
        <f t="shared" si="68"/>
        <v>0-1</v>
      </c>
      <c r="AH269" t="s">
        <v>67</v>
      </c>
      <c r="AI269" t="s">
        <v>71</v>
      </c>
      <c r="AJ269">
        <v>12</v>
      </c>
      <c r="AK269" t="str">
        <f t="shared" si="69"/>
        <v>11-12%</v>
      </c>
      <c r="AL269">
        <v>3</v>
      </c>
      <c r="AM269" t="s">
        <v>68</v>
      </c>
      <c r="AN269">
        <v>4</v>
      </c>
      <c r="AO269" t="s">
        <v>65</v>
      </c>
      <c r="AP269">
        <v>80</v>
      </c>
      <c r="AQ269">
        <v>2</v>
      </c>
      <c r="AR269">
        <v>6</v>
      </c>
      <c r="AS269" t="str">
        <f t="shared" si="70"/>
        <v>6-10</v>
      </c>
      <c r="AT269">
        <v>2</v>
      </c>
      <c r="AU269" t="str">
        <f t="shared" si="71"/>
        <v>0-2</v>
      </c>
      <c r="AV269">
        <v>3</v>
      </c>
      <c r="AW269" t="s">
        <v>79</v>
      </c>
      <c r="AX269">
        <v>6</v>
      </c>
      <c r="AY269" t="str">
        <f t="shared" si="60"/>
        <v>6-10</v>
      </c>
      <c r="AZ269">
        <v>3</v>
      </c>
      <c r="BA269" t="str">
        <f t="shared" si="72"/>
        <v>2-5</v>
      </c>
      <c r="BB269">
        <v>1</v>
      </c>
      <c r="BC269" t="str">
        <f t="shared" si="73"/>
        <v>0-1</v>
      </c>
      <c r="BD269">
        <v>5</v>
      </c>
      <c r="BE269" t="str">
        <f t="shared" si="74"/>
        <v>2-5</v>
      </c>
    </row>
    <row r="270" spans="1:57" x14ac:dyDescent="0.3">
      <c r="A270">
        <v>372</v>
      </c>
      <c r="B270">
        <v>45</v>
      </c>
      <c r="C270" t="str">
        <f t="shared" si="61"/>
        <v>36-45</v>
      </c>
      <c r="D270" t="s">
        <v>71</v>
      </c>
      <c r="E270">
        <f t="shared" si="62"/>
        <v>0</v>
      </c>
      <c r="F270" t="s">
        <v>57</v>
      </c>
      <c r="G270">
        <v>1385</v>
      </c>
      <c r="H270" t="str">
        <f t="shared" si="63"/>
        <v>1001-1499</v>
      </c>
      <c r="I270" t="s">
        <v>73</v>
      </c>
      <c r="J270">
        <v>20</v>
      </c>
      <c r="K270" t="str">
        <f t="shared" si="64"/>
        <v>11-20</v>
      </c>
      <c r="L270">
        <v>2</v>
      </c>
      <c r="M270" t="s">
        <v>59</v>
      </c>
      <c r="N270" t="s">
        <v>83</v>
      </c>
      <c r="O270">
        <v>1</v>
      </c>
      <c r="P270">
        <v>3</v>
      </c>
      <c r="Q270" t="s">
        <v>63</v>
      </c>
      <c r="R270" t="s">
        <v>75</v>
      </c>
      <c r="S270">
        <v>79</v>
      </c>
      <c r="T270" t="str">
        <f t="shared" si="65"/>
        <v>76-100</v>
      </c>
      <c r="U270">
        <v>3</v>
      </c>
      <c r="V270" t="s">
        <v>63</v>
      </c>
      <c r="W270">
        <v>4</v>
      </c>
      <c r="X270" t="s">
        <v>88</v>
      </c>
      <c r="Y270">
        <v>4</v>
      </c>
      <c r="Z270" t="s">
        <v>65</v>
      </c>
      <c r="AA270" t="s">
        <v>77</v>
      </c>
      <c r="AB270" s="4">
        <v>13496</v>
      </c>
      <c r="AC270" s="4" t="str">
        <f t="shared" si="66"/>
        <v>$13,000-$14,500</v>
      </c>
      <c r="AD270">
        <v>7501</v>
      </c>
      <c r="AE270" t="str">
        <f t="shared" si="67"/>
        <v>$2,094-$8,000</v>
      </c>
      <c r="AF270">
        <v>0</v>
      </c>
      <c r="AG270" t="str">
        <f t="shared" si="68"/>
        <v>0-1</v>
      </c>
      <c r="AH270" t="s">
        <v>67</v>
      </c>
      <c r="AI270" t="s">
        <v>56</v>
      </c>
      <c r="AJ270">
        <v>14</v>
      </c>
      <c r="AK270" t="str">
        <f t="shared" si="69"/>
        <v>13-15%</v>
      </c>
      <c r="AL270">
        <v>3</v>
      </c>
      <c r="AM270" t="s">
        <v>68</v>
      </c>
      <c r="AN270">
        <v>2</v>
      </c>
      <c r="AO270" t="s">
        <v>61</v>
      </c>
      <c r="AP270">
        <v>80</v>
      </c>
      <c r="AQ270">
        <v>0</v>
      </c>
      <c r="AR270">
        <v>21</v>
      </c>
      <c r="AS270" t="str">
        <f t="shared" si="70"/>
        <v>21-40</v>
      </c>
      <c r="AT270">
        <v>2</v>
      </c>
      <c r="AU270" t="str">
        <f t="shared" si="71"/>
        <v>0-2</v>
      </c>
      <c r="AV270">
        <v>3</v>
      </c>
      <c r="AW270" t="s">
        <v>79</v>
      </c>
      <c r="AX270">
        <v>20</v>
      </c>
      <c r="AY270" t="str">
        <f t="shared" si="60"/>
        <v>11-20</v>
      </c>
      <c r="AZ270">
        <v>7</v>
      </c>
      <c r="BA270" t="str">
        <f t="shared" si="72"/>
        <v>6-10</v>
      </c>
      <c r="BB270">
        <v>4</v>
      </c>
      <c r="BC270" t="str">
        <f t="shared" si="73"/>
        <v>2-5</v>
      </c>
      <c r="BD270">
        <v>10</v>
      </c>
      <c r="BE270" t="str">
        <f t="shared" si="74"/>
        <v>6-10</v>
      </c>
    </row>
    <row r="271" spans="1:57" x14ac:dyDescent="0.3">
      <c r="A271">
        <v>373</v>
      </c>
      <c r="B271">
        <v>36</v>
      </c>
      <c r="C271" t="str">
        <f t="shared" si="61"/>
        <v>36-45</v>
      </c>
      <c r="D271" t="s">
        <v>71</v>
      </c>
      <c r="E271">
        <f t="shared" si="62"/>
        <v>0</v>
      </c>
      <c r="F271" t="s">
        <v>57</v>
      </c>
      <c r="G271">
        <v>1403</v>
      </c>
      <c r="H271" t="str">
        <f t="shared" si="63"/>
        <v>1001-1499</v>
      </c>
      <c r="I271" t="s">
        <v>73</v>
      </c>
      <c r="J271">
        <v>6</v>
      </c>
      <c r="K271" t="str">
        <f t="shared" si="64"/>
        <v>6-10</v>
      </c>
      <c r="L271">
        <v>3</v>
      </c>
      <c r="M271" t="s">
        <v>85</v>
      </c>
      <c r="N271" t="s">
        <v>60</v>
      </c>
      <c r="O271">
        <v>1</v>
      </c>
      <c r="P271">
        <v>4</v>
      </c>
      <c r="Q271" t="s">
        <v>65</v>
      </c>
      <c r="R271" t="s">
        <v>75</v>
      </c>
      <c r="S271">
        <v>47</v>
      </c>
      <c r="T271" t="str">
        <f t="shared" si="65"/>
        <v>30-50</v>
      </c>
      <c r="U271">
        <v>3</v>
      </c>
      <c r="V271" t="s">
        <v>63</v>
      </c>
      <c r="W271">
        <v>1</v>
      </c>
      <c r="X271" t="s">
        <v>81</v>
      </c>
      <c r="Y271">
        <v>4</v>
      </c>
      <c r="Z271" t="s">
        <v>65</v>
      </c>
      <c r="AA271" t="s">
        <v>77</v>
      </c>
      <c r="AB271" s="4">
        <v>3210</v>
      </c>
      <c r="AC271" s="4" t="str">
        <f t="shared" si="66"/>
        <v>$2,500-$4,000</v>
      </c>
      <c r="AD271">
        <v>20251</v>
      </c>
      <c r="AE271" t="str">
        <f t="shared" si="67"/>
        <v>$16,001-$22,000</v>
      </c>
      <c r="AF271">
        <v>0</v>
      </c>
      <c r="AG271" t="str">
        <f t="shared" si="68"/>
        <v>0-1</v>
      </c>
      <c r="AH271" t="s">
        <v>67</v>
      </c>
      <c r="AI271" t="s">
        <v>71</v>
      </c>
      <c r="AJ271">
        <v>11</v>
      </c>
      <c r="AK271" t="str">
        <f t="shared" si="69"/>
        <v>11-12%</v>
      </c>
      <c r="AL271">
        <v>3</v>
      </c>
      <c r="AM271" t="s">
        <v>68</v>
      </c>
      <c r="AN271">
        <v>3</v>
      </c>
      <c r="AO271" t="s">
        <v>63</v>
      </c>
      <c r="AP271">
        <v>80</v>
      </c>
      <c r="AQ271">
        <v>1</v>
      </c>
      <c r="AR271">
        <v>16</v>
      </c>
      <c r="AS271" t="str">
        <f t="shared" si="70"/>
        <v>11-20</v>
      </c>
      <c r="AT271">
        <v>4</v>
      </c>
      <c r="AU271" t="str">
        <f t="shared" si="71"/>
        <v>3-4</v>
      </c>
      <c r="AV271">
        <v>3</v>
      </c>
      <c r="AW271" t="s">
        <v>79</v>
      </c>
      <c r="AX271">
        <v>15</v>
      </c>
      <c r="AY271" t="str">
        <f t="shared" si="60"/>
        <v>11-20</v>
      </c>
      <c r="AZ271">
        <v>13</v>
      </c>
      <c r="BA271" t="str">
        <f t="shared" si="72"/>
        <v>11-18</v>
      </c>
      <c r="BB271">
        <v>10</v>
      </c>
      <c r="BC271" t="str">
        <f t="shared" si="73"/>
        <v>6-10</v>
      </c>
      <c r="BD271">
        <v>11</v>
      </c>
      <c r="BE271" t="str">
        <f t="shared" si="74"/>
        <v>11-17</v>
      </c>
    </row>
    <row r="272" spans="1:57" x14ac:dyDescent="0.3">
      <c r="A272">
        <v>374</v>
      </c>
      <c r="B272">
        <v>55</v>
      </c>
      <c r="C272" t="str">
        <f t="shared" si="61"/>
        <v>46-55</v>
      </c>
      <c r="D272" t="s">
        <v>71</v>
      </c>
      <c r="E272">
        <f t="shared" si="62"/>
        <v>0</v>
      </c>
      <c r="F272" t="s">
        <v>57</v>
      </c>
      <c r="G272">
        <v>452</v>
      </c>
      <c r="H272" t="str">
        <f t="shared" si="63"/>
        <v>102-500</v>
      </c>
      <c r="I272" t="s">
        <v>73</v>
      </c>
      <c r="J272">
        <v>1</v>
      </c>
      <c r="K272" t="str">
        <f t="shared" si="64"/>
        <v>1-5</v>
      </c>
      <c r="L272">
        <v>3</v>
      </c>
      <c r="M272" t="s">
        <v>85</v>
      </c>
      <c r="N272" t="s">
        <v>83</v>
      </c>
      <c r="O272">
        <v>1</v>
      </c>
      <c r="P272">
        <v>4</v>
      </c>
      <c r="Q272" t="s">
        <v>65</v>
      </c>
      <c r="R272" t="s">
        <v>75</v>
      </c>
      <c r="S272">
        <v>81</v>
      </c>
      <c r="T272" t="str">
        <f t="shared" si="65"/>
        <v>76-100</v>
      </c>
      <c r="U272">
        <v>3</v>
      </c>
      <c r="V272" t="s">
        <v>63</v>
      </c>
      <c r="W272">
        <v>5</v>
      </c>
      <c r="X272" t="s">
        <v>90</v>
      </c>
      <c r="Y272">
        <v>1</v>
      </c>
      <c r="Z272" t="s">
        <v>69</v>
      </c>
      <c r="AA272" t="s">
        <v>66</v>
      </c>
      <c r="AB272" s="4">
        <v>19045</v>
      </c>
      <c r="AC272" s="4" t="str">
        <f t="shared" si="66"/>
        <v>$19,000-$20,500</v>
      </c>
      <c r="AD272">
        <v>18938</v>
      </c>
      <c r="AE272" t="str">
        <f t="shared" si="67"/>
        <v>$16,001-$22,000</v>
      </c>
      <c r="AF272">
        <v>0</v>
      </c>
      <c r="AG272" t="str">
        <f t="shared" si="68"/>
        <v>0-1</v>
      </c>
      <c r="AH272" t="s">
        <v>67</v>
      </c>
      <c r="AI272" t="s">
        <v>56</v>
      </c>
      <c r="AJ272">
        <v>14</v>
      </c>
      <c r="AK272" t="str">
        <f t="shared" si="69"/>
        <v>13-15%</v>
      </c>
      <c r="AL272">
        <v>3</v>
      </c>
      <c r="AM272" t="s">
        <v>68</v>
      </c>
      <c r="AN272">
        <v>3</v>
      </c>
      <c r="AO272" t="s">
        <v>63</v>
      </c>
      <c r="AP272">
        <v>80</v>
      </c>
      <c r="AQ272">
        <v>0</v>
      </c>
      <c r="AR272">
        <v>37</v>
      </c>
      <c r="AS272" t="str">
        <f t="shared" si="70"/>
        <v>21-40</v>
      </c>
      <c r="AT272">
        <v>2</v>
      </c>
      <c r="AU272" t="str">
        <f t="shared" si="71"/>
        <v>0-2</v>
      </c>
      <c r="AV272">
        <v>3</v>
      </c>
      <c r="AW272" t="s">
        <v>79</v>
      </c>
      <c r="AX272">
        <v>36</v>
      </c>
      <c r="AY272" t="str">
        <f t="shared" si="60"/>
        <v>21-40</v>
      </c>
      <c r="AZ272">
        <v>10</v>
      </c>
      <c r="BA272" t="str">
        <f t="shared" si="72"/>
        <v>6-10</v>
      </c>
      <c r="BB272">
        <v>4</v>
      </c>
      <c r="BC272" t="str">
        <f t="shared" si="73"/>
        <v>2-5</v>
      </c>
      <c r="BD272">
        <v>13</v>
      </c>
      <c r="BE272" t="str">
        <f t="shared" si="74"/>
        <v>11-17</v>
      </c>
    </row>
    <row r="273" spans="1:57" x14ac:dyDescent="0.3">
      <c r="A273">
        <v>376</v>
      </c>
      <c r="B273">
        <v>47</v>
      </c>
      <c r="C273" t="str">
        <f t="shared" si="61"/>
        <v>46-55</v>
      </c>
      <c r="D273" t="s">
        <v>56</v>
      </c>
      <c r="E273">
        <f t="shared" si="62"/>
        <v>1</v>
      </c>
      <c r="F273" t="s">
        <v>89</v>
      </c>
      <c r="G273">
        <v>666</v>
      </c>
      <c r="H273" t="str">
        <f t="shared" si="63"/>
        <v>501-1000</v>
      </c>
      <c r="I273" t="s">
        <v>73</v>
      </c>
      <c r="J273">
        <v>29</v>
      </c>
      <c r="K273" t="str">
        <f t="shared" si="64"/>
        <v>21-29</v>
      </c>
      <c r="L273">
        <v>4</v>
      </c>
      <c r="M273" t="s">
        <v>82</v>
      </c>
      <c r="N273" t="s">
        <v>60</v>
      </c>
      <c r="O273">
        <v>1</v>
      </c>
      <c r="P273">
        <v>1</v>
      </c>
      <c r="Q273" t="s">
        <v>69</v>
      </c>
      <c r="R273" t="s">
        <v>75</v>
      </c>
      <c r="S273">
        <v>88</v>
      </c>
      <c r="T273" t="str">
        <f t="shared" si="65"/>
        <v>76-100</v>
      </c>
      <c r="U273">
        <v>3</v>
      </c>
      <c r="V273" t="s">
        <v>63</v>
      </c>
      <c r="W273">
        <v>3</v>
      </c>
      <c r="X273" t="s">
        <v>90</v>
      </c>
      <c r="Y273">
        <v>2</v>
      </c>
      <c r="Z273" t="s">
        <v>61</v>
      </c>
      <c r="AA273" t="s">
        <v>77</v>
      </c>
      <c r="AB273" s="4">
        <v>11849</v>
      </c>
      <c r="AC273" s="4" t="str">
        <f t="shared" si="66"/>
        <v>$11,500-$13,000</v>
      </c>
      <c r="AD273">
        <v>10268</v>
      </c>
      <c r="AE273" t="str">
        <f t="shared" si="67"/>
        <v>$8,001-$16,000</v>
      </c>
      <c r="AF273">
        <v>1</v>
      </c>
      <c r="AG273" t="str">
        <f t="shared" si="68"/>
        <v>0-1</v>
      </c>
      <c r="AH273" t="s">
        <v>67</v>
      </c>
      <c r="AI273" t="s">
        <v>56</v>
      </c>
      <c r="AJ273">
        <v>12</v>
      </c>
      <c r="AK273" t="str">
        <f t="shared" si="69"/>
        <v>11-12%</v>
      </c>
      <c r="AL273">
        <v>3</v>
      </c>
      <c r="AM273" t="s">
        <v>68</v>
      </c>
      <c r="AN273">
        <v>4</v>
      </c>
      <c r="AO273" t="s">
        <v>65</v>
      </c>
      <c r="AP273">
        <v>80</v>
      </c>
      <c r="AQ273">
        <v>1</v>
      </c>
      <c r="AR273">
        <v>10</v>
      </c>
      <c r="AS273" t="str">
        <f t="shared" si="70"/>
        <v>6-10</v>
      </c>
      <c r="AT273">
        <v>2</v>
      </c>
      <c r="AU273" t="str">
        <f t="shared" si="71"/>
        <v>0-2</v>
      </c>
      <c r="AV273">
        <v>2</v>
      </c>
      <c r="AW273" t="s">
        <v>84</v>
      </c>
      <c r="AX273">
        <v>10</v>
      </c>
      <c r="AY273" t="str">
        <f t="shared" si="60"/>
        <v>6-10</v>
      </c>
      <c r="AZ273">
        <v>7</v>
      </c>
      <c r="BA273" t="str">
        <f t="shared" si="72"/>
        <v>6-10</v>
      </c>
      <c r="BB273">
        <v>9</v>
      </c>
      <c r="BC273" t="str">
        <f t="shared" si="73"/>
        <v>6-10</v>
      </c>
      <c r="BD273">
        <v>9</v>
      </c>
      <c r="BE273" t="str">
        <f t="shared" si="74"/>
        <v>6-10</v>
      </c>
    </row>
    <row r="274" spans="1:57" x14ac:dyDescent="0.3">
      <c r="A274">
        <v>377</v>
      </c>
      <c r="B274">
        <v>28</v>
      </c>
      <c r="C274" t="str">
        <f t="shared" si="61"/>
        <v>26-35</v>
      </c>
      <c r="D274" t="s">
        <v>71</v>
      </c>
      <c r="E274">
        <f t="shared" si="62"/>
        <v>0</v>
      </c>
      <c r="F274" t="s">
        <v>57</v>
      </c>
      <c r="G274">
        <v>1158</v>
      </c>
      <c r="H274" t="str">
        <f t="shared" si="63"/>
        <v>1001-1499</v>
      </c>
      <c r="I274" t="s">
        <v>73</v>
      </c>
      <c r="J274">
        <v>9</v>
      </c>
      <c r="K274" t="str">
        <f t="shared" si="64"/>
        <v>6-10</v>
      </c>
      <c r="L274">
        <v>3</v>
      </c>
      <c r="M274" t="s">
        <v>85</v>
      </c>
      <c r="N274" t="s">
        <v>83</v>
      </c>
      <c r="O274">
        <v>1</v>
      </c>
      <c r="P274">
        <v>4</v>
      </c>
      <c r="Q274" t="s">
        <v>65</v>
      </c>
      <c r="R274" t="s">
        <v>75</v>
      </c>
      <c r="S274">
        <v>94</v>
      </c>
      <c r="T274" t="str">
        <f t="shared" si="65"/>
        <v>76-100</v>
      </c>
      <c r="U274">
        <v>3</v>
      </c>
      <c r="V274" t="s">
        <v>63</v>
      </c>
      <c r="W274">
        <v>1</v>
      </c>
      <c r="X274" t="s">
        <v>76</v>
      </c>
      <c r="Y274">
        <v>4</v>
      </c>
      <c r="Z274" t="s">
        <v>65</v>
      </c>
      <c r="AA274" t="s">
        <v>77</v>
      </c>
      <c r="AB274" s="4">
        <v>2070</v>
      </c>
      <c r="AC274" s="4" t="str">
        <f t="shared" si="66"/>
        <v>$1,000-$2,500</v>
      </c>
      <c r="AD274">
        <v>2613</v>
      </c>
      <c r="AE274" t="str">
        <f t="shared" si="67"/>
        <v>$2,094-$8,000</v>
      </c>
      <c r="AF274">
        <v>1</v>
      </c>
      <c r="AG274" t="str">
        <f t="shared" si="68"/>
        <v>0-1</v>
      </c>
      <c r="AH274" t="s">
        <v>67</v>
      </c>
      <c r="AI274" t="s">
        <v>71</v>
      </c>
      <c r="AJ274">
        <v>23</v>
      </c>
      <c r="AK274" t="str">
        <f t="shared" si="69"/>
        <v>18-19%</v>
      </c>
      <c r="AL274">
        <v>4</v>
      </c>
      <c r="AM274" t="s">
        <v>78</v>
      </c>
      <c r="AN274">
        <v>4</v>
      </c>
      <c r="AO274" t="s">
        <v>65</v>
      </c>
      <c r="AP274">
        <v>80</v>
      </c>
      <c r="AQ274">
        <v>1</v>
      </c>
      <c r="AR274">
        <v>5</v>
      </c>
      <c r="AS274" t="str">
        <f t="shared" si="70"/>
        <v>3-5</v>
      </c>
      <c r="AT274">
        <v>3</v>
      </c>
      <c r="AU274" t="str">
        <f t="shared" si="71"/>
        <v>3-4</v>
      </c>
      <c r="AV274">
        <v>2</v>
      </c>
      <c r="AW274" t="s">
        <v>84</v>
      </c>
      <c r="AX274">
        <v>5</v>
      </c>
      <c r="AY274" t="str">
        <f t="shared" si="60"/>
        <v>2-5</v>
      </c>
      <c r="AZ274">
        <v>2</v>
      </c>
      <c r="BA274" t="str">
        <f t="shared" si="72"/>
        <v>2-5</v>
      </c>
      <c r="BB274">
        <v>0</v>
      </c>
      <c r="BC274" t="str">
        <f t="shared" si="73"/>
        <v>0-1</v>
      </c>
      <c r="BD274">
        <v>4</v>
      </c>
      <c r="BE274" t="str">
        <f t="shared" si="74"/>
        <v>2-5</v>
      </c>
    </row>
    <row r="275" spans="1:57" x14ac:dyDescent="0.3">
      <c r="A275">
        <v>378</v>
      </c>
      <c r="B275">
        <v>37</v>
      </c>
      <c r="C275" t="str">
        <f t="shared" si="61"/>
        <v>36-45</v>
      </c>
      <c r="D275" t="s">
        <v>71</v>
      </c>
      <c r="E275">
        <f t="shared" si="62"/>
        <v>0</v>
      </c>
      <c r="F275" t="s">
        <v>57</v>
      </c>
      <c r="G275">
        <v>228</v>
      </c>
      <c r="H275" t="str">
        <f t="shared" si="63"/>
        <v>102-500</v>
      </c>
      <c r="I275" t="s">
        <v>58</v>
      </c>
      <c r="J275">
        <v>6</v>
      </c>
      <c r="K275" t="str">
        <f t="shared" si="64"/>
        <v>6-10</v>
      </c>
      <c r="L275">
        <v>4</v>
      </c>
      <c r="M275" t="s">
        <v>82</v>
      </c>
      <c r="N275" t="s">
        <v>83</v>
      </c>
      <c r="O275">
        <v>1</v>
      </c>
      <c r="P275">
        <v>3</v>
      </c>
      <c r="Q275" t="s">
        <v>63</v>
      </c>
      <c r="R275" t="s">
        <v>75</v>
      </c>
      <c r="S275">
        <v>98</v>
      </c>
      <c r="T275" t="str">
        <f t="shared" si="65"/>
        <v>76-100</v>
      </c>
      <c r="U275">
        <v>3</v>
      </c>
      <c r="V275" t="s">
        <v>63</v>
      </c>
      <c r="W275">
        <v>2</v>
      </c>
      <c r="X275" t="s">
        <v>64</v>
      </c>
      <c r="Y275">
        <v>4</v>
      </c>
      <c r="Z275" t="s">
        <v>65</v>
      </c>
      <c r="AA275" t="s">
        <v>77</v>
      </c>
      <c r="AB275" s="4">
        <v>6502</v>
      </c>
      <c r="AC275" s="4" t="str">
        <f t="shared" si="66"/>
        <v>$5,500-$7,000</v>
      </c>
      <c r="AD275">
        <v>22825</v>
      </c>
      <c r="AE275" t="str">
        <f t="shared" si="67"/>
        <v>$22,001-$26,999</v>
      </c>
      <c r="AF275">
        <v>4</v>
      </c>
      <c r="AG275" t="str">
        <f t="shared" si="68"/>
        <v>4-6</v>
      </c>
      <c r="AH275" t="s">
        <v>67</v>
      </c>
      <c r="AI275" t="s">
        <v>71</v>
      </c>
      <c r="AJ275">
        <v>14</v>
      </c>
      <c r="AK275" t="str">
        <f t="shared" si="69"/>
        <v>13-15%</v>
      </c>
      <c r="AL275">
        <v>3</v>
      </c>
      <c r="AM275" t="s">
        <v>68</v>
      </c>
      <c r="AN275">
        <v>2</v>
      </c>
      <c r="AO275" t="s">
        <v>61</v>
      </c>
      <c r="AP275">
        <v>80</v>
      </c>
      <c r="AQ275">
        <v>1</v>
      </c>
      <c r="AR275">
        <v>7</v>
      </c>
      <c r="AS275" t="str">
        <f t="shared" si="70"/>
        <v>6-10</v>
      </c>
      <c r="AT275">
        <v>5</v>
      </c>
      <c r="AU275" t="str">
        <f t="shared" si="71"/>
        <v>5-6</v>
      </c>
      <c r="AV275">
        <v>4</v>
      </c>
      <c r="AW275" t="s">
        <v>94</v>
      </c>
      <c r="AX275">
        <v>5</v>
      </c>
      <c r="AY275" t="str">
        <f t="shared" si="60"/>
        <v>2-5</v>
      </c>
      <c r="AZ275">
        <v>4</v>
      </c>
      <c r="BA275" t="str">
        <f t="shared" si="72"/>
        <v>2-5</v>
      </c>
      <c r="BB275">
        <v>0</v>
      </c>
      <c r="BC275" t="str">
        <f t="shared" si="73"/>
        <v>0-1</v>
      </c>
      <c r="BD275">
        <v>1</v>
      </c>
      <c r="BE275" t="str">
        <f t="shared" si="74"/>
        <v>0-1</v>
      </c>
    </row>
    <row r="276" spans="1:57" x14ac:dyDescent="0.3">
      <c r="A276">
        <v>379</v>
      </c>
      <c r="B276">
        <v>21</v>
      </c>
      <c r="C276" t="str">
        <f t="shared" si="61"/>
        <v>18-25</v>
      </c>
      <c r="D276" t="s">
        <v>71</v>
      </c>
      <c r="E276">
        <f t="shared" si="62"/>
        <v>0</v>
      </c>
      <c r="F276" t="s">
        <v>57</v>
      </c>
      <c r="G276">
        <v>996</v>
      </c>
      <c r="H276" t="str">
        <f t="shared" si="63"/>
        <v>501-1000</v>
      </c>
      <c r="I276" t="s">
        <v>73</v>
      </c>
      <c r="J276">
        <v>3</v>
      </c>
      <c r="K276" t="str">
        <f t="shared" si="64"/>
        <v>1-5</v>
      </c>
      <c r="L276">
        <v>2</v>
      </c>
      <c r="M276" t="s">
        <v>59</v>
      </c>
      <c r="N276" t="s">
        <v>83</v>
      </c>
      <c r="O276">
        <v>1</v>
      </c>
      <c r="P276">
        <v>4</v>
      </c>
      <c r="Q276" t="s">
        <v>65</v>
      </c>
      <c r="R276" t="s">
        <v>75</v>
      </c>
      <c r="S276">
        <v>100</v>
      </c>
      <c r="T276" t="str">
        <f t="shared" si="65"/>
        <v>76-100</v>
      </c>
      <c r="U276">
        <v>2</v>
      </c>
      <c r="V276" t="s">
        <v>61</v>
      </c>
      <c r="W276">
        <v>1</v>
      </c>
      <c r="X276" t="s">
        <v>76</v>
      </c>
      <c r="Y276">
        <v>3</v>
      </c>
      <c r="Z276" t="s">
        <v>63</v>
      </c>
      <c r="AA276" t="s">
        <v>66</v>
      </c>
      <c r="AB276" s="4">
        <v>3230</v>
      </c>
      <c r="AC276" s="4" t="str">
        <f t="shared" si="66"/>
        <v>$2,500-$4,000</v>
      </c>
      <c r="AD276">
        <v>10531</v>
      </c>
      <c r="AE276" t="str">
        <f t="shared" si="67"/>
        <v>$8,001-$16,000</v>
      </c>
      <c r="AF276">
        <v>1</v>
      </c>
      <c r="AG276" t="str">
        <f t="shared" si="68"/>
        <v>0-1</v>
      </c>
      <c r="AH276" t="s">
        <v>67</v>
      </c>
      <c r="AI276" t="s">
        <v>71</v>
      </c>
      <c r="AJ276">
        <v>17</v>
      </c>
      <c r="AK276" t="str">
        <f t="shared" si="69"/>
        <v>16-17%</v>
      </c>
      <c r="AL276">
        <v>3</v>
      </c>
      <c r="AM276" t="s">
        <v>68</v>
      </c>
      <c r="AN276">
        <v>1</v>
      </c>
      <c r="AO276" t="s">
        <v>69</v>
      </c>
      <c r="AP276">
        <v>80</v>
      </c>
      <c r="AQ276">
        <v>0</v>
      </c>
      <c r="AR276">
        <v>3</v>
      </c>
      <c r="AS276" t="str">
        <f t="shared" si="70"/>
        <v>3-5</v>
      </c>
      <c r="AT276">
        <v>4</v>
      </c>
      <c r="AU276" t="str">
        <f t="shared" si="71"/>
        <v>3-4</v>
      </c>
      <c r="AV276">
        <v>4</v>
      </c>
      <c r="AW276" t="s">
        <v>94</v>
      </c>
      <c r="AX276">
        <v>3</v>
      </c>
      <c r="AY276" t="str">
        <f t="shared" si="60"/>
        <v>2-5</v>
      </c>
      <c r="AZ276">
        <v>2</v>
      </c>
      <c r="BA276" t="str">
        <f t="shared" si="72"/>
        <v>2-5</v>
      </c>
      <c r="BB276">
        <v>1</v>
      </c>
      <c r="BC276" t="str">
        <f t="shared" si="73"/>
        <v>0-1</v>
      </c>
      <c r="BD276">
        <v>0</v>
      </c>
      <c r="BE276" t="str">
        <f t="shared" si="74"/>
        <v>0-1</v>
      </c>
    </row>
    <row r="277" spans="1:57" x14ac:dyDescent="0.3">
      <c r="A277">
        <v>380</v>
      </c>
      <c r="B277">
        <v>37</v>
      </c>
      <c r="C277" t="str">
        <f t="shared" si="61"/>
        <v>36-45</v>
      </c>
      <c r="D277" t="s">
        <v>71</v>
      </c>
      <c r="E277">
        <f t="shared" si="62"/>
        <v>0</v>
      </c>
      <c r="F277" t="s">
        <v>89</v>
      </c>
      <c r="G277">
        <v>728</v>
      </c>
      <c r="H277" t="str">
        <f t="shared" si="63"/>
        <v>501-1000</v>
      </c>
      <c r="I277" t="s">
        <v>73</v>
      </c>
      <c r="J277">
        <v>1</v>
      </c>
      <c r="K277" t="str">
        <f t="shared" si="64"/>
        <v>1-5</v>
      </c>
      <c r="L277">
        <v>4</v>
      </c>
      <c r="M277" t="s">
        <v>82</v>
      </c>
      <c r="N277" t="s">
        <v>83</v>
      </c>
      <c r="O277">
        <v>1</v>
      </c>
      <c r="P277">
        <v>1</v>
      </c>
      <c r="Q277" t="s">
        <v>69</v>
      </c>
      <c r="R277" t="s">
        <v>62</v>
      </c>
      <c r="S277">
        <v>80</v>
      </c>
      <c r="T277" t="str">
        <f t="shared" si="65"/>
        <v>76-100</v>
      </c>
      <c r="U277">
        <v>3</v>
      </c>
      <c r="V277" t="s">
        <v>63</v>
      </c>
      <c r="W277">
        <v>3</v>
      </c>
      <c r="X277" t="s">
        <v>92</v>
      </c>
      <c r="Y277">
        <v>4</v>
      </c>
      <c r="Z277" t="s">
        <v>65</v>
      </c>
      <c r="AA277" t="s">
        <v>86</v>
      </c>
      <c r="AB277" s="4">
        <v>13603</v>
      </c>
      <c r="AC277" s="4" t="str">
        <f t="shared" si="66"/>
        <v>$13,000-$14,500</v>
      </c>
      <c r="AD277">
        <v>11677</v>
      </c>
      <c r="AE277" t="str">
        <f t="shared" si="67"/>
        <v>$8,001-$16,000</v>
      </c>
      <c r="AF277">
        <v>2</v>
      </c>
      <c r="AG277" t="str">
        <f t="shared" si="68"/>
        <v>2-3</v>
      </c>
      <c r="AH277" t="s">
        <v>67</v>
      </c>
      <c r="AI277" t="s">
        <v>56</v>
      </c>
      <c r="AJ277">
        <v>18</v>
      </c>
      <c r="AK277" t="str">
        <f t="shared" si="69"/>
        <v>18-19%</v>
      </c>
      <c r="AL277">
        <v>3</v>
      </c>
      <c r="AM277" t="s">
        <v>68</v>
      </c>
      <c r="AN277">
        <v>1</v>
      </c>
      <c r="AO277" t="s">
        <v>69</v>
      </c>
      <c r="AP277">
        <v>80</v>
      </c>
      <c r="AQ277">
        <v>2</v>
      </c>
      <c r="AR277">
        <v>15</v>
      </c>
      <c r="AS277" t="str">
        <f t="shared" si="70"/>
        <v>11-20</v>
      </c>
      <c r="AT277">
        <v>2</v>
      </c>
      <c r="AU277" t="str">
        <f t="shared" si="71"/>
        <v>0-2</v>
      </c>
      <c r="AV277">
        <v>3</v>
      </c>
      <c r="AW277" t="s">
        <v>79</v>
      </c>
      <c r="AX277">
        <v>5</v>
      </c>
      <c r="AY277" t="str">
        <f t="shared" si="60"/>
        <v>2-5</v>
      </c>
      <c r="AZ277">
        <v>2</v>
      </c>
      <c r="BA277" t="str">
        <f t="shared" si="72"/>
        <v>2-5</v>
      </c>
      <c r="BB277">
        <v>0</v>
      </c>
      <c r="BC277" t="str">
        <f t="shared" si="73"/>
        <v>0-1</v>
      </c>
      <c r="BD277">
        <v>2</v>
      </c>
      <c r="BE277" t="str">
        <f t="shared" si="74"/>
        <v>2-5</v>
      </c>
    </row>
    <row r="278" spans="1:57" x14ac:dyDescent="0.3">
      <c r="A278">
        <v>381</v>
      </c>
      <c r="B278">
        <v>35</v>
      </c>
      <c r="C278" t="str">
        <f t="shared" si="61"/>
        <v>26-35</v>
      </c>
      <c r="D278" t="s">
        <v>71</v>
      </c>
      <c r="E278">
        <f t="shared" si="62"/>
        <v>0</v>
      </c>
      <c r="F278" t="s">
        <v>57</v>
      </c>
      <c r="G278">
        <v>1315</v>
      </c>
      <c r="H278" t="str">
        <f t="shared" si="63"/>
        <v>1001-1499</v>
      </c>
      <c r="I278" t="s">
        <v>73</v>
      </c>
      <c r="J278">
        <v>22</v>
      </c>
      <c r="K278" t="str">
        <f t="shared" si="64"/>
        <v>21-29</v>
      </c>
      <c r="L278">
        <v>3</v>
      </c>
      <c r="M278" t="s">
        <v>85</v>
      </c>
      <c r="N278" t="s">
        <v>60</v>
      </c>
      <c r="O278">
        <v>1</v>
      </c>
      <c r="P278">
        <v>2</v>
      </c>
      <c r="Q278" t="s">
        <v>61</v>
      </c>
      <c r="R278" t="s">
        <v>62</v>
      </c>
      <c r="S278">
        <v>71</v>
      </c>
      <c r="T278" t="str">
        <f t="shared" si="65"/>
        <v>51-75</v>
      </c>
      <c r="U278">
        <v>4</v>
      </c>
      <c r="V278" t="s">
        <v>65</v>
      </c>
      <c r="W278">
        <v>3</v>
      </c>
      <c r="X278" t="s">
        <v>90</v>
      </c>
      <c r="Y278">
        <v>2</v>
      </c>
      <c r="Z278" t="s">
        <v>61</v>
      </c>
      <c r="AA278" t="s">
        <v>86</v>
      </c>
      <c r="AB278" s="4">
        <v>11996</v>
      </c>
      <c r="AC278" s="4" t="str">
        <f t="shared" si="66"/>
        <v>$11,500-$13,000</v>
      </c>
      <c r="AD278">
        <v>19100</v>
      </c>
      <c r="AE278" t="str">
        <f t="shared" si="67"/>
        <v>$16,001-$22,000</v>
      </c>
      <c r="AF278">
        <v>7</v>
      </c>
      <c r="AG278" t="str">
        <f t="shared" si="68"/>
        <v>7-9</v>
      </c>
      <c r="AH278" t="s">
        <v>67</v>
      </c>
      <c r="AI278" t="s">
        <v>71</v>
      </c>
      <c r="AJ278">
        <v>18</v>
      </c>
      <c r="AK278" t="str">
        <f t="shared" si="69"/>
        <v>18-19%</v>
      </c>
      <c r="AL278">
        <v>3</v>
      </c>
      <c r="AM278" t="s">
        <v>68</v>
      </c>
      <c r="AN278">
        <v>2</v>
      </c>
      <c r="AO278" t="s">
        <v>61</v>
      </c>
      <c r="AP278">
        <v>80</v>
      </c>
      <c r="AQ278">
        <v>1</v>
      </c>
      <c r="AR278">
        <v>10</v>
      </c>
      <c r="AS278" t="str">
        <f t="shared" si="70"/>
        <v>6-10</v>
      </c>
      <c r="AT278">
        <v>6</v>
      </c>
      <c r="AU278" t="str">
        <f t="shared" si="71"/>
        <v>5-6</v>
      </c>
      <c r="AV278">
        <v>2</v>
      </c>
      <c r="AW278" t="s">
        <v>84</v>
      </c>
      <c r="AX278">
        <v>7</v>
      </c>
      <c r="AY278" t="str">
        <f t="shared" si="60"/>
        <v>6-10</v>
      </c>
      <c r="AZ278">
        <v>7</v>
      </c>
      <c r="BA278" t="str">
        <f t="shared" si="72"/>
        <v>6-10</v>
      </c>
      <c r="BB278">
        <v>6</v>
      </c>
      <c r="BC278" t="str">
        <f t="shared" si="73"/>
        <v>6-10</v>
      </c>
      <c r="BD278">
        <v>2</v>
      </c>
      <c r="BE278" t="str">
        <f t="shared" si="74"/>
        <v>2-5</v>
      </c>
    </row>
    <row r="279" spans="1:57" x14ac:dyDescent="0.3">
      <c r="A279">
        <v>382</v>
      </c>
      <c r="B279">
        <v>38</v>
      </c>
      <c r="C279" t="str">
        <f t="shared" si="61"/>
        <v>36-45</v>
      </c>
      <c r="D279" t="s">
        <v>71</v>
      </c>
      <c r="E279">
        <f t="shared" si="62"/>
        <v>0</v>
      </c>
      <c r="F279" t="s">
        <v>57</v>
      </c>
      <c r="G279">
        <v>322</v>
      </c>
      <c r="H279" t="str">
        <f t="shared" si="63"/>
        <v>102-500</v>
      </c>
      <c r="I279" t="s">
        <v>58</v>
      </c>
      <c r="J279">
        <v>7</v>
      </c>
      <c r="K279" t="str">
        <f t="shared" si="64"/>
        <v>6-10</v>
      </c>
      <c r="L279">
        <v>2</v>
      </c>
      <c r="M279" t="s">
        <v>59</v>
      </c>
      <c r="N279" t="s">
        <v>83</v>
      </c>
      <c r="O279">
        <v>1</v>
      </c>
      <c r="P279">
        <v>1</v>
      </c>
      <c r="Q279" t="s">
        <v>69</v>
      </c>
      <c r="R279" t="s">
        <v>62</v>
      </c>
      <c r="S279">
        <v>44</v>
      </c>
      <c r="T279" t="str">
        <f t="shared" si="65"/>
        <v>30-50</v>
      </c>
      <c r="U279">
        <v>4</v>
      </c>
      <c r="V279" t="s">
        <v>65</v>
      </c>
      <c r="W279">
        <v>2</v>
      </c>
      <c r="X279" t="s">
        <v>64</v>
      </c>
      <c r="Y279">
        <v>1</v>
      </c>
      <c r="Z279" t="s">
        <v>69</v>
      </c>
      <c r="AA279" t="s">
        <v>86</v>
      </c>
      <c r="AB279" s="4">
        <v>5605</v>
      </c>
      <c r="AC279" s="4" t="str">
        <f t="shared" si="66"/>
        <v>$5,500-$7,000</v>
      </c>
      <c r="AD279">
        <v>19191</v>
      </c>
      <c r="AE279" t="str">
        <f t="shared" si="67"/>
        <v>$16,001-$22,000</v>
      </c>
      <c r="AF279">
        <v>1</v>
      </c>
      <c r="AG279" t="str">
        <f t="shared" si="68"/>
        <v>0-1</v>
      </c>
      <c r="AH279" t="s">
        <v>67</v>
      </c>
      <c r="AI279" t="s">
        <v>56</v>
      </c>
      <c r="AJ279">
        <v>24</v>
      </c>
      <c r="AK279" t="str">
        <f t="shared" si="69"/>
        <v>18-19%</v>
      </c>
      <c r="AL279">
        <v>4</v>
      </c>
      <c r="AM279" t="s">
        <v>78</v>
      </c>
      <c r="AN279">
        <v>3</v>
      </c>
      <c r="AO279" t="s">
        <v>63</v>
      </c>
      <c r="AP279">
        <v>80</v>
      </c>
      <c r="AQ279">
        <v>1</v>
      </c>
      <c r="AR279">
        <v>8</v>
      </c>
      <c r="AS279" t="str">
        <f t="shared" si="70"/>
        <v>6-10</v>
      </c>
      <c r="AT279">
        <v>3</v>
      </c>
      <c r="AU279" t="str">
        <f t="shared" si="71"/>
        <v>3-4</v>
      </c>
      <c r="AV279">
        <v>3</v>
      </c>
      <c r="AW279" t="s">
        <v>79</v>
      </c>
      <c r="AX279">
        <v>8</v>
      </c>
      <c r="AY279" t="str">
        <f t="shared" si="60"/>
        <v>6-10</v>
      </c>
      <c r="AZ279">
        <v>0</v>
      </c>
      <c r="BA279" t="str">
        <f t="shared" si="72"/>
        <v>0-1</v>
      </c>
      <c r="BB279">
        <v>7</v>
      </c>
      <c r="BC279" t="str">
        <f t="shared" si="73"/>
        <v>6-10</v>
      </c>
      <c r="BD279">
        <v>7</v>
      </c>
      <c r="BE279" t="str">
        <f t="shared" si="74"/>
        <v>6-10</v>
      </c>
    </row>
    <row r="280" spans="1:57" x14ac:dyDescent="0.3">
      <c r="A280">
        <v>384</v>
      </c>
      <c r="B280">
        <v>26</v>
      </c>
      <c r="C280" t="str">
        <f t="shared" si="61"/>
        <v>26-35</v>
      </c>
      <c r="D280" t="s">
        <v>71</v>
      </c>
      <c r="E280">
        <f t="shared" si="62"/>
        <v>0</v>
      </c>
      <c r="F280" t="s">
        <v>72</v>
      </c>
      <c r="G280">
        <v>1479</v>
      </c>
      <c r="H280" t="str">
        <f t="shared" si="63"/>
        <v>1001-1499</v>
      </c>
      <c r="I280" t="s">
        <v>73</v>
      </c>
      <c r="J280">
        <v>1</v>
      </c>
      <c r="K280" t="str">
        <f t="shared" si="64"/>
        <v>1-5</v>
      </c>
      <c r="L280">
        <v>3</v>
      </c>
      <c r="M280" t="s">
        <v>85</v>
      </c>
      <c r="N280" t="s">
        <v>60</v>
      </c>
      <c r="O280">
        <v>1</v>
      </c>
      <c r="P280">
        <v>3</v>
      </c>
      <c r="Q280" t="s">
        <v>63</v>
      </c>
      <c r="R280" t="s">
        <v>62</v>
      </c>
      <c r="S280">
        <v>84</v>
      </c>
      <c r="T280" t="str">
        <f t="shared" si="65"/>
        <v>76-100</v>
      </c>
      <c r="U280">
        <v>3</v>
      </c>
      <c r="V280" t="s">
        <v>63</v>
      </c>
      <c r="W280">
        <v>2</v>
      </c>
      <c r="X280" t="s">
        <v>87</v>
      </c>
      <c r="Y280">
        <v>2</v>
      </c>
      <c r="Z280" t="s">
        <v>61</v>
      </c>
      <c r="AA280" t="s">
        <v>86</v>
      </c>
      <c r="AB280" s="4">
        <v>6397</v>
      </c>
      <c r="AC280" s="4" t="str">
        <f t="shared" si="66"/>
        <v>$5,500-$7,000</v>
      </c>
      <c r="AD280">
        <v>26767</v>
      </c>
      <c r="AE280" t="str">
        <f t="shared" si="67"/>
        <v>$22,001-$26,999</v>
      </c>
      <c r="AF280">
        <v>1</v>
      </c>
      <c r="AG280" t="str">
        <f t="shared" si="68"/>
        <v>0-1</v>
      </c>
      <c r="AH280" t="s">
        <v>67</v>
      </c>
      <c r="AI280" t="s">
        <v>71</v>
      </c>
      <c r="AJ280">
        <v>20</v>
      </c>
      <c r="AK280" t="str">
        <f t="shared" si="69"/>
        <v>18-19%</v>
      </c>
      <c r="AL280">
        <v>4</v>
      </c>
      <c r="AM280" t="s">
        <v>78</v>
      </c>
      <c r="AN280">
        <v>1</v>
      </c>
      <c r="AO280" t="s">
        <v>69</v>
      </c>
      <c r="AP280">
        <v>80</v>
      </c>
      <c r="AQ280">
        <v>1</v>
      </c>
      <c r="AR280">
        <v>6</v>
      </c>
      <c r="AS280" t="str">
        <f t="shared" si="70"/>
        <v>6-10</v>
      </c>
      <c r="AT280">
        <v>6</v>
      </c>
      <c r="AU280" t="str">
        <f t="shared" si="71"/>
        <v>5-6</v>
      </c>
      <c r="AV280">
        <v>1</v>
      </c>
      <c r="AW280" t="s">
        <v>70</v>
      </c>
      <c r="AX280">
        <v>6</v>
      </c>
      <c r="AY280" t="str">
        <f t="shared" si="60"/>
        <v>6-10</v>
      </c>
      <c r="AZ280">
        <v>5</v>
      </c>
      <c r="BA280" t="str">
        <f t="shared" si="72"/>
        <v>2-5</v>
      </c>
      <c r="BB280">
        <v>1</v>
      </c>
      <c r="BC280" t="str">
        <f t="shared" si="73"/>
        <v>0-1</v>
      </c>
      <c r="BD280">
        <v>4</v>
      </c>
      <c r="BE280" t="str">
        <f t="shared" si="74"/>
        <v>2-5</v>
      </c>
    </row>
    <row r="281" spans="1:57" x14ac:dyDescent="0.3">
      <c r="A281">
        <v>385</v>
      </c>
      <c r="B281">
        <v>50</v>
      </c>
      <c r="C281" t="str">
        <f t="shared" si="61"/>
        <v>46-55</v>
      </c>
      <c r="D281" t="s">
        <v>71</v>
      </c>
      <c r="E281">
        <f t="shared" si="62"/>
        <v>0</v>
      </c>
      <c r="F281" t="s">
        <v>57</v>
      </c>
      <c r="G281">
        <v>797</v>
      </c>
      <c r="H281" t="str">
        <f t="shared" si="63"/>
        <v>501-1000</v>
      </c>
      <c r="I281" t="s">
        <v>73</v>
      </c>
      <c r="J281">
        <v>4</v>
      </c>
      <c r="K281" t="str">
        <f t="shared" si="64"/>
        <v>1-5</v>
      </c>
      <c r="L281">
        <v>1</v>
      </c>
      <c r="M281" t="s">
        <v>74</v>
      </c>
      <c r="N281" t="s">
        <v>60</v>
      </c>
      <c r="O281">
        <v>1</v>
      </c>
      <c r="P281">
        <v>1</v>
      </c>
      <c r="Q281" t="s">
        <v>69</v>
      </c>
      <c r="R281" t="s">
        <v>75</v>
      </c>
      <c r="S281">
        <v>96</v>
      </c>
      <c r="T281" t="str">
        <f t="shared" si="65"/>
        <v>76-100</v>
      </c>
      <c r="U281">
        <v>3</v>
      </c>
      <c r="V281" t="s">
        <v>63</v>
      </c>
      <c r="W281">
        <v>5</v>
      </c>
      <c r="X281" t="s">
        <v>92</v>
      </c>
      <c r="Y281">
        <v>2</v>
      </c>
      <c r="Z281" t="s">
        <v>61</v>
      </c>
      <c r="AA281" t="s">
        <v>86</v>
      </c>
      <c r="AB281" s="4">
        <v>19144</v>
      </c>
      <c r="AC281" s="4" t="str">
        <f t="shared" si="66"/>
        <v>$19,000-$20,500</v>
      </c>
      <c r="AD281">
        <v>15815</v>
      </c>
      <c r="AE281" t="str">
        <f t="shared" si="67"/>
        <v>$8,001-$16,000</v>
      </c>
      <c r="AF281">
        <v>3</v>
      </c>
      <c r="AG281" t="str">
        <f t="shared" si="68"/>
        <v>2-3</v>
      </c>
      <c r="AH281" t="s">
        <v>67</v>
      </c>
      <c r="AI281" t="s">
        <v>71</v>
      </c>
      <c r="AJ281">
        <v>14</v>
      </c>
      <c r="AK281" t="str">
        <f t="shared" si="69"/>
        <v>13-15%</v>
      </c>
      <c r="AL281">
        <v>3</v>
      </c>
      <c r="AM281" t="s">
        <v>68</v>
      </c>
      <c r="AN281">
        <v>1</v>
      </c>
      <c r="AO281" t="s">
        <v>69</v>
      </c>
      <c r="AP281">
        <v>80</v>
      </c>
      <c r="AQ281">
        <v>2</v>
      </c>
      <c r="AR281">
        <v>28</v>
      </c>
      <c r="AS281" t="str">
        <f t="shared" si="70"/>
        <v>21-40</v>
      </c>
      <c r="AT281">
        <v>4</v>
      </c>
      <c r="AU281" t="str">
        <f t="shared" si="71"/>
        <v>3-4</v>
      </c>
      <c r="AV281">
        <v>2</v>
      </c>
      <c r="AW281" t="s">
        <v>84</v>
      </c>
      <c r="AX281">
        <v>10</v>
      </c>
      <c r="AY281" t="str">
        <f t="shared" si="60"/>
        <v>6-10</v>
      </c>
      <c r="AZ281">
        <v>4</v>
      </c>
      <c r="BA281" t="str">
        <f t="shared" si="72"/>
        <v>2-5</v>
      </c>
      <c r="BB281">
        <v>1</v>
      </c>
      <c r="BC281" t="str">
        <f t="shared" si="73"/>
        <v>0-1</v>
      </c>
      <c r="BD281">
        <v>6</v>
      </c>
      <c r="BE281" t="str">
        <f t="shared" si="74"/>
        <v>6-10</v>
      </c>
    </row>
    <row r="282" spans="1:57" x14ac:dyDescent="0.3">
      <c r="A282">
        <v>386</v>
      </c>
      <c r="B282">
        <v>53</v>
      </c>
      <c r="C282" t="str">
        <f t="shared" si="61"/>
        <v>46-55</v>
      </c>
      <c r="D282" t="s">
        <v>71</v>
      </c>
      <c r="E282">
        <f t="shared" si="62"/>
        <v>0</v>
      </c>
      <c r="F282" t="s">
        <v>57</v>
      </c>
      <c r="G282">
        <v>1070</v>
      </c>
      <c r="H282" t="str">
        <f t="shared" si="63"/>
        <v>1001-1499</v>
      </c>
      <c r="I282" t="s">
        <v>73</v>
      </c>
      <c r="J282">
        <v>3</v>
      </c>
      <c r="K282" t="str">
        <f t="shared" si="64"/>
        <v>1-5</v>
      </c>
      <c r="L282">
        <v>4</v>
      </c>
      <c r="M282" t="s">
        <v>82</v>
      </c>
      <c r="N282" t="s">
        <v>83</v>
      </c>
      <c r="O282">
        <v>1</v>
      </c>
      <c r="P282">
        <v>3</v>
      </c>
      <c r="Q282" t="s">
        <v>63</v>
      </c>
      <c r="R282" t="s">
        <v>75</v>
      </c>
      <c r="S282">
        <v>45</v>
      </c>
      <c r="T282" t="str">
        <f t="shared" si="65"/>
        <v>30-50</v>
      </c>
      <c r="U282">
        <v>3</v>
      </c>
      <c r="V282" t="s">
        <v>63</v>
      </c>
      <c r="W282">
        <v>4</v>
      </c>
      <c r="X282" t="s">
        <v>92</v>
      </c>
      <c r="Y282">
        <v>3</v>
      </c>
      <c r="Z282" t="s">
        <v>63</v>
      </c>
      <c r="AA282" t="s">
        <v>77</v>
      </c>
      <c r="AB282" s="4">
        <v>17584</v>
      </c>
      <c r="AC282" s="4" t="str">
        <f t="shared" si="66"/>
        <v>$17,500-$19,000</v>
      </c>
      <c r="AD282">
        <v>21016</v>
      </c>
      <c r="AE282" t="str">
        <f t="shared" si="67"/>
        <v>$16,001-$22,000</v>
      </c>
      <c r="AF282">
        <v>3</v>
      </c>
      <c r="AG282" t="str">
        <f t="shared" si="68"/>
        <v>2-3</v>
      </c>
      <c r="AH282" t="s">
        <v>67</v>
      </c>
      <c r="AI282" t="s">
        <v>56</v>
      </c>
      <c r="AJ282">
        <v>16</v>
      </c>
      <c r="AK282" t="str">
        <f t="shared" si="69"/>
        <v>16-17%</v>
      </c>
      <c r="AL282">
        <v>3</v>
      </c>
      <c r="AM282" t="s">
        <v>68</v>
      </c>
      <c r="AN282">
        <v>4</v>
      </c>
      <c r="AO282" t="s">
        <v>65</v>
      </c>
      <c r="AP282">
        <v>80</v>
      </c>
      <c r="AQ282">
        <v>3</v>
      </c>
      <c r="AR282">
        <v>21</v>
      </c>
      <c r="AS282" t="str">
        <f t="shared" si="70"/>
        <v>21-40</v>
      </c>
      <c r="AT282">
        <v>5</v>
      </c>
      <c r="AU282" t="str">
        <f t="shared" si="71"/>
        <v>5-6</v>
      </c>
      <c r="AV282">
        <v>2</v>
      </c>
      <c r="AW282" t="s">
        <v>84</v>
      </c>
      <c r="AX282">
        <v>5</v>
      </c>
      <c r="AY282" t="str">
        <f t="shared" si="60"/>
        <v>2-5</v>
      </c>
      <c r="AZ282">
        <v>3</v>
      </c>
      <c r="BA282" t="str">
        <f t="shared" si="72"/>
        <v>2-5</v>
      </c>
      <c r="BB282">
        <v>1</v>
      </c>
      <c r="BC282" t="str">
        <f t="shared" si="73"/>
        <v>0-1</v>
      </c>
      <c r="BD282">
        <v>3</v>
      </c>
      <c r="BE282" t="str">
        <f t="shared" si="74"/>
        <v>2-5</v>
      </c>
    </row>
    <row r="283" spans="1:57" x14ac:dyDescent="0.3">
      <c r="A283">
        <v>387</v>
      </c>
      <c r="B283">
        <v>42</v>
      </c>
      <c r="C283" t="str">
        <f t="shared" si="61"/>
        <v>36-45</v>
      </c>
      <c r="D283" t="s">
        <v>71</v>
      </c>
      <c r="E283">
        <f t="shared" si="62"/>
        <v>0</v>
      </c>
      <c r="F283" t="s">
        <v>57</v>
      </c>
      <c r="G283">
        <v>635</v>
      </c>
      <c r="H283" t="str">
        <f t="shared" si="63"/>
        <v>501-1000</v>
      </c>
      <c r="I283" t="s">
        <v>58</v>
      </c>
      <c r="J283">
        <v>1</v>
      </c>
      <c r="K283" t="str">
        <f t="shared" si="64"/>
        <v>1-5</v>
      </c>
      <c r="L283">
        <v>1</v>
      </c>
      <c r="M283" t="s">
        <v>74</v>
      </c>
      <c r="N283" t="s">
        <v>60</v>
      </c>
      <c r="O283">
        <v>1</v>
      </c>
      <c r="P283">
        <v>2</v>
      </c>
      <c r="Q283" t="s">
        <v>61</v>
      </c>
      <c r="R283" t="s">
        <v>75</v>
      </c>
      <c r="S283">
        <v>99</v>
      </c>
      <c r="T283" t="str">
        <f t="shared" si="65"/>
        <v>76-100</v>
      </c>
      <c r="U283">
        <v>3</v>
      </c>
      <c r="V283" t="s">
        <v>63</v>
      </c>
      <c r="W283">
        <v>2</v>
      </c>
      <c r="X283" t="s">
        <v>64</v>
      </c>
      <c r="Y283">
        <v>3</v>
      </c>
      <c r="Z283" t="s">
        <v>63</v>
      </c>
      <c r="AA283" t="s">
        <v>77</v>
      </c>
      <c r="AB283" s="4">
        <v>4907</v>
      </c>
      <c r="AC283" s="4" t="str">
        <f t="shared" si="66"/>
        <v>$4,000-$5,500</v>
      </c>
      <c r="AD283">
        <v>24532</v>
      </c>
      <c r="AE283" t="str">
        <f t="shared" si="67"/>
        <v>$22,001-$26,999</v>
      </c>
      <c r="AF283">
        <v>1</v>
      </c>
      <c r="AG283" t="str">
        <f t="shared" si="68"/>
        <v>0-1</v>
      </c>
      <c r="AH283" t="s">
        <v>67</v>
      </c>
      <c r="AI283" t="s">
        <v>71</v>
      </c>
      <c r="AJ283">
        <v>25</v>
      </c>
      <c r="AK283" t="str">
        <f t="shared" si="69"/>
        <v>18-19%</v>
      </c>
      <c r="AL283">
        <v>4</v>
      </c>
      <c r="AM283" t="s">
        <v>78</v>
      </c>
      <c r="AN283">
        <v>3</v>
      </c>
      <c r="AO283" t="s">
        <v>63</v>
      </c>
      <c r="AP283">
        <v>80</v>
      </c>
      <c r="AQ283">
        <v>0</v>
      </c>
      <c r="AR283">
        <v>20</v>
      </c>
      <c r="AS283" t="str">
        <f t="shared" si="70"/>
        <v>11-20</v>
      </c>
      <c r="AT283">
        <v>3</v>
      </c>
      <c r="AU283" t="str">
        <f t="shared" si="71"/>
        <v>3-4</v>
      </c>
      <c r="AV283">
        <v>3</v>
      </c>
      <c r="AW283" t="s">
        <v>79</v>
      </c>
      <c r="AX283">
        <v>20</v>
      </c>
      <c r="AY283" t="str">
        <f t="shared" si="60"/>
        <v>11-20</v>
      </c>
      <c r="AZ283">
        <v>16</v>
      </c>
      <c r="BA283" t="str">
        <f t="shared" si="72"/>
        <v>11-18</v>
      </c>
      <c r="BB283">
        <v>11</v>
      </c>
      <c r="BC283" t="str">
        <f t="shared" si="73"/>
        <v>11-15</v>
      </c>
      <c r="BD283">
        <v>6</v>
      </c>
      <c r="BE283" t="str">
        <f t="shared" si="74"/>
        <v>6-10</v>
      </c>
    </row>
    <row r="284" spans="1:57" x14ac:dyDescent="0.3">
      <c r="A284">
        <v>388</v>
      </c>
      <c r="B284">
        <v>29</v>
      </c>
      <c r="C284" t="str">
        <f t="shared" si="61"/>
        <v>26-35</v>
      </c>
      <c r="D284" t="s">
        <v>71</v>
      </c>
      <c r="E284">
        <f t="shared" si="62"/>
        <v>0</v>
      </c>
      <c r="F284" t="s">
        <v>72</v>
      </c>
      <c r="G284">
        <v>442</v>
      </c>
      <c r="H284" t="str">
        <f t="shared" si="63"/>
        <v>102-500</v>
      </c>
      <c r="I284" t="s">
        <v>58</v>
      </c>
      <c r="J284">
        <v>2</v>
      </c>
      <c r="K284" t="str">
        <f t="shared" si="64"/>
        <v>1-5</v>
      </c>
      <c r="L284">
        <v>2</v>
      </c>
      <c r="M284" t="s">
        <v>59</v>
      </c>
      <c r="N284" t="s">
        <v>60</v>
      </c>
      <c r="O284">
        <v>1</v>
      </c>
      <c r="P284">
        <v>2</v>
      </c>
      <c r="Q284" t="s">
        <v>61</v>
      </c>
      <c r="R284" t="s">
        <v>75</v>
      </c>
      <c r="S284">
        <v>44</v>
      </c>
      <c r="T284" t="str">
        <f t="shared" si="65"/>
        <v>30-50</v>
      </c>
      <c r="U284">
        <v>3</v>
      </c>
      <c r="V284" t="s">
        <v>63</v>
      </c>
      <c r="W284">
        <v>2</v>
      </c>
      <c r="X284" t="s">
        <v>64</v>
      </c>
      <c r="Y284">
        <v>4</v>
      </c>
      <c r="Z284" t="s">
        <v>65</v>
      </c>
      <c r="AA284" t="s">
        <v>66</v>
      </c>
      <c r="AB284" s="4">
        <v>4554</v>
      </c>
      <c r="AC284" s="4" t="str">
        <f t="shared" si="66"/>
        <v>$4,000-$5,500</v>
      </c>
      <c r="AD284">
        <v>20260</v>
      </c>
      <c r="AE284" t="str">
        <f t="shared" si="67"/>
        <v>$16,001-$22,000</v>
      </c>
      <c r="AF284">
        <v>1</v>
      </c>
      <c r="AG284" t="str">
        <f t="shared" si="68"/>
        <v>0-1</v>
      </c>
      <c r="AH284" t="s">
        <v>67</v>
      </c>
      <c r="AI284" t="s">
        <v>71</v>
      </c>
      <c r="AJ284">
        <v>18</v>
      </c>
      <c r="AK284" t="str">
        <f t="shared" si="69"/>
        <v>18-19%</v>
      </c>
      <c r="AL284">
        <v>3</v>
      </c>
      <c r="AM284" t="s">
        <v>68</v>
      </c>
      <c r="AN284">
        <v>1</v>
      </c>
      <c r="AO284" t="s">
        <v>69</v>
      </c>
      <c r="AP284">
        <v>80</v>
      </c>
      <c r="AQ284">
        <v>0</v>
      </c>
      <c r="AR284">
        <v>10</v>
      </c>
      <c r="AS284" t="str">
        <f t="shared" si="70"/>
        <v>6-10</v>
      </c>
      <c r="AT284">
        <v>3</v>
      </c>
      <c r="AU284" t="str">
        <f t="shared" si="71"/>
        <v>3-4</v>
      </c>
      <c r="AV284">
        <v>2</v>
      </c>
      <c r="AW284" t="s">
        <v>84</v>
      </c>
      <c r="AX284">
        <v>10</v>
      </c>
      <c r="AY284" t="str">
        <f t="shared" si="60"/>
        <v>6-10</v>
      </c>
      <c r="AZ284">
        <v>7</v>
      </c>
      <c r="BA284" t="str">
        <f t="shared" si="72"/>
        <v>6-10</v>
      </c>
      <c r="BB284">
        <v>0</v>
      </c>
      <c r="BC284" t="str">
        <f t="shared" si="73"/>
        <v>0-1</v>
      </c>
      <c r="BD284">
        <v>9</v>
      </c>
      <c r="BE284" t="str">
        <f t="shared" si="74"/>
        <v>6-10</v>
      </c>
    </row>
    <row r="285" spans="1:57" x14ac:dyDescent="0.3">
      <c r="A285">
        <v>389</v>
      </c>
      <c r="B285">
        <v>55</v>
      </c>
      <c r="C285" t="str">
        <f t="shared" si="61"/>
        <v>46-55</v>
      </c>
      <c r="D285" t="s">
        <v>71</v>
      </c>
      <c r="E285">
        <f t="shared" si="62"/>
        <v>0</v>
      </c>
      <c r="F285" t="s">
        <v>57</v>
      </c>
      <c r="G285">
        <v>147</v>
      </c>
      <c r="H285" t="str">
        <f t="shared" si="63"/>
        <v>102-500</v>
      </c>
      <c r="I285" t="s">
        <v>73</v>
      </c>
      <c r="J285">
        <v>20</v>
      </c>
      <c r="K285" t="str">
        <f t="shared" si="64"/>
        <v>11-20</v>
      </c>
      <c r="L285">
        <v>2</v>
      </c>
      <c r="M285" t="s">
        <v>59</v>
      </c>
      <c r="N285" t="s">
        <v>95</v>
      </c>
      <c r="O285">
        <v>1</v>
      </c>
      <c r="P285">
        <v>2</v>
      </c>
      <c r="Q285" t="s">
        <v>61</v>
      </c>
      <c r="R285" t="s">
        <v>75</v>
      </c>
      <c r="S285">
        <v>37</v>
      </c>
      <c r="T285" t="str">
        <f t="shared" si="65"/>
        <v>30-50</v>
      </c>
      <c r="U285">
        <v>3</v>
      </c>
      <c r="V285" t="s">
        <v>63</v>
      </c>
      <c r="W285">
        <v>2</v>
      </c>
      <c r="X285" t="s">
        <v>81</v>
      </c>
      <c r="Y285">
        <v>4</v>
      </c>
      <c r="Z285" t="s">
        <v>65</v>
      </c>
      <c r="AA285" t="s">
        <v>77</v>
      </c>
      <c r="AB285" s="4">
        <v>5415</v>
      </c>
      <c r="AC285" s="4" t="str">
        <f t="shared" si="66"/>
        <v>$4,000-$5,500</v>
      </c>
      <c r="AD285">
        <v>15972</v>
      </c>
      <c r="AE285" t="str">
        <f t="shared" si="67"/>
        <v>$8,001-$16,000</v>
      </c>
      <c r="AF285">
        <v>3</v>
      </c>
      <c r="AG285" t="str">
        <f t="shared" si="68"/>
        <v>2-3</v>
      </c>
      <c r="AH285" t="s">
        <v>67</v>
      </c>
      <c r="AI285" t="s">
        <v>56</v>
      </c>
      <c r="AJ285">
        <v>19</v>
      </c>
      <c r="AK285" t="str">
        <f t="shared" si="69"/>
        <v>18-19%</v>
      </c>
      <c r="AL285">
        <v>3</v>
      </c>
      <c r="AM285" t="s">
        <v>68</v>
      </c>
      <c r="AN285">
        <v>4</v>
      </c>
      <c r="AO285" t="s">
        <v>65</v>
      </c>
      <c r="AP285">
        <v>80</v>
      </c>
      <c r="AQ285">
        <v>1</v>
      </c>
      <c r="AR285">
        <v>12</v>
      </c>
      <c r="AS285" t="str">
        <f t="shared" si="70"/>
        <v>11-20</v>
      </c>
      <c r="AT285">
        <v>4</v>
      </c>
      <c r="AU285" t="str">
        <f t="shared" si="71"/>
        <v>3-4</v>
      </c>
      <c r="AV285">
        <v>3</v>
      </c>
      <c r="AW285" t="s">
        <v>79</v>
      </c>
      <c r="AX285">
        <v>10</v>
      </c>
      <c r="AY285" t="str">
        <f t="shared" si="60"/>
        <v>6-10</v>
      </c>
      <c r="AZ285">
        <v>7</v>
      </c>
      <c r="BA285" t="str">
        <f t="shared" si="72"/>
        <v>6-10</v>
      </c>
      <c r="BB285">
        <v>0</v>
      </c>
      <c r="BC285" t="str">
        <f t="shared" si="73"/>
        <v>0-1</v>
      </c>
      <c r="BD285">
        <v>8</v>
      </c>
      <c r="BE285" t="str">
        <f t="shared" si="74"/>
        <v>6-10</v>
      </c>
    </row>
    <row r="286" spans="1:57" x14ac:dyDescent="0.3">
      <c r="A286">
        <v>390</v>
      </c>
      <c r="B286">
        <v>26</v>
      </c>
      <c r="C286" t="str">
        <f t="shared" si="61"/>
        <v>26-35</v>
      </c>
      <c r="D286" t="s">
        <v>71</v>
      </c>
      <c r="E286">
        <f t="shared" si="62"/>
        <v>0</v>
      </c>
      <c r="F286" t="s">
        <v>72</v>
      </c>
      <c r="G286">
        <v>496</v>
      </c>
      <c r="H286" t="str">
        <f t="shared" si="63"/>
        <v>102-500</v>
      </c>
      <c r="I286" t="s">
        <v>73</v>
      </c>
      <c r="J286">
        <v>11</v>
      </c>
      <c r="K286" t="str">
        <f t="shared" si="64"/>
        <v>11-20</v>
      </c>
      <c r="L286">
        <v>2</v>
      </c>
      <c r="M286" t="s">
        <v>59</v>
      </c>
      <c r="N286" t="s">
        <v>83</v>
      </c>
      <c r="O286">
        <v>1</v>
      </c>
      <c r="P286">
        <v>1</v>
      </c>
      <c r="Q286" t="s">
        <v>69</v>
      </c>
      <c r="R286" t="s">
        <v>75</v>
      </c>
      <c r="S286">
        <v>60</v>
      </c>
      <c r="T286" t="str">
        <f t="shared" si="65"/>
        <v>51-75</v>
      </c>
      <c r="U286">
        <v>3</v>
      </c>
      <c r="V286" t="s">
        <v>63</v>
      </c>
      <c r="W286">
        <v>2</v>
      </c>
      <c r="X286" t="s">
        <v>88</v>
      </c>
      <c r="Y286">
        <v>1</v>
      </c>
      <c r="Z286" t="s">
        <v>69</v>
      </c>
      <c r="AA286" t="s">
        <v>77</v>
      </c>
      <c r="AB286" s="4">
        <v>4741</v>
      </c>
      <c r="AC286" s="4" t="str">
        <f t="shared" si="66"/>
        <v>$4,000-$5,500</v>
      </c>
      <c r="AD286">
        <v>22722</v>
      </c>
      <c r="AE286" t="str">
        <f t="shared" si="67"/>
        <v>$22,001-$26,999</v>
      </c>
      <c r="AF286">
        <v>1</v>
      </c>
      <c r="AG286" t="str">
        <f t="shared" si="68"/>
        <v>0-1</v>
      </c>
      <c r="AH286" t="s">
        <v>67</v>
      </c>
      <c r="AI286" t="s">
        <v>56</v>
      </c>
      <c r="AJ286">
        <v>13</v>
      </c>
      <c r="AK286" t="str">
        <f t="shared" si="69"/>
        <v>13-15%</v>
      </c>
      <c r="AL286">
        <v>3</v>
      </c>
      <c r="AM286" t="s">
        <v>68</v>
      </c>
      <c r="AN286">
        <v>3</v>
      </c>
      <c r="AO286" t="s">
        <v>63</v>
      </c>
      <c r="AP286">
        <v>80</v>
      </c>
      <c r="AQ286">
        <v>1</v>
      </c>
      <c r="AR286">
        <v>5</v>
      </c>
      <c r="AS286" t="str">
        <f t="shared" si="70"/>
        <v>3-5</v>
      </c>
      <c r="AT286">
        <v>3</v>
      </c>
      <c r="AU286" t="str">
        <f t="shared" si="71"/>
        <v>3-4</v>
      </c>
      <c r="AV286">
        <v>3</v>
      </c>
      <c r="AW286" t="s">
        <v>79</v>
      </c>
      <c r="AX286">
        <v>5</v>
      </c>
      <c r="AY286" t="str">
        <f t="shared" si="60"/>
        <v>2-5</v>
      </c>
      <c r="AZ286">
        <v>3</v>
      </c>
      <c r="BA286" t="str">
        <f t="shared" si="72"/>
        <v>2-5</v>
      </c>
      <c r="BB286">
        <v>3</v>
      </c>
      <c r="BC286" t="str">
        <f t="shared" si="73"/>
        <v>2-5</v>
      </c>
      <c r="BD286">
        <v>3</v>
      </c>
      <c r="BE286" t="str">
        <f t="shared" si="74"/>
        <v>2-5</v>
      </c>
    </row>
    <row r="287" spans="1:57" x14ac:dyDescent="0.3">
      <c r="A287">
        <v>391</v>
      </c>
      <c r="B287">
        <v>37</v>
      </c>
      <c r="C287" t="str">
        <f t="shared" si="61"/>
        <v>36-45</v>
      </c>
      <c r="D287" t="s">
        <v>71</v>
      </c>
      <c r="E287">
        <f t="shared" si="62"/>
        <v>0</v>
      </c>
      <c r="F287" t="s">
        <v>57</v>
      </c>
      <c r="G287">
        <v>1372</v>
      </c>
      <c r="H287" t="str">
        <f t="shared" si="63"/>
        <v>1001-1499</v>
      </c>
      <c r="I287" t="s">
        <v>73</v>
      </c>
      <c r="J287">
        <v>1</v>
      </c>
      <c r="K287" t="str">
        <f t="shared" si="64"/>
        <v>1-5</v>
      </c>
      <c r="L287">
        <v>3</v>
      </c>
      <c r="M287" t="s">
        <v>85</v>
      </c>
      <c r="N287" t="s">
        <v>60</v>
      </c>
      <c r="O287">
        <v>1</v>
      </c>
      <c r="P287">
        <v>4</v>
      </c>
      <c r="Q287" t="s">
        <v>65</v>
      </c>
      <c r="R287" t="s">
        <v>62</v>
      </c>
      <c r="S287">
        <v>42</v>
      </c>
      <c r="T287" t="str">
        <f t="shared" si="65"/>
        <v>30-50</v>
      </c>
      <c r="U287">
        <v>3</v>
      </c>
      <c r="V287" t="s">
        <v>63</v>
      </c>
      <c r="W287">
        <v>1</v>
      </c>
      <c r="X287" t="s">
        <v>76</v>
      </c>
      <c r="Y287">
        <v>4</v>
      </c>
      <c r="Z287" t="s">
        <v>65</v>
      </c>
      <c r="AA287" t="s">
        <v>66</v>
      </c>
      <c r="AB287" s="4">
        <v>2115</v>
      </c>
      <c r="AC287" s="4" t="str">
        <f t="shared" si="66"/>
        <v>$1,000-$2,500</v>
      </c>
      <c r="AD287">
        <v>15881</v>
      </c>
      <c r="AE287" t="str">
        <f t="shared" si="67"/>
        <v>$8,001-$16,000</v>
      </c>
      <c r="AF287">
        <v>1</v>
      </c>
      <c r="AG287" t="str">
        <f t="shared" si="68"/>
        <v>0-1</v>
      </c>
      <c r="AH287" t="s">
        <v>67</v>
      </c>
      <c r="AI287" t="s">
        <v>71</v>
      </c>
      <c r="AJ287">
        <v>12</v>
      </c>
      <c r="AK287" t="str">
        <f t="shared" si="69"/>
        <v>11-12%</v>
      </c>
      <c r="AL287">
        <v>3</v>
      </c>
      <c r="AM287" t="s">
        <v>68</v>
      </c>
      <c r="AN287">
        <v>2</v>
      </c>
      <c r="AO287" t="s">
        <v>61</v>
      </c>
      <c r="AP287">
        <v>80</v>
      </c>
      <c r="AQ287">
        <v>0</v>
      </c>
      <c r="AR287">
        <v>17</v>
      </c>
      <c r="AS287" t="str">
        <f t="shared" si="70"/>
        <v>11-20</v>
      </c>
      <c r="AT287">
        <v>3</v>
      </c>
      <c r="AU287" t="str">
        <f t="shared" si="71"/>
        <v>3-4</v>
      </c>
      <c r="AV287">
        <v>3</v>
      </c>
      <c r="AW287" t="s">
        <v>79</v>
      </c>
      <c r="AX287">
        <v>17</v>
      </c>
      <c r="AY287" t="str">
        <f t="shared" si="60"/>
        <v>11-20</v>
      </c>
      <c r="AZ287">
        <v>12</v>
      </c>
      <c r="BA287" t="str">
        <f t="shared" si="72"/>
        <v>11-18</v>
      </c>
      <c r="BB287">
        <v>5</v>
      </c>
      <c r="BC287" t="str">
        <f t="shared" si="73"/>
        <v>2-5</v>
      </c>
      <c r="BD287">
        <v>7</v>
      </c>
      <c r="BE287" t="str">
        <f t="shared" si="74"/>
        <v>6-10</v>
      </c>
    </row>
    <row r="288" spans="1:57" x14ac:dyDescent="0.3">
      <c r="A288">
        <v>392</v>
      </c>
      <c r="B288">
        <v>44</v>
      </c>
      <c r="C288" t="str">
        <f t="shared" si="61"/>
        <v>36-45</v>
      </c>
      <c r="D288" t="s">
        <v>56</v>
      </c>
      <c r="E288">
        <f t="shared" si="62"/>
        <v>1</v>
      </c>
      <c r="F288" t="s">
        <v>72</v>
      </c>
      <c r="G288">
        <v>920</v>
      </c>
      <c r="H288" t="str">
        <f t="shared" si="63"/>
        <v>501-1000</v>
      </c>
      <c r="I288" t="s">
        <v>73</v>
      </c>
      <c r="J288">
        <v>24</v>
      </c>
      <c r="K288" t="str">
        <f t="shared" si="64"/>
        <v>21-29</v>
      </c>
      <c r="L288">
        <v>3</v>
      </c>
      <c r="M288" t="s">
        <v>85</v>
      </c>
      <c r="N288" t="s">
        <v>60</v>
      </c>
      <c r="O288">
        <v>1</v>
      </c>
      <c r="P288">
        <v>4</v>
      </c>
      <c r="Q288" t="s">
        <v>65</v>
      </c>
      <c r="R288" t="s">
        <v>75</v>
      </c>
      <c r="S288">
        <v>43</v>
      </c>
      <c r="T288" t="str">
        <f t="shared" si="65"/>
        <v>30-50</v>
      </c>
      <c r="U288">
        <v>3</v>
      </c>
      <c r="V288" t="s">
        <v>63</v>
      </c>
      <c r="W288">
        <v>1</v>
      </c>
      <c r="X288" t="s">
        <v>81</v>
      </c>
      <c r="Y288">
        <v>3</v>
      </c>
      <c r="Z288" t="s">
        <v>63</v>
      </c>
      <c r="AA288" t="s">
        <v>86</v>
      </c>
      <c r="AB288" s="4">
        <v>3161</v>
      </c>
      <c r="AC288" s="4" t="str">
        <f t="shared" si="66"/>
        <v>$2,500-$4,000</v>
      </c>
      <c r="AD288">
        <v>19920</v>
      </c>
      <c r="AE288" t="str">
        <f t="shared" si="67"/>
        <v>$16,001-$22,000</v>
      </c>
      <c r="AF288">
        <v>3</v>
      </c>
      <c r="AG288" t="str">
        <f t="shared" si="68"/>
        <v>2-3</v>
      </c>
      <c r="AH288" t="s">
        <v>67</v>
      </c>
      <c r="AI288" t="s">
        <v>56</v>
      </c>
      <c r="AJ288">
        <v>22</v>
      </c>
      <c r="AK288" t="str">
        <f t="shared" si="69"/>
        <v>18-19%</v>
      </c>
      <c r="AL288">
        <v>4</v>
      </c>
      <c r="AM288" t="s">
        <v>78</v>
      </c>
      <c r="AN288">
        <v>4</v>
      </c>
      <c r="AO288" t="s">
        <v>65</v>
      </c>
      <c r="AP288">
        <v>80</v>
      </c>
      <c r="AQ288">
        <v>1</v>
      </c>
      <c r="AR288">
        <v>19</v>
      </c>
      <c r="AS288" t="str">
        <f t="shared" si="70"/>
        <v>11-20</v>
      </c>
      <c r="AT288">
        <v>0</v>
      </c>
      <c r="AU288" t="str">
        <f t="shared" si="71"/>
        <v>0-2</v>
      </c>
      <c r="AV288">
        <v>1</v>
      </c>
      <c r="AW288" t="s">
        <v>70</v>
      </c>
      <c r="AX288">
        <v>1</v>
      </c>
      <c r="AY288" t="str">
        <f t="shared" si="60"/>
        <v>0-1</v>
      </c>
      <c r="AZ288">
        <v>0</v>
      </c>
      <c r="BA288" t="str">
        <f t="shared" si="72"/>
        <v>0-1</v>
      </c>
      <c r="BB288">
        <v>0</v>
      </c>
      <c r="BC288" t="str">
        <f t="shared" si="73"/>
        <v>0-1</v>
      </c>
      <c r="BD288">
        <v>0</v>
      </c>
      <c r="BE288" t="str">
        <f t="shared" si="74"/>
        <v>0-1</v>
      </c>
    </row>
    <row r="289" spans="1:57" x14ac:dyDescent="0.3">
      <c r="A289">
        <v>393</v>
      </c>
      <c r="B289">
        <v>38</v>
      </c>
      <c r="C289" t="str">
        <f t="shared" si="61"/>
        <v>36-45</v>
      </c>
      <c r="D289" t="s">
        <v>71</v>
      </c>
      <c r="E289">
        <f t="shared" si="62"/>
        <v>0</v>
      </c>
      <c r="F289" t="s">
        <v>57</v>
      </c>
      <c r="G289">
        <v>688</v>
      </c>
      <c r="H289" t="str">
        <f t="shared" si="63"/>
        <v>501-1000</v>
      </c>
      <c r="I289" t="s">
        <v>73</v>
      </c>
      <c r="J289">
        <v>23</v>
      </c>
      <c r="K289" t="str">
        <f t="shared" si="64"/>
        <v>21-29</v>
      </c>
      <c r="L289">
        <v>4</v>
      </c>
      <c r="M289" t="s">
        <v>82</v>
      </c>
      <c r="N289" t="s">
        <v>60</v>
      </c>
      <c r="O289">
        <v>1</v>
      </c>
      <c r="P289">
        <v>4</v>
      </c>
      <c r="Q289" t="s">
        <v>65</v>
      </c>
      <c r="R289" t="s">
        <v>75</v>
      </c>
      <c r="S289">
        <v>82</v>
      </c>
      <c r="T289" t="str">
        <f t="shared" si="65"/>
        <v>76-100</v>
      </c>
      <c r="U289">
        <v>3</v>
      </c>
      <c r="V289" t="s">
        <v>63</v>
      </c>
      <c r="W289">
        <v>2</v>
      </c>
      <c r="X289" t="s">
        <v>88</v>
      </c>
      <c r="Y289">
        <v>4</v>
      </c>
      <c r="Z289" t="s">
        <v>65</v>
      </c>
      <c r="AA289" t="s">
        <v>86</v>
      </c>
      <c r="AB289" s="4">
        <v>5745</v>
      </c>
      <c r="AC289" s="4" t="str">
        <f t="shared" si="66"/>
        <v>$5,500-$7,000</v>
      </c>
      <c r="AD289">
        <v>18899</v>
      </c>
      <c r="AE289" t="str">
        <f t="shared" si="67"/>
        <v>$16,001-$22,000</v>
      </c>
      <c r="AF289">
        <v>9</v>
      </c>
      <c r="AG289" t="str">
        <f t="shared" si="68"/>
        <v>7-9</v>
      </c>
      <c r="AH289" t="s">
        <v>67</v>
      </c>
      <c r="AI289" t="s">
        <v>71</v>
      </c>
      <c r="AJ289">
        <v>14</v>
      </c>
      <c r="AK289" t="str">
        <f t="shared" si="69"/>
        <v>13-15%</v>
      </c>
      <c r="AL289">
        <v>3</v>
      </c>
      <c r="AM289" t="s">
        <v>68</v>
      </c>
      <c r="AN289">
        <v>2</v>
      </c>
      <c r="AO289" t="s">
        <v>61</v>
      </c>
      <c r="AP289">
        <v>80</v>
      </c>
      <c r="AQ289">
        <v>1</v>
      </c>
      <c r="AR289">
        <v>10</v>
      </c>
      <c r="AS289" t="str">
        <f t="shared" si="70"/>
        <v>6-10</v>
      </c>
      <c r="AT289">
        <v>2</v>
      </c>
      <c r="AU289" t="str">
        <f t="shared" si="71"/>
        <v>0-2</v>
      </c>
      <c r="AV289">
        <v>3</v>
      </c>
      <c r="AW289" t="s">
        <v>79</v>
      </c>
      <c r="AX289">
        <v>2</v>
      </c>
      <c r="AY289" t="str">
        <f t="shared" si="60"/>
        <v>2-5</v>
      </c>
      <c r="AZ289">
        <v>2</v>
      </c>
      <c r="BA289" t="str">
        <f t="shared" si="72"/>
        <v>2-5</v>
      </c>
      <c r="BB289">
        <v>1</v>
      </c>
      <c r="BC289" t="str">
        <f t="shared" si="73"/>
        <v>0-1</v>
      </c>
      <c r="BD289">
        <v>2</v>
      </c>
      <c r="BE289" t="str">
        <f t="shared" si="74"/>
        <v>2-5</v>
      </c>
    </row>
    <row r="290" spans="1:57" x14ac:dyDescent="0.3">
      <c r="A290">
        <v>394</v>
      </c>
      <c r="B290">
        <v>26</v>
      </c>
      <c r="C290" t="str">
        <f t="shared" si="61"/>
        <v>26-35</v>
      </c>
      <c r="D290" t="s">
        <v>56</v>
      </c>
      <c r="E290">
        <f t="shared" si="62"/>
        <v>1</v>
      </c>
      <c r="F290" t="s">
        <v>57</v>
      </c>
      <c r="G290">
        <v>1449</v>
      </c>
      <c r="H290" t="str">
        <f t="shared" si="63"/>
        <v>1001-1499</v>
      </c>
      <c r="I290" t="s">
        <v>73</v>
      </c>
      <c r="J290">
        <v>16</v>
      </c>
      <c r="K290" t="str">
        <f t="shared" si="64"/>
        <v>11-20</v>
      </c>
      <c r="L290">
        <v>4</v>
      </c>
      <c r="M290" t="s">
        <v>82</v>
      </c>
      <c r="N290" t="s">
        <v>83</v>
      </c>
      <c r="O290">
        <v>1</v>
      </c>
      <c r="P290">
        <v>1</v>
      </c>
      <c r="Q290" t="s">
        <v>69</v>
      </c>
      <c r="R290" t="s">
        <v>75</v>
      </c>
      <c r="S290">
        <v>45</v>
      </c>
      <c r="T290" t="str">
        <f t="shared" si="65"/>
        <v>30-50</v>
      </c>
      <c r="U290">
        <v>3</v>
      </c>
      <c r="V290" t="s">
        <v>63</v>
      </c>
      <c r="W290">
        <v>1</v>
      </c>
      <c r="X290" t="s">
        <v>81</v>
      </c>
      <c r="Y290">
        <v>2</v>
      </c>
      <c r="Z290" t="s">
        <v>61</v>
      </c>
      <c r="AA290" t="s">
        <v>86</v>
      </c>
      <c r="AB290" s="4">
        <v>2373</v>
      </c>
      <c r="AC290" s="4" t="str">
        <f t="shared" si="66"/>
        <v>$1,000-$2,500</v>
      </c>
      <c r="AD290">
        <v>14180</v>
      </c>
      <c r="AE290" t="str">
        <f t="shared" si="67"/>
        <v>$8,001-$16,000</v>
      </c>
      <c r="AF290">
        <v>2</v>
      </c>
      <c r="AG290" t="str">
        <f t="shared" si="68"/>
        <v>2-3</v>
      </c>
      <c r="AH290" t="s">
        <v>67</v>
      </c>
      <c r="AI290" t="s">
        <v>56</v>
      </c>
      <c r="AJ290">
        <v>13</v>
      </c>
      <c r="AK290" t="str">
        <f t="shared" si="69"/>
        <v>13-15%</v>
      </c>
      <c r="AL290">
        <v>3</v>
      </c>
      <c r="AM290" t="s">
        <v>68</v>
      </c>
      <c r="AN290">
        <v>4</v>
      </c>
      <c r="AO290" t="s">
        <v>65</v>
      </c>
      <c r="AP290">
        <v>80</v>
      </c>
      <c r="AQ290">
        <v>1</v>
      </c>
      <c r="AR290">
        <v>5</v>
      </c>
      <c r="AS290" t="str">
        <f t="shared" si="70"/>
        <v>3-5</v>
      </c>
      <c r="AT290">
        <v>2</v>
      </c>
      <c r="AU290" t="str">
        <f t="shared" si="71"/>
        <v>0-2</v>
      </c>
      <c r="AV290">
        <v>3</v>
      </c>
      <c r="AW290" t="s">
        <v>79</v>
      </c>
      <c r="AX290">
        <v>3</v>
      </c>
      <c r="AY290" t="str">
        <f t="shared" si="60"/>
        <v>2-5</v>
      </c>
      <c r="AZ290">
        <v>2</v>
      </c>
      <c r="BA290" t="str">
        <f t="shared" si="72"/>
        <v>2-5</v>
      </c>
      <c r="BB290">
        <v>0</v>
      </c>
      <c r="BC290" t="str">
        <f t="shared" si="73"/>
        <v>0-1</v>
      </c>
      <c r="BD290">
        <v>2</v>
      </c>
      <c r="BE290" t="str">
        <f t="shared" si="74"/>
        <v>2-5</v>
      </c>
    </row>
    <row r="291" spans="1:57" x14ac:dyDescent="0.3">
      <c r="A291">
        <v>395</v>
      </c>
      <c r="B291">
        <v>28</v>
      </c>
      <c r="C291" t="str">
        <f t="shared" si="61"/>
        <v>26-35</v>
      </c>
      <c r="D291" t="s">
        <v>71</v>
      </c>
      <c r="E291">
        <f t="shared" si="62"/>
        <v>0</v>
      </c>
      <c r="F291" t="s">
        <v>57</v>
      </c>
      <c r="G291">
        <v>1117</v>
      </c>
      <c r="H291" t="str">
        <f t="shared" si="63"/>
        <v>1001-1499</v>
      </c>
      <c r="I291" t="s">
        <v>73</v>
      </c>
      <c r="J291">
        <v>8</v>
      </c>
      <c r="K291" t="str">
        <f t="shared" si="64"/>
        <v>6-10</v>
      </c>
      <c r="L291">
        <v>2</v>
      </c>
      <c r="M291" t="s">
        <v>59</v>
      </c>
      <c r="N291" t="s">
        <v>60</v>
      </c>
      <c r="O291">
        <v>1</v>
      </c>
      <c r="P291">
        <v>4</v>
      </c>
      <c r="Q291" t="s">
        <v>65</v>
      </c>
      <c r="R291" t="s">
        <v>62</v>
      </c>
      <c r="S291">
        <v>66</v>
      </c>
      <c r="T291" t="str">
        <f t="shared" si="65"/>
        <v>51-75</v>
      </c>
      <c r="U291">
        <v>3</v>
      </c>
      <c r="V291" t="s">
        <v>63</v>
      </c>
      <c r="W291">
        <v>1</v>
      </c>
      <c r="X291" t="s">
        <v>76</v>
      </c>
      <c r="Y291">
        <v>4</v>
      </c>
      <c r="Z291" t="s">
        <v>65</v>
      </c>
      <c r="AA291" t="s">
        <v>66</v>
      </c>
      <c r="AB291" s="4">
        <v>3310</v>
      </c>
      <c r="AC291" s="4" t="str">
        <f t="shared" si="66"/>
        <v>$2,500-$4,000</v>
      </c>
      <c r="AD291">
        <v>4488</v>
      </c>
      <c r="AE291" t="str">
        <f t="shared" si="67"/>
        <v>$2,094-$8,000</v>
      </c>
      <c r="AF291">
        <v>1</v>
      </c>
      <c r="AG291" t="str">
        <f t="shared" si="68"/>
        <v>0-1</v>
      </c>
      <c r="AH291" t="s">
        <v>67</v>
      </c>
      <c r="AI291" t="s">
        <v>71</v>
      </c>
      <c r="AJ291">
        <v>21</v>
      </c>
      <c r="AK291" t="str">
        <f t="shared" si="69"/>
        <v>18-19%</v>
      </c>
      <c r="AL291">
        <v>4</v>
      </c>
      <c r="AM291" t="s">
        <v>78</v>
      </c>
      <c r="AN291">
        <v>4</v>
      </c>
      <c r="AO291" t="s">
        <v>65</v>
      </c>
      <c r="AP291">
        <v>80</v>
      </c>
      <c r="AQ291">
        <v>0</v>
      </c>
      <c r="AR291">
        <v>5</v>
      </c>
      <c r="AS291" t="str">
        <f t="shared" si="70"/>
        <v>3-5</v>
      </c>
      <c r="AT291">
        <v>3</v>
      </c>
      <c r="AU291" t="str">
        <f t="shared" si="71"/>
        <v>3-4</v>
      </c>
      <c r="AV291">
        <v>3</v>
      </c>
      <c r="AW291" t="s">
        <v>79</v>
      </c>
      <c r="AX291">
        <v>5</v>
      </c>
      <c r="AY291" t="str">
        <f t="shared" si="60"/>
        <v>2-5</v>
      </c>
      <c r="AZ291">
        <v>3</v>
      </c>
      <c r="BA291" t="str">
        <f t="shared" si="72"/>
        <v>2-5</v>
      </c>
      <c r="BB291">
        <v>0</v>
      </c>
      <c r="BC291" t="str">
        <f t="shared" si="73"/>
        <v>0-1</v>
      </c>
      <c r="BD291">
        <v>2</v>
      </c>
      <c r="BE291" t="str">
        <f t="shared" si="74"/>
        <v>2-5</v>
      </c>
    </row>
    <row r="292" spans="1:57" x14ac:dyDescent="0.3">
      <c r="A292">
        <v>396</v>
      </c>
      <c r="B292">
        <v>49</v>
      </c>
      <c r="C292" t="str">
        <f t="shared" si="61"/>
        <v>46-55</v>
      </c>
      <c r="D292" t="s">
        <v>71</v>
      </c>
      <c r="E292">
        <f t="shared" si="62"/>
        <v>0</v>
      </c>
      <c r="F292" t="s">
        <v>72</v>
      </c>
      <c r="G292">
        <v>636</v>
      </c>
      <c r="H292" t="str">
        <f t="shared" si="63"/>
        <v>501-1000</v>
      </c>
      <c r="I292" t="s">
        <v>73</v>
      </c>
      <c r="J292">
        <v>10</v>
      </c>
      <c r="K292" t="str">
        <f t="shared" si="64"/>
        <v>6-10</v>
      </c>
      <c r="L292">
        <v>4</v>
      </c>
      <c r="M292" t="s">
        <v>82</v>
      </c>
      <c r="N292" t="s">
        <v>60</v>
      </c>
      <c r="O292">
        <v>1</v>
      </c>
      <c r="P292">
        <v>3</v>
      </c>
      <c r="Q292" t="s">
        <v>63</v>
      </c>
      <c r="R292" t="s">
        <v>62</v>
      </c>
      <c r="S292">
        <v>35</v>
      </c>
      <c r="T292" t="str">
        <f t="shared" si="65"/>
        <v>30-50</v>
      </c>
      <c r="U292">
        <v>3</v>
      </c>
      <c r="V292" t="s">
        <v>63</v>
      </c>
      <c r="W292">
        <v>5</v>
      </c>
      <c r="X292" t="s">
        <v>92</v>
      </c>
      <c r="Y292">
        <v>1</v>
      </c>
      <c r="Z292" t="s">
        <v>69</v>
      </c>
      <c r="AA292" t="s">
        <v>66</v>
      </c>
      <c r="AB292" s="4">
        <v>18665</v>
      </c>
      <c r="AC292" s="4" t="str">
        <f t="shared" si="66"/>
        <v>$17,500-$19,000</v>
      </c>
      <c r="AD292">
        <v>25594</v>
      </c>
      <c r="AE292" t="str">
        <f t="shared" si="67"/>
        <v>$22,001-$26,999</v>
      </c>
      <c r="AF292">
        <v>9</v>
      </c>
      <c r="AG292" t="str">
        <f t="shared" si="68"/>
        <v>7-9</v>
      </c>
      <c r="AH292" t="s">
        <v>67</v>
      </c>
      <c r="AI292" t="s">
        <v>56</v>
      </c>
      <c r="AJ292">
        <v>11</v>
      </c>
      <c r="AK292" t="str">
        <f t="shared" si="69"/>
        <v>11-12%</v>
      </c>
      <c r="AL292">
        <v>3</v>
      </c>
      <c r="AM292" t="s">
        <v>68</v>
      </c>
      <c r="AN292">
        <v>4</v>
      </c>
      <c r="AO292" t="s">
        <v>65</v>
      </c>
      <c r="AP292">
        <v>80</v>
      </c>
      <c r="AQ292">
        <v>0</v>
      </c>
      <c r="AR292">
        <v>22</v>
      </c>
      <c r="AS292" t="str">
        <f t="shared" si="70"/>
        <v>21-40</v>
      </c>
      <c r="AT292">
        <v>4</v>
      </c>
      <c r="AU292" t="str">
        <f t="shared" si="71"/>
        <v>3-4</v>
      </c>
      <c r="AV292">
        <v>3</v>
      </c>
      <c r="AW292" t="s">
        <v>79</v>
      </c>
      <c r="AX292">
        <v>3</v>
      </c>
      <c r="AY292" t="str">
        <f t="shared" si="60"/>
        <v>2-5</v>
      </c>
      <c r="AZ292">
        <v>2</v>
      </c>
      <c r="BA292" t="str">
        <f t="shared" si="72"/>
        <v>2-5</v>
      </c>
      <c r="BB292">
        <v>1</v>
      </c>
      <c r="BC292" t="str">
        <f t="shared" si="73"/>
        <v>0-1</v>
      </c>
      <c r="BD292">
        <v>2</v>
      </c>
      <c r="BE292" t="str">
        <f t="shared" si="74"/>
        <v>2-5</v>
      </c>
    </row>
    <row r="293" spans="1:57" x14ac:dyDescent="0.3">
      <c r="A293">
        <v>397</v>
      </c>
      <c r="B293">
        <v>36</v>
      </c>
      <c r="C293" t="str">
        <f t="shared" si="61"/>
        <v>36-45</v>
      </c>
      <c r="D293" t="s">
        <v>71</v>
      </c>
      <c r="E293">
        <f t="shared" si="62"/>
        <v>0</v>
      </c>
      <c r="F293" t="s">
        <v>57</v>
      </c>
      <c r="G293">
        <v>506</v>
      </c>
      <c r="H293" t="str">
        <f t="shared" si="63"/>
        <v>501-1000</v>
      </c>
      <c r="I293" t="s">
        <v>73</v>
      </c>
      <c r="J293">
        <v>3</v>
      </c>
      <c r="K293" t="str">
        <f t="shared" si="64"/>
        <v>1-5</v>
      </c>
      <c r="L293">
        <v>3</v>
      </c>
      <c r="M293" t="s">
        <v>85</v>
      </c>
      <c r="N293" t="s">
        <v>95</v>
      </c>
      <c r="O293">
        <v>1</v>
      </c>
      <c r="P293">
        <v>3</v>
      </c>
      <c r="Q293" t="s">
        <v>63</v>
      </c>
      <c r="R293" t="s">
        <v>75</v>
      </c>
      <c r="S293">
        <v>30</v>
      </c>
      <c r="T293" t="str">
        <f t="shared" si="65"/>
        <v>30-50</v>
      </c>
      <c r="U293">
        <v>3</v>
      </c>
      <c r="V293" t="s">
        <v>63</v>
      </c>
      <c r="W293">
        <v>2</v>
      </c>
      <c r="X293" t="s">
        <v>76</v>
      </c>
      <c r="Y293">
        <v>2</v>
      </c>
      <c r="Z293" t="s">
        <v>61</v>
      </c>
      <c r="AA293" t="s">
        <v>66</v>
      </c>
      <c r="AB293" s="4">
        <v>4485</v>
      </c>
      <c r="AC293" s="4" t="str">
        <f t="shared" si="66"/>
        <v>$4,000-$5,500</v>
      </c>
      <c r="AD293">
        <v>26285</v>
      </c>
      <c r="AE293" t="str">
        <f t="shared" si="67"/>
        <v>$22,001-$26,999</v>
      </c>
      <c r="AF293">
        <v>4</v>
      </c>
      <c r="AG293" t="str">
        <f t="shared" si="68"/>
        <v>4-6</v>
      </c>
      <c r="AH293" t="s">
        <v>67</v>
      </c>
      <c r="AI293" t="s">
        <v>71</v>
      </c>
      <c r="AJ293">
        <v>12</v>
      </c>
      <c r="AK293" t="str">
        <f t="shared" si="69"/>
        <v>11-12%</v>
      </c>
      <c r="AL293">
        <v>3</v>
      </c>
      <c r="AM293" t="s">
        <v>68</v>
      </c>
      <c r="AN293">
        <v>4</v>
      </c>
      <c r="AO293" t="s">
        <v>65</v>
      </c>
      <c r="AP293">
        <v>80</v>
      </c>
      <c r="AQ293">
        <v>0</v>
      </c>
      <c r="AR293">
        <v>10</v>
      </c>
      <c r="AS293" t="str">
        <f t="shared" si="70"/>
        <v>6-10</v>
      </c>
      <c r="AT293">
        <v>2</v>
      </c>
      <c r="AU293" t="str">
        <f t="shared" si="71"/>
        <v>0-2</v>
      </c>
      <c r="AV293">
        <v>3</v>
      </c>
      <c r="AW293" t="s">
        <v>79</v>
      </c>
      <c r="AX293">
        <v>8</v>
      </c>
      <c r="AY293" t="str">
        <f t="shared" si="60"/>
        <v>6-10</v>
      </c>
      <c r="AZ293">
        <v>0</v>
      </c>
      <c r="BA293" t="str">
        <f t="shared" si="72"/>
        <v>0-1</v>
      </c>
      <c r="BB293">
        <v>7</v>
      </c>
      <c r="BC293" t="str">
        <f t="shared" si="73"/>
        <v>6-10</v>
      </c>
      <c r="BD293">
        <v>7</v>
      </c>
      <c r="BE293" t="str">
        <f t="shared" si="74"/>
        <v>6-10</v>
      </c>
    </row>
    <row r="294" spans="1:57" x14ac:dyDescent="0.3">
      <c r="A294">
        <v>399</v>
      </c>
      <c r="B294">
        <v>31</v>
      </c>
      <c r="C294" t="str">
        <f t="shared" si="61"/>
        <v>26-35</v>
      </c>
      <c r="D294" t="s">
        <v>71</v>
      </c>
      <c r="E294">
        <f t="shared" si="62"/>
        <v>0</v>
      </c>
      <c r="F294" t="s">
        <v>72</v>
      </c>
      <c r="G294">
        <v>444</v>
      </c>
      <c r="H294" t="str">
        <f t="shared" si="63"/>
        <v>102-500</v>
      </c>
      <c r="I294" t="s">
        <v>58</v>
      </c>
      <c r="J294">
        <v>5</v>
      </c>
      <c r="K294" t="str">
        <f t="shared" si="64"/>
        <v>1-5</v>
      </c>
      <c r="L294">
        <v>3</v>
      </c>
      <c r="M294" t="s">
        <v>85</v>
      </c>
      <c r="N294" t="s">
        <v>93</v>
      </c>
      <c r="O294">
        <v>1</v>
      </c>
      <c r="P294">
        <v>4</v>
      </c>
      <c r="Q294" t="s">
        <v>65</v>
      </c>
      <c r="R294" t="s">
        <v>62</v>
      </c>
      <c r="S294">
        <v>84</v>
      </c>
      <c r="T294" t="str">
        <f t="shared" si="65"/>
        <v>76-100</v>
      </c>
      <c r="U294">
        <v>3</v>
      </c>
      <c r="V294" t="s">
        <v>63</v>
      </c>
      <c r="W294">
        <v>1</v>
      </c>
      <c r="X294" t="s">
        <v>91</v>
      </c>
      <c r="Y294">
        <v>2</v>
      </c>
      <c r="Z294" t="s">
        <v>61</v>
      </c>
      <c r="AA294" t="s">
        <v>86</v>
      </c>
      <c r="AB294" s="4">
        <v>2789</v>
      </c>
      <c r="AC294" s="4" t="str">
        <f t="shared" si="66"/>
        <v>$2,500-$4,000</v>
      </c>
      <c r="AD294">
        <v>3909</v>
      </c>
      <c r="AE294" t="str">
        <f t="shared" si="67"/>
        <v>$2,094-$8,000</v>
      </c>
      <c r="AF294">
        <v>1</v>
      </c>
      <c r="AG294" t="str">
        <f t="shared" si="68"/>
        <v>0-1</v>
      </c>
      <c r="AH294" t="s">
        <v>67</v>
      </c>
      <c r="AI294" t="s">
        <v>71</v>
      </c>
      <c r="AJ294">
        <v>11</v>
      </c>
      <c r="AK294" t="str">
        <f t="shared" si="69"/>
        <v>11-12%</v>
      </c>
      <c r="AL294">
        <v>3</v>
      </c>
      <c r="AM294" t="s">
        <v>68</v>
      </c>
      <c r="AN294">
        <v>3</v>
      </c>
      <c r="AO294" t="s">
        <v>63</v>
      </c>
      <c r="AP294">
        <v>80</v>
      </c>
      <c r="AQ294">
        <v>1</v>
      </c>
      <c r="AR294">
        <v>2</v>
      </c>
      <c r="AS294" t="str">
        <f t="shared" si="70"/>
        <v>0-2</v>
      </c>
      <c r="AT294">
        <v>5</v>
      </c>
      <c r="AU294" t="str">
        <f t="shared" si="71"/>
        <v>5-6</v>
      </c>
      <c r="AV294">
        <v>2</v>
      </c>
      <c r="AW294" t="s">
        <v>84</v>
      </c>
      <c r="AX294">
        <v>2</v>
      </c>
      <c r="AY294" t="str">
        <f t="shared" si="60"/>
        <v>2-5</v>
      </c>
      <c r="AZ294">
        <v>2</v>
      </c>
      <c r="BA294" t="str">
        <f t="shared" si="72"/>
        <v>2-5</v>
      </c>
      <c r="BB294">
        <v>2</v>
      </c>
      <c r="BC294" t="str">
        <f t="shared" si="73"/>
        <v>2-5</v>
      </c>
      <c r="BD294">
        <v>2</v>
      </c>
      <c r="BE294" t="str">
        <f t="shared" si="74"/>
        <v>2-5</v>
      </c>
    </row>
    <row r="295" spans="1:57" x14ac:dyDescent="0.3">
      <c r="A295">
        <v>401</v>
      </c>
      <c r="B295">
        <v>26</v>
      </c>
      <c r="C295" t="str">
        <f t="shared" si="61"/>
        <v>26-35</v>
      </c>
      <c r="D295" t="s">
        <v>56</v>
      </c>
      <c r="E295">
        <f t="shared" si="62"/>
        <v>1</v>
      </c>
      <c r="F295" t="s">
        <v>57</v>
      </c>
      <c r="G295">
        <v>950</v>
      </c>
      <c r="H295" t="str">
        <f t="shared" si="63"/>
        <v>501-1000</v>
      </c>
      <c r="I295" t="s">
        <v>58</v>
      </c>
      <c r="J295">
        <v>4</v>
      </c>
      <c r="K295" t="str">
        <f t="shared" si="64"/>
        <v>1-5</v>
      </c>
      <c r="L295">
        <v>4</v>
      </c>
      <c r="M295" t="s">
        <v>82</v>
      </c>
      <c r="N295" t="s">
        <v>93</v>
      </c>
      <c r="O295">
        <v>1</v>
      </c>
      <c r="P295">
        <v>4</v>
      </c>
      <c r="Q295" t="s">
        <v>65</v>
      </c>
      <c r="R295" t="s">
        <v>75</v>
      </c>
      <c r="S295">
        <v>48</v>
      </c>
      <c r="T295" t="str">
        <f t="shared" si="65"/>
        <v>30-50</v>
      </c>
      <c r="U295">
        <v>2</v>
      </c>
      <c r="V295" t="s">
        <v>61</v>
      </c>
      <c r="W295">
        <v>2</v>
      </c>
      <c r="X295" t="s">
        <v>64</v>
      </c>
      <c r="Y295">
        <v>4</v>
      </c>
      <c r="Z295" t="s">
        <v>65</v>
      </c>
      <c r="AA295" t="s">
        <v>66</v>
      </c>
      <c r="AB295" s="4">
        <v>5828</v>
      </c>
      <c r="AC295" s="4" t="str">
        <f t="shared" si="66"/>
        <v>$5,500-$7,000</v>
      </c>
      <c r="AD295">
        <v>8450</v>
      </c>
      <c r="AE295" t="str">
        <f t="shared" si="67"/>
        <v>$8,001-$16,000</v>
      </c>
      <c r="AF295">
        <v>1</v>
      </c>
      <c r="AG295" t="str">
        <f t="shared" si="68"/>
        <v>0-1</v>
      </c>
      <c r="AH295" t="s">
        <v>67</v>
      </c>
      <c r="AI295" t="s">
        <v>56</v>
      </c>
      <c r="AJ295">
        <v>12</v>
      </c>
      <c r="AK295" t="str">
        <f t="shared" si="69"/>
        <v>11-12%</v>
      </c>
      <c r="AL295">
        <v>3</v>
      </c>
      <c r="AM295" t="s">
        <v>68</v>
      </c>
      <c r="AN295">
        <v>2</v>
      </c>
      <c r="AO295" t="s">
        <v>61</v>
      </c>
      <c r="AP295">
        <v>80</v>
      </c>
      <c r="AQ295">
        <v>0</v>
      </c>
      <c r="AR295">
        <v>8</v>
      </c>
      <c r="AS295" t="str">
        <f t="shared" si="70"/>
        <v>6-10</v>
      </c>
      <c r="AT295">
        <v>0</v>
      </c>
      <c r="AU295" t="str">
        <f t="shared" si="71"/>
        <v>0-2</v>
      </c>
      <c r="AV295">
        <v>3</v>
      </c>
      <c r="AW295" t="s">
        <v>79</v>
      </c>
      <c r="AX295">
        <v>8</v>
      </c>
      <c r="AY295" t="str">
        <f t="shared" si="60"/>
        <v>6-10</v>
      </c>
      <c r="AZ295">
        <v>7</v>
      </c>
      <c r="BA295" t="str">
        <f t="shared" si="72"/>
        <v>6-10</v>
      </c>
      <c r="BB295">
        <v>7</v>
      </c>
      <c r="BC295" t="str">
        <f t="shared" si="73"/>
        <v>6-10</v>
      </c>
      <c r="BD295">
        <v>4</v>
      </c>
      <c r="BE295" t="str">
        <f t="shared" si="74"/>
        <v>2-5</v>
      </c>
    </row>
    <row r="296" spans="1:57" x14ac:dyDescent="0.3">
      <c r="A296">
        <v>403</v>
      </c>
      <c r="B296">
        <v>37</v>
      </c>
      <c r="C296" t="str">
        <f t="shared" si="61"/>
        <v>36-45</v>
      </c>
      <c r="D296" t="s">
        <v>71</v>
      </c>
      <c r="E296">
        <f t="shared" si="62"/>
        <v>0</v>
      </c>
      <c r="F296" t="s">
        <v>72</v>
      </c>
      <c r="G296">
        <v>889</v>
      </c>
      <c r="H296" t="str">
        <f t="shared" si="63"/>
        <v>501-1000</v>
      </c>
      <c r="I296" t="s">
        <v>73</v>
      </c>
      <c r="J296">
        <v>9</v>
      </c>
      <c r="K296" t="str">
        <f t="shared" si="64"/>
        <v>6-10</v>
      </c>
      <c r="L296">
        <v>3</v>
      </c>
      <c r="M296" t="s">
        <v>85</v>
      </c>
      <c r="N296" t="s">
        <v>83</v>
      </c>
      <c r="O296">
        <v>1</v>
      </c>
      <c r="P296">
        <v>2</v>
      </c>
      <c r="Q296" t="s">
        <v>61</v>
      </c>
      <c r="R296" t="s">
        <v>75</v>
      </c>
      <c r="S296">
        <v>53</v>
      </c>
      <c r="T296" t="str">
        <f t="shared" si="65"/>
        <v>51-75</v>
      </c>
      <c r="U296">
        <v>3</v>
      </c>
      <c r="V296" t="s">
        <v>63</v>
      </c>
      <c r="W296">
        <v>1</v>
      </c>
      <c r="X296" t="s">
        <v>76</v>
      </c>
      <c r="Y296">
        <v>4</v>
      </c>
      <c r="Z296" t="s">
        <v>65</v>
      </c>
      <c r="AA296" t="s">
        <v>77</v>
      </c>
      <c r="AB296" s="4">
        <v>2326</v>
      </c>
      <c r="AC296" s="4" t="str">
        <f t="shared" si="66"/>
        <v>$1,000-$2,500</v>
      </c>
      <c r="AD296">
        <v>11411</v>
      </c>
      <c r="AE296" t="str">
        <f t="shared" si="67"/>
        <v>$8,001-$16,000</v>
      </c>
      <c r="AF296">
        <v>1</v>
      </c>
      <c r="AG296" t="str">
        <f t="shared" si="68"/>
        <v>0-1</v>
      </c>
      <c r="AH296" t="s">
        <v>67</v>
      </c>
      <c r="AI296" t="s">
        <v>56</v>
      </c>
      <c r="AJ296">
        <v>12</v>
      </c>
      <c r="AK296" t="str">
        <f t="shared" si="69"/>
        <v>11-12%</v>
      </c>
      <c r="AL296">
        <v>3</v>
      </c>
      <c r="AM296" t="s">
        <v>68</v>
      </c>
      <c r="AN296">
        <v>3</v>
      </c>
      <c r="AO296" t="s">
        <v>63</v>
      </c>
      <c r="AP296">
        <v>80</v>
      </c>
      <c r="AQ296">
        <v>3</v>
      </c>
      <c r="AR296">
        <v>4</v>
      </c>
      <c r="AS296" t="str">
        <f t="shared" si="70"/>
        <v>3-5</v>
      </c>
      <c r="AT296">
        <v>3</v>
      </c>
      <c r="AU296" t="str">
        <f t="shared" si="71"/>
        <v>3-4</v>
      </c>
      <c r="AV296">
        <v>2</v>
      </c>
      <c r="AW296" t="s">
        <v>84</v>
      </c>
      <c r="AX296">
        <v>4</v>
      </c>
      <c r="AY296" t="str">
        <f t="shared" si="60"/>
        <v>2-5</v>
      </c>
      <c r="AZ296">
        <v>2</v>
      </c>
      <c r="BA296" t="str">
        <f t="shared" si="72"/>
        <v>2-5</v>
      </c>
      <c r="BB296">
        <v>1</v>
      </c>
      <c r="BC296" t="str">
        <f t="shared" si="73"/>
        <v>0-1</v>
      </c>
      <c r="BD296">
        <v>2</v>
      </c>
      <c r="BE296" t="str">
        <f t="shared" si="74"/>
        <v>2-5</v>
      </c>
    </row>
    <row r="297" spans="1:57" x14ac:dyDescent="0.3">
      <c r="A297">
        <v>404</v>
      </c>
      <c r="B297">
        <v>42</v>
      </c>
      <c r="C297" t="str">
        <f t="shared" si="61"/>
        <v>36-45</v>
      </c>
      <c r="D297" t="s">
        <v>71</v>
      </c>
      <c r="E297">
        <f t="shared" si="62"/>
        <v>0</v>
      </c>
      <c r="F297" t="s">
        <v>72</v>
      </c>
      <c r="G297">
        <v>555</v>
      </c>
      <c r="H297" t="str">
        <f t="shared" si="63"/>
        <v>501-1000</v>
      </c>
      <c r="I297" t="s">
        <v>58</v>
      </c>
      <c r="J297">
        <v>26</v>
      </c>
      <c r="K297" t="str">
        <f t="shared" si="64"/>
        <v>21-29</v>
      </c>
      <c r="L297">
        <v>3</v>
      </c>
      <c r="M297" t="s">
        <v>85</v>
      </c>
      <c r="N297" t="s">
        <v>93</v>
      </c>
      <c r="O297">
        <v>1</v>
      </c>
      <c r="P297">
        <v>3</v>
      </c>
      <c r="Q297" t="s">
        <v>63</v>
      </c>
      <c r="R297" t="s">
        <v>62</v>
      </c>
      <c r="S297">
        <v>77</v>
      </c>
      <c r="T297" t="str">
        <f t="shared" si="65"/>
        <v>76-100</v>
      </c>
      <c r="U297">
        <v>3</v>
      </c>
      <c r="V297" t="s">
        <v>63</v>
      </c>
      <c r="W297">
        <v>4</v>
      </c>
      <c r="X297" t="s">
        <v>64</v>
      </c>
      <c r="Y297">
        <v>2</v>
      </c>
      <c r="Z297" t="s">
        <v>61</v>
      </c>
      <c r="AA297" t="s">
        <v>77</v>
      </c>
      <c r="AB297" s="4">
        <v>13525</v>
      </c>
      <c r="AC297" s="4" t="str">
        <f t="shared" si="66"/>
        <v>$13,000-$14,500</v>
      </c>
      <c r="AD297">
        <v>14864</v>
      </c>
      <c r="AE297" t="str">
        <f t="shared" si="67"/>
        <v>$8,001-$16,000</v>
      </c>
      <c r="AF297">
        <v>5</v>
      </c>
      <c r="AG297" t="str">
        <f t="shared" si="68"/>
        <v>4-6</v>
      </c>
      <c r="AH297" t="s">
        <v>67</v>
      </c>
      <c r="AI297" t="s">
        <v>71</v>
      </c>
      <c r="AJ297">
        <v>14</v>
      </c>
      <c r="AK297" t="str">
        <f t="shared" si="69"/>
        <v>13-15%</v>
      </c>
      <c r="AL297">
        <v>3</v>
      </c>
      <c r="AM297" t="s">
        <v>68</v>
      </c>
      <c r="AN297">
        <v>4</v>
      </c>
      <c r="AO297" t="s">
        <v>65</v>
      </c>
      <c r="AP297">
        <v>80</v>
      </c>
      <c r="AQ297">
        <v>1</v>
      </c>
      <c r="AR297">
        <v>23</v>
      </c>
      <c r="AS297" t="str">
        <f t="shared" si="70"/>
        <v>21-40</v>
      </c>
      <c r="AT297">
        <v>2</v>
      </c>
      <c r="AU297" t="str">
        <f t="shared" si="71"/>
        <v>0-2</v>
      </c>
      <c r="AV297">
        <v>4</v>
      </c>
      <c r="AW297" t="s">
        <v>94</v>
      </c>
      <c r="AX297">
        <v>20</v>
      </c>
      <c r="AY297" t="str">
        <f t="shared" si="60"/>
        <v>11-20</v>
      </c>
      <c r="AZ297">
        <v>4</v>
      </c>
      <c r="BA297" t="str">
        <f t="shared" si="72"/>
        <v>2-5</v>
      </c>
      <c r="BB297">
        <v>4</v>
      </c>
      <c r="BC297" t="str">
        <f t="shared" si="73"/>
        <v>2-5</v>
      </c>
      <c r="BD297">
        <v>8</v>
      </c>
      <c r="BE297" t="str">
        <f t="shared" si="74"/>
        <v>6-10</v>
      </c>
    </row>
    <row r="298" spans="1:57" x14ac:dyDescent="0.3">
      <c r="A298">
        <v>405</v>
      </c>
      <c r="B298">
        <v>18</v>
      </c>
      <c r="C298" t="str">
        <f t="shared" si="61"/>
        <v>18-25</v>
      </c>
      <c r="D298" t="s">
        <v>56</v>
      </c>
      <c r="E298">
        <f t="shared" si="62"/>
        <v>1</v>
      </c>
      <c r="F298" t="s">
        <v>57</v>
      </c>
      <c r="G298">
        <v>230</v>
      </c>
      <c r="H298" t="str">
        <f t="shared" si="63"/>
        <v>102-500</v>
      </c>
      <c r="I298" t="s">
        <v>73</v>
      </c>
      <c r="J298">
        <v>3</v>
      </c>
      <c r="K298" t="str">
        <f t="shared" si="64"/>
        <v>1-5</v>
      </c>
      <c r="L298">
        <v>3</v>
      </c>
      <c r="M298" t="s">
        <v>85</v>
      </c>
      <c r="N298" t="s">
        <v>60</v>
      </c>
      <c r="O298">
        <v>1</v>
      </c>
      <c r="P298">
        <v>3</v>
      </c>
      <c r="Q298" t="s">
        <v>63</v>
      </c>
      <c r="R298" t="s">
        <v>75</v>
      </c>
      <c r="S298">
        <v>54</v>
      </c>
      <c r="T298" t="str">
        <f t="shared" si="65"/>
        <v>51-75</v>
      </c>
      <c r="U298">
        <v>3</v>
      </c>
      <c r="V298" t="s">
        <v>63</v>
      </c>
      <c r="W298">
        <v>1</v>
      </c>
      <c r="X298" t="s">
        <v>81</v>
      </c>
      <c r="Y298">
        <v>3</v>
      </c>
      <c r="Z298" t="s">
        <v>63</v>
      </c>
      <c r="AA298" t="s">
        <v>66</v>
      </c>
      <c r="AB298" s="4">
        <v>1420</v>
      </c>
      <c r="AC298" s="4" t="str">
        <f t="shared" si="66"/>
        <v>$1,000-$2,500</v>
      </c>
      <c r="AD298">
        <v>25233</v>
      </c>
      <c r="AE298" t="str">
        <f t="shared" si="67"/>
        <v>$22,001-$26,999</v>
      </c>
      <c r="AF298">
        <v>1</v>
      </c>
      <c r="AG298" t="str">
        <f t="shared" si="68"/>
        <v>0-1</v>
      </c>
      <c r="AH298" t="s">
        <v>67</v>
      </c>
      <c r="AI298" t="s">
        <v>71</v>
      </c>
      <c r="AJ298">
        <v>13</v>
      </c>
      <c r="AK298" t="str">
        <f t="shared" si="69"/>
        <v>13-15%</v>
      </c>
      <c r="AL298">
        <v>3</v>
      </c>
      <c r="AM298" t="s">
        <v>68</v>
      </c>
      <c r="AN298">
        <v>3</v>
      </c>
      <c r="AO298" t="s">
        <v>63</v>
      </c>
      <c r="AP298">
        <v>80</v>
      </c>
      <c r="AQ298">
        <v>0</v>
      </c>
      <c r="AR298">
        <v>0</v>
      </c>
      <c r="AS298" t="str">
        <f t="shared" si="70"/>
        <v>0-2</v>
      </c>
      <c r="AT298">
        <v>2</v>
      </c>
      <c r="AU298" t="str">
        <f t="shared" si="71"/>
        <v>0-2</v>
      </c>
      <c r="AV298">
        <v>3</v>
      </c>
      <c r="AW298" t="s">
        <v>79</v>
      </c>
      <c r="AX298">
        <v>0</v>
      </c>
      <c r="AY298" t="str">
        <f t="shared" si="60"/>
        <v>0-1</v>
      </c>
      <c r="AZ298">
        <v>0</v>
      </c>
      <c r="BA298" t="str">
        <f t="shared" si="72"/>
        <v>0-1</v>
      </c>
      <c r="BB298">
        <v>0</v>
      </c>
      <c r="BC298" t="str">
        <f t="shared" si="73"/>
        <v>0-1</v>
      </c>
      <c r="BD298">
        <v>0</v>
      </c>
      <c r="BE298" t="str">
        <f t="shared" si="74"/>
        <v>0-1</v>
      </c>
    </row>
    <row r="299" spans="1:57" x14ac:dyDescent="0.3">
      <c r="A299">
        <v>406</v>
      </c>
      <c r="B299">
        <v>35</v>
      </c>
      <c r="C299" t="str">
        <f t="shared" si="61"/>
        <v>26-35</v>
      </c>
      <c r="D299" t="s">
        <v>71</v>
      </c>
      <c r="E299">
        <f t="shared" si="62"/>
        <v>0</v>
      </c>
      <c r="F299" t="s">
        <v>57</v>
      </c>
      <c r="G299">
        <v>1232</v>
      </c>
      <c r="H299" t="str">
        <f t="shared" si="63"/>
        <v>1001-1499</v>
      </c>
      <c r="I299" t="s">
        <v>58</v>
      </c>
      <c r="J299">
        <v>16</v>
      </c>
      <c r="K299" t="str">
        <f t="shared" si="64"/>
        <v>11-20</v>
      </c>
      <c r="L299">
        <v>3</v>
      </c>
      <c r="M299" t="s">
        <v>85</v>
      </c>
      <c r="N299" t="s">
        <v>93</v>
      </c>
      <c r="O299">
        <v>1</v>
      </c>
      <c r="P299">
        <v>3</v>
      </c>
      <c r="Q299" t="s">
        <v>63</v>
      </c>
      <c r="R299" t="s">
        <v>75</v>
      </c>
      <c r="S299">
        <v>96</v>
      </c>
      <c r="T299" t="str">
        <f t="shared" si="65"/>
        <v>76-100</v>
      </c>
      <c r="U299">
        <v>3</v>
      </c>
      <c r="V299" t="s">
        <v>63</v>
      </c>
      <c r="W299">
        <v>3</v>
      </c>
      <c r="X299" t="s">
        <v>64</v>
      </c>
      <c r="Y299">
        <v>2</v>
      </c>
      <c r="Z299" t="s">
        <v>61</v>
      </c>
      <c r="AA299" t="s">
        <v>77</v>
      </c>
      <c r="AB299" s="4">
        <v>8020</v>
      </c>
      <c r="AC299" s="4" t="str">
        <f t="shared" si="66"/>
        <v>$7,000-$8,500</v>
      </c>
      <c r="AD299">
        <v>5100</v>
      </c>
      <c r="AE299" t="str">
        <f t="shared" si="67"/>
        <v>$2,094-$8,000</v>
      </c>
      <c r="AF299">
        <v>0</v>
      </c>
      <c r="AG299" t="str">
        <f t="shared" si="68"/>
        <v>0-1</v>
      </c>
      <c r="AH299" t="s">
        <v>67</v>
      </c>
      <c r="AI299" t="s">
        <v>71</v>
      </c>
      <c r="AJ299">
        <v>15</v>
      </c>
      <c r="AK299" t="str">
        <f t="shared" si="69"/>
        <v>13-15%</v>
      </c>
      <c r="AL299">
        <v>3</v>
      </c>
      <c r="AM299" t="s">
        <v>68</v>
      </c>
      <c r="AN299">
        <v>3</v>
      </c>
      <c r="AO299" t="s">
        <v>63</v>
      </c>
      <c r="AP299">
        <v>80</v>
      </c>
      <c r="AQ299">
        <v>2</v>
      </c>
      <c r="AR299">
        <v>12</v>
      </c>
      <c r="AS299" t="str">
        <f t="shared" si="70"/>
        <v>11-20</v>
      </c>
      <c r="AT299">
        <v>3</v>
      </c>
      <c r="AU299" t="str">
        <f t="shared" si="71"/>
        <v>3-4</v>
      </c>
      <c r="AV299">
        <v>2</v>
      </c>
      <c r="AW299" t="s">
        <v>84</v>
      </c>
      <c r="AX299">
        <v>11</v>
      </c>
      <c r="AY299" t="str">
        <f t="shared" si="60"/>
        <v>11-20</v>
      </c>
      <c r="AZ299">
        <v>9</v>
      </c>
      <c r="BA299" t="str">
        <f t="shared" si="72"/>
        <v>6-10</v>
      </c>
      <c r="BB299">
        <v>6</v>
      </c>
      <c r="BC299" t="str">
        <f t="shared" si="73"/>
        <v>6-10</v>
      </c>
      <c r="BD299">
        <v>9</v>
      </c>
      <c r="BE299" t="str">
        <f t="shared" si="74"/>
        <v>6-10</v>
      </c>
    </row>
    <row r="300" spans="1:57" x14ac:dyDescent="0.3">
      <c r="A300">
        <v>407</v>
      </c>
      <c r="B300">
        <v>36</v>
      </c>
      <c r="C300" t="str">
        <f t="shared" si="61"/>
        <v>36-45</v>
      </c>
      <c r="D300" t="s">
        <v>71</v>
      </c>
      <c r="E300">
        <f t="shared" si="62"/>
        <v>0</v>
      </c>
      <c r="F300" t="s">
        <v>72</v>
      </c>
      <c r="G300">
        <v>566</v>
      </c>
      <c r="H300" t="str">
        <f t="shared" si="63"/>
        <v>501-1000</v>
      </c>
      <c r="I300" t="s">
        <v>73</v>
      </c>
      <c r="J300">
        <v>18</v>
      </c>
      <c r="K300" t="str">
        <f t="shared" si="64"/>
        <v>11-20</v>
      </c>
      <c r="L300">
        <v>4</v>
      </c>
      <c r="M300" t="s">
        <v>82</v>
      </c>
      <c r="N300" t="s">
        <v>60</v>
      </c>
      <c r="O300">
        <v>1</v>
      </c>
      <c r="P300">
        <v>3</v>
      </c>
      <c r="Q300" t="s">
        <v>63</v>
      </c>
      <c r="R300" t="s">
        <v>75</v>
      </c>
      <c r="S300">
        <v>81</v>
      </c>
      <c r="T300" t="str">
        <f t="shared" si="65"/>
        <v>76-100</v>
      </c>
      <c r="U300">
        <v>4</v>
      </c>
      <c r="V300" t="s">
        <v>65</v>
      </c>
      <c r="W300">
        <v>1</v>
      </c>
      <c r="X300" t="s">
        <v>81</v>
      </c>
      <c r="Y300">
        <v>4</v>
      </c>
      <c r="Z300" t="s">
        <v>65</v>
      </c>
      <c r="AA300" t="s">
        <v>77</v>
      </c>
      <c r="AB300" s="4">
        <v>3688</v>
      </c>
      <c r="AC300" s="4" t="str">
        <f t="shared" si="66"/>
        <v>$2,500-$4,000</v>
      </c>
      <c r="AD300">
        <v>7122</v>
      </c>
      <c r="AE300" t="str">
        <f t="shared" si="67"/>
        <v>$2,094-$8,000</v>
      </c>
      <c r="AF300">
        <v>4</v>
      </c>
      <c r="AG300" t="str">
        <f t="shared" si="68"/>
        <v>4-6</v>
      </c>
      <c r="AH300" t="s">
        <v>67</v>
      </c>
      <c r="AI300" t="s">
        <v>71</v>
      </c>
      <c r="AJ300">
        <v>18</v>
      </c>
      <c r="AK300" t="str">
        <f t="shared" si="69"/>
        <v>18-19%</v>
      </c>
      <c r="AL300">
        <v>3</v>
      </c>
      <c r="AM300" t="s">
        <v>68</v>
      </c>
      <c r="AN300">
        <v>4</v>
      </c>
      <c r="AO300" t="s">
        <v>65</v>
      </c>
      <c r="AP300">
        <v>80</v>
      </c>
      <c r="AQ300">
        <v>2</v>
      </c>
      <c r="AR300">
        <v>4</v>
      </c>
      <c r="AS300" t="str">
        <f t="shared" si="70"/>
        <v>3-5</v>
      </c>
      <c r="AT300">
        <v>2</v>
      </c>
      <c r="AU300" t="str">
        <f t="shared" si="71"/>
        <v>0-2</v>
      </c>
      <c r="AV300">
        <v>3</v>
      </c>
      <c r="AW300" t="s">
        <v>79</v>
      </c>
      <c r="AX300">
        <v>1</v>
      </c>
      <c r="AY300" t="str">
        <f t="shared" si="60"/>
        <v>0-1</v>
      </c>
      <c r="AZ300">
        <v>0</v>
      </c>
      <c r="BA300" t="str">
        <f t="shared" si="72"/>
        <v>0-1</v>
      </c>
      <c r="BB300">
        <v>0</v>
      </c>
      <c r="BC300" t="str">
        <f t="shared" si="73"/>
        <v>0-1</v>
      </c>
      <c r="BD300">
        <v>0</v>
      </c>
      <c r="BE300" t="str">
        <f t="shared" si="74"/>
        <v>0-1</v>
      </c>
    </row>
    <row r="301" spans="1:57" x14ac:dyDescent="0.3">
      <c r="A301">
        <v>408</v>
      </c>
      <c r="B301">
        <v>51</v>
      </c>
      <c r="C301" t="str">
        <f t="shared" si="61"/>
        <v>46-55</v>
      </c>
      <c r="D301" t="s">
        <v>71</v>
      </c>
      <c r="E301">
        <f t="shared" si="62"/>
        <v>0</v>
      </c>
      <c r="F301" t="s">
        <v>57</v>
      </c>
      <c r="G301">
        <v>1302</v>
      </c>
      <c r="H301" t="str">
        <f t="shared" si="63"/>
        <v>1001-1499</v>
      </c>
      <c r="I301" t="s">
        <v>73</v>
      </c>
      <c r="J301">
        <v>2</v>
      </c>
      <c r="K301" t="str">
        <f t="shared" si="64"/>
        <v>1-5</v>
      </c>
      <c r="L301">
        <v>3</v>
      </c>
      <c r="M301" t="s">
        <v>85</v>
      </c>
      <c r="N301" t="s">
        <v>83</v>
      </c>
      <c r="O301">
        <v>1</v>
      </c>
      <c r="P301">
        <v>4</v>
      </c>
      <c r="Q301" t="s">
        <v>65</v>
      </c>
      <c r="R301" t="s">
        <v>75</v>
      </c>
      <c r="S301">
        <v>84</v>
      </c>
      <c r="T301" t="str">
        <f t="shared" si="65"/>
        <v>76-100</v>
      </c>
      <c r="U301">
        <v>1</v>
      </c>
      <c r="V301" t="s">
        <v>69</v>
      </c>
      <c r="W301">
        <v>2</v>
      </c>
      <c r="X301" t="s">
        <v>87</v>
      </c>
      <c r="Y301">
        <v>2</v>
      </c>
      <c r="Z301" t="s">
        <v>61</v>
      </c>
      <c r="AA301" t="s">
        <v>86</v>
      </c>
      <c r="AB301" s="4">
        <v>5482</v>
      </c>
      <c r="AC301" s="4" t="str">
        <f t="shared" si="66"/>
        <v>$4,000-$5,500</v>
      </c>
      <c r="AD301">
        <v>16321</v>
      </c>
      <c r="AE301" t="str">
        <f t="shared" si="67"/>
        <v>$16,001-$22,000</v>
      </c>
      <c r="AF301">
        <v>5</v>
      </c>
      <c r="AG301" t="str">
        <f t="shared" si="68"/>
        <v>4-6</v>
      </c>
      <c r="AH301" t="s">
        <v>67</v>
      </c>
      <c r="AI301" t="s">
        <v>71</v>
      </c>
      <c r="AJ301">
        <v>18</v>
      </c>
      <c r="AK301" t="str">
        <f t="shared" si="69"/>
        <v>18-19%</v>
      </c>
      <c r="AL301">
        <v>3</v>
      </c>
      <c r="AM301" t="s">
        <v>68</v>
      </c>
      <c r="AN301">
        <v>4</v>
      </c>
      <c r="AO301" t="s">
        <v>65</v>
      </c>
      <c r="AP301">
        <v>80</v>
      </c>
      <c r="AQ301">
        <v>1</v>
      </c>
      <c r="AR301">
        <v>13</v>
      </c>
      <c r="AS301" t="str">
        <f t="shared" si="70"/>
        <v>11-20</v>
      </c>
      <c r="AT301">
        <v>3</v>
      </c>
      <c r="AU301" t="str">
        <f t="shared" si="71"/>
        <v>3-4</v>
      </c>
      <c r="AV301">
        <v>3</v>
      </c>
      <c r="AW301" t="s">
        <v>79</v>
      </c>
      <c r="AX301">
        <v>4</v>
      </c>
      <c r="AY301" t="str">
        <f t="shared" si="60"/>
        <v>2-5</v>
      </c>
      <c r="AZ301">
        <v>1</v>
      </c>
      <c r="BA301" t="str">
        <f t="shared" si="72"/>
        <v>0-1</v>
      </c>
      <c r="BB301">
        <v>1</v>
      </c>
      <c r="BC301" t="str">
        <f t="shared" si="73"/>
        <v>0-1</v>
      </c>
      <c r="BD301">
        <v>2</v>
      </c>
      <c r="BE301" t="str">
        <f t="shared" si="74"/>
        <v>2-5</v>
      </c>
    </row>
    <row r="302" spans="1:57" x14ac:dyDescent="0.3">
      <c r="A302">
        <v>410</v>
      </c>
      <c r="B302">
        <v>41</v>
      </c>
      <c r="C302" t="str">
        <f t="shared" si="61"/>
        <v>36-45</v>
      </c>
      <c r="D302" t="s">
        <v>71</v>
      </c>
      <c r="E302">
        <f t="shared" si="62"/>
        <v>0</v>
      </c>
      <c r="F302" t="s">
        <v>57</v>
      </c>
      <c r="G302">
        <v>334</v>
      </c>
      <c r="H302" t="str">
        <f t="shared" si="63"/>
        <v>102-500</v>
      </c>
      <c r="I302" t="s">
        <v>58</v>
      </c>
      <c r="J302">
        <v>2</v>
      </c>
      <c r="K302" t="str">
        <f t="shared" si="64"/>
        <v>1-5</v>
      </c>
      <c r="L302">
        <v>4</v>
      </c>
      <c r="M302" t="s">
        <v>82</v>
      </c>
      <c r="N302" t="s">
        <v>60</v>
      </c>
      <c r="O302">
        <v>1</v>
      </c>
      <c r="P302">
        <v>4</v>
      </c>
      <c r="Q302" t="s">
        <v>65</v>
      </c>
      <c r="R302" t="s">
        <v>75</v>
      </c>
      <c r="S302">
        <v>88</v>
      </c>
      <c r="T302" t="str">
        <f t="shared" si="65"/>
        <v>76-100</v>
      </c>
      <c r="U302">
        <v>3</v>
      </c>
      <c r="V302" t="s">
        <v>63</v>
      </c>
      <c r="W302">
        <v>4</v>
      </c>
      <c r="X302" t="s">
        <v>90</v>
      </c>
      <c r="Y302">
        <v>2</v>
      </c>
      <c r="Z302" t="s">
        <v>61</v>
      </c>
      <c r="AA302" t="s">
        <v>66</v>
      </c>
      <c r="AB302" s="4">
        <v>16015</v>
      </c>
      <c r="AC302" s="4" t="str">
        <f t="shared" si="66"/>
        <v>$16,000-$17,500</v>
      </c>
      <c r="AD302">
        <v>15896</v>
      </c>
      <c r="AE302" t="str">
        <f t="shared" si="67"/>
        <v>$8,001-$16,000</v>
      </c>
      <c r="AF302">
        <v>1</v>
      </c>
      <c r="AG302" t="str">
        <f t="shared" si="68"/>
        <v>0-1</v>
      </c>
      <c r="AH302" t="s">
        <v>67</v>
      </c>
      <c r="AI302" t="s">
        <v>71</v>
      </c>
      <c r="AJ302">
        <v>19</v>
      </c>
      <c r="AK302" t="str">
        <f t="shared" si="69"/>
        <v>18-19%</v>
      </c>
      <c r="AL302">
        <v>3</v>
      </c>
      <c r="AM302" t="s">
        <v>68</v>
      </c>
      <c r="AN302">
        <v>2</v>
      </c>
      <c r="AO302" t="s">
        <v>61</v>
      </c>
      <c r="AP302">
        <v>80</v>
      </c>
      <c r="AQ302">
        <v>0</v>
      </c>
      <c r="AR302">
        <v>22</v>
      </c>
      <c r="AS302" t="str">
        <f t="shared" si="70"/>
        <v>21-40</v>
      </c>
      <c r="AT302">
        <v>2</v>
      </c>
      <c r="AU302" t="str">
        <f t="shared" si="71"/>
        <v>0-2</v>
      </c>
      <c r="AV302">
        <v>3</v>
      </c>
      <c r="AW302" t="s">
        <v>79</v>
      </c>
      <c r="AX302">
        <v>22</v>
      </c>
      <c r="AY302" t="str">
        <f t="shared" si="60"/>
        <v>21-40</v>
      </c>
      <c r="AZ302">
        <v>10</v>
      </c>
      <c r="BA302" t="str">
        <f t="shared" si="72"/>
        <v>6-10</v>
      </c>
      <c r="BB302">
        <v>0</v>
      </c>
      <c r="BC302" t="str">
        <f t="shared" si="73"/>
        <v>0-1</v>
      </c>
      <c r="BD302">
        <v>4</v>
      </c>
      <c r="BE302" t="str">
        <f t="shared" si="74"/>
        <v>2-5</v>
      </c>
    </row>
    <row r="303" spans="1:57" x14ac:dyDescent="0.3">
      <c r="A303">
        <v>411</v>
      </c>
      <c r="B303">
        <v>18</v>
      </c>
      <c r="C303" t="str">
        <f t="shared" si="61"/>
        <v>18-25</v>
      </c>
      <c r="D303" t="s">
        <v>71</v>
      </c>
      <c r="E303">
        <f t="shared" si="62"/>
        <v>0</v>
      </c>
      <c r="F303" t="s">
        <v>57</v>
      </c>
      <c r="G303">
        <v>812</v>
      </c>
      <c r="H303" t="str">
        <f t="shared" si="63"/>
        <v>501-1000</v>
      </c>
      <c r="I303" t="s">
        <v>58</v>
      </c>
      <c r="J303">
        <v>10</v>
      </c>
      <c r="K303" t="str">
        <f t="shared" si="64"/>
        <v>6-10</v>
      </c>
      <c r="L303">
        <v>3</v>
      </c>
      <c r="M303" t="s">
        <v>85</v>
      </c>
      <c r="N303" t="s">
        <v>83</v>
      </c>
      <c r="O303">
        <v>1</v>
      </c>
      <c r="P303">
        <v>4</v>
      </c>
      <c r="Q303" t="s">
        <v>65</v>
      </c>
      <c r="R303" t="s">
        <v>62</v>
      </c>
      <c r="S303">
        <v>69</v>
      </c>
      <c r="T303" t="str">
        <f t="shared" si="65"/>
        <v>51-75</v>
      </c>
      <c r="U303">
        <v>2</v>
      </c>
      <c r="V303" t="s">
        <v>61</v>
      </c>
      <c r="W303">
        <v>1</v>
      </c>
      <c r="X303" t="s">
        <v>91</v>
      </c>
      <c r="Y303">
        <v>3</v>
      </c>
      <c r="Z303" t="s">
        <v>63</v>
      </c>
      <c r="AA303" t="s">
        <v>66</v>
      </c>
      <c r="AB303" s="4">
        <v>1200</v>
      </c>
      <c r="AC303" s="4" t="str">
        <f t="shared" si="66"/>
        <v>$1,000-$2,500</v>
      </c>
      <c r="AD303">
        <v>9724</v>
      </c>
      <c r="AE303" t="str">
        <f t="shared" si="67"/>
        <v>$8,001-$16,000</v>
      </c>
      <c r="AF303">
        <v>1</v>
      </c>
      <c r="AG303" t="str">
        <f t="shared" si="68"/>
        <v>0-1</v>
      </c>
      <c r="AH303" t="s">
        <v>67</v>
      </c>
      <c r="AI303" t="s">
        <v>71</v>
      </c>
      <c r="AJ303">
        <v>12</v>
      </c>
      <c r="AK303" t="str">
        <f t="shared" si="69"/>
        <v>11-12%</v>
      </c>
      <c r="AL303">
        <v>3</v>
      </c>
      <c r="AM303" t="s">
        <v>68</v>
      </c>
      <c r="AN303">
        <v>1</v>
      </c>
      <c r="AO303" t="s">
        <v>69</v>
      </c>
      <c r="AP303">
        <v>80</v>
      </c>
      <c r="AQ303">
        <v>0</v>
      </c>
      <c r="AR303">
        <v>0</v>
      </c>
      <c r="AS303" t="str">
        <f t="shared" si="70"/>
        <v>0-2</v>
      </c>
      <c r="AT303">
        <v>2</v>
      </c>
      <c r="AU303" t="str">
        <f t="shared" si="71"/>
        <v>0-2</v>
      </c>
      <c r="AV303">
        <v>3</v>
      </c>
      <c r="AW303" t="s">
        <v>79</v>
      </c>
      <c r="AX303">
        <v>0</v>
      </c>
      <c r="AY303" t="str">
        <f t="shared" si="60"/>
        <v>0-1</v>
      </c>
      <c r="AZ303">
        <v>0</v>
      </c>
      <c r="BA303" t="str">
        <f t="shared" si="72"/>
        <v>0-1</v>
      </c>
      <c r="BB303">
        <v>0</v>
      </c>
      <c r="BC303" t="str">
        <f t="shared" si="73"/>
        <v>0-1</v>
      </c>
      <c r="BD303">
        <v>0</v>
      </c>
      <c r="BE303" t="str">
        <f t="shared" si="74"/>
        <v>0-1</v>
      </c>
    </row>
    <row r="304" spans="1:57" x14ac:dyDescent="0.3">
      <c r="A304">
        <v>412</v>
      </c>
      <c r="B304">
        <v>28</v>
      </c>
      <c r="C304" t="str">
        <f t="shared" si="61"/>
        <v>26-35</v>
      </c>
      <c r="D304" t="s">
        <v>71</v>
      </c>
      <c r="E304">
        <f t="shared" si="62"/>
        <v>0</v>
      </c>
      <c r="F304" t="s">
        <v>57</v>
      </c>
      <c r="G304">
        <v>1476</v>
      </c>
      <c r="H304" t="str">
        <f t="shared" si="63"/>
        <v>1001-1499</v>
      </c>
      <c r="I304" t="s">
        <v>73</v>
      </c>
      <c r="J304">
        <v>16</v>
      </c>
      <c r="K304" t="str">
        <f t="shared" si="64"/>
        <v>11-20</v>
      </c>
      <c r="L304">
        <v>2</v>
      </c>
      <c r="M304" t="s">
        <v>59</v>
      </c>
      <c r="N304" t="s">
        <v>83</v>
      </c>
      <c r="O304">
        <v>1</v>
      </c>
      <c r="P304">
        <v>2</v>
      </c>
      <c r="Q304" t="s">
        <v>61</v>
      </c>
      <c r="R304" t="s">
        <v>75</v>
      </c>
      <c r="S304">
        <v>68</v>
      </c>
      <c r="T304" t="str">
        <f t="shared" si="65"/>
        <v>51-75</v>
      </c>
      <c r="U304">
        <v>4</v>
      </c>
      <c r="V304" t="s">
        <v>65</v>
      </c>
      <c r="W304">
        <v>2</v>
      </c>
      <c r="X304" t="s">
        <v>88</v>
      </c>
      <c r="Y304">
        <v>1</v>
      </c>
      <c r="Z304" t="s">
        <v>69</v>
      </c>
      <c r="AA304" t="s">
        <v>66</v>
      </c>
      <c r="AB304" s="4">
        <v>5661</v>
      </c>
      <c r="AC304" s="4" t="str">
        <f t="shared" si="66"/>
        <v>$5,500-$7,000</v>
      </c>
      <c r="AD304">
        <v>4824</v>
      </c>
      <c r="AE304" t="str">
        <f t="shared" si="67"/>
        <v>$2,094-$8,000</v>
      </c>
      <c r="AF304">
        <v>0</v>
      </c>
      <c r="AG304" t="str">
        <f t="shared" si="68"/>
        <v>0-1</v>
      </c>
      <c r="AH304" t="s">
        <v>67</v>
      </c>
      <c r="AI304" t="s">
        <v>71</v>
      </c>
      <c r="AJ304">
        <v>19</v>
      </c>
      <c r="AK304" t="str">
        <f t="shared" si="69"/>
        <v>18-19%</v>
      </c>
      <c r="AL304">
        <v>3</v>
      </c>
      <c r="AM304" t="s">
        <v>68</v>
      </c>
      <c r="AN304">
        <v>3</v>
      </c>
      <c r="AO304" t="s">
        <v>63</v>
      </c>
      <c r="AP304">
        <v>80</v>
      </c>
      <c r="AQ304">
        <v>0</v>
      </c>
      <c r="AR304">
        <v>9</v>
      </c>
      <c r="AS304" t="str">
        <f t="shared" si="70"/>
        <v>6-10</v>
      </c>
      <c r="AT304">
        <v>2</v>
      </c>
      <c r="AU304" t="str">
        <f t="shared" si="71"/>
        <v>0-2</v>
      </c>
      <c r="AV304">
        <v>3</v>
      </c>
      <c r="AW304" t="s">
        <v>79</v>
      </c>
      <c r="AX304">
        <v>8</v>
      </c>
      <c r="AY304" t="str">
        <f t="shared" si="60"/>
        <v>6-10</v>
      </c>
      <c r="AZ304">
        <v>3</v>
      </c>
      <c r="BA304" t="str">
        <f t="shared" si="72"/>
        <v>2-5</v>
      </c>
      <c r="BB304">
        <v>0</v>
      </c>
      <c r="BC304" t="str">
        <f t="shared" si="73"/>
        <v>0-1</v>
      </c>
      <c r="BD304">
        <v>7</v>
      </c>
      <c r="BE304" t="str">
        <f t="shared" si="74"/>
        <v>6-10</v>
      </c>
    </row>
    <row r="305" spans="1:57" x14ac:dyDescent="0.3">
      <c r="A305">
        <v>416</v>
      </c>
      <c r="B305">
        <v>31</v>
      </c>
      <c r="C305" t="str">
        <f t="shared" si="61"/>
        <v>26-35</v>
      </c>
      <c r="D305" t="s">
        <v>71</v>
      </c>
      <c r="E305">
        <f t="shared" si="62"/>
        <v>0</v>
      </c>
      <c r="F305" t="s">
        <v>57</v>
      </c>
      <c r="G305">
        <v>218</v>
      </c>
      <c r="H305" t="str">
        <f t="shared" si="63"/>
        <v>102-500</v>
      </c>
      <c r="I305" t="s">
        <v>58</v>
      </c>
      <c r="J305">
        <v>7</v>
      </c>
      <c r="K305" t="str">
        <f t="shared" si="64"/>
        <v>6-10</v>
      </c>
      <c r="L305">
        <v>3</v>
      </c>
      <c r="M305" t="s">
        <v>85</v>
      </c>
      <c r="N305" t="s">
        <v>95</v>
      </c>
      <c r="O305">
        <v>1</v>
      </c>
      <c r="P305">
        <v>2</v>
      </c>
      <c r="Q305" t="s">
        <v>61</v>
      </c>
      <c r="R305" t="s">
        <v>75</v>
      </c>
      <c r="S305">
        <v>100</v>
      </c>
      <c r="T305" t="str">
        <f t="shared" si="65"/>
        <v>76-100</v>
      </c>
      <c r="U305">
        <v>4</v>
      </c>
      <c r="V305" t="s">
        <v>65</v>
      </c>
      <c r="W305">
        <v>2</v>
      </c>
      <c r="X305" t="s">
        <v>64</v>
      </c>
      <c r="Y305">
        <v>4</v>
      </c>
      <c r="Z305" t="s">
        <v>65</v>
      </c>
      <c r="AA305" t="s">
        <v>77</v>
      </c>
      <c r="AB305" s="4">
        <v>6929</v>
      </c>
      <c r="AC305" s="4" t="str">
        <f t="shared" si="66"/>
        <v>$5,500-$7,000</v>
      </c>
      <c r="AD305">
        <v>12241</v>
      </c>
      <c r="AE305" t="str">
        <f t="shared" si="67"/>
        <v>$8,001-$16,000</v>
      </c>
      <c r="AF305">
        <v>4</v>
      </c>
      <c r="AG305" t="str">
        <f t="shared" si="68"/>
        <v>4-6</v>
      </c>
      <c r="AH305" t="s">
        <v>67</v>
      </c>
      <c r="AI305" t="s">
        <v>71</v>
      </c>
      <c r="AJ305">
        <v>11</v>
      </c>
      <c r="AK305" t="str">
        <f t="shared" si="69"/>
        <v>11-12%</v>
      </c>
      <c r="AL305">
        <v>3</v>
      </c>
      <c r="AM305" t="s">
        <v>68</v>
      </c>
      <c r="AN305">
        <v>2</v>
      </c>
      <c r="AO305" t="s">
        <v>61</v>
      </c>
      <c r="AP305">
        <v>80</v>
      </c>
      <c r="AQ305">
        <v>1</v>
      </c>
      <c r="AR305">
        <v>10</v>
      </c>
      <c r="AS305" t="str">
        <f t="shared" si="70"/>
        <v>6-10</v>
      </c>
      <c r="AT305">
        <v>3</v>
      </c>
      <c r="AU305" t="str">
        <f t="shared" si="71"/>
        <v>3-4</v>
      </c>
      <c r="AV305">
        <v>2</v>
      </c>
      <c r="AW305" t="s">
        <v>84</v>
      </c>
      <c r="AX305">
        <v>8</v>
      </c>
      <c r="AY305" t="str">
        <f t="shared" si="60"/>
        <v>6-10</v>
      </c>
      <c r="AZ305">
        <v>7</v>
      </c>
      <c r="BA305" t="str">
        <f t="shared" si="72"/>
        <v>6-10</v>
      </c>
      <c r="BB305">
        <v>7</v>
      </c>
      <c r="BC305" t="str">
        <f t="shared" si="73"/>
        <v>6-10</v>
      </c>
      <c r="BD305">
        <v>7</v>
      </c>
      <c r="BE305" t="str">
        <f t="shared" si="74"/>
        <v>6-10</v>
      </c>
    </row>
    <row r="306" spans="1:57" x14ac:dyDescent="0.3">
      <c r="A306">
        <v>417</v>
      </c>
      <c r="B306">
        <v>39</v>
      </c>
      <c r="C306" t="str">
        <f t="shared" si="61"/>
        <v>36-45</v>
      </c>
      <c r="D306" t="s">
        <v>71</v>
      </c>
      <c r="E306">
        <f t="shared" si="62"/>
        <v>0</v>
      </c>
      <c r="F306" t="s">
        <v>57</v>
      </c>
      <c r="G306">
        <v>1132</v>
      </c>
      <c r="H306" t="str">
        <f t="shared" si="63"/>
        <v>1001-1499</v>
      </c>
      <c r="I306" t="s">
        <v>73</v>
      </c>
      <c r="J306">
        <v>1</v>
      </c>
      <c r="K306" t="str">
        <f t="shared" si="64"/>
        <v>1-5</v>
      </c>
      <c r="L306">
        <v>3</v>
      </c>
      <c r="M306" t="s">
        <v>85</v>
      </c>
      <c r="N306" t="s">
        <v>83</v>
      </c>
      <c r="O306">
        <v>1</v>
      </c>
      <c r="P306">
        <v>3</v>
      </c>
      <c r="Q306" t="s">
        <v>63</v>
      </c>
      <c r="R306" t="s">
        <v>75</v>
      </c>
      <c r="S306">
        <v>48</v>
      </c>
      <c r="T306" t="str">
        <f t="shared" si="65"/>
        <v>30-50</v>
      </c>
      <c r="U306">
        <v>4</v>
      </c>
      <c r="V306" t="s">
        <v>65</v>
      </c>
      <c r="W306">
        <v>3</v>
      </c>
      <c r="X306" t="s">
        <v>88</v>
      </c>
      <c r="Y306">
        <v>4</v>
      </c>
      <c r="Z306" t="s">
        <v>65</v>
      </c>
      <c r="AA306" t="s">
        <v>86</v>
      </c>
      <c r="AB306" s="4">
        <v>9613</v>
      </c>
      <c r="AC306" s="4" t="str">
        <f t="shared" si="66"/>
        <v>$8,500-$10,000</v>
      </c>
      <c r="AD306">
        <v>10942</v>
      </c>
      <c r="AE306" t="str">
        <f t="shared" si="67"/>
        <v>$8,001-$16,000</v>
      </c>
      <c r="AF306">
        <v>0</v>
      </c>
      <c r="AG306" t="str">
        <f t="shared" si="68"/>
        <v>0-1</v>
      </c>
      <c r="AH306" t="s">
        <v>67</v>
      </c>
      <c r="AI306" t="s">
        <v>71</v>
      </c>
      <c r="AJ306">
        <v>17</v>
      </c>
      <c r="AK306" t="str">
        <f t="shared" si="69"/>
        <v>16-17%</v>
      </c>
      <c r="AL306">
        <v>3</v>
      </c>
      <c r="AM306" t="s">
        <v>68</v>
      </c>
      <c r="AN306">
        <v>1</v>
      </c>
      <c r="AO306" t="s">
        <v>69</v>
      </c>
      <c r="AP306">
        <v>80</v>
      </c>
      <c r="AQ306">
        <v>3</v>
      </c>
      <c r="AR306">
        <v>19</v>
      </c>
      <c r="AS306" t="str">
        <f t="shared" si="70"/>
        <v>11-20</v>
      </c>
      <c r="AT306">
        <v>5</v>
      </c>
      <c r="AU306" t="str">
        <f t="shared" si="71"/>
        <v>5-6</v>
      </c>
      <c r="AV306">
        <v>2</v>
      </c>
      <c r="AW306" t="s">
        <v>84</v>
      </c>
      <c r="AX306">
        <v>18</v>
      </c>
      <c r="AY306" t="str">
        <f t="shared" si="60"/>
        <v>11-20</v>
      </c>
      <c r="AZ306">
        <v>10</v>
      </c>
      <c r="BA306" t="str">
        <f t="shared" si="72"/>
        <v>6-10</v>
      </c>
      <c r="BB306">
        <v>3</v>
      </c>
      <c r="BC306" t="str">
        <f t="shared" si="73"/>
        <v>2-5</v>
      </c>
      <c r="BD306">
        <v>7</v>
      </c>
      <c r="BE306" t="str">
        <f t="shared" si="74"/>
        <v>6-10</v>
      </c>
    </row>
    <row r="307" spans="1:57" x14ac:dyDescent="0.3">
      <c r="A307">
        <v>419</v>
      </c>
      <c r="B307">
        <v>36</v>
      </c>
      <c r="C307" t="str">
        <f t="shared" si="61"/>
        <v>36-45</v>
      </c>
      <c r="D307" t="s">
        <v>71</v>
      </c>
      <c r="E307">
        <f t="shared" si="62"/>
        <v>0</v>
      </c>
      <c r="F307" t="s">
        <v>89</v>
      </c>
      <c r="G307">
        <v>1105</v>
      </c>
      <c r="H307" t="str">
        <f t="shared" si="63"/>
        <v>1001-1499</v>
      </c>
      <c r="I307" t="s">
        <v>73</v>
      </c>
      <c r="J307">
        <v>24</v>
      </c>
      <c r="K307" t="str">
        <f t="shared" si="64"/>
        <v>21-29</v>
      </c>
      <c r="L307">
        <v>4</v>
      </c>
      <c r="M307" t="s">
        <v>82</v>
      </c>
      <c r="N307" t="s">
        <v>60</v>
      </c>
      <c r="O307">
        <v>1</v>
      </c>
      <c r="P307">
        <v>2</v>
      </c>
      <c r="Q307" t="s">
        <v>61</v>
      </c>
      <c r="R307" t="s">
        <v>62</v>
      </c>
      <c r="S307">
        <v>47</v>
      </c>
      <c r="T307" t="str">
        <f t="shared" si="65"/>
        <v>30-50</v>
      </c>
      <c r="U307">
        <v>3</v>
      </c>
      <c r="V307" t="s">
        <v>63</v>
      </c>
      <c r="W307">
        <v>2</v>
      </c>
      <c r="X307" t="s">
        <v>81</v>
      </c>
      <c r="Y307">
        <v>2</v>
      </c>
      <c r="Z307" t="s">
        <v>61</v>
      </c>
      <c r="AA307" t="s">
        <v>77</v>
      </c>
      <c r="AB307" s="4">
        <v>5674</v>
      </c>
      <c r="AC307" s="4" t="str">
        <f t="shared" si="66"/>
        <v>$5,500-$7,000</v>
      </c>
      <c r="AD307">
        <v>6927</v>
      </c>
      <c r="AE307" t="str">
        <f t="shared" si="67"/>
        <v>$2,094-$8,000</v>
      </c>
      <c r="AF307">
        <v>7</v>
      </c>
      <c r="AG307" t="str">
        <f t="shared" si="68"/>
        <v>7-9</v>
      </c>
      <c r="AH307" t="s">
        <v>67</v>
      </c>
      <c r="AI307" t="s">
        <v>71</v>
      </c>
      <c r="AJ307">
        <v>15</v>
      </c>
      <c r="AK307" t="str">
        <f t="shared" si="69"/>
        <v>13-15%</v>
      </c>
      <c r="AL307">
        <v>3</v>
      </c>
      <c r="AM307" t="s">
        <v>68</v>
      </c>
      <c r="AN307">
        <v>3</v>
      </c>
      <c r="AO307" t="s">
        <v>63</v>
      </c>
      <c r="AP307">
        <v>80</v>
      </c>
      <c r="AQ307">
        <v>1</v>
      </c>
      <c r="AR307">
        <v>11</v>
      </c>
      <c r="AS307" t="str">
        <f t="shared" si="70"/>
        <v>11-20</v>
      </c>
      <c r="AT307">
        <v>3</v>
      </c>
      <c r="AU307" t="str">
        <f t="shared" si="71"/>
        <v>3-4</v>
      </c>
      <c r="AV307">
        <v>3</v>
      </c>
      <c r="AW307" t="s">
        <v>79</v>
      </c>
      <c r="AX307">
        <v>9</v>
      </c>
      <c r="AY307" t="str">
        <f t="shared" si="60"/>
        <v>6-10</v>
      </c>
      <c r="AZ307">
        <v>8</v>
      </c>
      <c r="BA307" t="str">
        <f t="shared" si="72"/>
        <v>6-10</v>
      </c>
      <c r="BB307">
        <v>0</v>
      </c>
      <c r="BC307" t="str">
        <f t="shared" si="73"/>
        <v>0-1</v>
      </c>
      <c r="BD307">
        <v>8</v>
      </c>
      <c r="BE307" t="str">
        <f t="shared" si="74"/>
        <v>6-10</v>
      </c>
    </row>
    <row r="308" spans="1:57" x14ac:dyDescent="0.3">
      <c r="A308">
        <v>420</v>
      </c>
      <c r="B308">
        <v>32</v>
      </c>
      <c r="C308" t="str">
        <f t="shared" si="61"/>
        <v>26-35</v>
      </c>
      <c r="D308" t="s">
        <v>71</v>
      </c>
      <c r="E308">
        <f t="shared" si="62"/>
        <v>0</v>
      </c>
      <c r="F308" t="s">
        <v>57</v>
      </c>
      <c r="G308">
        <v>906</v>
      </c>
      <c r="H308" t="str">
        <f t="shared" si="63"/>
        <v>501-1000</v>
      </c>
      <c r="I308" t="s">
        <v>58</v>
      </c>
      <c r="J308">
        <v>7</v>
      </c>
      <c r="K308" t="str">
        <f t="shared" si="64"/>
        <v>6-10</v>
      </c>
      <c r="L308">
        <v>3</v>
      </c>
      <c r="M308" t="s">
        <v>85</v>
      </c>
      <c r="N308" t="s">
        <v>60</v>
      </c>
      <c r="O308">
        <v>1</v>
      </c>
      <c r="P308">
        <v>4</v>
      </c>
      <c r="Q308" t="s">
        <v>65</v>
      </c>
      <c r="R308" t="s">
        <v>75</v>
      </c>
      <c r="S308">
        <v>91</v>
      </c>
      <c r="T308" t="str">
        <f t="shared" si="65"/>
        <v>76-100</v>
      </c>
      <c r="U308">
        <v>2</v>
      </c>
      <c r="V308" t="s">
        <v>61</v>
      </c>
      <c r="W308">
        <v>2</v>
      </c>
      <c r="X308" t="s">
        <v>64</v>
      </c>
      <c r="Y308">
        <v>3</v>
      </c>
      <c r="Z308" t="s">
        <v>63</v>
      </c>
      <c r="AA308" t="s">
        <v>77</v>
      </c>
      <c r="AB308" s="4">
        <v>5484</v>
      </c>
      <c r="AC308" s="4" t="str">
        <f t="shared" si="66"/>
        <v>$4,000-$5,500</v>
      </c>
      <c r="AD308">
        <v>16985</v>
      </c>
      <c r="AE308" t="str">
        <f t="shared" si="67"/>
        <v>$16,001-$22,000</v>
      </c>
      <c r="AF308">
        <v>1</v>
      </c>
      <c r="AG308" t="str">
        <f t="shared" si="68"/>
        <v>0-1</v>
      </c>
      <c r="AH308" t="s">
        <v>67</v>
      </c>
      <c r="AI308" t="s">
        <v>71</v>
      </c>
      <c r="AJ308">
        <v>14</v>
      </c>
      <c r="AK308" t="str">
        <f t="shared" si="69"/>
        <v>13-15%</v>
      </c>
      <c r="AL308">
        <v>3</v>
      </c>
      <c r="AM308" t="s">
        <v>68</v>
      </c>
      <c r="AN308">
        <v>3</v>
      </c>
      <c r="AO308" t="s">
        <v>63</v>
      </c>
      <c r="AP308">
        <v>80</v>
      </c>
      <c r="AQ308">
        <v>1</v>
      </c>
      <c r="AR308">
        <v>13</v>
      </c>
      <c r="AS308" t="str">
        <f t="shared" si="70"/>
        <v>11-20</v>
      </c>
      <c r="AT308">
        <v>3</v>
      </c>
      <c r="AU308" t="str">
        <f t="shared" si="71"/>
        <v>3-4</v>
      </c>
      <c r="AV308">
        <v>2</v>
      </c>
      <c r="AW308" t="s">
        <v>84</v>
      </c>
      <c r="AX308">
        <v>13</v>
      </c>
      <c r="AY308" t="str">
        <f t="shared" si="60"/>
        <v>11-20</v>
      </c>
      <c r="AZ308">
        <v>8</v>
      </c>
      <c r="BA308" t="str">
        <f t="shared" si="72"/>
        <v>6-10</v>
      </c>
      <c r="BB308">
        <v>4</v>
      </c>
      <c r="BC308" t="str">
        <f t="shared" si="73"/>
        <v>2-5</v>
      </c>
      <c r="BD308">
        <v>8</v>
      </c>
      <c r="BE308" t="str">
        <f t="shared" si="74"/>
        <v>6-10</v>
      </c>
    </row>
    <row r="309" spans="1:57" x14ac:dyDescent="0.3">
      <c r="A309">
        <v>421</v>
      </c>
      <c r="B309">
        <v>38</v>
      </c>
      <c r="C309" t="str">
        <f t="shared" si="61"/>
        <v>36-45</v>
      </c>
      <c r="D309" t="s">
        <v>71</v>
      </c>
      <c r="E309">
        <f t="shared" si="62"/>
        <v>0</v>
      </c>
      <c r="F309" t="s">
        <v>57</v>
      </c>
      <c r="G309">
        <v>849</v>
      </c>
      <c r="H309" t="str">
        <f t="shared" si="63"/>
        <v>501-1000</v>
      </c>
      <c r="I309" t="s">
        <v>73</v>
      </c>
      <c r="J309">
        <v>25</v>
      </c>
      <c r="K309" t="str">
        <f t="shared" si="64"/>
        <v>21-29</v>
      </c>
      <c r="L309">
        <v>2</v>
      </c>
      <c r="M309" t="s">
        <v>59</v>
      </c>
      <c r="N309" t="s">
        <v>60</v>
      </c>
      <c r="O309">
        <v>1</v>
      </c>
      <c r="P309">
        <v>1</v>
      </c>
      <c r="Q309" t="s">
        <v>69</v>
      </c>
      <c r="R309" t="s">
        <v>62</v>
      </c>
      <c r="S309">
        <v>81</v>
      </c>
      <c r="T309" t="str">
        <f t="shared" si="65"/>
        <v>76-100</v>
      </c>
      <c r="U309">
        <v>2</v>
      </c>
      <c r="V309" t="s">
        <v>61</v>
      </c>
      <c r="W309">
        <v>3</v>
      </c>
      <c r="X309" t="s">
        <v>92</v>
      </c>
      <c r="Y309">
        <v>2</v>
      </c>
      <c r="Z309" t="s">
        <v>61</v>
      </c>
      <c r="AA309" t="s">
        <v>77</v>
      </c>
      <c r="AB309" s="4">
        <v>12061</v>
      </c>
      <c r="AC309" s="4" t="str">
        <f t="shared" si="66"/>
        <v>$11,500-$13,000</v>
      </c>
      <c r="AD309">
        <v>26707</v>
      </c>
      <c r="AE309" t="str">
        <f t="shared" si="67"/>
        <v>$22,001-$26,999</v>
      </c>
      <c r="AF309">
        <v>3</v>
      </c>
      <c r="AG309" t="str">
        <f t="shared" si="68"/>
        <v>2-3</v>
      </c>
      <c r="AH309" t="s">
        <v>67</v>
      </c>
      <c r="AI309" t="s">
        <v>71</v>
      </c>
      <c r="AJ309">
        <v>17</v>
      </c>
      <c r="AK309" t="str">
        <f t="shared" si="69"/>
        <v>16-17%</v>
      </c>
      <c r="AL309">
        <v>3</v>
      </c>
      <c r="AM309" t="s">
        <v>68</v>
      </c>
      <c r="AN309">
        <v>3</v>
      </c>
      <c r="AO309" t="s">
        <v>63</v>
      </c>
      <c r="AP309">
        <v>80</v>
      </c>
      <c r="AQ309">
        <v>1</v>
      </c>
      <c r="AR309">
        <v>19</v>
      </c>
      <c r="AS309" t="str">
        <f t="shared" si="70"/>
        <v>11-20</v>
      </c>
      <c r="AT309">
        <v>2</v>
      </c>
      <c r="AU309" t="str">
        <f t="shared" si="71"/>
        <v>0-2</v>
      </c>
      <c r="AV309">
        <v>3</v>
      </c>
      <c r="AW309" t="s">
        <v>79</v>
      </c>
      <c r="AX309">
        <v>10</v>
      </c>
      <c r="AY309" t="str">
        <f t="shared" si="60"/>
        <v>6-10</v>
      </c>
      <c r="AZ309">
        <v>8</v>
      </c>
      <c r="BA309" t="str">
        <f t="shared" si="72"/>
        <v>6-10</v>
      </c>
      <c r="BB309">
        <v>0</v>
      </c>
      <c r="BC309" t="str">
        <f t="shared" si="73"/>
        <v>0-1</v>
      </c>
      <c r="BD309">
        <v>1</v>
      </c>
      <c r="BE309" t="str">
        <f t="shared" si="74"/>
        <v>0-1</v>
      </c>
    </row>
    <row r="310" spans="1:57" x14ac:dyDescent="0.3">
      <c r="A310">
        <v>422</v>
      </c>
      <c r="B310">
        <v>58</v>
      </c>
      <c r="C310" t="str">
        <f t="shared" si="61"/>
        <v>56+</v>
      </c>
      <c r="D310" t="s">
        <v>71</v>
      </c>
      <c r="E310">
        <f t="shared" si="62"/>
        <v>0</v>
      </c>
      <c r="F310" t="s">
        <v>89</v>
      </c>
      <c r="G310">
        <v>390</v>
      </c>
      <c r="H310" t="str">
        <f t="shared" si="63"/>
        <v>102-500</v>
      </c>
      <c r="I310" t="s">
        <v>73</v>
      </c>
      <c r="J310">
        <v>1</v>
      </c>
      <c r="K310" t="str">
        <f t="shared" si="64"/>
        <v>1-5</v>
      </c>
      <c r="L310">
        <v>4</v>
      </c>
      <c r="M310" t="s">
        <v>82</v>
      </c>
      <c r="N310" t="s">
        <v>60</v>
      </c>
      <c r="O310">
        <v>1</v>
      </c>
      <c r="P310">
        <v>4</v>
      </c>
      <c r="Q310" t="s">
        <v>65</v>
      </c>
      <c r="R310" t="s">
        <v>75</v>
      </c>
      <c r="S310">
        <v>32</v>
      </c>
      <c r="T310" t="str">
        <f t="shared" si="65"/>
        <v>30-50</v>
      </c>
      <c r="U310">
        <v>1</v>
      </c>
      <c r="V310" t="s">
        <v>69</v>
      </c>
      <c r="W310">
        <v>2</v>
      </c>
      <c r="X310" t="s">
        <v>88</v>
      </c>
      <c r="Y310">
        <v>3</v>
      </c>
      <c r="Z310" t="s">
        <v>63</v>
      </c>
      <c r="AA310" t="s">
        <v>86</v>
      </c>
      <c r="AB310" s="4">
        <v>5660</v>
      </c>
      <c r="AC310" s="4" t="str">
        <f t="shared" si="66"/>
        <v>$5,500-$7,000</v>
      </c>
      <c r="AD310">
        <v>17056</v>
      </c>
      <c r="AE310" t="str">
        <f t="shared" si="67"/>
        <v>$16,001-$22,000</v>
      </c>
      <c r="AF310">
        <v>2</v>
      </c>
      <c r="AG310" t="str">
        <f t="shared" si="68"/>
        <v>2-3</v>
      </c>
      <c r="AH310" t="s">
        <v>67</v>
      </c>
      <c r="AI310" t="s">
        <v>56</v>
      </c>
      <c r="AJ310">
        <v>13</v>
      </c>
      <c r="AK310" t="str">
        <f t="shared" si="69"/>
        <v>13-15%</v>
      </c>
      <c r="AL310">
        <v>3</v>
      </c>
      <c r="AM310" t="s">
        <v>68</v>
      </c>
      <c r="AN310">
        <v>4</v>
      </c>
      <c r="AO310" t="s">
        <v>65</v>
      </c>
      <c r="AP310">
        <v>80</v>
      </c>
      <c r="AQ310">
        <v>1</v>
      </c>
      <c r="AR310">
        <v>12</v>
      </c>
      <c r="AS310" t="str">
        <f t="shared" si="70"/>
        <v>11-20</v>
      </c>
      <c r="AT310">
        <v>2</v>
      </c>
      <c r="AU310" t="str">
        <f t="shared" si="71"/>
        <v>0-2</v>
      </c>
      <c r="AV310">
        <v>3</v>
      </c>
      <c r="AW310" t="s">
        <v>79</v>
      </c>
      <c r="AX310">
        <v>5</v>
      </c>
      <c r="AY310" t="str">
        <f t="shared" si="60"/>
        <v>2-5</v>
      </c>
      <c r="AZ310">
        <v>3</v>
      </c>
      <c r="BA310" t="str">
        <f t="shared" si="72"/>
        <v>2-5</v>
      </c>
      <c r="BB310">
        <v>1</v>
      </c>
      <c r="BC310" t="str">
        <f t="shared" si="73"/>
        <v>0-1</v>
      </c>
      <c r="BD310">
        <v>2</v>
      </c>
      <c r="BE310" t="str">
        <f t="shared" si="74"/>
        <v>2-5</v>
      </c>
    </row>
    <row r="311" spans="1:57" x14ac:dyDescent="0.3">
      <c r="A311">
        <v>423</v>
      </c>
      <c r="B311">
        <v>31</v>
      </c>
      <c r="C311" t="str">
        <f t="shared" si="61"/>
        <v>26-35</v>
      </c>
      <c r="D311" t="s">
        <v>71</v>
      </c>
      <c r="E311">
        <f t="shared" si="62"/>
        <v>0</v>
      </c>
      <c r="F311" t="s">
        <v>57</v>
      </c>
      <c r="G311">
        <v>691</v>
      </c>
      <c r="H311" t="str">
        <f t="shared" si="63"/>
        <v>501-1000</v>
      </c>
      <c r="I311" t="s">
        <v>73</v>
      </c>
      <c r="J311">
        <v>5</v>
      </c>
      <c r="K311" t="str">
        <f t="shared" si="64"/>
        <v>1-5</v>
      </c>
      <c r="L311">
        <v>4</v>
      </c>
      <c r="M311" t="s">
        <v>82</v>
      </c>
      <c r="N311" t="s">
        <v>95</v>
      </c>
      <c r="O311">
        <v>1</v>
      </c>
      <c r="P311">
        <v>3</v>
      </c>
      <c r="Q311" t="s">
        <v>63</v>
      </c>
      <c r="R311" t="s">
        <v>75</v>
      </c>
      <c r="S311">
        <v>86</v>
      </c>
      <c r="T311" t="str">
        <f t="shared" si="65"/>
        <v>76-100</v>
      </c>
      <c r="U311">
        <v>3</v>
      </c>
      <c r="V311" t="s">
        <v>63</v>
      </c>
      <c r="W311">
        <v>1</v>
      </c>
      <c r="X311" t="s">
        <v>76</v>
      </c>
      <c r="Y311">
        <v>4</v>
      </c>
      <c r="Z311" t="s">
        <v>65</v>
      </c>
      <c r="AA311" t="s">
        <v>77</v>
      </c>
      <c r="AB311" s="4">
        <v>4821</v>
      </c>
      <c r="AC311" s="4" t="str">
        <f t="shared" si="66"/>
        <v>$4,000-$5,500</v>
      </c>
      <c r="AD311">
        <v>10077</v>
      </c>
      <c r="AE311" t="str">
        <f t="shared" si="67"/>
        <v>$8,001-$16,000</v>
      </c>
      <c r="AF311">
        <v>0</v>
      </c>
      <c r="AG311" t="str">
        <f t="shared" si="68"/>
        <v>0-1</v>
      </c>
      <c r="AH311" t="s">
        <v>67</v>
      </c>
      <c r="AI311" t="s">
        <v>56</v>
      </c>
      <c r="AJ311">
        <v>12</v>
      </c>
      <c r="AK311" t="str">
        <f t="shared" si="69"/>
        <v>11-12%</v>
      </c>
      <c r="AL311">
        <v>3</v>
      </c>
      <c r="AM311" t="s">
        <v>68</v>
      </c>
      <c r="AN311">
        <v>3</v>
      </c>
      <c r="AO311" t="s">
        <v>63</v>
      </c>
      <c r="AP311">
        <v>80</v>
      </c>
      <c r="AQ311">
        <v>1</v>
      </c>
      <c r="AR311">
        <v>6</v>
      </c>
      <c r="AS311" t="str">
        <f t="shared" si="70"/>
        <v>6-10</v>
      </c>
      <c r="AT311">
        <v>4</v>
      </c>
      <c r="AU311" t="str">
        <f t="shared" si="71"/>
        <v>3-4</v>
      </c>
      <c r="AV311">
        <v>3</v>
      </c>
      <c r="AW311" t="s">
        <v>79</v>
      </c>
      <c r="AX311">
        <v>5</v>
      </c>
      <c r="AY311" t="str">
        <f t="shared" si="60"/>
        <v>2-5</v>
      </c>
      <c r="AZ311">
        <v>2</v>
      </c>
      <c r="BA311" t="str">
        <f t="shared" si="72"/>
        <v>2-5</v>
      </c>
      <c r="BB311">
        <v>0</v>
      </c>
      <c r="BC311" t="str">
        <f t="shared" si="73"/>
        <v>0-1</v>
      </c>
      <c r="BD311">
        <v>3</v>
      </c>
      <c r="BE311" t="str">
        <f t="shared" si="74"/>
        <v>2-5</v>
      </c>
    </row>
    <row r="312" spans="1:57" x14ac:dyDescent="0.3">
      <c r="A312">
        <v>424</v>
      </c>
      <c r="B312">
        <v>31</v>
      </c>
      <c r="C312" t="str">
        <f t="shared" si="61"/>
        <v>26-35</v>
      </c>
      <c r="D312" t="s">
        <v>71</v>
      </c>
      <c r="E312">
        <f t="shared" si="62"/>
        <v>0</v>
      </c>
      <c r="F312" t="s">
        <v>57</v>
      </c>
      <c r="G312">
        <v>106</v>
      </c>
      <c r="H312" t="str">
        <f t="shared" si="63"/>
        <v>102-500</v>
      </c>
      <c r="I312" t="s">
        <v>97</v>
      </c>
      <c r="J312">
        <v>2</v>
      </c>
      <c r="K312" t="str">
        <f t="shared" si="64"/>
        <v>1-5</v>
      </c>
      <c r="L312">
        <v>3</v>
      </c>
      <c r="M312" t="s">
        <v>85</v>
      </c>
      <c r="N312" t="s">
        <v>97</v>
      </c>
      <c r="O312">
        <v>1</v>
      </c>
      <c r="P312">
        <v>1</v>
      </c>
      <c r="Q312" t="s">
        <v>69</v>
      </c>
      <c r="R312" t="s">
        <v>75</v>
      </c>
      <c r="S312">
        <v>62</v>
      </c>
      <c r="T312" t="str">
        <f t="shared" si="65"/>
        <v>51-75</v>
      </c>
      <c r="U312">
        <v>2</v>
      </c>
      <c r="V312" t="s">
        <v>61</v>
      </c>
      <c r="W312">
        <v>2</v>
      </c>
      <c r="X312" t="s">
        <v>97</v>
      </c>
      <c r="Y312">
        <v>1</v>
      </c>
      <c r="Z312" t="s">
        <v>69</v>
      </c>
      <c r="AA312" t="s">
        <v>77</v>
      </c>
      <c r="AB312" s="4">
        <v>6410</v>
      </c>
      <c r="AC312" s="4" t="str">
        <f t="shared" si="66"/>
        <v>$5,500-$7,000</v>
      </c>
      <c r="AD312">
        <v>17822</v>
      </c>
      <c r="AE312" t="str">
        <f t="shared" si="67"/>
        <v>$16,001-$22,000</v>
      </c>
      <c r="AF312">
        <v>3</v>
      </c>
      <c r="AG312" t="str">
        <f t="shared" si="68"/>
        <v>2-3</v>
      </c>
      <c r="AH312" t="s">
        <v>67</v>
      </c>
      <c r="AI312" t="s">
        <v>71</v>
      </c>
      <c r="AJ312">
        <v>12</v>
      </c>
      <c r="AK312" t="str">
        <f t="shared" si="69"/>
        <v>11-12%</v>
      </c>
      <c r="AL312">
        <v>3</v>
      </c>
      <c r="AM312" t="s">
        <v>68</v>
      </c>
      <c r="AN312">
        <v>4</v>
      </c>
      <c r="AO312" t="s">
        <v>65</v>
      </c>
      <c r="AP312">
        <v>80</v>
      </c>
      <c r="AQ312">
        <v>0</v>
      </c>
      <c r="AR312">
        <v>9</v>
      </c>
      <c r="AS312" t="str">
        <f t="shared" si="70"/>
        <v>6-10</v>
      </c>
      <c r="AT312">
        <v>1</v>
      </c>
      <c r="AU312" t="str">
        <f t="shared" si="71"/>
        <v>0-2</v>
      </c>
      <c r="AV312">
        <v>3</v>
      </c>
      <c r="AW312" t="s">
        <v>79</v>
      </c>
      <c r="AX312">
        <v>2</v>
      </c>
      <c r="AY312" t="str">
        <f t="shared" si="60"/>
        <v>2-5</v>
      </c>
      <c r="AZ312">
        <v>2</v>
      </c>
      <c r="BA312" t="str">
        <f t="shared" si="72"/>
        <v>2-5</v>
      </c>
      <c r="BB312">
        <v>1</v>
      </c>
      <c r="BC312" t="str">
        <f t="shared" si="73"/>
        <v>0-1</v>
      </c>
      <c r="BD312">
        <v>0</v>
      </c>
      <c r="BE312" t="str">
        <f t="shared" si="74"/>
        <v>0-1</v>
      </c>
    </row>
    <row r="313" spans="1:57" x14ac:dyDescent="0.3">
      <c r="A313">
        <v>425</v>
      </c>
      <c r="B313">
        <v>45</v>
      </c>
      <c r="C313" t="str">
        <f t="shared" si="61"/>
        <v>36-45</v>
      </c>
      <c r="D313" t="s">
        <v>71</v>
      </c>
      <c r="E313">
        <f t="shared" si="62"/>
        <v>0</v>
      </c>
      <c r="F313" t="s">
        <v>72</v>
      </c>
      <c r="G313">
        <v>1249</v>
      </c>
      <c r="H313" t="str">
        <f t="shared" si="63"/>
        <v>1001-1499</v>
      </c>
      <c r="I313" t="s">
        <v>73</v>
      </c>
      <c r="J313">
        <v>7</v>
      </c>
      <c r="K313" t="str">
        <f t="shared" si="64"/>
        <v>6-10</v>
      </c>
      <c r="L313">
        <v>3</v>
      </c>
      <c r="M313" t="s">
        <v>85</v>
      </c>
      <c r="N313" t="s">
        <v>60</v>
      </c>
      <c r="O313">
        <v>1</v>
      </c>
      <c r="P313">
        <v>1</v>
      </c>
      <c r="Q313" t="s">
        <v>69</v>
      </c>
      <c r="R313" t="s">
        <v>75</v>
      </c>
      <c r="S313">
        <v>97</v>
      </c>
      <c r="T313" t="str">
        <f t="shared" si="65"/>
        <v>76-100</v>
      </c>
      <c r="U313">
        <v>3</v>
      </c>
      <c r="V313" t="s">
        <v>63</v>
      </c>
      <c r="W313">
        <v>3</v>
      </c>
      <c r="X313" t="s">
        <v>81</v>
      </c>
      <c r="Y313">
        <v>1</v>
      </c>
      <c r="Z313" t="s">
        <v>69</v>
      </c>
      <c r="AA313" t="s">
        <v>86</v>
      </c>
      <c r="AB313" s="4">
        <v>5210</v>
      </c>
      <c r="AC313" s="4" t="str">
        <f t="shared" si="66"/>
        <v>$4,000-$5,500</v>
      </c>
      <c r="AD313">
        <v>20308</v>
      </c>
      <c r="AE313" t="str">
        <f t="shared" si="67"/>
        <v>$16,001-$22,000</v>
      </c>
      <c r="AF313">
        <v>1</v>
      </c>
      <c r="AG313" t="str">
        <f t="shared" si="68"/>
        <v>0-1</v>
      </c>
      <c r="AH313" t="s">
        <v>67</v>
      </c>
      <c r="AI313" t="s">
        <v>71</v>
      </c>
      <c r="AJ313">
        <v>18</v>
      </c>
      <c r="AK313" t="str">
        <f t="shared" si="69"/>
        <v>18-19%</v>
      </c>
      <c r="AL313">
        <v>3</v>
      </c>
      <c r="AM313" t="s">
        <v>68</v>
      </c>
      <c r="AN313">
        <v>1</v>
      </c>
      <c r="AO313" t="s">
        <v>69</v>
      </c>
      <c r="AP313">
        <v>80</v>
      </c>
      <c r="AQ313">
        <v>1</v>
      </c>
      <c r="AR313">
        <v>24</v>
      </c>
      <c r="AS313" t="str">
        <f t="shared" si="70"/>
        <v>21-40</v>
      </c>
      <c r="AT313">
        <v>2</v>
      </c>
      <c r="AU313" t="str">
        <f t="shared" si="71"/>
        <v>0-2</v>
      </c>
      <c r="AV313">
        <v>3</v>
      </c>
      <c r="AW313" t="s">
        <v>79</v>
      </c>
      <c r="AX313">
        <v>24</v>
      </c>
      <c r="AY313" t="str">
        <f t="shared" si="60"/>
        <v>21-40</v>
      </c>
      <c r="AZ313">
        <v>9</v>
      </c>
      <c r="BA313" t="str">
        <f t="shared" si="72"/>
        <v>6-10</v>
      </c>
      <c r="BB313">
        <v>9</v>
      </c>
      <c r="BC313" t="str">
        <f t="shared" si="73"/>
        <v>6-10</v>
      </c>
      <c r="BD313">
        <v>11</v>
      </c>
      <c r="BE313" t="str">
        <f t="shared" si="74"/>
        <v>11-17</v>
      </c>
    </row>
    <row r="314" spans="1:57" x14ac:dyDescent="0.3">
      <c r="A314">
        <v>426</v>
      </c>
      <c r="B314">
        <v>31</v>
      </c>
      <c r="C314" t="str">
        <f t="shared" si="61"/>
        <v>26-35</v>
      </c>
      <c r="D314" t="s">
        <v>71</v>
      </c>
      <c r="E314">
        <f t="shared" si="62"/>
        <v>0</v>
      </c>
      <c r="F314" t="s">
        <v>57</v>
      </c>
      <c r="G314">
        <v>192</v>
      </c>
      <c r="H314" t="str">
        <f t="shared" si="63"/>
        <v>102-500</v>
      </c>
      <c r="I314" t="s">
        <v>73</v>
      </c>
      <c r="J314">
        <v>2</v>
      </c>
      <c r="K314" t="str">
        <f t="shared" si="64"/>
        <v>1-5</v>
      </c>
      <c r="L314">
        <v>4</v>
      </c>
      <c r="M314" t="s">
        <v>82</v>
      </c>
      <c r="N314" t="s">
        <v>60</v>
      </c>
      <c r="O314">
        <v>1</v>
      </c>
      <c r="P314">
        <v>3</v>
      </c>
      <c r="Q314" t="s">
        <v>63</v>
      </c>
      <c r="R314" t="s">
        <v>75</v>
      </c>
      <c r="S314">
        <v>32</v>
      </c>
      <c r="T314" t="str">
        <f t="shared" si="65"/>
        <v>30-50</v>
      </c>
      <c r="U314">
        <v>3</v>
      </c>
      <c r="V314" t="s">
        <v>63</v>
      </c>
      <c r="W314">
        <v>1</v>
      </c>
      <c r="X314" t="s">
        <v>76</v>
      </c>
      <c r="Y314">
        <v>4</v>
      </c>
      <c r="Z314" t="s">
        <v>65</v>
      </c>
      <c r="AA314" t="s">
        <v>86</v>
      </c>
      <c r="AB314" s="4">
        <v>2695</v>
      </c>
      <c r="AC314" s="4" t="str">
        <f t="shared" si="66"/>
        <v>$2,500-$4,000</v>
      </c>
      <c r="AD314">
        <v>7747</v>
      </c>
      <c r="AE314" t="str">
        <f t="shared" si="67"/>
        <v>$2,094-$8,000</v>
      </c>
      <c r="AF314">
        <v>0</v>
      </c>
      <c r="AG314" t="str">
        <f t="shared" si="68"/>
        <v>0-1</v>
      </c>
      <c r="AH314" t="s">
        <v>67</v>
      </c>
      <c r="AI314" t="s">
        <v>56</v>
      </c>
      <c r="AJ314">
        <v>18</v>
      </c>
      <c r="AK314" t="str">
        <f t="shared" si="69"/>
        <v>18-19%</v>
      </c>
      <c r="AL314">
        <v>3</v>
      </c>
      <c r="AM314" t="s">
        <v>68</v>
      </c>
      <c r="AN314">
        <v>2</v>
      </c>
      <c r="AO314" t="s">
        <v>61</v>
      </c>
      <c r="AP314">
        <v>80</v>
      </c>
      <c r="AQ314">
        <v>1</v>
      </c>
      <c r="AR314">
        <v>3</v>
      </c>
      <c r="AS314" t="str">
        <f t="shared" si="70"/>
        <v>3-5</v>
      </c>
      <c r="AT314">
        <v>2</v>
      </c>
      <c r="AU314" t="str">
        <f t="shared" si="71"/>
        <v>0-2</v>
      </c>
      <c r="AV314">
        <v>1</v>
      </c>
      <c r="AW314" t="s">
        <v>70</v>
      </c>
      <c r="AX314">
        <v>2</v>
      </c>
      <c r="AY314" t="str">
        <f t="shared" si="60"/>
        <v>2-5</v>
      </c>
      <c r="AZ314">
        <v>2</v>
      </c>
      <c r="BA314" t="str">
        <f t="shared" si="72"/>
        <v>2-5</v>
      </c>
      <c r="BB314">
        <v>2</v>
      </c>
      <c r="BC314" t="str">
        <f t="shared" si="73"/>
        <v>2-5</v>
      </c>
      <c r="BD314">
        <v>2</v>
      </c>
      <c r="BE314" t="str">
        <f t="shared" si="74"/>
        <v>2-5</v>
      </c>
    </row>
    <row r="315" spans="1:57" x14ac:dyDescent="0.3">
      <c r="A315">
        <v>428</v>
      </c>
      <c r="B315">
        <v>33</v>
      </c>
      <c r="C315" t="str">
        <f t="shared" si="61"/>
        <v>26-35</v>
      </c>
      <c r="D315" t="s">
        <v>71</v>
      </c>
      <c r="E315">
        <f t="shared" si="62"/>
        <v>0</v>
      </c>
      <c r="F315" t="s">
        <v>72</v>
      </c>
      <c r="G315">
        <v>553</v>
      </c>
      <c r="H315" t="str">
        <f t="shared" si="63"/>
        <v>501-1000</v>
      </c>
      <c r="I315" t="s">
        <v>73</v>
      </c>
      <c r="J315">
        <v>5</v>
      </c>
      <c r="K315" t="str">
        <f t="shared" si="64"/>
        <v>1-5</v>
      </c>
      <c r="L315">
        <v>4</v>
      </c>
      <c r="M315" t="s">
        <v>82</v>
      </c>
      <c r="N315" t="s">
        <v>60</v>
      </c>
      <c r="O315">
        <v>1</v>
      </c>
      <c r="P315">
        <v>4</v>
      </c>
      <c r="Q315" t="s">
        <v>65</v>
      </c>
      <c r="R315" t="s">
        <v>62</v>
      </c>
      <c r="S315">
        <v>74</v>
      </c>
      <c r="T315" t="str">
        <f t="shared" si="65"/>
        <v>51-75</v>
      </c>
      <c r="U315">
        <v>3</v>
      </c>
      <c r="V315" t="s">
        <v>63</v>
      </c>
      <c r="W315">
        <v>3</v>
      </c>
      <c r="X315" t="s">
        <v>90</v>
      </c>
      <c r="Y315">
        <v>2</v>
      </c>
      <c r="Z315" t="s">
        <v>61</v>
      </c>
      <c r="AA315" t="s">
        <v>77</v>
      </c>
      <c r="AB315" s="4">
        <v>11878</v>
      </c>
      <c r="AC315" s="4" t="str">
        <f t="shared" si="66"/>
        <v>$11,500-$13,000</v>
      </c>
      <c r="AD315">
        <v>23364</v>
      </c>
      <c r="AE315" t="str">
        <f t="shared" si="67"/>
        <v>$22,001-$26,999</v>
      </c>
      <c r="AF315">
        <v>6</v>
      </c>
      <c r="AG315" t="str">
        <f t="shared" si="68"/>
        <v>4-6</v>
      </c>
      <c r="AH315" t="s">
        <v>67</v>
      </c>
      <c r="AI315" t="s">
        <v>71</v>
      </c>
      <c r="AJ315">
        <v>11</v>
      </c>
      <c r="AK315" t="str">
        <f t="shared" si="69"/>
        <v>11-12%</v>
      </c>
      <c r="AL315">
        <v>3</v>
      </c>
      <c r="AM315" t="s">
        <v>68</v>
      </c>
      <c r="AN315">
        <v>2</v>
      </c>
      <c r="AO315" t="s">
        <v>61</v>
      </c>
      <c r="AP315">
        <v>80</v>
      </c>
      <c r="AQ315">
        <v>2</v>
      </c>
      <c r="AR315">
        <v>12</v>
      </c>
      <c r="AS315" t="str">
        <f t="shared" si="70"/>
        <v>11-20</v>
      </c>
      <c r="AT315">
        <v>2</v>
      </c>
      <c r="AU315" t="str">
        <f t="shared" si="71"/>
        <v>0-2</v>
      </c>
      <c r="AV315">
        <v>3</v>
      </c>
      <c r="AW315" t="s">
        <v>79</v>
      </c>
      <c r="AX315">
        <v>10</v>
      </c>
      <c r="AY315" t="str">
        <f t="shared" si="60"/>
        <v>6-10</v>
      </c>
      <c r="AZ315">
        <v>6</v>
      </c>
      <c r="BA315" t="str">
        <f t="shared" si="72"/>
        <v>6-10</v>
      </c>
      <c r="BB315">
        <v>8</v>
      </c>
      <c r="BC315" t="str">
        <f t="shared" si="73"/>
        <v>6-10</v>
      </c>
      <c r="BD315">
        <v>8</v>
      </c>
      <c r="BE315" t="str">
        <f t="shared" si="74"/>
        <v>6-10</v>
      </c>
    </row>
    <row r="316" spans="1:57" x14ac:dyDescent="0.3">
      <c r="A316">
        <v>429</v>
      </c>
      <c r="B316">
        <v>39</v>
      </c>
      <c r="C316" t="str">
        <f t="shared" si="61"/>
        <v>36-45</v>
      </c>
      <c r="D316" t="s">
        <v>71</v>
      </c>
      <c r="E316">
        <f t="shared" si="62"/>
        <v>0</v>
      </c>
      <c r="F316" t="s">
        <v>57</v>
      </c>
      <c r="G316">
        <v>117</v>
      </c>
      <c r="H316" t="str">
        <f t="shared" si="63"/>
        <v>102-500</v>
      </c>
      <c r="I316" t="s">
        <v>73</v>
      </c>
      <c r="J316">
        <v>10</v>
      </c>
      <c r="K316" t="str">
        <f t="shared" si="64"/>
        <v>6-10</v>
      </c>
      <c r="L316">
        <v>1</v>
      </c>
      <c r="M316" t="s">
        <v>74</v>
      </c>
      <c r="N316" t="s">
        <v>83</v>
      </c>
      <c r="O316">
        <v>1</v>
      </c>
      <c r="P316">
        <v>3</v>
      </c>
      <c r="Q316" t="s">
        <v>63</v>
      </c>
      <c r="R316" t="s">
        <v>75</v>
      </c>
      <c r="S316">
        <v>99</v>
      </c>
      <c r="T316" t="str">
        <f t="shared" si="65"/>
        <v>76-100</v>
      </c>
      <c r="U316">
        <v>3</v>
      </c>
      <c r="V316" t="s">
        <v>63</v>
      </c>
      <c r="W316">
        <v>4</v>
      </c>
      <c r="X316" t="s">
        <v>90</v>
      </c>
      <c r="Y316">
        <v>1</v>
      </c>
      <c r="Z316" t="s">
        <v>69</v>
      </c>
      <c r="AA316" t="s">
        <v>77</v>
      </c>
      <c r="AB316" s="4">
        <v>17068</v>
      </c>
      <c r="AC316" s="4" t="str">
        <f t="shared" si="66"/>
        <v>$16,000-$17,500</v>
      </c>
      <c r="AD316">
        <v>5355</v>
      </c>
      <c r="AE316" t="str">
        <f t="shared" si="67"/>
        <v>$2,094-$8,000</v>
      </c>
      <c r="AF316">
        <v>1</v>
      </c>
      <c r="AG316" t="str">
        <f t="shared" si="68"/>
        <v>0-1</v>
      </c>
      <c r="AH316" t="s">
        <v>67</v>
      </c>
      <c r="AI316" t="s">
        <v>56</v>
      </c>
      <c r="AJ316">
        <v>14</v>
      </c>
      <c r="AK316" t="str">
        <f t="shared" si="69"/>
        <v>13-15%</v>
      </c>
      <c r="AL316">
        <v>3</v>
      </c>
      <c r="AM316" t="s">
        <v>68</v>
      </c>
      <c r="AN316">
        <v>4</v>
      </c>
      <c r="AO316" t="s">
        <v>65</v>
      </c>
      <c r="AP316">
        <v>80</v>
      </c>
      <c r="AQ316">
        <v>0</v>
      </c>
      <c r="AR316">
        <v>21</v>
      </c>
      <c r="AS316" t="str">
        <f t="shared" si="70"/>
        <v>21-40</v>
      </c>
      <c r="AT316">
        <v>3</v>
      </c>
      <c r="AU316" t="str">
        <f t="shared" si="71"/>
        <v>3-4</v>
      </c>
      <c r="AV316">
        <v>3</v>
      </c>
      <c r="AW316" t="s">
        <v>79</v>
      </c>
      <c r="AX316">
        <v>21</v>
      </c>
      <c r="AY316" t="str">
        <f t="shared" si="60"/>
        <v>21-40</v>
      </c>
      <c r="AZ316">
        <v>9</v>
      </c>
      <c r="BA316" t="str">
        <f t="shared" si="72"/>
        <v>6-10</v>
      </c>
      <c r="BB316">
        <v>11</v>
      </c>
      <c r="BC316" t="str">
        <f t="shared" si="73"/>
        <v>11-15</v>
      </c>
      <c r="BD316">
        <v>10</v>
      </c>
      <c r="BE316" t="str">
        <f t="shared" si="74"/>
        <v>6-10</v>
      </c>
    </row>
    <row r="317" spans="1:57" x14ac:dyDescent="0.3">
      <c r="A317">
        <v>430</v>
      </c>
      <c r="B317">
        <v>43</v>
      </c>
      <c r="C317" t="str">
        <f t="shared" si="61"/>
        <v>36-45</v>
      </c>
      <c r="D317" t="s">
        <v>71</v>
      </c>
      <c r="E317">
        <f t="shared" si="62"/>
        <v>0</v>
      </c>
      <c r="F317" t="s">
        <v>72</v>
      </c>
      <c r="G317">
        <v>185</v>
      </c>
      <c r="H317" t="str">
        <f t="shared" si="63"/>
        <v>102-500</v>
      </c>
      <c r="I317" t="s">
        <v>73</v>
      </c>
      <c r="J317">
        <v>10</v>
      </c>
      <c r="K317" t="str">
        <f t="shared" si="64"/>
        <v>6-10</v>
      </c>
      <c r="L317">
        <v>4</v>
      </c>
      <c r="M317" t="s">
        <v>82</v>
      </c>
      <c r="N317" t="s">
        <v>60</v>
      </c>
      <c r="O317">
        <v>1</v>
      </c>
      <c r="P317">
        <v>3</v>
      </c>
      <c r="Q317" t="s">
        <v>63</v>
      </c>
      <c r="R317" t="s">
        <v>62</v>
      </c>
      <c r="S317">
        <v>33</v>
      </c>
      <c r="T317" t="str">
        <f t="shared" si="65"/>
        <v>30-50</v>
      </c>
      <c r="U317">
        <v>3</v>
      </c>
      <c r="V317" t="s">
        <v>63</v>
      </c>
      <c r="W317">
        <v>1</v>
      </c>
      <c r="X317" t="s">
        <v>81</v>
      </c>
      <c r="Y317">
        <v>4</v>
      </c>
      <c r="Z317" t="s">
        <v>65</v>
      </c>
      <c r="AA317" t="s">
        <v>66</v>
      </c>
      <c r="AB317" s="4">
        <v>2455</v>
      </c>
      <c r="AC317" s="4" t="str">
        <f t="shared" si="66"/>
        <v>$1,000-$2,500</v>
      </c>
      <c r="AD317">
        <v>10675</v>
      </c>
      <c r="AE317" t="str">
        <f t="shared" si="67"/>
        <v>$8,001-$16,000</v>
      </c>
      <c r="AF317">
        <v>0</v>
      </c>
      <c r="AG317" t="str">
        <f t="shared" si="68"/>
        <v>0-1</v>
      </c>
      <c r="AH317" t="s">
        <v>67</v>
      </c>
      <c r="AI317" t="s">
        <v>71</v>
      </c>
      <c r="AJ317">
        <v>19</v>
      </c>
      <c r="AK317" t="str">
        <f t="shared" si="69"/>
        <v>18-19%</v>
      </c>
      <c r="AL317">
        <v>3</v>
      </c>
      <c r="AM317" t="s">
        <v>68</v>
      </c>
      <c r="AN317">
        <v>1</v>
      </c>
      <c r="AO317" t="s">
        <v>69</v>
      </c>
      <c r="AP317">
        <v>80</v>
      </c>
      <c r="AQ317">
        <v>0</v>
      </c>
      <c r="AR317">
        <v>9</v>
      </c>
      <c r="AS317" t="str">
        <f t="shared" si="70"/>
        <v>6-10</v>
      </c>
      <c r="AT317">
        <v>5</v>
      </c>
      <c r="AU317" t="str">
        <f t="shared" si="71"/>
        <v>5-6</v>
      </c>
      <c r="AV317">
        <v>3</v>
      </c>
      <c r="AW317" t="s">
        <v>79</v>
      </c>
      <c r="AX317">
        <v>8</v>
      </c>
      <c r="AY317" t="str">
        <f t="shared" si="60"/>
        <v>6-10</v>
      </c>
      <c r="AZ317">
        <v>7</v>
      </c>
      <c r="BA317" t="str">
        <f t="shared" si="72"/>
        <v>6-10</v>
      </c>
      <c r="BB317">
        <v>1</v>
      </c>
      <c r="BC317" t="str">
        <f t="shared" si="73"/>
        <v>0-1</v>
      </c>
      <c r="BD317">
        <v>7</v>
      </c>
      <c r="BE317" t="str">
        <f t="shared" si="74"/>
        <v>6-10</v>
      </c>
    </row>
    <row r="318" spans="1:57" x14ac:dyDescent="0.3">
      <c r="A318">
        <v>431</v>
      </c>
      <c r="B318">
        <v>49</v>
      </c>
      <c r="C318" t="str">
        <f t="shared" si="61"/>
        <v>46-55</v>
      </c>
      <c r="D318" t="s">
        <v>71</v>
      </c>
      <c r="E318">
        <f t="shared" si="62"/>
        <v>0</v>
      </c>
      <c r="F318" t="s">
        <v>57</v>
      </c>
      <c r="G318">
        <v>1091</v>
      </c>
      <c r="H318" t="str">
        <f t="shared" si="63"/>
        <v>1001-1499</v>
      </c>
      <c r="I318" t="s">
        <v>73</v>
      </c>
      <c r="J318">
        <v>1</v>
      </c>
      <c r="K318" t="str">
        <f t="shared" si="64"/>
        <v>1-5</v>
      </c>
      <c r="L318">
        <v>2</v>
      </c>
      <c r="M318" t="s">
        <v>59</v>
      </c>
      <c r="N318" t="s">
        <v>95</v>
      </c>
      <c r="O318">
        <v>1</v>
      </c>
      <c r="P318">
        <v>3</v>
      </c>
      <c r="Q318" t="s">
        <v>63</v>
      </c>
      <c r="R318" t="s">
        <v>62</v>
      </c>
      <c r="S318">
        <v>90</v>
      </c>
      <c r="T318" t="str">
        <f t="shared" si="65"/>
        <v>76-100</v>
      </c>
      <c r="U318">
        <v>2</v>
      </c>
      <c r="V318" t="s">
        <v>61</v>
      </c>
      <c r="W318">
        <v>4</v>
      </c>
      <c r="X318" t="s">
        <v>88</v>
      </c>
      <c r="Y318">
        <v>3</v>
      </c>
      <c r="Z318" t="s">
        <v>63</v>
      </c>
      <c r="AA318" t="s">
        <v>66</v>
      </c>
      <c r="AB318" s="4">
        <v>13964</v>
      </c>
      <c r="AC318" s="4" t="str">
        <f t="shared" si="66"/>
        <v>$13,000-$14,500</v>
      </c>
      <c r="AD318">
        <v>17810</v>
      </c>
      <c r="AE318" t="str">
        <f t="shared" si="67"/>
        <v>$16,001-$22,000</v>
      </c>
      <c r="AF318">
        <v>7</v>
      </c>
      <c r="AG318" t="str">
        <f t="shared" si="68"/>
        <v>7-9</v>
      </c>
      <c r="AH318" t="s">
        <v>67</v>
      </c>
      <c r="AI318" t="s">
        <v>56</v>
      </c>
      <c r="AJ318">
        <v>12</v>
      </c>
      <c r="AK318" t="str">
        <f t="shared" si="69"/>
        <v>11-12%</v>
      </c>
      <c r="AL318">
        <v>3</v>
      </c>
      <c r="AM318" t="s">
        <v>68</v>
      </c>
      <c r="AN318">
        <v>4</v>
      </c>
      <c r="AO318" t="s">
        <v>65</v>
      </c>
      <c r="AP318">
        <v>80</v>
      </c>
      <c r="AQ318">
        <v>0</v>
      </c>
      <c r="AR318">
        <v>25</v>
      </c>
      <c r="AS318" t="str">
        <f t="shared" si="70"/>
        <v>21-40</v>
      </c>
      <c r="AT318">
        <v>2</v>
      </c>
      <c r="AU318" t="str">
        <f t="shared" si="71"/>
        <v>0-2</v>
      </c>
      <c r="AV318">
        <v>3</v>
      </c>
      <c r="AW318" t="s">
        <v>79</v>
      </c>
      <c r="AX318">
        <v>7</v>
      </c>
      <c r="AY318" t="str">
        <f t="shared" si="60"/>
        <v>6-10</v>
      </c>
      <c r="AZ318">
        <v>1</v>
      </c>
      <c r="BA318" t="str">
        <f t="shared" si="72"/>
        <v>0-1</v>
      </c>
      <c r="BB318">
        <v>0</v>
      </c>
      <c r="BC318" t="str">
        <f t="shared" si="73"/>
        <v>0-1</v>
      </c>
      <c r="BD318">
        <v>7</v>
      </c>
      <c r="BE318" t="str">
        <f t="shared" si="74"/>
        <v>6-10</v>
      </c>
    </row>
    <row r="319" spans="1:57" x14ac:dyDescent="0.3">
      <c r="A319">
        <v>433</v>
      </c>
      <c r="B319">
        <v>52</v>
      </c>
      <c r="C319" t="str">
        <f t="shared" si="61"/>
        <v>46-55</v>
      </c>
      <c r="D319" t="s">
        <v>56</v>
      </c>
      <c r="E319">
        <f t="shared" si="62"/>
        <v>1</v>
      </c>
      <c r="F319" t="s">
        <v>57</v>
      </c>
      <c r="G319">
        <v>723</v>
      </c>
      <c r="H319" t="str">
        <f t="shared" si="63"/>
        <v>501-1000</v>
      </c>
      <c r="I319" t="s">
        <v>73</v>
      </c>
      <c r="J319">
        <v>8</v>
      </c>
      <c r="K319" t="str">
        <f t="shared" si="64"/>
        <v>6-10</v>
      </c>
      <c r="L319">
        <v>4</v>
      </c>
      <c r="M319" t="s">
        <v>82</v>
      </c>
      <c r="N319" t="s">
        <v>83</v>
      </c>
      <c r="O319">
        <v>1</v>
      </c>
      <c r="P319">
        <v>3</v>
      </c>
      <c r="Q319" t="s">
        <v>63</v>
      </c>
      <c r="R319" t="s">
        <v>75</v>
      </c>
      <c r="S319">
        <v>85</v>
      </c>
      <c r="T319" t="str">
        <f t="shared" si="65"/>
        <v>76-100</v>
      </c>
      <c r="U319">
        <v>2</v>
      </c>
      <c r="V319" t="s">
        <v>61</v>
      </c>
      <c r="W319">
        <v>2</v>
      </c>
      <c r="X319" t="s">
        <v>76</v>
      </c>
      <c r="Y319">
        <v>2</v>
      </c>
      <c r="Z319" t="s">
        <v>61</v>
      </c>
      <c r="AA319" t="s">
        <v>77</v>
      </c>
      <c r="AB319" s="4">
        <v>4941</v>
      </c>
      <c r="AC319" s="4" t="str">
        <f t="shared" si="66"/>
        <v>$4,000-$5,500</v>
      </c>
      <c r="AD319">
        <v>17747</v>
      </c>
      <c r="AE319" t="str">
        <f t="shared" si="67"/>
        <v>$16,001-$22,000</v>
      </c>
      <c r="AF319">
        <v>2</v>
      </c>
      <c r="AG319" t="str">
        <f t="shared" si="68"/>
        <v>2-3</v>
      </c>
      <c r="AH319" t="s">
        <v>67</v>
      </c>
      <c r="AI319" t="s">
        <v>71</v>
      </c>
      <c r="AJ319">
        <v>15</v>
      </c>
      <c r="AK319" t="str">
        <f t="shared" si="69"/>
        <v>13-15%</v>
      </c>
      <c r="AL319">
        <v>3</v>
      </c>
      <c r="AM319" t="s">
        <v>68</v>
      </c>
      <c r="AN319">
        <v>1</v>
      </c>
      <c r="AO319" t="s">
        <v>69</v>
      </c>
      <c r="AP319">
        <v>80</v>
      </c>
      <c r="AQ319">
        <v>0</v>
      </c>
      <c r="AR319">
        <v>11</v>
      </c>
      <c r="AS319" t="str">
        <f t="shared" si="70"/>
        <v>11-20</v>
      </c>
      <c r="AT319">
        <v>3</v>
      </c>
      <c r="AU319" t="str">
        <f t="shared" si="71"/>
        <v>3-4</v>
      </c>
      <c r="AV319">
        <v>2</v>
      </c>
      <c r="AW319" t="s">
        <v>84</v>
      </c>
      <c r="AX319">
        <v>8</v>
      </c>
      <c r="AY319" t="str">
        <f t="shared" si="60"/>
        <v>6-10</v>
      </c>
      <c r="AZ319">
        <v>2</v>
      </c>
      <c r="BA319" t="str">
        <f t="shared" si="72"/>
        <v>2-5</v>
      </c>
      <c r="BB319">
        <v>7</v>
      </c>
      <c r="BC319" t="str">
        <f t="shared" si="73"/>
        <v>6-10</v>
      </c>
      <c r="BD319">
        <v>7</v>
      </c>
      <c r="BE319" t="str">
        <f t="shared" si="74"/>
        <v>6-10</v>
      </c>
    </row>
    <row r="320" spans="1:57" x14ac:dyDescent="0.3">
      <c r="A320">
        <v>434</v>
      </c>
      <c r="B320">
        <v>27</v>
      </c>
      <c r="C320" t="str">
        <f t="shared" si="61"/>
        <v>26-35</v>
      </c>
      <c r="D320" t="s">
        <v>71</v>
      </c>
      <c r="E320">
        <f t="shared" si="62"/>
        <v>0</v>
      </c>
      <c r="F320" t="s">
        <v>57</v>
      </c>
      <c r="G320">
        <v>1220</v>
      </c>
      <c r="H320" t="str">
        <f t="shared" si="63"/>
        <v>1001-1499</v>
      </c>
      <c r="I320" t="s">
        <v>73</v>
      </c>
      <c r="J320">
        <v>5</v>
      </c>
      <c r="K320" t="str">
        <f t="shared" si="64"/>
        <v>1-5</v>
      </c>
      <c r="L320">
        <v>3</v>
      </c>
      <c r="M320" t="s">
        <v>85</v>
      </c>
      <c r="N320" t="s">
        <v>60</v>
      </c>
      <c r="O320">
        <v>1</v>
      </c>
      <c r="P320">
        <v>3</v>
      </c>
      <c r="Q320" t="s">
        <v>63</v>
      </c>
      <c r="R320" t="s">
        <v>62</v>
      </c>
      <c r="S320">
        <v>85</v>
      </c>
      <c r="T320" t="str">
        <f t="shared" si="65"/>
        <v>76-100</v>
      </c>
      <c r="U320">
        <v>3</v>
      </c>
      <c r="V320" t="s">
        <v>63</v>
      </c>
      <c r="W320">
        <v>1</v>
      </c>
      <c r="X320" t="s">
        <v>76</v>
      </c>
      <c r="Y320">
        <v>2</v>
      </c>
      <c r="Z320" t="s">
        <v>61</v>
      </c>
      <c r="AA320" t="s">
        <v>66</v>
      </c>
      <c r="AB320" s="4">
        <v>2478</v>
      </c>
      <c r="AC320" s="4" t="str">
        <f t="shared" si="66"/>
        <v>$1,000-$2,500</v>
      </c>
      <c r="AD320">
        <v>20938</v>
      </c>
      <c r="AE320" t="str">
        <f t="shared" si="67"/>
        <v>$16,001-$22,000</v>
      </c>
      <c r="AF320">
        <v>1</v>
      </c>
      <c r="AG320" t="str">
        <f t="shared" si="68"/>
        <v>0-1</v>
      </c>
      <c r="AH320" t="s">
        <v>67</v>
      </c>
      <c r="AI320" t="s">
        <v>56</v>
      </c>
      <c r="AJ320">
        <v>12</v>
      </c>
      <c r="AK320" t="str">
        <f t="shared" si="69"/>
        <v>11-12%</v>
      </c>
      <c r="AL320">
        <v>3</v>
      </c>
      <c r="AM320" t="s">
        <v>68</v>
      </c>
      <c r="AN320">
        <v>2</v>
      </c>
      <c r="AO320" t="s">
        <v>61</v>
      </c>
      <c r="AP320">
        <v>80</v>
      </c>
      <c r="AQ320">
        <v>0</v>
      </c>
      <c r="AR320">
        <v>4</v>
      </c>
      <c r="AS320" t="str">
        <f t="shared" si="70"/>
        <v>3-5</v>
      </c>
      <c r="AT320">
        <v>2</v>
      </c>
      <c r="AU320" t="str">
        <f t="shared" si="71"/>
        <v>0-2</v>
      </c>
      <c r="AV320">
        <v>2</v>
      </c>
      <c r="AW320" t="s">
        <v>84</v>
      </c>
      <c r="AX320">
        <v>4</v>
      </c>
      <c r="AY320" t="str">
        <f t="shared" si="60"/>
        <v>2-5</v>
      </c>
      <c r="AZ320">
        <v>3</v>
      </c>
      <c r="BA320" t="str">
        <f t="shared" si="72"/>
        <v>2-5</v>
      </c>
      <c r="BB320">
        <v>1</v>
      </c>
      <c r="BC320" t="str">
        <f t="shared" si="73"/>
        <v>0-1</v>
      </c>
      <c r="BD320">
        <v>2</v>
      </c>
      <c r="BE320" t="str">
        <f t="shared" si="74"/>
        <v>2-5</v>
      </c>
    </row>
    <row r="321" spans="1:57" x14ac:dyDescent="0.3">
      <c r="A321">
        <v>436</v>
      </c>
      <c r="B321">
        <v>32</v>
      </c>
      <c r="C321" t="str">
        <f t="shared" si="61"/>
        <v>26-35</v>
      </c>
      <c r="D321" t="s">
        <v>71</v>
      </c>
      <c r="E321">
        <f t="shared" si="62"/>
        <v>0</v>
      </c>
      <c r="F321" t="s">
        <v>57</v>
      </c>
      <c r="G321">
        <v>588</v>
      </c>
      <c r="H321" t="str">
        <f t="shared" si="63"/>
        <v>501-1000</v>
      </c>
      <c r="I321" t="s">
        <v>58</v>
      </c>
      <c r="J321">
        <v>8</v>
      </c>
      <c r="K321" t="str">
        <f t="shared" si="64"/>
        <v>6-10</v>
      </c>
      <c r="L321">
        <v>2</v>
      </c>
      <c r="M321" t="s">
        <v>59</v>
      </c>
      <c r="N321" t="s">
        <v>95</v>
      </c>
      <c r="O321">
        <v>1</v>
      </c>
      <c r="P321">
        <v>3</v>
      </c>
      <c r="Q321" t="s">
        <v>63</v>
      </c>
      <c r="R321" t="s">
        <v>62</v>
      </c>
      <c r="S321">
        <v>65</v>
      </c>
      <c r="T321" t="str">
        <f t="shared" si="65"/>
        <v>51-75</v>
      </c>
      <c r="U321">
        <v>2</v>
      </c>
      <c r="V321" t="s">
        <v>61</v>
      </c>
      <c r="W321">
        <v>2</v>
      </c>
      <c r="X321" t="s">
        <v>64</v>
      </c>
      <c r="Y321">
        <v>2</v>
      </c>
      <c r="Z321" t="s">
        <v>61</v>
      </c>
      <c r="AA321" t="s">
        <v>77</v>
      </c>
      <c r="AB321" s="4">
        <v>5228</v>
      </c>
      <c r="AC321" s="4" t="str">
        <f t="shared" si="66"/>
        <v>$4,000-$5,500</v>
      </c>
      <c r="AD321">
        <v>24624</v>
      </c>
      <c r="AE321" t="str">
        <f t="shared" si="67"/>
        <v>$22,001-$26,999</v>
      </c>
      <c r="AF321">
        <v>1</v>
      </c>
      <c r="AG321" t="str">
        <f t="shared" si="68"/>
        <v>0-1</v>
      </c>
      <c r="AH321" t="s">
        <v>67</v>
      </c>
      <c r="AI321" t="s">
        <v>56</v>
      </c>
      <c r="AJ321">
        <v>11</v>
      </c>
      <c r="AK321" t="str">
        <f t="shared" si="69"/>
        <v>11-12%</v>
      </c>
      <c r="AL321">
        <v>3</v>
      </c>
      <c r="AM321" t="s">
        <v>68</v>
      </c>
      <c r="AN321">
        <v>4</v>
      </c>
      <c r="AO321" t="s">
        <v>65</v>
      </c>
      <c r="AP321">
        <v>80</v>
      </c>
      <c r="AQ321">
        <v>0</v>
      </c>
      <c r="AR321">
        <v>13</v>
      </c>
      <c r="AS321" t="str">
        <f t="shared" si="70"/>
        <v>11-20</v>
      </c>
      <c r="AT321">
        <v>2</v>
      </c>
      <c r="AU321" t="str">
        <f t="shared" si="71"/>
        <v>0-2</v>
      </c>
      <c r="AV321">
        <v>3</v>
      </c>
      <c r="AW321" t="s">
        <v>79</v>
      </c>
      <c r="AX321">
        <v>13</v>
      </c>
      <c r="AY321" t="str">
        <f t="shared" si="60"/>
        <v>11-20</v>
      </c>
      <c r="AZ321">
        <v>12</v>
      </c>
      <c r="BA321" t="str">
        <f t="shared" si="72"/>
        <v>11-18</v>
      </c>
      <c r="BB321">
        <v>11</v>
      </c>
      <c r="BC321" t="str">
        <f t="shared" si="73"/>
        <v>11-15</v>
      </c>
      <c r="BD321">
        <v>9</v>
      </c>
      <c r="BE321" t="str">
        <f t="shared" si="74"/>
        <v>6-10</v>
      </c>
    </row>
    <row r="322" spans="1:57" x14ac:dyDescent="0.3">
      <c r="A322">
        <v>437</v>
      </c>
      <c r="B322">
        <v>27</v>
      </c>
      <c r="C322" t="str">
        <f t="shared" si="61"/>
        <v>26-35</v>
      </c>
      <c r="D322" t="s">
        <v>71</v>
      </c>
      <c r="E322">
        <f t="shared" si="62"/>
        <v>0</v>
      </c>
      <c r="F322" t="s">
        <v>57</v>
      </c>
      <c r="G322">
        <v>1377</v>
      </c>
      <c r="H322" t="str">
        <f t="shared" si="63"/>
        <v>1001-1499</v>
      </c>
      <c r="I322" t="s">
        <v>58</v>
      </c>
      <c r="J322">
        <v>2</v>
      </c>
      <c r="K322" t="str">
        <f t="shared" si="64"/>
        <v>1-5</v>
      </c>
      <c r="L322">
        <v>3</v>
      </c>
      <c r="M322" t="s">
        <v>85</v>
      </c>
      <c r="N322" t="s">
        <v>60</v>
      </c>
      <c r="O322">
        <v>1</v>
      </c>
      <c r="P322">
        <v>4</v>
      </c>
      <c r="Q322" t="s">
        <v>65</v>
      </c>
      <c r="R322" t="s">
        <v>75</v>
      </c>
      <c r="S322">
        <v>74</v>
      </c>
      <c r="T322" t="str">
        <f t="shared" si="65"/>
        <v>51-75</v>
      </c>
      <c r="U322">
        <v>3</v>
      </c>
      <c r="V322" t="s">
        <v>63</v>
      </c>
      <c r="W322">
        <v>2</v>
      </c>
      <c r="X322" t="s">
        <v>64</v>
      </c>
      <c r="Y322">
        <v>3</v>
      </c>
      <c r="Z322" t="s">
        <v>63</v>
      </c>
      <c r="AA322" t="s">
        <v>66</v>
      </c>
      <c r="AB322" s="4">
        <v>4478</v>
      </c>
      <c r="AC322" s="4" t="str">
        <f t="shared" si="66"/>
        <v>$4,000-$5,500</v>
      </c>
      <c r="AD322">
        <v>5242</v>
      </c>
      <c r="AE322" t="str">
        <f t="shared" si="67"/>
        <v>$2,094-$8,000</v>
      </c>
      <c r="AF322">
        <v>1</v>
      </c>
      <c r="AG322" t="str">
        <f t="shared" si="68"/>
        <v>0-1</v>
      </c>
      <c r="AH322" t="s">
        <v>67</v>
      </c>
      <c r="AI322" t="s">
        <v>56</v>
      </c>
      <c r="AJ322">
        <v>11</v>
      </c>
      <c r="AK322" t="str">
        <f t="shared" si="69"/>
        <v>11-12%</v>
      </c>
      <c r="AL322">
        <v>3</v>
      </c>
      <c r="AM322" t="s">
        <v>68</v>
      </c>
      <c r="AN322">
        <v>1</v>
      </c>
      <c r="AO322" t="s">
        <v>69</v>
      </c>
      <c r="AP322">
        <v>80</v>
      </c>
      <c r="AQ322">
        <v>0</v>
      </c>
      <c r="AR322">
        <v>5</v>
      </c>
      <c r="AS322" t="str">
        <f t="shared" si="70"/>
        <v>3-5</v>
      </c>
      <c r="AT322">
        <v>3</v>
      </c>
      <c r="AU322" t="str">
        <f t="shared" si="71"/>
        <v>3-4</v>
      </c>
      <c r="AV322">
        <v>3</v>
      </c>
      <c r="AW322" t="s">
        <v>79</v>
      </c>
      <c r="AX322">
        <v>5</v>
      </c>
      <c r="AY322" t="str">
        <f t="shared" ref="AY322:AY385" si="75">IF(AX322&lt;=1,"0-1",IF(AX322&lt;=5,"2-5",IF(AX322&lt;=10,"6-10",IF(AX322&lt;=20,"11-20","21-40"))))</f>
        <v>2-5</v>
      </c>
      <c r="AZ322">
        <v>4</v>
      </c>
      <c r="BA322" t="str">
        <f t="shared" si="72"/>
        <v>2-5</v>
      </c>
      <c r="BB322">
        <v>0</v>
      </c>
      <c r="BC322" t="str">
        <f t="shared" si="73"/>
        <v>0-1</v>
      </c>
      <c r="BD322">
        <v>4</v>
      </c>
      <c r="BE322" t="str">
        <f t="shared" si="74"/>
        <v>2-5</v>
      </c>
    </row>
    <row r="323" spans="1:57" x14ac:dyDescent="0.3">
      <c r="A323">
        <v>438</v>
      </c>
      <c r="B323">
        <v>31</v>
      </c>
      <c r="C323" t="str">
        <f t="shared" ref="C323:C386" si="76">IF(B323&lt;=25, "18-25", IF(B323&lt;=35, "26-35", IF(B323&lt;=45, "36-45", IF(B323&lt;=55, "46-55", "56+"))))</f>
        <v>26-35</v>
      </c>
      <c r="D323" t="s">
        <v>71</v>
      </c>
      <c r="E323">
        <f t="shared" ref="E323:E386" si="77">IF(D323="Yes",1,0)</f>
        <v>0</v>
      </c>
      <c r="F323" t="s">
        <v>57</v>
      </c>
      <c r="G323">
        <v>691</v>
      </c>
      <c r="H323" t="str">
        <f t="shared" ref="H323:H386" si="78">IF(G323&lt;=500,"102-500",IF(G323&lt;=1000,"501-1000","1001-1499"))</f>
        <v>501-1000</v>
      </c>
      <c r="I323" t="s">
        <v>58</v>
      </c>
      <c r="J323">
        <v>7</v>
      </c>
      <c r="K323" t="str">
        <f t="shared" ref="K323:K386" si="79">IF(J323&lt;=5,"1-5",IF(J323&lt;=10,"6-10",IF(J323&lt;=20,"11-20","21-29")))</f>
        <v>6-10</v>
      </c>
      <c r="L323">
        <v>3</v>
      </c>
      <c r="M323" t="s">
        <v>85</v>
      </c>
      <c r="N323" t="s">
        <v>93</v>
      </c>
      <c r="O323">
        <v>1</v>
      </c>
      <c r="P323">
        <v>4</v>
      </c>
      <c r="Q323" t="s">
        <v>65</v>
      </c>
      <c r="R323" t="s">
        <v>75</v>
      </c>
      <c r="S323">
        <v>73</v>
      </c>
      <c r="T323" t="str">
        <f t="shared" ref="T323:T386" si="80">IF(S323&lt;=50,"30-50",IF(S323&lt;=75,"51-75","76-100"))</f>
        <v>51-75</v>
      </c>
      <c r="U323">
        <v>3</v>
      </c>
      <c r="V323" t="s">
        <v>63</v>
      </c>
      <c r="W323">
        <v>2</v>
      </c>
      <c r="X323" t="s">
        <v>64</v>
      </c>
      <c r="Y323">
        <v>4</v>
      </c>
      <c r="Z323" t="s">
        <v>65</v>
      </c>
      <c r="AA323" t="s">
        <v>86</v>
      </c>
      <c r="AB323" s="4">
        <v>7547</v>
      </c>
      <c r="AC323" s="4" t="str">
        <f t="shared" ref="AC323:AC386" si="81">IF(AB323&lt;2500,"$1,000-$2,500",IF(AB323&lt;4000,"$2,500-$4,000",IF(AB323&lt;5500,"$4,000-$5,500",IF(AB323&lt;7000,"$5,500-$7,000",IF(AB323&lt;8500,"$7,000-$8,500",IF(AB323&lt;10000,"$8,500-$10,000",IF(AB323&lt;11500,"$10,000-$11,500",IF(AB323&lt;13000,"$11,500-$13,000",IF(AB323&lt;14500,"$13,000-$14,500",IF(AB323&lt;16000,"$14,500-$16,000",IF(AB323&lt;17500,"$16,000-$17,500",IF(AB323&lt;19000,"$17,500-$19,000",IF(AB323&lt;20500,"$19,000-$20,500",IF(AB323&lt;22000,"$20,500-$22,000",IF(AB323&lt;23500,"$22,000-$23,500",IF(AB323&lt;25000,"$23,500-$25,000",IF(AB323&lt;26500,"$25,000-$26,500",IF(AB323&lt;28000,"$26,500-$28,000",IF(AB323&lt;29500,"$28,000-$29,500","$29,500+")))))))))))))))))))</f>
        <v>$7,000-$8,500</v>
      </c>
      <c r="AD323">
        <v>7143</v>
      </c>
      <c r="AE323" t="str">
        <f t="shared" ref="AE323:AE386" si="82">IF(AD323&lt;=8000,"$2,094-$8,000",IF(AD323&lt;=16000,"$8,001-$16,000",IF(AD323&lt;=22000,"$16,001-$22,000","$22,001-$26,999")))</f>
        <v>$2,094-$8,000</v>
      </c>
      <c r="AF323">
        <v>4</v>
      </c>
      <c r="AG323" t="str">
        <f t="shared" ref="AG323:AG386" si="83">IF(AF323&lt;=1,"0-1",IF(AF323&lt;=3,"2-3",IF(AF323&lt;=6,"4-6","7-9")))</f>
        <v>4-6</v>
      </c>
      <c r="AH323" t="s">
        <v>67</v>
      </c>
      <c r="AI323" t="s">
        <v>71</v>
      </c>
      <c r="AJ323">
        <v>12</v>
      </c>
      <c r="AK323" t="str">
        <f t="shared" ref="AK323:AK386" si="84">IF(AJ323&lt;=12,"11-12%",IF(AJ323&lt;=15,"13-15%",IF(AJ323&lt;=17,"16-17%","18-19%")))</f>
        <v>11-12%</v>
      </c>
      <c r="AL323">
        <v>3</v>
      </c>
      <c r="AM323" t="s">
        <v>68</v>
      </c>
      <c r="AN323">
        <v>4</v>
      </c>
      <c r="AO323" t="s">
        <v>65</v>
      </c>
      <c r="AP323">
        <v>80</v>
      </c>
      <c r="AQ323">
        <v>3</v>
      </c>
      <c r="AR323">
        <v>13</v>
      </c>
      <c r="AS323" t="str">
        <f t="shared" ref="AS323:AS386" si="85">IF(AR323&lt;=2,"0-2",IF(AR323&lt;=5,"3-5",IF(AR323&lt;=10,"6-10",IF(AR323&lt;=20,"11-20","21-40"))))</f>
        <v>11-20</v>
      </c>
      <c r="AT323">
        <v>3</v>
      </c>
      <c r="AU323" t="str">
        <f t="shared" ref="AU323:AU386" si="86">IF(AT323&lt;=2,"0-2",IF(AT323&lt;=4,"3-4","5-6"))</f>
        <v>3-4</v>
      </c>
      <c r="AV323">
        <v>3</v>
      </c>
      <c r="AW323" t="s">
        <v>79</v>
      </c>
      <c r="AX323">
        <v>7</v>
      </c>
      <c r="AY323" t="str">
        <f t="shared" si="75"/>
        <v>6-10</v>
      </c>
      <c r="AZ323">
        <v>7</v>
      </c>
      <c r="BA323" t="str">
        <f t="shared" ref="BA323:BA386" si="87">IF(AZ323&lt;=1,"0-1",IF(AZ323&lt;=5,"2-5",IF(AZ323&lt;=10,"6-10","11-18")))</f>
        <v>6-10</v>
      </c>
      <c r="BB323">
        <v>1</v>
      </c>
      <c r="BC323" t="str">
        <f t="shared" ref="BC323:BC386" si="88">IF(BB323&lt;=1,"0-1",IF(BB323&lt;=5,"2-5",IF(BB323&lt;=10,"6-10","11-15")))</f>
        <v>0-1</v>
      </c>
      <c r="BD323">
        <v>7</v>
      </c>
      <c r="BE323" t="str">
        <f t="shared" ref="BE323:BE386" si="89">IF(BD323&lt;=1,"0-1",IF(BD323&lt;=5,"2-5",IF(BD323&lt;=10,"6-10","11-17")))</f>
        <v>6-10</v>
      </c>
    </row>
    <row r="324" spans="1:57" x14ac:dyDescent="0.3">
      <c r="A324">
        <v>439</v>
      </c>
      <c r="B324">
        <v>32</v>
      </c>
      <c r="C324" t="str">
        <f t="shared" si="76"/>
        <v>26-35</v>
      </c>
      <c r="D324" t="s">
        <v>71</v>
      </c>
      <c r="E324">
        <f t="shared" si="77"/>
        <v>0</v>
      </c>
      <c r="F324" t="s">
        <v>57</v>
      </c>
      <c r="G324">
        <v>1018</v>
      </c>
      <c r="H324" t="str">
        <f t="shared" si="78"/>
        <v>1001-1499</v>
      </c>
      <c r="I324" t="s">
        <v>73</v>
      </c>
      <c r="J324">
        <v>2</v>
      </c>
      <c r="K324" t="str">
        <f t="shared" si="79"/>
        <v>1-5</v>
      </c>
      <c r="L324">
        <v>4</v>
      </c>
      <c r="M324" t="s">
        <v>82</v>
      </c>
      <c r="N324" t="s">
        <v>83</v>
      </c>
      <c r="O324">
        <v>1</v>
      </c>
      <c r="P324">
        <v>1</v>
      </c>
      <c r="Q324" t="s">
        <v>69</v>
      </c>
      <c r="R324" t="s">
        <v>62</v>
      </c>
      <c r="S324">
        <v>74</v>
      </c>
      <c r="T324" t="str">
        <f t="shared" si="80"/>
        <v>51-75</v>
      </c>
      <c r="U324">
        <v>4</v>
      </c>
      <c r="V324" t="s">
        <v>65</v>
      </c>
      <c r="W324">
        <v>2</v>
      </c>
      <c r="X324" t="s">
        <v>76</v>
      </c>
      <c r="Y324">
        <v>4</v>
      </c>
      <c r="Z324" t="s">
        <v>65</v>
      </c>
      <c r="AA324" t="s">
        <v>66</v>
      </c>
      <c r="AB324" s="4">
        <v>5055</v>
      </c>
      <c r="AC324" s="4" t="str">
        <f t="shared" si="81"/>
        <v>$4,000-$5,500</v>
      </c>
      <c r="AD324">
        <v>10557</v>
      </c>
      <c r="AE324" t="str">
        <f t="shared" si="82"/>
        <v>$8,001-$16,000</v>
      </c>
      <c r="AF324">
        <v>7</v>
      </c>
      <c r="AG324" t="str">
        <f t="shared" si="83"/>
        <v>7-9</v>
      </c>
      <c r="AH324" t="s">
        <v>67</v>
      </c>
      <c r="AI324" t="s">
        <v>71</v>
      </c>
      <c r="AJ324">
        <v>16</v>
      </c>
      <c r="AK324" t="str">
        <f t="shared" si="84"/>
        <v>16-17%</v>
      </c>
      <c r="AL324">
        <v>3</v>
      </c>
      <c r="AM324" t="s">
        <v>68</v>
      </c>
      <c r="AN324">
        <v>3</v>
      </c>
      <c r="AO324" t="s">
        <v>63</v>
      </c>
      <c r="AP324">
        <v>80</v>
      </c>
      <c r="AQ324">
        <v>0</v>
      </c>
      <c r="AR324">
        <v>10</v>
      </c>
      <c r="AS324" t="str">
        <f t="shared" si="85"/>
        <v>6-10</v>
      </c>
      <c r="AT324">
        <v>0</v>
      </c>
      <c r="AU324" t="str">
        <f t="shared" si="86"/>
        <v>0-2</v>
      </c>
      <c r="AV324">
        <v>2</v>
      </c>
      <c r="AW324" t="s">
        <v>84</v>
      </c>
      <c r="AX324">
        <v>7</v>
      </c>
      <c r="AY324" t="str">
        <f t="shared" si="75"/>
        <v>6-10</v>
      </c>
      <c r="AZ324">
        <v>7</v>
      </c>
      <c r="BA324" t="str">
        <f t="shared" si="87"/>
        <v>6-10</v>
      </c>
      <c r="BB324">
        <v>0</v>
      </c>
      <c r="BC324" t="str">
        <f t="shared" si="88"/>
        <v>0-1</v>
      </c>
      <c r="BD324">
        <v>7</v>
      </c>
      <c r="BE324" t="str">
        <f t="shared" si="89"/>
        <v>6-10</v>
      </c>
    </row>
    <row r="325" spans="1:57" x14ac:dyDescent="0.3">
      <c r="A325">
        <v>440</v>
      </c>
      <c r="B325">
        <v>28</v>
      </c>
      <c r="C325" t="str">
        <f t="shared" si="76"/>
        <v>26-35</v>
      </c>
      <c r="D325" t="s">
        <v>56</v>
      </c>
      <c r="E325">
        <f t="shared" si="77"/>
        <v>1</v>
      </c>
      <c r="F325" t="s">
        <v>57</v>
      </c>
      <c r="G325">
        <v>1157</v>
      </c>
      <c r="H325" t="str">
        <f t="shared" si="78"/>
        <v>1001-1499</v>
      </c>
      <c r="I325" t="s">
        <v>73</v>
      </c>
      <c r="J325">
        <v>2</v>
      </c>
      <c r="K325" t="str">
        <f t="shared" si="79"/>
        <v>1-5</v>
      </c>
      <c r="L325">
        <v>4</v>
      </c>
      <c r="M325" t="s">
        <v>82</v>
      </c>
      <c r="N325" t="s">
        <v>83</v>
      </c>
      <c r="O325">
        <v>1</v>
      </c>
      <c r="P325">
        <v>1</v>
      </c>
      <c r="Q325" t="s">
        <v>69</v>
      </c>
      <c r="R325" t="s">
        <v>75</v>
      </c>
      <c r="S325">
        <v>84</v>
      </c>
      <c r="T325" t="str">
        <f t="shared" si="80"/>
        <v>76-100</v>
      </c>
      <c r="U325">
        <v>1</v>
      </c>
      <c r="V325" t="s">
        <v>69</v>
      </c>
      <c r="W325">
        <v>1</v>
      </c>
      <c r="X325" t="s">
        <v>76</v>
      </c>
      <c r="Y325">
        <v>4</v>
      </c>
      <c r="Z325" t="s">
        <v>65</v>
      </c>
      <c r="AA325" t="s">
        <v>77</v>
      </c>
      <c r="AB325" s="4">
        <v>3464</v>
      </c>
      <c r="AC325" s="4" t="str">
        <f t="shared" si="81"/>
        <v>$2,500-$4,000</v>
      </c>
      <c r="AD325">
        <v>24737</v>
      </c>
      <c r="AE325" t="str">
        <f t="shared" si="82"/>
        <v>$22,001-$26,999</v>
      </c>
      <c r="AF325">
        <v>5</v>
      </c>
      <c r="AG325" t="str">
        <f t="shared" si="83"/>
        <v>4-6</v>
      </c>
      <c r="AH325" t="s">
        <v>67</v>
      </c>
      <c r="AI325" t="s">
        <v>56</v>
      </c>
      <c r="AJ325">
        <v>13</v>
      </c>
      <c r="AK325" t="str">
        <f t="shared" si="84"/>
        <v>13-15%</v>
      </c>
      <c r="AL325">
        <v>3</v>
      </c>
      <c r="AM325" t="s">
        <v>68</v>
      </c>
      <c r="AN325">
        <v>4</v>
      </c>
      <c r="AO325" t="s">
        <v>65</v>
      </c>
      <c r="AP325">
        <v>80</v>
      </c>
      <c r="AQ325">
        <v>0</v>
      </c>
      <c r="AR325">
        <v>5</v>
      </c>
      <c r="AS325" t="str">
        <f t="shared" si="85"/>
        <v>3-5</v>
      </c>
      <c r="AT325">
        <v>4</v>
      </c>
      <c r="AU325" t="str">
        <f t="shared" si="86"/>
        <v>3-4</v>
      </c>
      <c r="AV325">
        <v>2</v>
      </c>
      <c r="AW325" t="s">
        <v>84</v>
      </c>
      <c r="AX325">
        <v>3</v>
      </c>
      <c r="AY325" t="str">
        <f t="shared" si="75"/>
        <v>2-5</v>
      </c>
      <c r="AZ325">
        <v>2</v>
      </c>
      <c r="BA325" t="str">
        <f t="shared" si="87"/>
        <v>2-5</v>
      </c>
      <c r="BB325">
        <v>2</v>
      </c>
      <c r="BC325" t="str">
        <f t="shared" si="88"/>
        <v>2-5</v>
      </c>
      <c r="BD325">
        <v>2</v>
      </c>
      <c r="BE325" t="str">
        <f t="shared" si="89"/>
        <v>2-5</v>
      </c>
    </row>
    <row r="326" spans="1:57" x14ac:dyDescent="0.3">
      <c r="A326">
        <v>441</v>
      </c>
      <c r="B326">
        <v>30</v>
      </c>
      <c r="C326" t="str">
        <f t="shared" si="76"/>
        <v>26-35</v>
      </c>
      <c r="D326" t="s">
        <v>71</v>
      </c>
      <c r="E326">
        <f t="shared" si="77"/>
        <v>0</v>
      </c>
      <c r="F326" t="s">
        <v>57</v>
      </c>
      <c r="G326">
        <v>1275</v>
      </c>
      <c r="H326" t="str">
        <f t="shared" si="78"/>
        <v>1001-1499</v>
      </c>
      <c r="I326" t="s">
        <v>73</v>
      </c>
      <c r="J326">
        <v>28</v>
      </c>
      <c r="K326" t="str">
        <f t="shared" si="79"/>
        <v>21-29</v>
      </c>
      <c r="L326">
        <v>2</v>
      </c>
      <c r="M326" t="s">
        <v>59</v>
      </c>
      <c r="N326" t="s">
        <v>83</v>
      </c>
      <c r="O326">
        <v>1</v>
      </c>
      <c r="P326">
        <v>4</v>
      </c>
      <c r="Q326" t="s">
        <v>65</v>
      </c>
      <c r="R326" t="s">
        <v>62</v>
      </c>
      <c r="S326">
        <v>64</v>
      </c>
      <c r="T326" t="str">
        <f t="shared" si="80"/>
        <v>51-75</v>
      </c>
      <c r="U326">
        <v>3</v>
      </c>
      <c r="V326" t="s">
        <v>63</v>
      </c>
      <c r="W326">
        <v>2</v>
      </c>
      <c r="X326" t="s">
        <v>76</v>
      </c>
      <c r="Y326">
        <v>4</v>
      </c>
      <c r="Z326" t="s">
        <v>65</v>
      </c>
      <c r="AA326" t="s">
        <v>77</v>
      </c>
      <c r="AB326" s="4">
        <v>5775</v>
      </c>
      <c r="AC326" s="4" t="str">
        <f t="shared" si="81"/>
        <v>$5,500-$7,000</v>
      </c>
      <c r="AD326">
        <v>11934</v>
      </c>
      <c r="AE326" t="str">
        <f t="shared" si="82"/>
        <v>$8,001-$16,000</v>
      </c>
      <c r="AF326">
        <v>1</v>
      </c>
      <c r="AG326" t="str">
        <f t="shared" si="83"/>
        <v>0-1</v>
      </c>
      <c r="AH326" t="s">
        <v>67</v>
      </c>
      <c r="AI326" t="s">
        <v>71</v>
      </c>
      <c r="AJ326">
        <v>13</v>
      </c>
      <c r="AK326" t="str">
        <f t="shared" si="84"/>
        <v>13-15%</v>
      </c>
      <c r="AL326">
        <v>3</v>
      </c>
      <c r="AM326" t="s">
        <v>68</v>
      </c>
      <c r="AN326">
        <v>4</v>
      </c>
      <c r="AO326" t="s">
        <v>65</v>
      </c>
      <c r="AP326">
        <v>80</v>
      </c>
      <c r="AQ326">
        <v>2</v>
      </c>
      <c r="AR326">
        <v>11</v>
      </c>
      <c r="AS326" t="str">
        <f t="shared" si="85"/>
        <v>11-20</v>
      </c>
      <c r="AT326">
        <v>2</v>
      </c>
      <c r="AU326" t="str">
        <f t="shared" si="86"/>
        <v>0-2</v>
      </c>
      <c r="AV326">
        <v>3</v>
      </c>
      <c r="AW326" t="s">
        <v>79</v>
      </c>
      <c r="AX326">
        <v>10</v>
      </c>
      <c r="AY326" t="str">
        <f t="shared" si="75"/>
        <v>6-10</v>
      </c>
      <c r="AZ326">
        <v>8</v>
      </c>
      <c r="BA326" t="str">
        <f t="shared" si="87"/>
        <v>6-10</v>
      </c>
      <c r="BB326">
        <v>1</v>
      </c>
      <c r="BC326" t="str">
        <f t="shared" si="88"/>
        <v>0-1</v>
      </c>
      <c r="BD326">
        <v>9</v>
      </c>
      <c r="BE326" t="str">
        <f t="shared" si="89"/>
        <v>6-10</v>
      </c>
    </row>
    <row r="327" spans="1:57" x14ac:dyDescent="0.3">
      <c r="A327">
        <v>442</v>
      </c>
      <c r="B327">
        <v>31</v>
      </c>
      <c r="C327" t="str">
        <f t="shared" si="76"/>
        <v>26-35</v>
      </c>
      <c r="D327" t="s">
        <v>71</v>
      </c>
      <c r="E327">
        <f t="shared" si="77"/>
        <v>0</v>
      </c>
      <c r="F327" t="s">
        <v>72</v>
      </c>
      <c r="G327">
        <v>798</v>
      </c>
      <c r="H327" t="str">
        <f t="shared" si="78"/>
        <v>501-1000</v>
      </c>
      <c r="I327" t="s">
        <v>73</v>
      </c>
      <c r="J327">
        <v>7</v>
      </c>
      <c r="K327" t="str">
        <f t="shared" si="79"/>
        <v>6-10</v>
      </c>
      <c r="L327">
        <v>2</v>
      </c>
      <c r="M327" t="s">
        <v>59</v>
      </c>
      <c r="N327" t="s">
        <v>60</v>
      </c>
      <c r="O327">
        <v>1</v>
      </c>
      <c r="P327">
        <v>3</v>
      </c>
      <c r="Q327" t="s">
        <v>63</v>
      </c>
      <c r="R327" t="s">
        <v>62</v>
      </c>
      <c r="S327">
        <v>48</v>
      </c>
      <c r="T327" t="str">
        <f t="shared" si="80"/>
        <v>30-50</v>
      </c>
      <c r="U327">
        <v>2</v>
      </c>
      <c r="V327" t="s">
        <v>61</v>
      </c>
      <c r="W327">
        <v>3</v>
      </c>
      <c r="X327" t="s">
        <v>87</v>
      </c>
      <c r="Y327">
        <v>3</v>
      </c>
      <c r="Z327" t="s">
        <v>63</v>
      </c>
      <c r="AA327" t="s">
        <v>77</v>
      </c>
      <c r="AB327" s="4">
        <v>8943</v>
      </c>
      <c r="AC327" s="4" t="str">
        <f t="shared" si="81"/>
        <v>$8,500-$10,000</v>
      </c>
      <c r="AD327">
        <v>14034</v>
      </c>
      <c r="AE327" t="str">
        <f t="shared" si="82"/>
        <v>$8,001-$16,000</v>
      </c>
      <c r="AF327">
        <v>1</v>
      </c>
      <c r="AG327" t="str">
        <f t="shared" si="83"/>
        <v>0-1</v>
      </c>
      <c r="AH327" t="s">
        <v>67</v>
      </c>
      <c r="AI327" t="s">
        <v>71</v>
      </c>
      <c r="AJ327">
        <v>24</v>
      </c>
      <c r="AK327" t="str">
        <f t="shared" si="84"/>
        <v>18-19%</v>
      </c>
      <c r="AL327">
        <v>4</v>
      </c>
      <c r="AM327" t="s">
        <v>78</v>
      </c>
      <c r="AN327">
        <v>1</v>
      </c>
      <c r="AO327" t="s">
        <v>69</v>
      </c>
      <c r="AP327">
        <v>80</v>
      </c>
      <c r="AQ327">
        <v>1</v>
      </c>
      <c r="AR327">
        <v>10</v>
      </c>
      <c r="AS327" t="str">
        <f t="shared" si="85"/>
        <v>6-10</v>
      </c>
      <c r="AT327">
        <v>2</v>
      </c>
      <c r="AU327" t="str">
        <f t="shared" si="86"/>
        <v>0-2</v>
      </c>
      <c r="AV327">
        <v>3</v>
      </c>
      <c r="AW327" t="s">
        <v>79</v>
      </c>
      <c r="AX327">
        <v>10</v>
      </c>
      <c r="AY327" t="str">
        <f t="shared" si="75"/>
        <v>6-10</v>
      </c>
      <c r="AZ327">
        <v>9</v>
      </c>
      <c r="BA327" t="str">
        <f t="shared" si="87"/>
        <v>6-10</v>
      </c>
      <c r="BB327">
        <v>8</v>
      </c>
      <c r="BC327" t="str">
        <f t="shared" si="88"/>
        <v>6-10</v>
      </c>
      <c r="BD327">
        <v>9</v>
      </c>
      <c r="BE327" t="str">
        <f t="shared" si="89"/>
        <v>6-10</v>
      </c>
    </row>
    <row r="328" spans="1:57" x14ac:dyDescent="0.3">
      <c r="A328">
        <v>444</v>
      </c>
      <c r="B328">
        <v>39</v>
      </c>
      <c r="C328" t="str">
        <f t="shared" si="76"/>
        <v>36-45</v>
      </c>
      <c r="D328" t="s">
        <v>71</v>
      </c>
      <c r="E328">
        <f t="shared" si="77"/>
        <v>0</v>
      </c>
      <c r="F328" t="s">
        <v>72</v>
      </c>
      <c r="G328">
        <v>672</v>
      </c>
      <c r="H328" t="str">
        <f t="shared" si="78"/>
        <v>501-1000</v>
      </c>
      <c r="I328" t="s">
        <v>73</v>
      </c>
      <c r="J328">
        <v>7</v>
      </c>
      <c r="K328" t="str">
        <f t="shared" si="79"/>
        <v>6-10</v>
      </c>
      <c r="L328">
        <v>2</v>
      </c>
      <c r="M328" t="s">
        <v>59</v>
      </c>
      <c r="N328" t="s">
        <v>83</v>
      </c>
      <c r="O328">
        <v>1</v>
      </c>
      <c r="P328">
        <v>3</v>
      </c>
      <c r="Q328" t="s">
        <v>63</v>
      </c>
      <c r="R328" t="s">
        <v>75</v>
      </c>
      <c r="S328">
        <v>54</v>
      </c>
      <c r="T328" t="str">
        <f t="shared" si="80"/>
        <v>51-75</v>
      </c>
      <c r="U328">
        <v>2</v>
      </c>
      <c r="V328" t="s">
        <v>61</v>
      </c>
      <c r="W328">
        <v>5</v>
      </c>
      <c r="X328" t="s">
        <v>90</v>
      </c>
      <c r="Y328">
        <v>4</v>
      </c>
      <c r="Z328" t="s">
        <v>65</v>
      </c>
      <c r="AA328" t="s">
        <v>77</v>
      </c>
      <c r="AB328" s="4">
        <v>19272</v>
      </c>
      <c r="AC328" s="4" t="str">
        <f t="shared" si="81"/>
        <v>$19,000-$20,500</v>
      </c>
      <c r="AD328">
        <v>21141</v>
      </c>
      <c r="AE328" t="str">
        <f t="shared" si="82"/>
        <v>$16,001-$22,000</v>
      </c>
      <c r="AF328">
        <v>1</v>
      </c>
      <c r="AG328" t="str">
        <f t="shared" si="83"/>
        <v>0-1</v>
      </c>
      <c r="AH328" t="s">
        <v>67</v>
      </c>
      <c r="AI328" t="s">
        <v>71</v>
      </c>
      <c r="AJ328">
        <v>15</v>
      </c>
      <c r="AK328" t="str">
        <f t="shared" si="84"/>
        <v>13-15%</v>
      </c>
      <c r="AL328">
        <v>3</v>
      </c>
      <c r="AM328" t="s">
        <v>68</v>
      </c>
      <c r="AN328">
        <v>1</v>
      </c>
      <c r="AO328" t="s">
        <v>69</v>
      </c>
      <c r="AP328">
        <v>80</v>
      </c>
      <c r="AQ328">
        <v>1</v>
      </c>
      <c r="AR328">
        <v>21</v>
      </c>
      <c r="AS328" t="str">
        <f t="shared" si="85"/>
        <v>21-40</v>
      </c>
      <c r="AT328">
        <v>2</v>
      </c>
      <c r="AU328" t="str">
        <f t="shared" si="86"/>
        <v>0-2</v>
      </c>
      <c r="AV328">
        <v>3</v>
      </c>
      <c r="AW328" t="s">
        <v>79</v>
      </c>
      <c r="AX328">
        <v>21</v>
      </c>
      <c r="AY328" t="str">
        <f t="shared" si="75"/>
        <v>21-40</v>
      </c>
      <c r="AZ328">
        <v>9</v>
      </c>
      <c r="BA328" t="str">
        <f t="shared" si="87"/>
        <v>6-10</v>
      </c>
      <c r="BB328">
        <v>13</v>
      </c>
      <c r="BC328" t="str">
        <f t="shared" si="88"/>
        <v>11-15</v>
      </c>
      <c r="BD328">
        <v>3</v>
      </c>
      <c r="BE328" t="str">
        <f t="shared" si="89"/>
        <v>2-5</v>
      </c>
    </row>
    <row r="329" spans="1:57" x14ac:dyDescent="0.3">
      <c r="A329">
        <v>445</v>
      </c>
      <c r="B329">
        <v>39</v>
      </c>
      <c r="C329" t="str">
        <f t="shared" si="76"/>
        <v>36-45</v>
      </c>
      <c r="D329" t="s">
        <v>56</v>
      </c>
      <c r="E329">
        <f t="shared" si="77"/>
        <v>1</v>
      </c>
      <c r="F329" t="s">
        <v>57</v>
      </c>
      <c r="G329">
        <v>1162</v>
      </c>
      <c r="H329" t="str">
        <f t="shared" si="78"/>
        <v>1001-1499</v>
      </c>
      <c r="I329" t="s">
        <v>58</v>
      </c>
      <c r="J329">
        <v>3</v>
      </c>
      <c r="K329" t="str">
        <f t="shared" si="79"/>
        <v>1-5</v>
      </c>
      <c r="L329">
        <v>2</v>
      </c>
      <c r="M329" t="s">
        <v>59</v>
      </c>
      <c r="N329" t="s">
        <v>83</v>
      </c>
      <c r="O329">
        <v>1</v>
      </c>
      <c r="P329">
        <v>4</v>
      </c>
      <c r="Q329" t="s">
        <v>65</v>
      </c>
      <c r="R329" t="s">
        <v>62</v>
      </c>
      <c r="S329">
        <v>41</v>
      </c>
      <c r="T329" t="str">
        <f t="shared" si="80"/>
        <v>30-50</v>
      </c>
      <c r="U329">
        <v>3</v>
      </c>
      <c r="V329" t="s">
        <v>63</v>
      </c>
      <c r="W329">
        <v>2</v>
      </c>
      <c r="X329" t="s">
        <v>64</v>
      </c>
      <c r="Y329">
        <v>3</v>
      </c>
      <c r="Z329" t="s">
        <v>63</v>
      </c>
      <c r="AA329" t="s">
        <v>77</v>
      </c>
      <c r="AB329" s="4">
        <v>5238</v>
      </c>
      <c r="AC329" s="4" t="str">
        <f t="shared" si="81"/>
        <v>$4,000-$5,500</v>
      </c>
      <c r="AD329">
        <v>17778</v>
      </c>
      <c r="AE329" t="str">
        <f t="shared" si="82"/>
        <v>$16,001-$22,000</v>
      </c>
      <c r="AF329">
        <v>4</v>
      </c>
      <c r="AG329" t="str">
        <f t="shared" si="83"/>
        <v>4-6</v>
      </c>
      <c r="AH329" t="s">
        <v>67</v>
      </c>
      <c r="AI329" t="s">
        <v>56</v>
      </c>
      <c r="AJ329">
        <v>18</v>
      </c>
      <c r="AK329" t="str">
        <f t="shared" si="84"/>
        <v>18-19%</v>
      </c>
      <c r="AL329">
        <v>3</v>
      </c>
      <c r="AM329" t="s">
        <v>68</v>
      </c>
      <c r="AN329">
        <v>1</v>
      </c>
      <c r="AO329" t="s">
        <v>69</v>
      </c>
      <c r="AP329">
        <v>80</v>
      </c>
      <c r="AQ329">
        <v>0</v>
      </c>
      <c r="AR329">
        <v>12</v>
      </c>
      <c r="AS329" t="str">
        <f t="shared" si="85"/>
        <v>11-20</v>
      </c>
      <c r="AT329">
        <v>3</v>
      </c>
      <c r="AU329" t="str">
        <f t="shared" si="86"/>
        <v>3-4</v>
      </c>
      <c r="AV329">
        <v>2</v>
      </c>
      <c r="AW329" t="s">
        <v>84</v>
      </c>
      <c r="AX329">
        <v>1</v>
      </c>
      <c r="AY329" t="str">
        <f t="shared" si="75"/>
        <v>0-1</v>
      </c>
      <c r="AZ329">
        <v>0</v>
      </c>
      <c r="BA329" t="str">
        <f t="shared" si="87"/>
        <v>0-1</v>
      </c>
      <c r="BB329">
        <v>0</v>
      </c>
      <c r="BC329" t="str">
        <f t="shared" si="88"/>
        <v>0-1</v>
      </c>
      <c r="BD329">
        <v>0</v>
      </c>
      <c r="BE329" t="str">
        <f t="shared" si="89"/>
        <v>0-1</v>
      </c>
    </row>
    <row r="330" spans="1:57" x14ac:dyDescent="0.3">
      <c r="A330">
        <v>446</v>
      </c>
      <c r="B330">
        <v>33</v>
      </c>
      <c r="C330" t="str">
        <f t="shared" si="76"/>
        <v>26-35</v>
      </c>
      <c r="D330" t="s">
        <v>71</v>
      </c>
      <c r="E330">
        <f t="shared" si="77"/>
        <v>0</v>
      </c>
      <c r="F330" t="s">
        <v>72</v>
      </c>
      <c r="G330">
        <v>508</v>
      </c>
      <c r="H330" t="str">
        <f t="shared" si="78"/>
        <v>501-1000</v>
      </c>
      <c r="I330" t="s">
        <v>58</v>
      </c>
      <c r="J330">
        <v>10</v>
      </c>
      <c r="K330" t="str">
        <f t="shared" si="79"/>
        <v>6-10</v>
      </c>
      <c r="L330">
        <v>3</v>
      </c>
      <c r="M330" t="s">
        <v>85</v>
      </c>
      <c r="N330" t="s">
        <v>93</v>
      </c>
      <c r="O330">
        <v>1</v>
      </c>
      <c r="P330">
        <v>2</v>
      </c>
      <c r="Q330" t="s">
        <v>61</v>
      </c>
      <c r="R330" t="s">
        <v>75</v>
      </c>
      <c r="S330">
        <v>46</v>
      </c>
      <c r="T330" t="str">
        <f t="shared" si="80"/>
        <v>30-50</v>
      </c>
      <c r="U330">
        <v>2</v>
      </c>
      <c r="V330" t="s">
        <v>61</v>
      </c>
      <c r="W330">
        <v>2</v>
      </c>
      <c r="X330" t="s">
        <v>64</v>
      </c>
      <c r="Y330">
        <v>4</v>
      </c>
      <c r="Z330" t="s">
        <v>65</v>
      </c>
      <c r="AA330" t="s">
        <v>66</v>
      </c>
      <c r="AB330" s="4">
        <v>4682</v>
      </c>
      <c r="AC330" s="4" t="str">
        <f t="shared" si="81"/>
        <v>$4,000-$5,500</v>
      </c>
      <c r="AD330">
        <v>4317</v>
      </c>
      <c r="AE330" t="str">
        <f t="shared" si="82"/>
        <v>$2,094-$8,000</v>
      </c>
      <c r="AF330">
        <v>3</v>
      </c>
      <c r="AG330" t="str">
        <f t="shared" si="83"/>
        <v>2-3</v>
      </c>
      <c r="AH330" t="s">
        <v>67</v>
      </c>
      <c r="AI330" t="s">
        <v>71</v>
      </c>
      <c r="AJ330">
        <v>14</v>
      </c>
      <c r="AK330" t="str">
        <f t="shared" si="84"/>
        <v>13-15%</v>
      </c>
      <c r="AL330">
        <v>3</v>
      </c>
      <c r="AM330" t="s">
        <v>68</v>
      </c>
      <c r="AN330">
        <v>3</v>
      </c>
      <c r="AO330" t="s">
        <v>63</v>
      </c>
      <c r="AP330">
        <v>80</v>
      </c>
      <c r="AQ330">
        <v>0</v>
      </c>
      <c r="AR330">
        <v>9</v>
      </c>
      <c r="AS330" t="str">
        <f t="shared" si="85"/>
        <v>6-10</v>
      </c>
      <c r="AT330">
        <v>6</v>
      </c>
      <c r="AU330" t="str">
        <f t="shared" si="86"/>
        <v>5-6</v>
      </c>
      <c r="AV330">
        <v>2</v>
      </c>
      <c r="AW330" t="s">
        <v>84</v>
      </c>
      <c r="AX330">
        <v>7</v>
      </c>
      <c r="AY330" t="str">
        <f t="shared" si="75"/>
        <v>6-10</v>
      </c>
      <c r="AZ330">
        <v>7</v>
      </c>
      <c r="BA330" t="str">
        <f t="shared" si="87"/>
        <v>6-10</v>
      </c>
      <c r="BB330">
        <v>0</v>
      </c>
      <c r="BC330" t="str">
        <f t="shared" si="88"/>
        <v>0-1</v>
      </c>
      <c r="BD330">
        <v>1</v>
      </c>
      <c r="BE330" t="str">
        <f t="shared" si="89"/>
        <v>0-1</v>
      </c>
    </row>
    <row r="331" spans="1:57" x14ac:dyDescent="0.3">
      <c r="A331">
        <v>447</v>
      </c>
      <c r="B331">
        <v>47</v>
      </c>
      <c r="C331" t="str">
        <f t="shared" si="76"/>
        <v>46-55</v>
      </c>
      <c r="D331" t="s">
        <v>71</v>
      </c>
      <c r="E331">
        <f t="shared" si="77"/>
        <v>0</v>
      </c>
      <c r="F331" t="s">
        <v>57</v>
      </c>
      <c r="G331">
        <v>1482</v>
      </c>
      <c r="H331" t="str">
        <f t="shared" si="78"/>
        <v>1001-1499</v>
      </c>
      <c r="I331" t="s">
        <v>73</v>
      </c>
      <c r="J331">
        <v>5</v>
      </c>
      <c r="K331" t="str">
        <f t="shared" si="79"/>
        <v>1-5</v>
      </c>
      <c r="L331">
        <v>5</v>
      </c>
      <c r="M331" t="s">
        <v>96</v>
      </c>
      <c r="N331" t="s">
        <v>60</v>
      </c>
      <c r="O331">
        <v>1</v>
      </c>
      <c r="P331">
        <v>4</v>
      </c>
      <c r="Q331" t="s">
        <v>65</v>
      </c>
      <c r="R331" t="s">
        <v>75</v>
      </c>
      <c r="S331">
        <v>42</v>
      </c>
      <c r="T331" t="str">
        <f t="shared" si="80"/>
        <v>30-50</v>
      </c>
      <c r="U331">
        <v>3</v>
      </c>
      <c r="V331" t="s">
        <v>63</v>
      </c>
      <c r="W331">
        <v>5</v>
      </c>
      <c r="X331" t="s">
        <v>92</v>
      </c>
      <c r="Y331">
        <v>3</v>
      </c>
      <c r="Z331" t="s">
        <v>63</v>
      </c>
      <c r="AA331" t="s">
        <v>77</v>
      </c>
      <c r="AB331" s="4">
        <v>18300</v>
      </c>
      <c r="AC331" s="4" t="str">
        <f t="shared" si="81"/>
        <v>$17,500-$19,000</v>
      </c>
      <c r="AD331">
        <v>16375</v>
      </c>
      <c r="AE331" t="str">
        <f t="shared" si="82"/>
        <v>$16,001-$22,000</v>
      </c>
      <c r="AF331">
        <v>4</v>
      </c>
      <c r="AG331" t="str">
        <f t="shared" si="83"/>
        <v>4-6</v>
      </c>
      <c r="AH331" t="s">
        <v>67</v>
      </c>
      <c r="AI331" t="s">
        <v>71</v>
      </c>
      <c r="AJ331">
        <v>11</v>
      </c>
      <c r="AK331" t="str">
        <f t="shared" si="84"/>
        <v>11-12%</v>
      </c>
      <c r="AL331">
        <v>3</v>
      </c>
      <c r="AM331" t="s">
        <v>68</v>
      </c>
      <c r="AN331">
        <v>2</v>
      </c>
      <c r="AO331" t="s">
        <v>61</v>
      </c>
      <c r="AP331">
        <v>80</v>
      </c>
      <c r="AQ331">
        <v>1</v>
      </c>
      <c r="AR331">
        <v>21</v>
      </c>
      <c r="AS331" t="str">
        <f t="shared" si="85"/>
        <v>21-40</v>
      </c>
      <c r="AT331">
        <v>2</v>
      </c>
      <c r="AU331" t="str">
        <f t="shared" si="86"/>
        <v>0-2</v>
      </c>
      <c r="AV331">
        <v>3</v>
      </c>
      <c r="AW331" t="s">
        <v>79</v>
      </c>
      <c r="AX331">
        <v>3</v>
      </c>
      <c r="AY331" t="str">
        <f t="shared" si="75"/>
        <v>2-5</v>
      </c>
      <c r="AZ331">
        <v>2</v>
      </c>
      <c r="BA331" t="str">
        <f t="shared" si="87"/>
        <v>2-5</v>
      </c>
      <c r="BB331">
        <v>1</v>
      </c>
      <c r="BC331" t="str">
        <f t="shared" si="88"/>
        <v>0-1</v>
      </c>
      <c r="BD331">
        <v>1</v>
      </c>
      <c r="BE331" t="str">
        <f t="shared" si="89"/>
        <v>0-1</v>
      </c>
    </row>
    <row r="332" spans="1:57" x14ac:dyDescent="0.3">
      <c r="A332">
        <v>448</v>
      </c>
      <c r="B332">
        <v>43</v>
      </c>
      <c r="C332" t="str">
        <f t="shared" si="76"/>
        <v>36-45</v>
      </c>
      <c r="D332" t="s">
        <v>71</v>
      </c>
      <c r="E332">
        <f t="shared" si="77"/>
        <v>0</v>
      </c>
      <c r="F332" t="s">
        <v>72</v>
      </c>
      <c r="G332">
        <v>559</v>
      </c>
      <c r="H332" t="str">
        <f t="shared" si="78"/>
        <v>501-1000</v>
      </c>
      <c r="I332" t="s">
        <v>73</v>
      </c>
      <c r="J332">
        <v>10</v>
      </c>
      <c r="K332" t="str">
        <f t="shared" si="79"/>
        <v>6-10</v>
      </c>
      <c r="L332">
        <v>4</v>
      </c>
      <c r="M332" t="s">
        <v>82</v>
      </c>
      <c r="N332" t="s">
        <v>60</v>
      </c>
      <c r="O332">
        <v>1</v>
      </c>
      <c r="P332">
        <v>3</v>
      </c>
      <c r="Q332" t="s">
        <v>63</v>
      </c>
      <c r="R332" t="s">
        <v>62</v>
      </c>
      <c r="S332">
        <v>82</v>
      </c>
      <c r="T332" t="str">
        <f t="shared" si="80"/>
        <v>76-100</v>
      </c>
      <c r="U332">
        <v>2</v>
      </c>
      <c r="V332" t="s">
        <v>61</v>
      </c>
      <c r="W332">
        <v>2</v>
      </c>
      <c r="X332" t="s">
        <v>81</v>
      </c>
      <c r="Y332">
        <v>3</v>
      </c>
      <c r="Z332" t="s">
        <v>63</v>
      </c>
      <c r="AA332" t="s">
        <v>86</v>
      </c>
      <c r="AB332" s="4">
        <v>5257</v>
      </c>
      <c r="AC332" s="4" t="str">
        <f t="shared" si="81"/>
        <v>$4,000-$5,500</v>
      </c>
      <c r="AD332">
        <v>6227</v>
      </c>
      <c r="AE332" t="str">
        <f t="shared" si="82"/>
        <v>$2,094-$8,000</v>
      </c>
      <c r="AF332">
        <v>1</v>
      </c>
      <c r="AG332" t="str">
        <f t="shared" si="83"/>
        <v>0-1</v>
      </c>
      <c r="AH332" t="s">
        <v>67</v>
      </c>
      <c r="AI332" t="s">
        <v>71</v>
      </c>
      <c r="AJ332">
        <v>11</v>
      </c>
      <c r="AK332" t="str">
        <f t="shared" si="84"/>
        <v>11-12%</v>
      </c>
      <c r="AL332">
        <v>3</v>
      </c>
      <c r="AM332" t="s">
        <v>68</v>
      </c>
      <c r="AN332">
        <v>2</v>
      </c>
      <c r="AO332" t="s">
        <v>61</v>
      </c>
      <c r="AP332">
        <v>80</v>
      </c>
      <c r="AQ332">
        <v>1</v>
      </c>
      <c r="AR332">
        <v>9</v>
      </c>
      <c r="AS332" t="str">
        <f t="shared" si="85"/>
        <v>6-10</v>
      </c>
      <c r="AT332">
        <v>3</v>
      </c>
      <c r="AU332" t="str">
        <f t="shared" si="86"/>
        <v>3-4</v>
      </c>
      <c r="AV332">
        <v>4</v>
      </c>
      <c r="AW332" t="s">
        <v>94</v>
      </c>
      <c r="AX332">
        <v>9</v>
      </c>
      <c r="AY332" t="str">
        <f t="shared" si="75"/>
        <v>6-10</v>
      </c>
      <c r="AZ332">
        <v>7</v>
      </c>
      <c r="BA332" t="str">
        <f t="shared" si="87"/>
        <v>6-10</v>
      </c>
      <c r="BB332">
        <v>0</v>
      </c>
      <c r="BC332" t="str">
        <f t="shared" si="88"/>
        <v>0-1</v>
      </c>
      <c r="BD332">
        <v>0</v>
      </c>
      <c r="BE332" t="str">
        <f t="shared" si="89"/>
        <v>0-1</v>
      </c>
    </row>
    <row r="333" spans="1:57" x14ac:dyDescent="0.3">
      <c r="A333">
        <v>449</v>
      </c>
      <c r="B333">
        <v>27</v>
      </c>
      <c r="C333" t="str">
        <f t="shared" si="76"/>
        <v>26-35</v>
      </c>
      <c r="D333" t="s">
        <v>71</v>
      </c>
      <c r="E333">
        <f t="shared" si="77"/>
        <v>0</v>
      </c>
      <c r="F333" t="s">
        <v>89</v>
      </c>
      <c r="G333">
        <v>210</v>
      </c>
      <c r="H333" t="str">
        <f t="shared" si="78"/>
        <v>102-500</v>
      </c>
      <c r="I333" t="s">
        <v>58</v>
      </c>
      <c r="J333">
        <v>1</v>
      </c>
      <c r="K333" t="str">
        <f t="shared" si="79"/>
        <v>1-5</v>
      </c>
      <c r="L333">
        <v>1</v>
      </c>
      <c r="M333" t="s">
        <v>74</v>
      </c>
      <c r="N333" t="s">
        <v>93</v>
      </c>
      <c r="O333">
        <v>1</v>
      </c>
      <c r="P333">
        <v>3</v>
      </c>
      <c r="Q333" t="s">
        <v>63</v>
      </c>
      <c r="R333" t="s">
        <v>75</v>
      </c>
      <c r="S333">
        <v>73</v>
      </c>
      <c r="T333" t="str">
        <f t="shared" si="80"/>
        <v>51-75</v>
      </c>
      <c r="U333">
        <v>3</v>
      </c>
      <c r="V333" t="s">
        <v>63</v>
      </c>
      <c r="W333">
        <v>2</v>
      </c>
      <c r="X333" t="s">
        <v>64</v>
      </c>
      <c r="Y333">
        <v>2</v>
      </c>
      <c r="Z333" t="s">
        <v>61</v>
      </c>
      <c r="AA333" t="s">
        <v>77</v>
      </c>
      <c r="AB333" s="4">
        <v>6349</v>
      </c>
      <c r="AC333" s="4" t="str">
        <f t="shared" si="81"/>
        <v>$5,500-$7,000</v>
      </c>
      <c r="AD333">
        <v>22107</v>
      </c>
      <c r="AE333" t="str">
        <f t="shared" si="82"/>
        <v>$22,001-$26,999</v>
      </c>
      <c r="AF333">
        <v>0</v>
      </c>
      <c r="AG333" t="str">
        <f t="shared" si="83"/>
        <v>0-1</v>
      </c>
      <c r="AH333" t="s">
        <v>67</v>
      </c>
      <c r="AI333" t="s">
        <v>56</v>
      </c>
      <c r="AJ333">
        <v>13</v>
      </c>
      <c r="AK333" t="str">
        <f t="shared" si="84"/>
        <v>13-15%</v>
      </c>
      <c r="AL333">
        <v>3</v>
      </c>
      <c r="AM333" t="s">
        <v>68</v>
      </c>
      <c r="AN333">
        <v>4</v>
      </c>
      <c r="AO333" t="s">
        <v>65</v>
      </c>
      <c r="AP333">
        <v>80</v>
      </c>
      <c r="AQ333">
        <v>1</v>
      </c>
      <c r="AR333">
        <v>6</v>
      </c>
      <c r="AS333" t="str">
        <f t="shared" si="85"/>
        <v>6-10</v>
      </c>
      <c r="AT333">
        <v>0</v>
      </c>
      <c r="AU333" t="str">
        <f t="shared" si="86"/>
        <v>0-2</v>
      </c>
      <c r="AV333">
        <v>3</v>
      </c>
      <c r="AW333" t="s">
        <v>79</v>
      </c>
      <c r="AX333">
        <v>5</v>
      </c>
      <c r="AY333" t="str">
        <f t="shared" si="75"/>
        <v>2-5</v>
      </c>
      <c r="AZ333">
        <v>4</v>
      </c>
      <c r="BA333" t="str">
        <f t="shared" si="87"/>
        <v>2-5</v>
      </c>
      <c r="BB333">
        <v>1</v>
      </c>
      <c r="BC333" t="str">
        <f t="shared" si="88"/>
        <v>0-1</v>
      </c>
      <c r="BD333">
        <v>4</v>
      </c>
      <c r="BE333" t="str">
        <f t="shared" si="89"/>
        <v>2-5</v>
      </c>
    </row>
    <row r="334" spans="1:57" x14ac:dyDescent="0.3">
      <c r="A334">
        <v>450</v>
      </c>
      <c r="B334">
        <v>54</v>
      </c>
      <c r="C334" t="str">
        <f t="shared" si="76"/>
        <v>46-55</v>
      </c>
      <c r="D334" t="s">
        <v>71</v>
      </c>
      <c r="E334">
        <f t="shared" si="77"/>
        <v>0</v>
      </c>
      <c r="F334" t="s">
        <v>72</v>
      </c>
      <c r="G334">
        <v>928</v>
      </c>
      <c r="H334" t="str">
        <f t="shared" si="78"/>
        <v>501-1000</v>
      </c>
      <c r="I334" t="s">
        <v>73</v>
      </c>
      <c r="J334">
        <v>20</v>
      </c>
      <c r="K334" t="str">
        <f t="shared" si="79"/>
        <v>11-20</v>
      </c>
      <c r="L334">
        <v>4</v>
      </c>
      <c r="M334" t="s">
        <v>82</v>
      </c>
      <c r="N334" t="s">
        <v>60</v>
      </c>
      <c r="O334">
        <v>1</v>
      </c>
      <c r="P334">
        <v>4</v>
      </c>
      <c r="Q334" t="s">
        <v>65</v>
      </c>
      <c r="R334" t="s">
        <v>62</v>
      </c>
      <c r="S334">
        <v>31</v>
      </c>
      <c r="T334" t="str">
        <f t="shared" si="80"/>
        <v>30-50</v>
      </c>
      <c r="U334">
        <v>3</v>
      </c>
      <c r="V334" t="s">
        <v>63</v>
      </c>
      <c r="W334">
        <v>2</v>
      </c>
      <c r="X334" t="s">
        <v>76</v>
      </c>
      <c r="Y334">
        <v>3</v>
      </c>
      <c r="Z334" t="s">
        <v>63</v>
      </c>
      <c r="AA334" t="s">
        <v>66</v>
      </c>
      <c r="AB334" s="4">
        <v>4869</v>
      </c>
      <c r="AC334" s="4" t="str">
        <f t="shared" si="81"/>
        <v>$4,000-$5,500</v>
      </c>
      <c r="AD334">
        <v>16885</v>
      </c>
      <c r="AE334" t="str">
        <f t="shared" si="82"/>
        <v>$16,001-$22,000</v>
      </c>
      <c r="AF334">
        <v>3</v>
      </c>
      <c r="AG334" t="str">
        <f t="shared" si="83"/>
        <v>2-3</v>
      </c>
      <c r="AH334" t="s">
        <v>67</v>
      </c>
      <c r="AI334" t="s">
        <v>71</v>
      </c>
      <c r="AJ334">
        <v>12</v>
      </c>
      <c r="AK334" t="str">
        <f t="shared" si="84"/>
        <v>11-12%</v>
      </c>
      <c r="AL334">
        <v>3</v>
      </c>
      <c r="AM334" t="s">
        <v>68</v>
      </c>
      <c r="AN334">
        <v>4</v>
      </c>
      <c r="AO334" t="s">
        <v>65</v>
      </c>
      <c r="AP334">
        <v>80</v>
      </c>
      <c r="AQ334">
        <v>0</v>
      </c>
      <c r="AR334">
        <v>20</v>
      </c>
      <c r="AS334" t="str">
        <f t="shared" si="85"/>
        <v>11-20</v>
      </c>
      <c r="AT334">
        <v>4</v>
      </c>
      <c r="AU334" t="str">
        <f t="shared" si="86"/>
        <v>3-4</v>
      </c>
      <c r="AV334">
        <v>2</v>
      </c>
      <c r="AW334" t="s">
        <v>84</v>
      </c>
      <c r="AX334">
        <v>4</v>
      </c>
      <c r="AY334" t="str">
        <f t="shared" si="75"/>
        <v>2-5</v>
      </c>
      <c r="AZ334">
        <v>3</v>
      </c>
      <c r="BA334" t="str">
        <f t="shared" si="87"/>
        <v>2-5</v>
      </c>
      <c r="BB334">
        <v>0</v>
      </c>
      <c r="BC334" t="str">
        <f t="shared" si="88"/>
        <v>0-1</v>
      </c>
      <c r="BD334">
        <v>3</v>
      </c>
      <c r="BE334" t="str">
        <f t="shared" si="89"/>
        <v>2-5</v>
      </c>
    </row>
    <row r="335" spans="1:57" x14ac:dyDescent="0.3">
      <c r="A335">
        <v>451</v>
      </c>
      <c r="B335">
        <v>43</v>
      </c>
      <c r="C335" t="str">
        <f t="shared" si="76"/>
        <v>36-45</v>
      </c>
      <c r="D335" t="s">
        <v>71</v>
      </c>
      <c r="E335">
        <f t="shared" si="77"/>
        <v>0</v>
      </c>
      <c r="F335" t="s">
        <v>57</v>
      </c>
      <c r="G335">
        <v>1001</v>
      </c>
      <c r="H335" t="str">
        <f t="shared" si="78"/>
        <v>1001-1499</v>
      </c>
      <c r="I335" t="s">
        <v>73</v>
      </c>
      <c r="J335">
        <v>7</v>
      </c>
      <c r="K335" t="str">
        <f t="shared" si="79"/>
        <v>6-10</v>
      </c>
      <c r="L335">
        <v>3</v>
      </c>
      <c r="M335" t="s">
        <v>85</v>
      </c>
      <c r="N335" t="s">
        <v>60</v>
      </c>
      <c r="O335">
        <v>1</v>
      </c>
      <c r="P335">
        <v>3</v>
      </c>
      <c r="Q335" t="s">
        <v>63</v>
      </c>
      <c r="R335" t="s">
        <v>62</v>
      </c>
      <c r="S335">
        <v>43</v>
      </c>
      <c r="T335" t="str">
        <f t="shared" si="80"/>
        <v>30-50</v>
      </c>
      <c r="U335">
        <v>3</v>
      </c>
      <c r="V335" t="s">
        <v>63</v>
      </c>
      <c r="W335">
        <v>3</v>
      </c>
      <c r="X335" t="s">
        <v>88</v>
      </c>
      <c r="Y335">
        <v>1</v>
      </c>
      <c r="Z335" t="s">
        <v>69</v>
      </c>
      <c r="AA335" t="s">
        <v>77</v>
      </c>
      <c r="AB335" s="4">
        <v>9985</v>
      </c>
      <c r="AC335" s="4" t="str">
        <f t="shared" si="81"/>
        <v>$8,500-$10,000</v>
      </c>
      <c r="AD335">
        <v>9262</v>
      </c>
      <c r="AE335" t="str">
        <f t="shared" si="82"/>
        <v>$8,001-$16,000</v>
      </c>
      <c r="AF335">
        <v>8</v>
      </c>
      <c r="AG335" t="str">
        <f t="shared" si="83"/>
        <v>7-9</v>
      </c>
      <c r="AH335" t="s">
        <v>67</v>
      </c>
      <c r="AI335" t="s">
        <v>71</v>
      </c>
      <c r="AJ335">
        <v>16</v>
      </c>
      <c r="AK335" t="str">
        <f t="shared" si="84"/>
        <v>16-17%</v>
      </c>
      <c r="AL335">
        <v>3</v>
      </c>
      <c r="AM335" t="s">
        <v>68</v>
      </c>
      <c r="AN335">
        <v>1</v>
      </c>
      <c r="AO335" t="s">
        <v>69</v>
      </c>
      <c r="AP335">
        <v>80</v>
      </c>
      <c r="AQ335">
        <v>1</v>
      </c>
      <c r="AR335">
        <v>10</v>
      </c>
      <c r="AS335" t="str">
        <f t="shared" si="85"/>
        <v>6-10</v>
      </c>
      <c r="AT335">
        <v>1</v>
      </c>
      <c r="AU335" t="str">
        <f t="shared" si="86"/>
        <v>0-2</v>
      </c>
      <c r="AV335">
        <v>2</v>
      </c>
      <c r="AW335" t="s">
        <v>84</v>
      </c>
      <c r="AX335">
        <v>1</v>
      </c>
      <c r="AY335" t="str">
        <f t="shared" si="75"/>
        <v>0-1</v>
      </c>
      <c r="AZ335">
        <v>0</v>
      </c>
      <c r="BA335" t="str">
        <f t="shared" si="87"/>
        <v>0-1</v>
      </c>
      <c r="BB335">
        <v>0</v>
      </c>
      <c r="BC335" t="str">
        <f t="shared" si="88"/>
        <v>0-1</v>
      </c>
      <c r="BD335">
        <v>0</v>
      </c>
      <c r="BE335" t="str">
        <f t="shared" si="89"/>
        <v>0-1</v>
      </c>
    </row>
    <row r="336" spans="1:57" x14ac:dyDescent="0.3">
      <c r="A336">
        <v>452</v>
      </c>
      <c r="B336">
        <v>45</v>
      </c>
      <c r="C336" t="str">
        <f t="shared" si="76"/>
        <v>36-45</v>
      </c>
      <c r="D336" t="s">
        <v>71</v>
      </c>
      <c r="E336">
        <f t="shared" si="77"/>
        <v>0</v>
      </c>
      <c r="F336" t="s">
        <v>57</v>
      </c>
      <c r="G336">
        <v>549</v>
      </c>
      <c r="H336" t="str">
        <f t="shared" si="78"/>
        <v>501-1000</v>
      </c>
      <c r="I336" t="s">
        <v>73</v>
      </c>
      <c r="J336">
        <v>8</v>
      </c>
      <c r="K336" t="str">
        <f t="shared" si="79"/>
        <v>6-10</v>
      </c>
      <c r="L336">
        <v>4</v>
      </c>
      <c r="M336" t="s">
        <v>82</v>
      </c>
      <c r="N336" t="s">
        <v>80</v>
      </c>
      <c r="O336">
        <v>1</v>
      </c>
      <c r="P336">
        <v>4</v>
      </c>
      <c r="Q336" t="s">
        <v>65</v>
      </c>
      <c r="R336" t="s">
        <v>75</v>
      </c>
      <c r="S336">
        <v>75</v>
      </c>
      <c r="T336" t="str">
        <f t="shared" si="80"/>
        <v>51-75</v>
      </c>
      <c r="U336">
        <v>3</v>
      </c>
      <c r="V336" t="s">
        <v>63</v>
      </c>
      <c r="W336">
        <v>2</v>
      </c>
      <c r="X336" t="s">
        <v>76</v>
      </c>
      <c r="Y336">
        <v>4</v>
      </c>
      <c r="Z336" t="s">
        <v>65</v>
      </c>
      <c r="AA336" t="s">
        <v>77</v>
      </c>
      <c r="AB336" s="4">
        <v>3697</v>
      </c>
      <c r="AC336" s="4" t="str">
        <f t="shared" si="81"/>
        <v>$2,500-$4,000</v>
      </c>
      <c r="AD336">
        <v>9278</v>
      </c>
      <c r="AE336" t="str">
        <f t="shared" si="82"/>
        <v>$8,001-$16,000</v>
      </c>
      <c r="AF336">
        <v>9</v>
      </c>
      <c r="AG336" t="str">
        <f t="shared" si="83"/>
        <v>7-9</v>
      </c>
      <c r="AH336" t="s">
        <v>67</v>
      </c>
      <c r="AI336" t="s">
        <v>71</v>
      </c>
      <c r="AJ336">
        <v>14</v>
      </c>
      <c r="AK336" t="str">
        <f t="shared" si="84"/>
        <v>13-15%</v>
      </c>
      <c r="AL336">
        <v>3</v>
      </c>
      <c r="AM336" t="s">
        <v>68</v>
      </c>
      <c r="AN336">
        <v>1</v>
      </c>
      <c r="AO336" t="s">
        <v>69</v>
      </c>
      <c r="AP336">
        <v>80</v>
      </c>
      <c r="AQ336">
        <v>2</v>
      </c>
      <c r="AR336">
        <v>12</v>
      </c>
      <c r="AS336" t="str">
        <f t="shared" si="85"/>
        <v>11-20</v>
      </c>
      <c r="AT336">
        <v>3</v>
      </c>
      <c r="AU336" t="str">
        <f t="shared" si="86"/>
        <v>3-4</v>
      </c>
      <c r="AV336">
        <v>3</v>
      </c>
      <c r="AW336" t="s">
        <v>79</v>
      </c>
      <c r="AX336">
        <v>10</v>
      </c>
      <c r="AY336" t="str">
        <f t="shared" si="75"/>
        <v>6-10</v>
      </c>
      <c r="AZ336">
        <v>9</v>
      </c>
      <c r="BA336" t="str">
        <f t="shared" si="87"/>
        <v>6-10</v>
      </c>
      <c r="BB336">
        <v>9</v>
      </c>
      <c r="BC336" t="str">
        <f t="shared" si="88"/>
        <v>6-10</v>
      </c>
      <c r="BD336">
        <v>8</v>
      </c>
      <c r="BE336" t="str">
        <f t="shared" si="89"/>
        <v>6-10</v>
      </c>
    </row>
    <row r="337" spans="1:57" x14ac:dyDescent="0.3">
      <c r="A337">
        <v>453</v>
      </c>
      <c r="B337">
        <v>40</v>
      </c>
      <c r="C337" t="str">
        <f t="shared" si="76"/>
        <v>36-45</v>
      </c>
      <c r="D337" t="s">
        <v>71</v>
      </c>
      <c r="E337">
        <f t="shared" si="77"/>
        <v>0</v>
      </c>
      <c r="F337" t="s">
        <v>57</v>
      </c>
      <c r="G337">
        <v>1124</v>
      </c>
      <c r="H337" t="str">
        <f t="shared" si="78"/>
        <v>1001-1499</v>
      </c>
      <c r="I337" t="s">
        <v>58</v>
      </c>
      <c r="J337">
        <v>1</v>
      </c>
      <c r="K337" t="str">
        <f t="shared" si="79"/>
        <v>1-5</v>
      </c>
      <c r="L337">
        <v>2</v>
      </c>
      <c r="M337" t="s">
        <v>59</v>
      </c>
      <c r="N337" t="s">
        <v>83</v>
      </c>
      <c r="O337">
        <v>1</v>
      </c>
      <c r="P337">
        <v>2</v>
      </c>
      <c r="Q337" t="s">
        <v>61</v>
      </c>
      <c r="R337" t="s">
        <v>75</v>
      </c>
      <c r="S337">
        <v>57</v>
      </c>
      <c r="T337" t="str">
        <f t="shared" si="80"/>
        <v>51-75</v>
      </c>
      <c r="U337">
        <v>1</v>
      </c>
      <c r="V337" t="s">
        <v>69</v>
      </c>
      <c r="W337">
        <v>2</v>
      </c>
      <c r="X337" t="s">
        <v>64</v>
      </c>
      <c r="Y337">
        <v>4</v>
      </c>
      <c r="Z337" t="s">
        <v>65</v>
      </c>
      <c r="AA337" t="s">
        <v>77</v>
      </c>
      <c r="AB337" s="4">
        <v>7457</v>
      </c>
      <c r="AC337" s="4" t="str">
        <f t="shared" si="81"/>
        <v>$7,000-$8,500</v>
      </c>
      <c r="AD337">
        <v>13273</v>
      </c>
      <c r="AE337" t="str">
        <f t="shared" si="82"/>
        <v>$8,001-$16,000</v>
      </c>
      <c r="AF337">
        <v>2</v>
      </c>
      <c r="AG337" t="str">
        <f t="shared" si="83"/>
        <v>2-3</v>
      </c>
      <c r="AH337" t="s">
        <v>67</v>
      </c>
      <c r="AI337" t="s">
        <v>56</v>
      </c>
      <c r="AJ337">
        <v>22</v>
      </c>
      <c r="AK337" t="str">
        <f t="shared" si="84"/>
        <v>18-19%</v>
      </c>
      <c r="AL337">
        <v>4</v>
      </c>
      <c r="AM337" t="s">
        <v>78</v>
      </c>
      <c r="AN337">
        <v>3</v>
      </c>
      <c r="AO337" t="s">
        <v>63</v>
      </c>
      <c r="AP337">
        <v>80</v>
      </c>
      <c r="AQ337">
        <v>3</v>
      </c>
      <c r="AR337">
        <v>6</v>
      </c>
      <c r="AS337" t="str">
        <f t="shared" si="85"/>
        <v>6-10</v>
      </c>
      <c r="AT337">
        <v>2</v>
      </c>
      <c r="AU337" t="str">
        <f t="shared" si="86"/>
        <v>0-2</v>
      </c>
      <c r="AV337">
        <v>2</v>
      </c>
      <c r="AW337" t="s">
        <v>84</v>
      </c>
      <c r="AX337">
        <v>4</v>
      </c>
      <c r="AY337" t="str">
        <f t="shared" si="75"/>
        <v>2-5</v>
      </c>
      <c r="AZ337">
        <v>3</v>
      </c>
      <c r="BA337" t="str">
        <f t="shared" si="87"/>
        <v>2-5</v>
      </c>
      <c r="BB337">
        <v>0</v>
      </c>
      <c r="BC337" t="str">
        <f t="shared" si="88"/>
        <v>0-1</v>
      </c>
      <c r="BD337">
        <v>2</v>
      </c>
      <c r="BE337" t="str">
        <f t="shared" si="89"/>
        <v>2-5</v>
      </c>
    </row>
    <row r="338" spans="1:57" x14ac:dyDescent="0.3">
      <c r="A338">
        <v>454</v>
      </c>
      <c r="B338">
        <v>29</v>
      </c>
      <c r="C338" t="str">
        <f t="shared" si="76"/>
        <v>26-35</v>
      </c>
      <c r="D338" t="s">
        <v>56</v>
      </c>
      <c r="E338">
        <f t="shared" si="77"/>
        <v>1</v>
      </c>
      <c r="F338" t="s">
        <v>57</v>
      </c>
      <c r="G338">
        <v>318</v>
      </c>
      <c r="H338" t="str">
        <f t="shared" si="78"/>
        <v>102-500</v>
      </c>
      <c r="I338" t="s">
        <v>73</v>
      </c>
      <c r="J338">
        <v>8</v>
      </c>
      <c r="K338" t="str">
        <f t="shared" si="79"/>
        <v>6-10</v>
      </c>
      <c r="L338">
        <v>4</v>
      </c>
      <c r="M338" t="s">
        <v>82</v>
      </c>
      <c r="N338" t="s">
        <v>80</v>
      </c>
      <c r="O338">
        <v>1</v>
      </c>
      <c r="P338">
        <v>2</v>
      </c>
      <c r="Q338" t="s">
        <v>61</v>
      </c>
      <c r="R338" t="s">
        <v>75</v>
      </c>
      <c r="S338">
        <v>77</v>
      </c>
      <c r="T338" t="str">
        <f t="shared" si="80"/>
        <v>76-100</v>
      </c>
      <c r="U338">
        <v>1</v>
      </c>
      <c r="V338" t="s">
        <v>69</v>
      </c>
      <c r="W338">
        <v>1</v>
      </c>
      <c r="X338" t="s">
        <v>81</v>
      </c>
      <c r="Y338">
        <v>1</v>
      </c>
      <c r="Z338" t="s">
        <v>69</v>
      </c>
      <c r="AA338" t="s">
        <v>77</v>
      </c>
      <c r="AB338" s="4">
        <v>2119</v>
      </c>
      <c r="AC338" s="4" t="str">
        <f t="shared" si="81"/>
        <v>$1,000-$2,500</v>
      </c>
      <c r="AD338">
        <v>4759</v>
      </c>
      <c r="AE338" t="str">
        <f t="shared" si="82"/>
        <v>$2,094-$8,000</v>
      </c>
      <c r="AF338">
        <v>1</v>
      </c>
      <c r="AG338" t="str">
        <f t="shared" si="83"/>
        <v>0-1</v>
      </c>
      <c r="AH338" t="s">
        <v>67</v>
      </c>
      <c r="AI338" t="s">
        <v>56</v>
      </c>
      <c r="AJ338">
        <v>11</v>
      </c>
      <c r="AK338" t="str">
        <f t="shared" si="84"/>
        <v>11-12%</v>
      </c>
      <c r="AL338">
        <v>3</v>
      </c>
      <c r="AM338" t="s">
        <v>68</v>
      </c>
      <c r="AN338">
        <v>4</v>
      </c>
      <c r="AO338" t="s">
        <v>65</v>
      </c>
      <c r="AP338">
        <v>80</v>
      </c>
      <c r="AQ338">
        <v>0</v>
      </c>
      <c r="AR338">
        <v>7</v>
      </c>
      <c r="AS338" t="str">
        <f t="shared" si="85"/>
        <v>6-10</v>
      </c>
      <c r="AT338">
        <v>4</v>
      </c>
      <c r="AU338" t="str">
        <f t="shared" si="86"/>
        <v>3-4</v>
      </c>
      <c r="AV338">
        <v>2</v>
      </c>
      <c r="AW338" t="s">
        <v>84</v>
      </c>
      <c r="AX338">
        <v>7</v>
      </c>
      <c r="AY338" t="str">
        <f t="shared" si="75"/>
        <v>6-10</v>
      </c>
      <c r="AZ338">
        <v>7</v>
      </c>
      <c r="BA338" t="str">
        <f t="shared" si="87"/>
        <v>6-10</v>
      </c>
      <c r="BB338">
        <v>0</v>
      </c>
      <c r="BC338" t="str">
        <f t="shared" si="88"/>
        <v>0-1</v>
      </c>
      <c r="BD338">
        <v>7</v>
      </c>
      <c r="BE338" t="str">
        <f t="shared" si="89"/>
        <v>6-10</v>
      </c>
    </row>
    <row r="339" spans="1:57" x14ac:dyDescent="0.3">
      <c r="A339">
        <v>455</v>
      </c>
      <c r="B339">
        <v>29</v>
      </c>
      <c r="C339" t="str">
        <f t="shared" si="76"/>
        <v>26-35</v>
      </c>
      <c r="D339" t="s">
        <v>71</v>
      </c>
      <c r="E339">
        <f t="shared" si="77"/>
        <v>0</v>
      </c>
      <c r="F339" t="s">
        <v>57</v>
      </c>
      <c r="G339">
        <v>738</v>
      </c>
      <c r="H339" t="str">
        <f t="shared" si="78"/>
        <v>501-1000</v>
      </c>
      <c r="I339" t="s">
        <v>73</v>
      </c>
      <c r="J339">
        <v>9</v>
      </c>
      <c r="K339" t="str">
        <f t="shared" si="79"/>
        <v>6-10</v>
      </c>
      <c r="L339">
        <v>5</v>
      </c>
      <c r="M339" t="s">
        <v>96</v>
      </c>
      <c r="N339" t="s">
        <v>80</v>
      </c>
      <c r="O339">
        <v>1</v>
      </c>
      <c r="P339">
        <v>2</v>
      </c>
      <c r="Q339" t="s">
        <v>61</v>
      </c>
      <c r="R339" t="s">
        <v>75</v>
      </c>
      <c r="S339">
        <v>30</v>
      </c>
      <c r="T339" t="str">
        <f t="shared" si="80"/>
        <v>30-50</v>
      </c>
      <c r="U339">
        <v>2</v>
      </c>
      <c r="V339" t="s">
        <v>61</v>
      </c>
      <c r="W339">
        <v>1</v>
      </c>
      <c r="X339" t="s">
        <v>81</v>
      </c>
      <c r="Y339">
        <v>4</v>
      </c>
      <c r="Z339" t="s">
        <v>65</v>
      </c>
      <c r="AA339" t="s">
        <v>66</v>
      </c>
      <c r="AB339" s="4">
        <v>3983</v>
      </c>
      <c r="AC339" s="4" t="str">
        <f t="shared" si="81"/>
        <v>$2,500-$4,000</v>
      </c>
      <c r="AD339">
        <v>7621</v>
      </c>
      <c r="AE339" t="str">
        <f t="shared" si="82"/>
        <v>$2,094-$8,000</v>
      </c>
      <c r="AF339">
        <v>0</v>
      </c>
      <c r="AG339" t="str">
        <f t="shared" si="83"/>
        <v>0-1</v>
      </c>
      <c r="AH339" t="s">
        <v>67</v>
      </c>
      <c r="AI339" t="s">
        <v>71</v>
      </c>
      <c r="AJ339">
        <v>17</v>
      </c>
      <c r="AK339" t="str">
        <f t="shared" si="84"/>
        <v>16-17%</v>
      </c>
      <c r="AL339">
        <v>3</v>
      </c>
      <c r="AM339" t="s">
        <v>68</v>
      </c>
      <c r="AN339">
        <v>3</v>
      </c>
      <c r="AO339" t="s">
        <v>63</v>
      </c>
      <c r="AP339">
        <v>80</v>
      </c>
      <c r="AQ339">
        <v>0</v>
      </c>
      <c r="AR339">
        <v>4</v>
      </c>
      <c r="AS339" t="str">
        <f t="shared" si="85"/>
        <v>3-5</v>
      </c>
      <c r="AT339">
        <v>2</v>
      </c>
      <c r="AU339" t="str">
        <f t="shared" si="86"/>
        <v>0-2</v>
      </c>
      <c r="AV339">
        <v>3</v>
      </c>
      <c r="AW339" t="s">
        <v>79</v>
      </c>
      <c r="AX339">
        <v>3</v>
      </c>
      <c r="AY339" t="str">
        <f t="shared" si="75"/>
        <v>2-5</v>
      </c>
      <c r="AZ339">
        <v>2</v>
      </c>
      <c r="BA339" t="str">
        <f t="shared" si="87"/>
        <v>2-5</v>
      </c>
      <c r="BB339">
        <v>2</v>
      </c>
      <c r="BC339" t="str">
        <f t="shared" si="88"/>
        <v>2-5</v>
      </c>
      <c r="BD339">
        <v>2</v>
      </c>
      <c r="BE339" t="str">
        <f t="shared" si="89"/>
        <v>2-5</v>
      </c>
    </row>
    <row r="340" spans="1:57" x14ac:dyDescent="0.3">
      <c r="A340">
        <v>456</v>
      </c>
      <c r="B340">
        <v>30</v>
      </c>
      <c r="C340" t="str">
        <f t="shared" si="76"/>
        <v>26-35</v>
      </c>
      <c r="D340" t="s">
        <v>71</v>
      </c>
      <c r="E340">
        <f t="shared" si="77"/>
        <v>0</v>
      </c>
      <c r="F340" t="s">
        <v>57</v>
      </c>
      <c r="G340">
        <v>570</v>
      </c>
      <c r="H340" t="str">
        <f t="shared" si="78"/>
        <v>501-1000</v>
      </c>
      <c r="I340" t="s">
        <v>58</v>
      </c>
      <c r="J340">
        <v>5</v>
      </c>
      <c r="K340" t="str">
        <f t="shared" si="79"/>
        <v>1-5</v>
      </c>
      <c r="L340">
        <v>3</v>
      </c>
      <c r="M340" t="s">
        <v>85</v>
      </c>
      <c r="N340" t="s">
        <v>93</v>
      </c>
      <c r="O340">
        <v>1</v>
      </c>
      <c r="P340">
        <v>4</v>
      </c>
      <c r="Q340" t="s">
        <v>65</v>
      </c>
      <c r="R340" t="s">
        <v>62</v>
      </c>
      <c r="S340">
        <v>30</v>
      </c>
      <c r="T340" t="str">
        <f t="shared" si="80"/>
        <v>30-50</v>
      </c>
      <c r="U340">
        <v>2</v>
      </c>
      <c r="V340" t="s">
        <v>61</v>
      </c>
      <c r="W340">
        <v>2</v>
      </c>
      <c r="X340" t="s">
        <v>64</v>
      </c>
      <c r="Y340">
        <v>3</v>
      </c>
      <c r="Z340" t="s">
        <v>63</v>
      </c>
      <c r="AA340" t="s">
        <v>86</v>
      </c>
      <c r="AB340" s="4">
        <v>6118</v>
      </c>
      <c r="AC340" s="4" t="str">
        <f t="shared" si="81"/>
        <v>$5,500-$7,000</v>
      </c>
      <c r="AD340">
        <v>5431</v>
      </c>
      <c r="AE340" t="str">
        <f t="shared" si="82"/>
        <v>$2,094-$8,000</v>
      </c>
      <c r="AF340">
        <v>1</v>
      </c>
      <c r="AG340" t="str">
        <f t="shared" si="83"/>
        <v>0-1</v>
      </c>
      <c r="AH340" t="s">
        <v>67</v>
      </c>
      <c r="AI340" t="s">
        <v>71</v>
      </c>
      <c r="AJ340">
        <v>13</v>
      </c>
      <c r="AK340" t="str">
        <f t="shared" si="84"/>
        <v>13-15%</v>
      </c>
      <c r="AL340">
        <v>3</v>
      </c>
      <c r="AM340" t="s">
        <v>68</v>
      </c>
      <c r="AN340">
        <v>3</v>
      </c>
      <c r="AO340" t="s">
        <v>63</v>
      </c>
      <c r="AP340">
        <v>80</v>
      </c>
      <c r="AQ340">
        <v>3</v>
      </c>
      <c r="AR340">
        <v>10</v>
      </c>
      <c r="AS340" t="str">
        <f t="shared" si="85"/>
        <v>6-10</v>
      </c>
      <c r="AT340">
        <v>2</v>
      </c>
      <c r="AU340" t="str">
        <f t="shared" si="86"/>
        <v>0-2</v>
      </c>
      <c r="AV340">
        <v>3</v>
      </c>
      <c r="AW340" t="s">
        <v>79</v>
      </c>
      <c r="AX340">
        <v>10</v>
      </c>
      <c r="AY340" t="str">
        <f t="shared" si="75"/>
        <v>6-10</v>
      </c>
      <c r="AZ340">
        <v>9</v>
      </c>
      <c r="BA340" t="str">
        <f t="shared" si="87"/>
        <v>6-10</v>
      </c>
      <c r="BB340">
        <v>1</v>
      </c>
      <c r="BC340" t="str">
        <f t="shared" si="88"/>
        <v>0-1</v>
      </c>
      <c r="BD340">
        <v>2</v>
      </c>
      <c r="BE340" t="str">
        <f t="shared" si="89"/>
        <v>2-5</v>
      </c>
    </row>
    <row r="341" spans="1:57" x14ac:dyDescent="0.3">
      <c r="A341">
        <v>458</v>
      </c>
      <c r="B341">
        <v>27</v>
      </c>
      <c r="C341" t="str">
        <f t="shared" si="76"/>
        <v>26-35</v>
      </c>
      <c r="D341" t="s">
        <v>71</v>
      </c>
      <c r="E341">
        <f t="shared" si="77"/>
        <v>0</v>
      </c>
      <c r="F341" t="s">
        <v>57</v>
      </c>
      <c r="G341">
        <v>1130</v>
      </c>
      <c r="H341" t="str">
        <f t="shared" si="78"/>
        <v>1001-1499</v>
      </c>
      <c r="I341" t="s">
        <v>58</v>
      </c>
      <c r="J341">
        <v>8</v>
      </c>
      <c r="K341" t="str">
        <f t="shared" si="79"/>
        <v>6-10</v>
      </c>
      <c r="L341">
        <v>4</v>
      </c>
      <c r="M341" t="s">
        <v>82</v>
      </c>
      <c r="N341" t="s">
        <v>93</v>
      </c>
      <c r="O341">
        <v>1</v>
      </c>
      <c r="P341">
        <v>2</v>
      </c>
      <c r="Q341" t="s">
        <v>61</v>
      </c>
      <c r="R341" t="s">
        <v>62</v>
      </c>
      <c r="S341">
        <v>56</v>
      </c>
      <c r="T341" t="str">
        <f t="shared" si="80"/>
        <v>51-75</v>
      </c>
      <c r="U341">
        <v>3</v>
      </c>
      <c r="V341" t="s">
        <v>63</v>
      </c>
      <c r="W341">
        <v>2</v>
      </c>
      <c r="X341" t="s">
        <v>64</v>
      </c>
      <c r="Y341">
        <v>2</v>
      </c>
      <c r="Z341" t="s">
        <v>61</v>
      </c>
      <c r="AA341" t="s">
        <v>77</v>
      </c>
      <c r="AB341" s="4">
        <v>6214</v>
      </c>
      <c r="AC341" s="4" t="str">
        <f t="shared" si="81"/>
        <v>$5,500-$7,000</v>
      </c>
      <c r="AD341">
        <v>3415</v>
      </c>
      <c r="AE341" t="str">
        <f t="shared" si="82"/>
        <v>$2,094-$8,000</v>
      </c>
      <c r="AF341">
        <v>1</v>
      </c>
      <c r="AG341" t="str">
        <f t="shared" si="83"/>
        <v>0-1</v>
      </c>
      <c r="AH341" t="s">
        <v>67</v>
      </c>
      <c r="AI341" t="s">
        <v>71</v>
      </c>
      <c r="AJ341">
        <v>18</v>
      </c>
      <c r="AK341" t="str">
        <f t="shared" si="84"/>
        <v>18-19%</v>
      </c>
      <c r="AL341">
        <v>3</v>
      </c>
      <c r="AM341" t="s">
        <v>68</v>
      </c>
      <c r="AN341">
        <v>1</v>
      </c>
      <c r="AO341" t="s">
        <v>69</v>
      </c>
      <c r="AP341">
        <v>80</v>
      </c>
      <c r="AQ341">
        <v>1</v>
      </c>
      <c r="AR341">
        <v>8</v>
      </c>
      <c r="AS341" t="str">
        <f t="shared" si="85"/>
        <v>6-10</v>
      </c>
      <c r="AT341">
        <v>3</v>
      </c>
      <c r="AU341" t="str">
        <f t="shared" si="86"/>
        <v>3-4</v>
      </c>
      <c r="AV341">
        <v>3</v>
      </c>
      <c r="AW341" t="s">
        <v>79</v>
      </c>
      <c r="AX341">
        <v>8</v>
      </c>
      <c r="AY341" t="str">
        <f t="shared" si="75"/>
        <v>6-10</v>
      </c>
      <c r="AZ341">
        <v>7</v>
      </c>
      <c r="BA341" t="str">
        <f t="shared" si="87"/>
        <v>6-10</v>
      </c>
      <c r="BB341">
        <v>0</v>
      </c>
      <c r="BC341" t="str">
        <f t="shared" si="88"/>
        <v>0-1</v>
      </c>
      <c r="BD341">
        <v>7</v>
      </c>
      <c r="BE341" t="str">
        <f t="shared" si="89"/>
        <v>6-10</v>
      </c>
    </row>
    <row r="342" spans="1:57" x14ac:dyDescent="0.3">
      <c r="A342">
        <v>460</v>
      </c>
      <c r="B342">
        <v>37</v>
      </c>
      <c r="C342" t="str">
        <f t="shared" si="76"/>
        <v>36-45</v>
      </c>
      <c r="D342" t="s">
        <v>71</v>
      </c>
      <c r="E342">
        <f t="shared" si="77"/>
        <v>0</v>
      </c>
      <c r="F342" t="s">
        <v>57</v>
      </c>
      <c r="G342">
        <v>1192</v>
      </c>
      <c r="H342" t="str">
        <f t="shared" si="78"/>
        <v>1001-1499</v>
      </c>
      <c r="I342" t="s">
        <v>73</v>
      </c>
      <c r="J342">
        <v>5</v>
      </c>
      <c r="K342" t="str">
        <f t="shared" si="79"/>
        <v>1-5</v>
      </c>
      <c r="L342">
        <v>2</v>
      </c>
      <c r="M342" t="s">
        <v>59</v>
      </c>
      <c r="N342" t="s">
        <v>83</v>
      </c>
      <c r="O342">
        <v>1</v>
      </c>
      <c r="P342">
        <v>4</v>
      </c>
      <c r="Q342" t="s">
        <v>65</v>
      </c>
      <c r="R342" t="s">
        <v>75</v>
      </c>
      <c r="S342">
        <v>61</v>
      </c>
      <c r="T342" t="str">
        <f t="shared" si="80"/>
        <v>51-75</v>
      </c>
      <c r="U342">
        <v>3</v>
      </c>
      <c r="V342" t="s">
        <v>63</v>
      </c>
      <c r="W342">
        <v>2</v>
      </c>
      <c r="X342" t="s">
        <v>87</v>
      </c>
      <c r="Y342">
        <v>4</v>
      </c>
      <c r="Z342" t="s">
        <v>65</v>
      </c>
      <c r="AA342" t="s">
        <v>86</v>
      </c>
      <c r="AB342" s="4">
        <v>6347</v>
      </c>
      <c r="AC342" s="4" t="str">
        <f t="shared" si="81"/>
        <v>$5,500-$7,000</v>
      </c>
      <c r="AD342">
        <v>23177</v>
      </c>
      <c r="AE342" t="str">
        <f t="shared" si="82"/>
        <v>$22,001-$26,999</v>
      </c>
      <c r="AF342">
        <v>7</v>
      </c>
      <c r="AG342" t="str">
        <f t="shared" si="83"/>
        <v>7-9</v>
      </c>
      <c r="AH342" t="s">
        <v>67</v>
      </c>
      <c r="AI342" t="s">
        <v>71</v>
      </c>
      <c r="AJ342">
        <v>16</v>
      </c>
      <c r="AK342" t="str">
        <f t="shared" si="84"/>
        <v>16-17%</v>
      </c>
      <c r="AL342">
        <v>3</v>
      </c>
      <c r="AM342" t="s">
        <v>68</v>
      </c>
      <c r="AN342">
        <v>3</v>
      </c>
      <c r="AO342" t="s">
        <v>63</v>
      </c>
      <c r="AP342">
        <v>80</v>
      </c>
      <c r="AQ342">
        <v>2</v>
      </c>
      <c r="AR342">
        <v>8</v>
      </c>
      <c r="AS342" t="str">
        <f t="shared" si="85"/>
        <v>6-10</v>
      </c>
      <c r="AT342">
        <v>2</v>
      </c>
      <c r="AU342" t="str">
        <f t="shared" si="86"/>
        <v>0-2</v>
      </c>
      <c r="AV342">
        <v>2</v>
      </c>
      <c r="AW342" t="s">
        <v>84</v>
      </c>
      <c r="AX342">
        <v>6</v>
      </c>
      <c r="AY342" t="str">
        <f t="shared" si="75"/>
        <v>6-10</v>
      </c>
      <c r="AZ342">
        <v>2</v>
      </c>
      <c r="BA342" t="str">
        <f t="shared" si="87"/>
        <v>2-5</v>
      </c>
      <c r="BB342">
        <v>0</v>
      </c>
      <c r="BC342" t="str">
        <f t="shared" si="88"/>
        <v>0-1</v>
      </c>
      <c r="BD342">
        <v>4</v>
      </c>
      <c r="BE342" t="str">
        <f t="shared" si="89"/>
        <v>2-5</v>
      </c>
    </row>
    <row r="343" spans="1:57" x14ac:dyDescent="0.3">
      <c r="A343">
        <v>461</v>
      </c>
      <c r="B343">
        <v>38</v>
      </c>
      <c r="C343" t="str">
        <f t="shared" si="76"/>
        <v>36-45</v>
      </c>
      <c r="D343" t="s">
        <v>71</v>
      </c>
      <c r="E343">
        <f t="shared" si="77"/>
        <v>0</v>
      </c>
      <c r="F343" t="s">
        <v>57</v>
      </c>
      <c r="G343">
        <v>343</v>
      </c>
      <c r="H343" t="str">
        <f t="shared" si="78"/>
        <v>102-500</v>
      </c>
      <c r="I343" t="s">
        <v>73</v>
      </c>
      <c r="J343">
        <v>15</v>
      </c>
      <c r="K343" t="str">
        <f t="shared" si="79"/>
        <v>11-20</v>
      </c>
      <c r="L343">
        <v>2</v>
      </c>
      <c r="M343" t="s">
        <v>59</v>
      </c>
      <c r="N343" t="s">
        <v>60</v>
      </c>
      <c r="O343">
        <v>1</v>
      </c>
      <c r="P343">
        <v>3</v>
      </c>
      <c r="Q343" t="s">
        <v>63</v>
      </c>
      <c r="R343" t="s">
        <v>75</v>
      </c>
      <c r="S343">
        <v>92</v>
      </c>
      <c r="T343" t="str">
        <f t="shared" si="80"/>
        <v>76-100</v>
      </c>
      <c r="U343">
        <v>2</v>
      </c>
      <c r="V343" t="s">
        <v>61</v>
      </c>
      <c r="W343">
        <v>3</v>
      </c>
      <c r="X343" t="s">
        <v>92</v>
      </c>
      <c r="Y343">
        <v>4</v>
      </c>
      <c r="Z343" t="s">
        <v>65</v>
      </c>
      <c r="AA343" t="s">
        <v>86</v>
      </c>
      <c r="AB343" s="4">
        <v>11510</v>
      </c>
      <c r="AC343" s="4" t="str">
        <f t="shared" si="81"/>
        <v>$11,500-$13,000</v>
      </c>
      <c r="AD343">
        <v>15682</v>
      </c>
      <c r="AE343" t="str">
        <f t="shared" si="82"/>
        <v>$8,001-$16,000</v>
      </c>
      <c r="AF343">
        <v>0</v>
      </c>
      <c r="AG343" t="str">
        <f t="shared" si="83"/>
        <v>0-1</v>
      </c>
      <c r="AH343" t="s">
        <v>67</v>
      </c>
      <c r="AI343" t="s">
        <v>56</v>
      </c>
      <c r="AJ343">
        <v>14</v>
      </c>
      <c r="AK343" t="str">
        <f t="shared" si="84"/>
        <v>13-15%</v>
      </c>
      <c r="AL343">
        <v>3</v>
      </c>
      <c r="AM343" t="s">
        <v>68</v>
      </c>
      <c r="AN343">
        <v>2</v>
      </c>
      <c r="AO343" t="s">
        <v>61</v>
      </c>
      <c r="AP343">
        <v>80</v>
      </c>
      <c r="AQ343">
        <v>1</v>
      </c>
      <c r="AR343">
        <v>12</v>
      </c>
      <c r="AS343" t="str">
        <f t="shared" si="85"/>
        <v>11-20</v>
      </c>
      <c r="AT343">
        <v>3</v>
      </c>
      <c r="AU343" t="str">
        <f t="shared" si="86"/>
        <v>3-4</v>
      </c>
      <c r="AV343">
        <v>3</v>
      </c>
      <c r="AW343" t="s">
        <v>79</v>
      </c>
      <c r="AX343">
        <v>11</v>
      </c>
      <c r="AY343" t="str">
        <f t="shared" si="75"/>
        <v>11-20</v>
      </c>
      <c r="AZ343">
        <v>10</v>
      </c>
      <c r="BA343" t="str">
        <f t="shared" si="87"/>
        <v>6-10</v>
      </c>
      <c r="BB343">
        <v>2</v>
      </c>
      <c r="BC343" t="str">
        <f t="shared" si="88"/>
        <v>2-5</v>
      </c>
      <c r="BD343">
        <v>9</v>
      </c>
      <c r="BE343" t="str">
        <f t="shared" si="89"/>
        <v>6-10</v>
      </c>
    </row>
    <row r="344" spans="1:57" x14ac:dyDescent="0.3">
      <c r="A344">
        <v>462</v>
      </c>
      <c r="B344">
        <v>31</v>
      </c>
      <c r="C344" t="str">
        <f t="shared" si="76"/>
        <v>26-35</v>
      </c>
      <c r="D344" t="s">
        <v>71</v>
      </c>
      <c r="E344">
        <f t="shared" si="77"/>
        <v>0</v>
      </c>
      <c r="F344" t="s">
        <v>57</v>
      </c>
      <c r="G344">
        <v>1232</v>
      </c>
      <c r="H344" t="str">
        <f t="shared" si="78"/>
        <v>1001-1499</v>
      </c>
      <c r="I344" t="s">
        <v>73</v>
      </c>
      <c r="J344">
        <v>7</v>
      </c>
      <c r="K344" t="str">
        <f t="shared" si="79"/>
        <v>6-10</v>
      </c>
      <c r="L344">
        <v>4</v>
      </c>
      <c r="M344" t="s">
        <v>82</v>
      </c>
      <c r="N344" t="s">
        <v>83</v>
      </c>
      <c r="O344">
        <v>1</v>
      </c>
      <c r="P344">
        <v>3</v>
      </c>
      <c r="Q344" t="s">
        <v>63</v>
      </c>
      <c r="R344" t="s">
        <v>62</v>
      </c>
      <c r="S344">
        <v>39</v>
      </c>
      <c r="T344" t="str">
        <f t="shared" si="80"/>
        <v>30-50</v>
      </c>
      <c r="U344">
        <v>3</v>
      </c>
      <c r="V344" t="s">
        <v>63</v>
      </c>
      <c r="W344">
        <v>3</v>
      </c>
      <c r="X344" t="s">
        <v>87</v>
      </c>
      <c r="Y344">
        <v>4</v>
      </c>
      <c r="Z344" t="s">
        <v>65</v>
      </c>
      <c r="AA344" t="s">
        <v>66</v>
      </c>
      <c r="AB344" s="4">
        <v>7143</v>
      </c>
      <c r="AC344" s="4" t="str">
        <f t="shared" si="81"/>
        <v>$7,000-$8,500</v>
      </c>
      <c r="AD344">
        <v>25713</v>
      </c>
      <c r="AE344" t="str">
        <f t="shared" si="82"/>
        <v>$22,001-$26,999</v>
      </c>
      <c r="AF344">
        <v>1</v>
      </c>
      <c r="AG344" t="str">
        <f t="shared" si="83"/>
        <v>0-1</v>
      </c>
      <c r="AH344" t="s">
        <v>67</v>
      </c>
      <c r="AI344" t="s">
        <v>56</v>
      </c>
      <c r="AJ344">
        <v>14</v>
      </c>
      <c r="AK344" t="str">
        <f t="shared" si="84"/>
        <v>13-15%</v>
      </c>
      <c r="AL344">
        <v>3</v>
      </c>
      <c r="AM344" t="s">
        <v>68</v>
      </c>
      <c r="AN344">
        <v>3</v>
      </c>
      <c r="AO344" t="s">
        <v>63</v>
      </c>
      <c r="AP344">
        <v>80</v>
      </c>
      <c r="AQ344">
        <v>0</v>
      </c>
      <c r="AR344">
        <v>11</v>
      </c>
      <c r="AS344" t="str">
        <f t="shared" si="85"/>
        <v>11-20</v>
      </c>
      <c r="AT344">
        <v>2</v>
      </c>
      <c r="AU344" t="str">
        <f t="shared" si="86"/>
        <v>0-2</v>
      </c>
      <c r="AV344">
        <v>2</v>
      </c>
      <c r="AW344" t="s">
        <v>84</v>
      </c>
      <c r="AX344">
        <v>11</v>
      </c>
      <c r="AY344" t="str">
        <f t="shared" si="75"/>
        <v>11-20</v>
      </c>
      <c r="AZ344">
        <v>9</v>
      </c>
      <c r="BA344" t="str">
        <f t="shared" si="87"/>
        <v>6-10</v>
      </c>
      <c r="BB344">
        <v>4</v>
      </c>
      <c r="BC344" t="str">
        <f t="shared" si="88"/>
        <v>2-5</v>
      </c>
      <c r="BD344">
        <v>10</v>
      </c>
      <c r="BE344" t="str">
        <f t="shared" si="89"/>
        <v>6-10</v>
      </c>
    </row>
    <row r="345" spans="1:57" x14ac:dyDescent="0.3">
      <c r="A345">
        <v>463</v>
      </c>
      <c r="B345">
        <v>29</v>
      </c>
      <c r="C345" t="str">
        <f t="shared" si="76"/>
        <v>26-35</v>
      </c>
      <c r="D345" t="s">
        <v>71</v>
      </c>
      <c r="E345">
        <f t="shared" si="77"/>
        <v>0</v>
      </c>
      <c r="F345" t="s">
        <v>57</v>
      </c>
      <c r="G345">
        <v>144</v>
      </c>
      <c r="H345" t="str">
        <f t="shared" si="78"/>
        <v>102-500</v>
      </c>
      <c r="I345" t="s">
        <v>58</v>
      </c>
      <c r="J345">
        <v>10</v>
      </c>
      <c r="K345" t="str">
        <f t="shared" si="79"/>
        <v>6-10</v>
      </c>
      <c r="L345">
        <v>1</v>
      </c>
      <c r="M345" t="s">
        <v>74</v>
      </c>
      <c r="N345" t="s">
        <v>93</v>
      </c>
      <c r="O345">
        <v>1</v>
      </c>
      <c r="P345">
        <v>4</v>
      </c>
      <c r="Q345" t="s">
        <v>65</v>
      </c>
      <c r="R345" t="s">
        <v>62</v>
      </c>
      <c r="S345">
        <v>39</v>
      </c>
      <c r="T345" t="str">
        <f t="shared" si="80"/>
        <v>30-50</v>
      </c>
      <c r="U345">
        <v>2</v>
      </c>
      <c r="V345" t="s">
        <v>61</v>
      </c>
      <c r="W345">
        <v>2</v>
      </c>
      <c r="X345" t="s">
        <v>64</v>
      </c>
      <c r="Y345">
        <v>2</v>
      </c>
      <c r="Z345" t="s">
        <v>61</v>
      </c>
      <c r="AA345" t="s">
        <v>86</v>
      </c>
      <c r="AB345" s="4">
        <v>8268</v>
      </c>
      <c r="AC345" s="4" t="str">
        <f t="shared" si="81"/>
        <v>$7,000-$8,500</v>
      </c>
      <c r="AD345">
        <v>11866</v>
      </c>
      <c r="AE345" t="str">
        <f t="shared" si="82"/>
        <v>$8,001-$16,000</v>
      </c>
      <c r="AF345">
        <v>1</v>
      </c>
      <c r="AG345" t="str">
        <f t="shared" si="83"/>
        <v>0-1</v>
      </c>
      <c r="AH345" t="s">
        <v>67</v>
      </c>
      <c r="AI345" t="s">
        <v>56</v>
      </c>
      <c r="AJ345">
        <v>14</v>
      </c>
      <c r="AK345" t="str">
        <f t="shared" si="84"/>
        <v>13-15%</v>
      </c>
      <c r="AL345">
        <v>3</v>
      </c>
      <c r="AM345" t="s">
        <v>68</v>
      </c>
      <c r="AN345">
        <v>1</v>
      </c>
      <c r="AO345" t="s">
        <v>69</v>
      </c>
      <c r="AP345">
        <v>80</v>
      </c>
      <c r="AQ345">
        <v>2</v>
      </c>
      <c r="AR345">
        <v>7</v>
      </c>
      <c r="AS345" t="str">
        <f t="shared" si="85"/>
        <v>6-10</v>
      </c>
      <c r="AT345">
        <v>2</v>
      </c>
      <c r="AU345" t="str">
        <f t="shared" si="86"/>
        <v>0-2</v>
      </c>
      <c r="AV345">
        <v>3</v>
      </c>
      <c r="AW345" t="s">
        <v>79</v>
      </c>
      <c r="AX345">
        <v>7</v>
      </c>
      <c r="AY345" t="str">
        <f t="shared" si="75"/>
        <v>6-10</v>
      </c>
      <c r="AZ345">
        <v>7</v>
      </c>
      <c r="BA345" t="str">
        <f t="shared" si="87"/>
        <v>6-10</v>
      </c>
      <c r="BB345">
        <v>1</v>
      </c>
      <c r="BC345" t="str">
        <f t="shared" si="88"/>
        <v>0-1</v>
      </c>
      <c r="BD345">
        <v>7</v>
      </c>
      <c r="BE345" t="str">
        <f t="shared" si="89"/>
        <v>6-10</v>
      </c>
    </row>
    <row r="346" spans="1:57" x14ac:dyDescent="0.3">
      <c r="A346">
        <v>464</v>
      </c>
      <c r="B346">
        <v>35</v>
      </c>
      <c r="C346" t="str">
        <f t="shared" si="76"/>
        <v>26-35</v>
      </c>
      <c r="D346" t="s">
        <v>71</v>
      </c>
      <c r="E346">
        <f t="shared" si="77"/>
        <v>0</v>
      </c>
      <c r="F346" t="s">
        <v>57</v>
      </c>
      <c r="G346">
        <v>1296</v>
      </c>
      <c r="H346" t="str">
        <f t="shared" si="78"/>
        <v>1001-1499</v>
      </c>
      <c r="I346" t="s">
        <v>73</v>
      </c>
      <c r="J346">
        <v>5</v>
      </c>
      <c r="K346" t="str">
        <f t="shared" si="79"/>
        <v>1-5</v>
      </c>
      <c r="L346">
        <v>4</v>
      </c>
      <c r="M346" t="s">
        <v>82</v>
      </c>
      <c r="N346" t="s">
        <v>95</v>
      </c>
      <c r="O346">
        <v>1</v>
      </c>
      <c r="P346">
        <v>3</v>
      </c>
      <c r="Q346" t="s">
        <v>63</v>
      </c>
      <c r="R346" t="s">
        <v>75</v>
      </c>
      <c r="S346">
        <v>62</v>
      </c>
      <c r="T346" t="str">
        <f t="shared" si="80"/>
        <v>51-75</v>
      </c>
      <c r="U346">
        <v>3</v>
      </c>
      <c r="V346" t="s">
        <v>63</v>
      </c>
      <c r="W346">
        <v>3</v>
      </c>
      <c r="X346" t="s">
        <v>87</v>
      </c>
      <c r="Y346">
        <v>2</v>
      </c>
      <c r="Z346" t="s">
        <v>61</v>
      </c>
      <c r="AA346" t="s">
        <v>66</v>
      </c>
      <c r="AB346" s="4">
        <v>8095</v>
      </c>
      <c r="AC346" s="4" t="str">
        <f t="shared" si="81"/>
        <v>$7,000-$8,500</v>
      </c>
      <c r="AD346">
        <v>18264</v>
      </c>
      <c r="AE346" t="str">
        <f t="shared" si="82"/>
        <v>$16,001-$22,000</v>
      </c>
      <c r="AF346">
        <v>0</v>
      </c>
      <c r="AG346" t="str">
        <f t="shared" si="83"/>
        <v>0-1</v>
      </c>
      <c r="AH346" t="s">
        <v>67</v>
      </c>
      <c r="AI346" t="s">
        <v>71</v>
      </c>
      <c r="AJ346">
        <v>13</v>
      </c>
      <c r="AK346" t="str">
        <f t="shared" si="84"/>
        <v>13-15%</v>
      </c>
      <c r="AL346">
        <v>3</v>
      </c>
      <c r="AM346" t="s">
        <v>68</v>
      </c>
      <c r="AN346">
        <v>4</v>
      </c>
      <c r="AO346" t="s">
        <v>65</v>
      </c>
      <c r="AP346">
        <v>80</v>
      </c>
      <c r="AQ346">
        <v>0</v>
      </c>
      <c r="AR346">
        <v>17</v>
      </c>
      <c r="AS346" t="str">
        <f t="shared" si="85"/>
        <v>11-20</v>
      </c>
      <c r="AT346">
        <v>5</v>
      </c>
      <c r="AU346" t="str">
        <f t="shared" si="86"/>
        <v>5-6</v>
      </c>
      <c r="AV346">
        <v>3</v>
      </c>
      <c r="AW346" t="s">
        <v>79</v>
      </c>
      <c r="AX346">
        <v>16</v>
      </c>
      <c r="AY346" t="str">
        <f t="shared" si="75"/>
        <v>11-20</v>
      </c>
      <c r="AZ346">
        <v>6</v>
      </c>
      <c r="BA346" t="str">
        <f t="shared" si="87"/>
        <v>6-10</v>
      </c>
      <c r="BB346">
        <v>0</v>
      </c>
      <c r="BC346" t="str">
        <f t="shared" si="88"/>
        <v>0-1</v>
      </c>
      <c r="BD346">
        <v>13</v>
      </c>
      <c r="BE346" t="str">
        <f t="shared" si="89"/>
        <v>11-17</v>
      </c>
    </row>
    <row r="347" spans="1:57" x14ac:dyDescent="0.3">
      <c r="A347">
        <v>465</v>
      </c>
      <c r="B347">
        <v>23</v>
      </c>
      <c r="C347" t="str">
        <f t="shared" si="76"/>
        <v>18-25</v>
      </c>
      <c r="D347" t="s">
        <v>71</v>
      </c>
      <c r="E347">
        <f t="shared" si="77"/>
        <v>0</v>
      </c>
      <c r="F347" t="s">
        <v>57</v>
      </c>
      <c r="G347">
        <v>1309</v>
      </c>
      <c r="H347" t="str">
        <f t="shared" si="78"/>
        <v>1001-1499</v>
      </c>
      <c r="I347" t="s">
        <v>73</v>
      </c>
      <c r="J347">
        <v>26</v>
      </c>
      <c r="K347" t="str">
        <f t="shared" si="79"/>
        <v>21-29</v>
      </c>
      <c r="L347">
        <v>1</v>
      </c>
      <c r="M347" t="s">
        <v>74</v>
      </c>
      <c r="N347" t="s">
        <v>60</v>
      </c>
      <c r="O347">
        <v>1</v>
      </c>
      <c r="P347">
        <v>3</v>
      </c>
      <c r="Q347" t="s">
        <v>63</v>
      </c>
      <c r="R347" t="s">
        <v>75</v>
      </c>
      <c r="S347">
        <v>83</v>
      </c>
      <c r="T347" t="str">
        <f t="shared" si="80"/>
        <v>76-100</v>
      </c>
      <c r="U347">
        <v>3</v>
      </c>
      <c r="V347" t="s">
        <v>63</v>
      </c>
      <c r="W347">
        <v>1</v>
      </c>
      <c r="X347" t="s">
        <v>76</v>
      </c>
      <c r="Y347">
        <v>4</v>
      </c>
      <c r="Z347" t="s">
        <v>65</v>
      </c>
      <c r="AA347" t="s">
        <v>86</v>
      </c>
      <c r="AB347" s="4">
        <v>2904</v>
      </c>
      <c r="AC347" s="4" t="str">
        <f t="shared" si="81"/>
        <v>$2,500-$4,000</v>
      </c>
      <c r="AD347">
        <v>16092</v>
      </c>
      <c r="AE347" t="str">
        <f t="shared" si="82"/>
        <v>$16,001-$22,000</v>
      </c>
      <c r="AF347">
        <v>1</v>
      </c>
      <c r="AG347" t="str">
        <f t="shared" si="83"/>
        <v>0-1</v>
      </c>
      <c r="AH347" t="s">
        <v>67</v>
      </c>
      <c r="AI347" t="s">
        <v>71</v>
      </c>
      <c r="AJ347">
        <v>12</v>
      </c>
      <c r="AK347" t="str">
        <f t="shared" si="84"/>
        <v>11-12%</v>
      </c>
      <c r="AL347">
        <v>3</v>
      </c>
      <c r="AM347" t="s">
        <v>68</v>
      </c>
      <c r="AN347">
        <v>3</v>
      </c>
      <c r="AO347" t="s">
        <v>63</v>
      </c>
      <c r="AP347">
        <v>80</v>
      </c>
      <c r="AQ347">
        <v>2</v>
      </c>
      <c r="AR347">
        <v>4</v>
      </c>
      <c r="AS347" t="str">
        <f t="shared" si="85"/>
        <v>3-5</v>
      </c>
      <c r="AT347">
        <v>2</v>
      </c>
      <c r="AU347" t="str">
        <f t="shared" si="86"/>
        <v>0-2</v>
      </c>
      <c r="AV347">
        <v>2</v>
      </c>
      <c r="AW347" t="s">
        <v>84</v>
      </c>
      <c r="AX347">
        <v>4</v>
      </c>
      <c r="AY347" t="str">
        <f t="shared" si="75"/>
        <v>2-5</v>
      </c>
      <c r="AZ347">
        <v>2</v>
      </c>
      <c r="BA347" t="str">
        <f t="shared" si="87"/>
        <v>2-5</v>
      </c>
      <c r="BB347">
        <v>0</v>
      </c>
      <c r="BC347" t="str">
        <f t="shared" si="88"/>
        <v>0-1</v>
      </c>
      <c r="BD347">
        <v>2</v>
      </c>
      <c r="BE347" t="str">
        <f t="shared" si="89"/>
        <v>2-5</v>
      </c>
    </row>
    <row r="348" spans="1:57" x14ac:dyDescent="0.3">
      <c r="A348">
        <v>466</v>
      </c>
      <c r="B348">
        <v>41</v>
      </c>
      <c r="C348" t="str">
        <f t="shared" si="76"/>
        <v>36-45</v>
      </c>
      <c r="D348" t="s">
        <v>71</v>
      </c>
      <c r="E348">
        <f t="shared" si="77"/>
        <v>0</v>
      </c>
      <c r="F348" t="s">
        <v>57</v>
      </c>
      <c r="G348">
        <v>483</v>
      </c>
      <c r="H348" t="str">
        <f t="shared" si="78"/>
        <v>102-500</v>
      </c>
      <c r="I348" t="s">
        <v>73</v>
      </c>
      <c r="J348">
        <v>6</v>
      </c>
      <c r="K348" t="str">
        <f t="shared" si="79"/>
        <v>6-10</v>
      </c>
      <c r="L348">
        <v>3</v>
      </c>
      <c r="M348" t="s">
        <v>85</v>
      </c>
      <c r="N348" t="s">
        <v>83</v>
      </c>
      <c r="O348">
        <v>1</v>
      </c>
      <c r="P348">
        <v>4</v>
      </c>
      <c r="Q348" t="s">
        <v>65</v>
      </c>
      <c r="R348" t="s">
        <v>75</v>
      </c>
      <c r="S348">
        <v>95</v>
      </c>
      <c r="T348" t="str">
        <f t="shared" si="80"/>
        <v>76-100</v>
      </c>
      <c r="U348">
        <v>2</v>
      </c>
      <c r="V348" t="s">
        <v>61</v>
      </c>
      <c r="W348">
        <v>2</v>
      </c>
      <c r="X348" t="s">
        <v>87</v>
      </c>
      <c r="Y348">
        <v>2</v>
      </c>
      <c r="Z348" t="s">
        <v>61</v>
      </c>
      <c r="AA348" t="s">
        <v>66</v>
      </c>
      <c r="AB348" s="4">
        <v>6032</v>
      </c>
      <c r="AC348" s="4" t="str">
        <f t="shared" si="81"/>
        <v>$5,500-$7,000</v>
      </c>
      <c r="AD348">
        <v>10110</v>
      </c>
      <c r="AE348" t="str">
        <f t="shared" si="82"/>
        <v>$8,001-$16,000</v>
      </c>
      <c r="AF348">
        <v>6</v>
      </c>
      <c r="AG348" t="str">
        <f t="shared" si="83"/>
        <v>4-6</v>
      </c>
      <c r="AH348" t="s">
        <v>67</v>
      </c>
      <c r="AI348" t="s">
        <v>56</v>
      </c>
      <c r="AJ348">
        <v>15</v>
      </c>
      <c r="AK348" t="str">
        <f t="shared" si="84"/>
        <v>13-15%</v>
      </c>
      <c r="AL348">
        <v>3</v>
      </c>
      <c r="AM348" t="s">
        <v>68</v>
      </c>
      <c r="AN348">
        <v>4</v>
      </c>
      <c r="AO348" t="s">
        <v>65</v>
      </c>
      <c r="AP348">
        <v>80</v>
      </c>
      <c r="AQ348">
        <v>0</v>
      </c>
      <c r="AR348">
        <v>8</v>
      </c>
      <c r="AS348" t="str">
        <f t="shared" si="85"/>
        <v>6-10</v>
      </c>
      <c r="AT348">
        <v>3</v>
      </c>
      <c r="AU348" t="str">
        <f t="shared" si="86"/>
        <v>3-4</v>
      </c>
      <c r="AV348">
        <v>3</v>
      </c>
      <c r="AW348" t="s">
        <v>79</v>
      </c>
      <c r="AX348">
        <v>5</v>
      </c>
      <c r="AY348" t="str">
        <f t="shared" si="75"/>
        <v>2-5</v>
      </c>
      <c r="AZ348">
        <v>4</v>
      </c>
      <c r="BA348" t="str">
        <f t="shared" si="87"/>
        <v>2-5</v>
      </c>
      <c r="BB348">
        <v>1</v>
      </c>
      <c r="BC348" t="str">
        <f t="shared" si="88"/>
        <v>0-1</v>
      </c>
      <c r="BD348">
        <v>2</v>
      </c>
      <c r="BE348" t="str">
        <f t="shared" si="89"/>
        <v>2-5</v>
      </c>
    </row>
    <row r="349" spans="1:57" x14ac:dyDescent="0.3">
      <c r="A349">
        <v>467</v>
      </c>
      <c r="B349">
        <v>47</v>
      </c>
      <c r="C349" t="str">
        <f t="shared" si="76"/>
        <v>46-55</v>
      </c>
      <c r="D349" t="s">
        <v>71</v>
      </c>
      <c r="E349">
        <f t="shared" si="77"/>
        <v>0</v>
      </c>
      <c r="F349" t="s">
        <v>72</v>
      </c>
      <c r="G349">
        <v>1309</v>
      </c>
      <c r="H349" t="str">
        <f t="shared" si="78"/>
        <v>1001-1499</v>
      </c>
      <c r="I349" t="s">
        <v>58</v>
      </c>
      <c r="J349">
        <v>4</v>
      </c>
      <c r="K349" t="str">
        <f t="shared" si="79"/>
        <v>1-5</v>
      </c>
      <c r="L349">
        <v>1</v>
      </c>
      <c r="M349" t="s">
        <v>74</v>
      </c>
      <c r="N349" t="s">
        <v>83</v>
      </c>
      <c r="O349">
        <v>1</v>
      </c>
      <c r="P349">
        <v>2</v>
      </c>
      <c r="Q349" t="s">
        <v>61</v>
      </c>
      <c r="R349" t="s">
        <v>75</v>
      </c>
      <c r="S349">
        <v>99</v>
      </c>
      <c r="T349" t="str">
        <f t="shared" si="80"/>
        <v>76-100</v>
      </c>
      <c r="U349">
        <v>3</v>
      </c>
      <c r="V349" t="s">
        <v>63</v>
      </c>
      <c r="W349">
        <v>2</v>
      </c>
      <c r="X349" t="s">
        <v>91</v>
      </c>
      <c r="Y349">
        <v>3</v>
      </c>
      <c r="Z349" t="s">
        <v>63</v>
      </c>
      <c r="AA349" t="s">
        <v>66</v>
      </c>
      <c r="AB349" s="4">
        <v>2976</v>
      </c>
      <c r="AC349" s="4" t="str">
        <f t="shared" si="81"/>
        <v>$2,500-$4,000</v>
      </c>
      <c r="AD349">
        <v>25751</v>
      </c>
      <c r="AE349" t="str">
        <f t="shared" si="82"/>
        <v>$22,001-$26,999</v>
      </c>
      <c r="AF349">
        <v>3</v>
      </c>
      <c r="AG349" t="str">
        <f t="shared" si="83"/>
        <v>2-3</v>
      </c>
      <c r="AH349" t="s">
        <v>67</v>
      </c>
      <c r="AI349" t="s">
        <v>71</v>
      </c>
      <c r="AJ349">
        <v>19</v>
      </c>
      <c r="AK349" t="str">
        <f t="shared" si="84"/>
        <v>18-19%</v>
      </c>
      <c r="AL349">
        <v>3</v>
      </c>
      <c r="AM349" t="s">
        <v>68</v>
      </c>
      <c r="AN349">
        <v>1</v>
      </c>
      <c r="AO349" t="s">
        <v>69</v>
      </c>
      <c r="AP349">
        <v>80</v>
      </c>
      <c r="AQ349">
        <v>0</v>
      </c>
      <c r="AR349">
        <v>5</v>
      </c>
      <c r="AS349" t="str">
        <f t="shared" si="85"/>
        <v>3-5</v>
      </c>
      <c r="AT349">
        <v>3</v>
      </c>
      <c r="AU349" t="str">
        <f t="shared" si="86"/>
        <v>3-4</v>
      </c>
      <c r="AV349">
        <v>3</v>
      </c>
      <c r="AW349" t="s">
        <v>79</v>
      </c>
      <c r="AX349">
        <v>0</v>
      </c>
      <c r="AY349" t="str">
        <f t="shared" si="75"/>
        <v>0-1</v>
      </c>
      <c r="AZ349">
        <v>0</v>
      </c>
      <c r="BA349" t="str">
        <f t="shared" si="87"/>
        <v>0-1</v>
      </c>
      <c r="BB349">
        <v>0</v>
      </c>
      <c r="BC349" t="str">
        <f t="shared" si="88"/>
        <v>0-1</v>
      </c>
      <c r="BD349">
        <v>0</v>
      </c>
      <c r="BE349" t="str">
        <f t="shared" si="89"/>
        <v>0-1</v>
      </c>
    </row>
    <row r="350" spans="1:57" x14ac:dyDescent="0.3">
      <c r="A350">
        <v>468</v>
      </c>
      <c r="B350">
        <v>42</v>
      </c>
      <c r="C350" t="str">
        <f t="shared" si="76"/>
        <v>36-45</v>
      </c>
      <c r="D350" t="s">
        <v>71</v>
      </c>
      <c r="E350">
        <f t="shared" si="77"/>
        <v>0</v>
      </c>
      <c r="F350" t="s">
        <v>57</v>
      </c>
      <c r="G350">
        <v>810</v>
      </c>
      <c r="H350" t="str">
        <f t="shared" si="78"/>
        <v>501-1000</v>
      </c>
      <c r="I350" t="s">
        <v>73</v>
      </c>
      <c r="J350">
        <v>23</v>
      </c>
      <c r="K350" t="str">
        <f t="shared" si="79"/>
        <v>21-29</v>
      </c>
      <c r="L350">
        <v>5</v>
      </c>
      <c r="M350" t="s">
        <v>96</v>
      </c>
      <c r="N350" t="s">
        <v>60</v>
      </c>
      <c r="O350">
        <v>1</v>
      </c>
      <c r="P350">
        <v>1</v>
      </c>
      <c r="Q350" t="s">
        <v>69</v>
      </c>
      <c r="R350" t="s">
        <v>62</v>
      </c>
      <c r="S350">
        <v>44</v>
      </c>
      <c r="T350" t="str">
        <f t="shared" si="80"/>
        <v>30-50</v>
      </c>
      <c r="U350">
        <v>3</v>
      </c>
      <c r="V350" t="s">
        <v>63</v>
      </c>
      <c r="W350">
        <v>4</v>
      </c>
      <c r="X350" t="s">
        <v>92</v>
      </c>
      <c r="Y350">
        <v>4</v>
      </c>
      <c r="Z350" t="s">
        <v>65</v>
      </c>
      <c r="AA350" t="s">
        <v>66</v>
      </c>
      <c r="AB350" s="4">
        <v>15992</v>
      </c>
      <c r="AC350" s="4" t="str">
        <f t="shared" si="81"/>
        <v>$14,500-$16,000</v>
      </c>
      <c r="AD350">
        <v>15901</v>
      </c>
      <c r="AE350" t="str">
        <f t="shared" si="82"/>
        <v>$8,001-$16,000</v>
      </c>
      <c r="AF350">
        <v>2</v>
      </c>
      <c r="AG350" t="str">
        <f t="shared" si="83"/>
        <v>2-3</v>
      </c>
      <c r="AH350" t="s">
        <v>67</v>
      </c>
      <c r="AI350" t="s">
        <v>71</v>
      </c>
      <c r="AJ350">
        <v>14</v>
      </c>
      <c r="AK350" t="str">
        <f t="shared" si="84"/>
        <v>13-15%</v>
      </c>
      <c r="AL350">
        <v>3</v>
      </c>
      <c r="AM350" t="s">
        <v>68</v>
      </c>
      <c r="AN350">
        <v>2</v>
      </c>
      <c r="AO350" t="s">
        <v>61</v>
      </c>
      <c r="AP350">
        <v>80</v>
      </c>
      <c r="AQ350">
        <v>0</v>
      </c>
      <c r="AR350">
        <v>16</v>
      </c>
      <c r="AS350" t="str">
        <f t="shared" si="85"/>
        <v>11-20</v>
      </c>
      <c r="AT350">
        <v>2</v>
      </c>
      <c r="AU350" t="str">
        <f t="shared" si="86"/>
        <v>0-2</v>
      </c>
      <c r="AV350">
        <v>3</v>
      </c>
      <c r="AW350" t="s">
        <v>79</v>
      </c>
      <c r="AX350">
        <v>1</v>
      </c>
      <c r="AY350" t="str">
        <f t="shared" si="75"/>
        <v>0-1</v>
      </c>
      <c r="AZ350">
        <v>0</v>
      </c>
      <c r="BA350" t="str">
        <f t="shared" si="87"/>
        <v>0-1</v>
      </c>
      <c r="BB350">
        <v>0</v>
      </c>
      <c r="BC350" t="str">
        <f t="shared" si="88"/>
        <v>0-1</v>
      </c>
      <c r="BD350">
        <v>0</v>
      </c>
      <c r="BE350" t="str">
        <f t="shared" si="89"/>
        <v>0-1</v>
      </c>
    </row>
    <row r="351" spans="1:57" x14ac:dyDescent="0.3">
      <c r="A351">
        <v>469</v>
      </c>
      <c r="B351">
        <v>29</v>
      </c>
      <c r="C351" t="str">
        <f t="shared" si="76"/>
        <v>26-35</v>
      </c>
      <c r="D351" t="s">
        <v>71</v>
      </c>
      <c r="E351">
        <f t="shared" si="77"/>
        <v>0</v>
      </c>
      <c r="F351" t="s">
        <v>89</v>
      </c>
      <c r="G351">
        <v>746</v>
      </c>
      <c r="H351" t="str">
        <f t="shared" si="78"/>
        <v>501-1000</v>
      </c>
      <c r="I351" t="s">
        <v>58</v>
      </c>
      <c r="J351">
        <v>2</v>
      </c>
      <c r="K351" t="str">
        <f t="shared" si="79"/>
        <v>1-5</v>
      </c>
      <c r="L351">
        <v>3</v>
      </c>
      <c r="M351" t="s">
        <v>85</v>
      </c>
      <c r="N351" t="s">
        <v>60</v>
      </c>
      <c r="O351">
        <v>1</v>
      </c>
      <c r="P351">
        <v>4</v>
      </c>
      <c r="Q351" t="s">
        <v>65</v>
      </c>
      <c r="R351" t="s">
        <v>75</v>
      </c>
      <c r="S351">
        <v>61</v>
      </c>
      <c r="T351" t="str">
        <f t="shared" si="80"/>
        <v>51-75</v>
      </c>
      <c r="U351">
        <v>3</v>
      </c>
      <c r="V351" t="s">
        <v>63</v>
      </c>
      <c r="W351">
        <v>2</v>
      </c>
      <c r="X351" t="s">
        <v>64</v>
      </c>
      <c r="Y351">
        <v>3</v>
      </c>
      <c r="Z351" t="s">
        <v>63</v>
      </c>
      <c r="AA351" t="s">
        <v>77</v>
      </c>
      <c r="AB351" s="4">
        <v>4649</v>
      </c>
      <c r="AC351" s="4" t="str">
        <f t="shared" si="81"/>
        <v>$4,000-$5,500</v>
      </c>
      <c r="AD351">
        <v>16928</v>
      </c>
      <c r="AE351" t="str">
        <f t="shared" si="82"/>
        <v>$16,001-$22,000</v>
      </c>
      <c r="AF351">
        <v>1</v>
      </c>
      <c r="AG351" t="str">
        <f t="shared" si="83"/>
        <v>0-1</v>
      </c>
      <c r="AH351" t="s">
        <v>67</v>
      </c>
      <c r="AI351" t="s">
        <v>71</v>
      </c>
      <c r="AJ351">
        <v>14</v>
      </c>
      <c r="AK351" t="str">
        <f t="shared" si="84"/>
        <v>13-15%</v>
      </c>
      <c r="AL351">
        <v>3</v>
      </c>
      <c r="AM351" t="s">
        <v>68</v>
      </c>
      <c r="AN351">
        <v>1</v>
      </c>
      <c r="AO351" t="s">
        <v>69</v>
      </c>
      <c r="AP351">
        <v>80</v>
      </c>
      <c r="AQ351">
        <v>1</v>
      </c>
      <c r="AR351">
        <v>4</v>
      </c>
      <c r="AS351" t="str">
        <f t="shared" si="85"/>
        <v>3-5</v>
      </c>
      <c r="AT351">
        <v>3</v>
      </c>
      <c r="AU351" t="str">
        <f t="shared" si="86"/>
        <v>3-4</v>
      </c>
      <c r="AV351">
        <v>2</v>
      </c>
      <c r="AW351" t="s">
        <v>84</v>
      </c>
      <c r="AX351">
        <v>4</v>
      </c>
      <c r="AY351" t="str">
        <f t="shared" si="75"/>
        <v>2-5</v>
      </c>
      <c r="AZ351">
        <v>3</v>
      </c>
      <c r="BA351" t="str">
        <f t="shared" si="87"/>
        <v>2-5</v>
      </c>
      <c r="BB351">
        <v>0</v>
      </c>
      <c r="BC351" t="str">
        <f t="shared" si="88"/>
        <v>0-1</v>
      </c>
      <c r="BD351">
        <v>2</v>
      </c>
      <c r="BE351" t="str">
        <f t="shared" si="89"/>
        <v>2-5</v>
      </c>
    </row>
    <row r="352" spans="1:57" x14ac:dyDescent="0.3">
      <c r="A352">
        <v>470</v>
      </c>
      <c r="B352">
        <v>42</v>
      </c>
      <c r="C352" t="str">
        <f t="shared" si="76"/>
        <v>36-45</v>
      </c>
      <c r="D352" t="s">
        <v>71</v>
      </c>
      <c r="E352">
        <f t="shared" si="77"/>
        <v>0</v>
      </c>
      <c r="F352" t="s">
        <v>57</v>
      </c>
      <c r="G352">
        <v>544</v>
      </c>
      <c r="H352" t="str">
        <f t="shared" si="78"/>
        <v>501-1000</v>
      </c>
      <c r="I352" t="s">
        <v>97</v>
      </c>
      <c r="J352">
        <v>2</v>
      </c>
      <c r="K352" t="str">
        <f t="shared" si="79"/>
        <v>1-5</v>
      </c>
      <c r="L352">
        <v>1</v>
      </c>
      <c r="M352" t="s">
        <v>74</v>
      </c>
      <c r="N352" t="s">
        <v>95</v>
      </c>
      <c r="O352">
        <v>1</v>
      </c>
      <c r="P352">
        <v>3</v>
      </c>
      <c r="Q352" t="s">
        <v>63</v>
      </c>
      <c r="R352" t="s">
        <v>75</v>
      </c>
      <c r="S352">
        <v>52</v>
      </c>
      <c r="T352" t="str">
        <f t="shared" si="80"/>
        <v>51-75</v>
      </c>
      <c r="U352">
        <v>3</v>
      </c>
      <c r="V352" t="s">
        <v>63</v>
      </c>
      <c r="W352">
        <v>1</v>
      </c>
      <c r="X352" t="s">
        <v>97</v>
      </c>
      <c r="Y352">
        <v>3</v>
      </c>
      <c r="Z352" t="s">
        <v>63</v>
      </c>
      <c r="AA352" t="s">
        <v>86</v>
      </c>
      <c r="AB352" s="4">
        <v>2696</v>
      </c>
      <c r="AC352" s="4" t="str">
        <f t="shared" si="81"/>
        <v>$2,500-$4,000</v>
      </c>
      <c r="AD352">
        <v>24017</v>
      </c>
      <c r="AE352" t="str">
        <f t="shared" si="82"/>
        <v>$22,001-$26,999</v>
      </c>
      <c r="AF352">
        <v>0</v>
      </c>
      <c r="AG352" t="str">
        <f t="shared" si="83"/>
        <v>0-1</v>
      </c>
      <c r="AH352" t="s">
        <v>67</v>
      </c>
      <c r="AI352" t="s">
        <v>56</v>
      </c>
      <c r="AJ352">
        <v>11</v>
      </c>
      <c r="AK352" t="str">
        <f t="shared" si="84"/>
        <v>11-12%</v>
      </c>
      <c r="AL352">
        <v>3</v>
      </c>
      <c r="AM352" t="s">
        <v>68</v>
      </c>
      <c r="AN352">
        <v>3</v>
      </c>
      <c r="AO352" t="s">
        <v>63</v>
      </c>
      <c r="AP352">
        <v>80</v>
      </c>
      <c r="AQ352">
        <v>1</v>
      </c>
      <c r="AR352">
        <v>4</v>
      </c>
      <c r="AS352" t="str">
        <f t="shared" si="85"/>
        <v>3-5</v>
      </c>
      <c r="AT352">
        <v>5</v>
      </c>
      <c r="AU352" t="str">
        <f t="shared" si="86"/>
        <v>5-6</v>
      </c>
      <c r="AV352">
        <v>3</v>
      </c>
      <c r="AW352" t="s">
        <v>79</v>
      </c>
      <c r="AX352">
        <v>3</v>
      </c>
      <c r="AY352" t="str">
        <f t="shared" si="75"/>
        <v>2-5</v>
      </c>
      <c r="AZ352">
        <v>2</v>
      </c>
      <c r="BA352" t="str">
        <f t="shared" si="87"/>
        <v>2-5</v>
      </c>
      <c r="BB352">
        <v>1</v>
      </c>
      <c r="BC352" t="str">
        <f t="shared" si="88"/>
        <v>0-1</v>
      </c>
      <c r="BD352">
        <v>0</v>
      </c>
      <c r="BE352" t="str">
        <f t="shared" si="89"/>
        <v>0-1</v>
      </c>
    </row>
    <row r="353" spans="1:57" x14ac:dyDescent="0.3">
      <c r="A353">
        <v>471</v>
      </c>
      <c r="B353">
        <v>32</v>
      </c>
      <c r="C353" t="str">
        <f t="shared" si="76"/>
        <v>26-35</v>
      </c>
      <c r="D353" t="s">
        <v>71</v>
      </c>
      <c r="E353">
        <f t="shared" si="77"/>
        <v>0</v>
      </c>
      <c r="F353" t="s">
        <v>57</v>
      </c>
      <c r="G353">
        <v>1062</v>
      </c>
      <c r="H353" t="str">
        <f t="shared" si="78"/>
        <v>1001-1499</v>
      </c>
      <c r="I353" t="s">
        <v>73</v>
      </c>
      <c r="J353">
        <v>2</v>
      </c>
      <c r="K353" t="str">
        <f t="shared" si="79"/>
        <v>1-5</v>
      </c>
      <c r="L353">
        <v>3</v>
      </c>
      <c r="M353" t="s">
        <v>85</v>
      </c>
      <c r="N353" t="s">
        <v>83</v>
      </c>
      <c r="O353">
        <v>1</v>
      </c>
      <c r="P353">
        <v>3</v>
      </c>
      <c r="Q353" t="s">
        <v>63</v>
      </c>
      <c r="R353" t="s">
        <v>62</v>
      </c>
      <c r="S353">
        <v>75</v>
      </c>
      <c r="T353" t="str">
        <f t="shared" si="80"/>
        <v>51-75</v>
      </c>
      <c r="U353">
        <v>3</v>
      </c>
      <c r="V353" t="s">
        <v>63</v>
      </c>
      <c r="W353">
        <v>1</v>
      </c>
      <c r="X353" t="s">
        <v>81</v>
      </c>
      <c r="Y353">
        <v>2</v>
      </c>
      <c r="Z353" t="s">
        <v>61</v>
      </c>
      <c r="AA353" t="s">
        <v>77</v>
      </c>
      <c r="AB353" s="4">
        <v>2370</v>
      </c>
      <c r="AC353" s="4" t="str">
        <f t="shared" si="81"/>
        <v>$1,000-$2,500</v>
      </c>
      <c r="AD353">
        <v>3956</v>
      </c>
      <c r="AE353" t="str">
        <f t="shared" si="82"/>
        <v>$2,094-$8,000</v>
      </c>
      <c r="AF353">
        <v>1</v>
      </c>
      <c r="AG353" t="str">
        <f t="shared" si="83"/>
        <v>0-1</v>
      </c>
      <c r="AH353" t="s">
        <v>67</v>
      </c>
      <c r="AI353" t="s">
        <v>71</v>
      </c>
      <c r="AJ353">
        <v>13</v>
      </c>
      <c r="AK353" t="str">
        <f t="shared" si="84"/>
        <v>13-15%</v>
      </c>
      <c r="AL353">
        <v>3</v>
      </c>
      <c r="AM353" t="s">
        <v>68</v>
      </c>
      <c r="AN353">
        <v>3</v>
      </c>
      <c r="AO353" t="s">
        <v>63</v>
      </c>
      <c r="AP353">
        <v>80</v>
      </c>
      <c r="AQ353">
        <v>1</v>
      </c>
      <c r="AR353">
        <v>8</v>
      </c>
      <c r="AS353" t="str">
        <f t="shared" si="85"/>
        <v>6-10</v>
      </c>
      <c r="AT353">
        <v>4</v>
      </c>
      <c r="AU353" t="str">
        <f t="shared" si="86"/>
        <v>3-4</v>
      </c>
      <c r="AV353">
        <v>3</v>
      </c>
      <c r="AW353" t="s">
        <v>79</v>
      </c>
      <c r="AX353">
        <v>8</v>
      </c>
      <c r="AY353" t="str">
        <f t="shared" si="75"/>
        <v>6-10</v>
      </c>
      <c r="AZ353">
        <v>0</v>
      </c>
      <c r="BA353" t="str">
        <f t="shared" si="87"/>
        <v>0-1</v>
      </c>
      <c r="BB353">
        <v>0</v>
      </c>
      <c r="BC353" t="str">
        <f t="shared" si="88"/>
        <v>0-1</v>
      </c>
      <c r="BD353">
        <v>7</v>
      </c>
      <c r="BE353" t="str">
        <f t="shared" si="89"/>
        <v>6-10</v>
      </c>
    </row>
    <row r="354" spans="1:57" x14ac:dyDescent="0.3">
      <c r="A354">
        <v>473</v>
      </c>
      <c r="B354">
        <v>48</v>
      </c>
      <c r="C354" t="str">
        <f t="shared" si="76"/>
        <v>46-55</v>
      </c>
      <c r="D354" t="s">
        <v>71</v>
      </c>
      <c r="E354">
        <f t="shared" si="77"/>
        <v>0</v>
      </c>
      <c r="F354" t="s">
        <v>57</v>
      </c>
      <c r="G354">
        <v>530</v>
      </c>
      <c r="H354" t="str">
        <f t="shared" si="78"/>
        <v>501-1000</v>
      </c>
      <c r="I354" t="s">
        <v>58</v>
      </c>
      <c r="J354">
        <v>29</v>
      </c>
      <c r="K354" t="str">
        <f t="shared" si="79"/>
        <v>21-29</v>
      </c>
      <c r="L354">
        <v>1</v>
      </c>
      <c r="M354" t="s">
        <v>74</v>
      </c>
      <c r="N354" t="s">
        <v>83</v>
      </c>
      <c r="O354">
        <v>1</v>
      </c>
      <c r="P354">
        <v>1</v>
      </c>
      <c r="Q354" t="s">
        <v>69</v>
      </c>
      <c r="R354" t="s">
        <v>62</v>
      </c>
      <c r="S354">
        <v>91</v>
      </c>
      <c r="T354" t="str">
        <f t="shared" si="80"/>
        <v>76-100</v>
      </c>
      <c r="U354">
        <v>3</v>
      </c>
      <c r="V354" t="s">
        <v>63</v>
      </c>
      <c r="W354">
        <v>3</v>
      </c>
      <c r="X354" t="s">
        <v>90</v>
      </c>
      <c r="Y354">
        <v>3</v>
      </c>
      <c r="Z354" t="s">
        <v>63</v>
      </c>
      <c r="AA354" t="s">
        <v>77</v>
      </c>
      <c r="AB354" s="4">
        <v>12504</v>
      </c>
      <c r="AC354" s="4" t="str">
        <f t="shared" si="81"/>
        <v>$11,500-$13,000</v>
      </c>
      <c r="AD354">
        <v>23978</v>
      </c>
      <c r="AE354" t="str">
        <f t="shared" si="82"/>
        <v>$22,001-$26,999</v>
      </c>
      <c r="AF354">
        <v>3</v>
      </c>
      <c r="AG354" t="str">
        <f t="shared" si="83"/>
        <v>2-3</v>
      </c>
      <c r="AH354" t="s">
        <v>67</v>
      </c>
      <c r="AI354" t="s">
        <v>71</v>
      </c>
      <c r="AJ354">
        <v>21</v>
      </c>
      <c r="AK354" t="str">
        <f t="shared" si="84"/>
        <v>18-19%</v>
      </c>
      <c r="AL354">
        <v>4</v>
      </c>
      <c r="AM354" t="s">
        <v>78</v>
      </c>
      <c r="AN354">
        <v>2</v>
      </c>
      <c r="AO354" t="s">
        <v>61</v>
      </c>
      <c r="AP354">
        <v>80</v>
      </c>
      <c r="AQ354">
        <v>1</v>
      </c>
      <c r="AR354">
        <v>15</v>
      </c>
      <c r="AS354" t="str">
        <f t="shared" si="85"/>
        <v>11-20</v>
      </c>
      <c r="AT354">
        <v>3</v>
      </c>
      <c r="AU354" t="str">
        <f t="shared" si="86"/>
        <v>3-4</v>
      </c>
      <c r="AV354">
        <v>1</v>
      </c>
      <c r="AW354" t="s">
        <v>70</v>
      </c>
      <c r="AX354">
        <v>0</v>
      </c>
      <c r="AY354" t="str">
        <f t="shared" si="75"/>
        <v>0-1</v>
      </c>
      <c r="AZ354">
        <v>0</v>
      </c>
      <c r="BA354" t="str">
        <f t="shared" si="87"/>
        <v>0-1</v>
      </c>
      <c r="BB354">
        <v>0</v>
      </c>
      <c r="BC354" t="str">
        <f t="shared" si="88"/>
        <v>0-1</v>
      </c>
      <c r="BD354">
        <v>0</v>
      </c>
      <c r="BE354" t="str">
        <f t="shared" si="89"/>
        <v>0-1</v>
      </c>
    </row>
    <row r="355" spans="1:57" x14ac:dyDescent="0.3">
      <c r="A355">
        <v>474</v>
      </c>
      <c r="B355">
        <v>37</v>
      </c>
      <c r="C355" t="str">
        <f t="shared" si="76"/>
        <v>36-45</v>
      </c>
      <c r="D355" t="s">
        <v>71</v>
      </c>
      <c r="E355">
        <f t="shared" si="77"/>
        <v>0</v>
      </c>
      <c r="F355" t="s">
        <v>57</v>
      </c>
      <c r="G355">
        <v>1319</v>
      </c>
      <c r="H355" t="str">
        <f t="shared" si="78"/>
        <v>1001-1499</v>
      </c>
      <c r="I355" t="s">
        <v>73</v>
      </c>
      <c r="J355">
        <v>6</v>
      </c>
      <c r="K355" t="str">
        <f t="shared" si="79"/>
        <v>6-10</v>
      </c>
      <c r="L355">
        <v>3</v>
      </c>
      <c r="M355" t="s">
        <v>85</v>
      </c>
      <c r="N355" t="s">
        <v>83</v>
      </c>
      <c r="O355">
        <v>1</v>
      </c>
      <c r="P355">
        <v>3</v>
      </c>
      <c r="Q355" t="s">
        <v>63</v>
      </c>
      <c r="R355" t="s">
        <v>75</v>
      </c>
      <c r="S355">
        <v>51</v>
      </c>
      <c r="T355" t="str">
        <f t="shared" si="80"/>
        <v>51-75</v>
      </c>
      <c r="U355">
        <v>4</v>
      </c>
      <c r="V355" t="s">
        <v>65</v>
      </c>
      <c r="W355">
        <v>2</v>
      </c>
      <c r="X355" t="s">
        <v>76</v>
      </c>
      <c r="Y355">
        <v>1</v>
      </c>
      <c r="Z355" t="s">
        <v>69</v>
      </c>
      <c r="AA355" t="s">
        <v>86</v>
      </c>
      <c r="AB355" s="4">
        <v>5974</v>
      </c>
      <c r="AC355" s="4" t="str">
        <f t="shared" si="81"/>
        <v>$5,500-$7,000</v>
      </c>
      <c r="AD355">
        <v>17001</v>
      </c>
      <c r="AE355" t="str">
        <f t="shared" si="82"/>
        <v>$16,001-$22,000</v>
      </c>
      <c r="AF355">
        <v>4</v>
      </c>
      <c r="AG355" t="str">
        <f t="shared" si="83"/>
        <v>4-6</v>
      </c>
      <c r="AH355" t="s">
        <v>67</v>
      </c>
      <c r="AI355" t="s">
        <v>56</v>
      </c>
      <c r="AJ355">
        <v>13</v>
      </c>
      <c r="AK355" t="str">
        <f t="shared" si="84"/>
        <v>13-15%</v>
      </c>
      <c r="AL355">
        <v>3</v>
      </c>
      <c r="AM355" t="s">
        <v>68</v>
      </c>
      <c r="AN355">
        <v>1</v>
      </c>
      <c r="AO355" t="s">
        <v>69</v>
      </c>
      <c r="AP355">
        <v>80</v>
      </c>
      <c r="AQ355">
        <v>2</v>
      </c>
      <c r="AR355">
        <v>13</v>
      </c>
      <c r="AS355" t="str">
        <f t="shared" si="85"/>
        <v>11-20</v>
      </c>
      <c r="AT355">
        <v>2</v>
      </c>
      <c r="AU355" t="str">
        <f t="shared" si="86"/>
        <v>0-2</v>
      </c>
      <c r="AV355">
        <v>3</v>
      </c>
      <c r="AW355" t="s">
        <v>79</v>
      </c>
      <c r="AX355">
        <v>7</v>
      </c>
      <c r="AY355" t="str">
        <f t="shared" si="75"/>
        <v>6-10</v>
      </c>
      <c r="AZ355">
        <v>7</v>
      </c>
      <c r="BA355" t="str">
        <f t="shared" si="87"/>
        <v>6-10</v>
      </c>
      <c r="BB355">
        <v>6</v>
      </c>
      <c r="BC355" t="str">
        <f t="shared" si="88"/>
        <v>6-10</v>
      </c>
      <c r="BD355">
        <v>7</v>
      </c>
      <c r="BE355" t="str">
        <f t="shared" si="89"/>
        <v>6-10</v>
      </c>
    </row>
    <row r="356" spans="1:57" x14ac:dyDescent="0.3">
      <c r="A356">
        <v>475</v>
      </c>
      <c r="B356">
        <v>30</v>
      </c>
      <c r="C356" t="str">
        <f t="shared" si="76"/>
        <v>26-35</v>
      </c>
      <c r="D356" t="s">
        <v>71</v>
      </c>
      <c r="E356">
        <f t="shared" si="77"/>
        <v>0</v>
      </c>
      <c r="F356" t="s">
        <v>89</v>
      </c>
      <c r="G356">
        <v>641</v>
      </c>
      <c r="H356" t="str">
        <f t="shared" si="78"/>
        <v>501-1000</v>
      </c>
      <c r="I356" t="s">
        <v>58</v>
      </c>
      <c r="J356">
        <v>25</v>
      </c>
      <c r="K356" t="str">
        <f t="shared" si="79"/>
        <v>21-29</v>
      </c>
      <c r="L356">
        <v>2</v>
      </c>
      <c r="M356" t="s">
        <v>59</v>
      </c>
      <c r="N356" t="s">
        <v>95</v>
      </c>
      <c r="O356">
        <v>1</v>
      </c>
      <c r="P356">
        <v>4</v>
      </c>
      <c r="Q356" t="s">
        <v>65</v>
      </c>
      <c r="R356" t="s">
        <v>62</v>
      </c>
      <c r="S356">
        <v>85</v>
      </c>
      <c r="T356" t="str">
        <f t="shared" si="80"/>
        <v>76-100</v>
      </c>
      <c r="U356">
        <v>3</v>
      </c>
      <c r="V356" t="s">
        <v>63</v>
      </c>
      <c r="W356">
        <v>2</v>
      </c>
      <c r="X356" t="s">
        <v>64</v>
      </c>
      <c r="Y356">
        <v>3</v>
      </c>
      <c r="Z356" t="s">
        <v>63</v>
      </c>
      <c r="AA356" t="s">
        <v>77</v>
      </c>
      <c r="AB356" s="4">
        <v>4736</v>
      </c>
      <c r="AC356" s="4" t="str">
        <f t="shared" si="81"/>
        <v>$4,000-$5,500</v>
      </c>
      <c r="AD356">
        <v>6069</v>
      </c>
      <c r="AE356" t="str">
        <f t="shared" si="82"/>
        <v>$2,094-$8,000</v>
      </c>
      <c r="AF356">
        <v>7</v>
      </c>
      <c r="AG356" t="str">
        <f t="shared" si="83"/>
        <v>7-9</v>
      </c>
      <c r="AH356" t="s">
        <v>67</v>
      </c>
      <c r="AI356" t="s">
        <v>56</v>
      </c>
      <c r="AJ356">
        <v>12</v>
      </c>
      <c r="AK356" t="str">
        <f t="shared" si="84"/>
        <v>11-12%</v>
      </c>
      <c r="AL356">
        <v>3</v>
      </c>
      <c r="AM356" t="s">
        <v>68</v>
      </c>
      <c r="AN356">
        <v>2</v>
      </c>
      <c r="AO356" t="s">
        <v>61</v>
      </c>
      <c r="AP356">
        <v>80</v>
      </c>
      <c r="AQ356">
        <v>1</v>
      </c>
      <c r="AR356">
        <v>4</v>
      </c>
      <c r="AS356" t="str">
        <f t="shared" si="85"/>
        <v>3-5</v>
      </c>
      <c r="AT356">
        <v>2</v>
      </c>
      <c r="AU356" t="str">
        <f t="shared" si="86"/>
        <v>0-2</v>
      </c>
      <c r="AV356">
        <v>4</v>
      </c>
      <c r="AW356" t="s">
        <v>94</v>
      </c>
      <c r="AX356">
        <v>2</v>
      </c>
      <c r="AY356" t="str">
        <f t="shared" si="75"/>
        <v>2-5</v>
      </c>
      <c r="AZ356">
        <v>2</v>
      </c>
      <c r="BA356" t="str">
        <f t="shared" si="87"/>
        <v>2-5</v>
      </c>
      <c r="BB356">
        <v>2</v>
      </c>
      <c r="BC356" t="str">
        <f t="shared" si="88"/>
        <v>2-5</v>
      </c>
      <c r="BD356">
        <v>2</v>
      </c>
      <c r="BE356" t="str">
        <f t="shared" si="89"/>
        <v>2-5</v>
      </c>
    </row>
    <row r="357" spans="1:57" x14ac:dyDescent="0.3">
      <c r="A357">
        <v>476</v>
      </c>
      <c r="B357">
        <v>26</v>
      </c>
      <c r="C357" t="str">
        <f t="shared" si="76"/>
        <v>26-35</v>
      </c>
      <c r="D357" t="s">
        <v>71</v>
      </c>
      <c r="E357">
        <f t="shared" si="77"/>
        <v>0</v>
      </c>
      <c r="F357" t="s">
        <v>57</v>
      </c>
      <c r="G357">
        <v>933</v>
      </c>
      <c r="H357" t="str">
        <f t="shared" si="78"/>
        <v>501-1000</v>
      </c>
      <c r="I357" t="s">
        <v>58</v>
      </c>
      <c r="J357">
        <v>1</v>
      </c>
      <c r="K357" t="str">
        <f t="shared" si="79"/>
        <v>1-5</v>
      </c>
      <c r="L357">
        <v>3</v>
      </c>
      <c r="M357" t="s">
        <v>85</v>
      </c>
      <c r="N357" t="s">
        <v>60</v>
      </c>
      <c r="O357">
        <v>1</v>
      </c>
      <c r="P357">
        <v>3</v>
      </c>
      <c r="Q357" t="s">
        <v>63</v>
      </c>
      <c r="R357" t="s">
        <v>75</v>
      </c>
      <c r="S357">
        <v>57</v>
      </c>
      <c r="T357" t="str">
        <f t="shared" si="80"/>
        <v>51-75</v>
      </c>
      <c r="U357">
        <v>3</v>
      </c>
      <c r="V357" t="s">
        <v>63</v>
      </c>
      <c r="W357">
        <v>2</v>
      </c>
      <c r="X357" t="s">
        <v>64</v>
      </c>
      <c r="Y357">
        <v>3</v>
      </c>
      <c r="Z357" t="s">
        <v>63</v>
      </c>
      <c r="AA357" t="s">
        <v>77</v>
      </c>
      <c r="AB357" s="4">
        <v>5296</v>
      </c>
      <c r="AC357" s="4" t="str">
        <f t="shared" si="81"/>
        <v>$4,000-$5,500</v>
      </c>
      <c r="AD357">
        <v>20156</v>
      </c>
      <c r="AE357" t="str">
        <f t="shared" si="82"/>
        <v>$16,001-$22,000</v>
      </c>
      <c r="AF357">
        <v>1</v>
      </c>
      <c r="AG357" t="str">
        <f t="shared" si="83"/>
        <v>0-1</v>
      </c>
      <c r="AH357" t="s">
        <v>67</v>
      </c>
      <c r="AI357" t="s">
        <v>71</v>
      </c>
      <c r="AJ357">
        <v>17</v>
      </c>
      <c r="AK357" t="str">
        <f t="shared" si="84"/>
        <v>16-17%</v>
      </c>
      <c r="AL357">
        <v>3</v>
      </c>
      <c r="AM357" t="s">
        <v>68</v>
      </c>
      <c r="AN357">
        <v>2</v>
      </c>
      <c r="AO357" t="s">
        <v>61</v>
      </c>
      <c r="AP357">
        <v>80</v>
      </c>
      <c r="AQ357">
        <v>1</v>
      </c>
      <c r="AR357">
        <v>8</v>
      </c>
      <c r="AS357" t="str">
        <f t="shared" si="85"/>
        <v>6-10</v>
      </c>
      <c r="AT357">
        <v>3</v>
      </c>
      <c r="AU357" t="str">
        <f t="shared" si="86"/>
        <v>3-4</v>
      </c>
      <c r="AV357">
        <v>3</v>
      </c>
      <c r="AW357" t="s">
        <v>79</v>
      </c>
      <c r="AX357">
        <v>8</v>
      </c>
      <c r="AY357" t="str">
        <f t="shared" si="75"/>
        <v>6-10</v>
      </c>
      <c r="AZ357">
        <v>7</v>
      </c>
      <c r="BA357" t="str">
        <f t="shared" si="87"/>
        <v>6-10</v>
      </c>
      <c r="BB357">
        <v>7</v>
      </c>
      <c r="BC357" t="str">
        <f t="shared" si="88"/>
        <v>6-10</v>
      </c>
      <c r="BD357">
        <v>7</v>
      </c>
      <c r="BE357" t="str">
        <f t="shared" si="89"/>
        <v>6-10</v>
      </c>
    </row>
    <row r="358" spans="1:57" x14ac:dyDescent="0.3">
      <c r="A358">
        <v>477</v>
      </c>
      <c r="B358">
        <v>42</v>
      </c>
      <c r="C358" t="str">
        <f t="shared" si="76"/>
        <v>36-45</v>
      </c>
      <c r="D358" t="s">
        <v>71</v>
      </c>
      <c r="E358">
        <f t="shared" si="77"/>
        <v>0</v>
      </c>
      <c r="F358" t="s">
        <v>57</v>
      </c>
      <c r="G358">
        <v>1332</v>
      </c>
      <c r="H358" t="str">
        <f t="shared" si="78"/>
        <v>1001-1499</v>
      </c>
      <c r="I358" t="s">
        <v>73</v>
      </c>
      <c r="J358">
        <v>2</v>
      </c>
      <c r="K358" t="str">
        <f t="shared" si="79"/>
        <v>1-5</v>
      </c>
      <c r="L358">
        <v>4</v>
      </c>
      <c r="M358" t="s">
        <v>82</v>
      </c>
      <c r="N358" t="s">
        <v>80</v>
      </c>
      <c r="O358">
        <v>1</v>
      </c>
      <c r="P358">
        <v>1</v>
      </c>
      <c r="Q358" t="s">
        <v>69</v>
      </c>
      <c r="R358" t="s">
        <v>75</v>
      </c>
      <c r="S358">
        <v>98</v>
      </c>
      <c r="T358" t="str">
        <f t="shared" si="80"/>
        <v>76-100</v>
      </c>
      <c r="U358">
        <v>2</v>
      </c>
      <c r="V358" t="s">
        <v>61</v>
      </c>
      <c r="W358">
        <v>2</v>
      </c>
      <c r="X358" t="s">
        <v>88</v>
      </c>
      <c r="Y358">
        <v>4</v>
      </c>
      <c r="Z358" t="s">
        <v>65</v>
      </c>
      <c r="AA358" t="s">
        <v>66</v>
      </c>
      <c r="AB358" s="4">
        <v>6781</v>
      </c>
      <c r="AC358" s="4" t="str">
        <f t="shared" si="81"/>
        <v>$5,500-$7,000</v>
      </c>
      <c r="AD358">
        <v>17078</v>
      </c>
      <c r="AE358" t="str">
        <f t="shared" si="82"/>
        <v>$16,001-$22,000</v>
      </c>
      <c r="AF358">
        <v>3</v>
      </c>
      <c r="AG358" t="str">
        <f t="shared" si="83"/>
        <v>2-3</v>
      </c>
      <c r="AH358" t="s">
        <v>67</v>
      </c>
      <c r="AI358" t="s">
        <v>71</v>
      </c>
      <c r="AJ358">
        <v>23</v>
      </c>
      <c r="AK358" t="str">
        <f t="shared" si="84"/>
        <v>18-19%</v>
      </c>
      <c r="AL358">
        <v>4</v>
      </c>
      <c r="AM358" t="s">
        <v>78</v>
      </c>
      <c r="AN358">
        <v>2</v>
      </c>
      <c r="AO358" t="s">
        <v>61</v>
      </c>
      <c r="AP358">
        <v>80</v>
      </c>
      <c r="AQ358">
        <v>0</v>
      </c>
      <c r="AR358">
        <v>14</v>
      </c>
      <c r="AS358" t="str">
        <f t="shared" si="85"/>
        <v>11-20</v>
      </c>
      <c r="AT358">
        <v>6</v>
      </c>
      <c r="AU358" t="str">
        <f t="shared" si="86"/>
        <v>5-6</v>
      </c>
      <c r="AV358">
        <v>3</v>
      </c>
      <c r="AW358" t="s">
        <v>79</v>
      </c>
      <c r="AX358">
        <v>1</v>
      </c>
      <c r="AY358" t="str">
        <f t="shared" si="75"/>
        <v>0-1</v>
      </c>
      <c r="AZ358">
        <v>0</v>
      </c>
      <c r="BA358" t="str">
        <f t="shared" si="87"/>
        <v>0-1</v>
      </c>
      <c r="BB358">
        <v>0</v>
      </c>
      <c r="BC358" t="str">
        <f t="shared" si="88"/>
        <v>0-1</v>
      </c>
      <c r="BD358">
        <v>0</v>
      </c>
      <c r="BE358" t="str">
        <f t="shared" si="89"/>
        <v>0-1</v>
      </c>
    </row>
    <row r="359" spans="1:57" x14ac:dyDescent="0.3">
      <c r="A359">
        <v>478</v>
      </c>
      <c r="B359">
        <v>21</v>
      </c>
      <c r="C359" t="str">
        <f t="shared" si="76"/>
        <v>18-25</v>
      </c>
      <c r="D359" t="s">
        <v>56</v>
      </c>
      <c r="E359">
        <f t="shared" si="77"/>
        <v>1</v>
      </c>
      <c r="F359" t="s">
        <v>72</v>
      </c>
      <c r="G359">
        <v>756</v>
      </c>
      <c r="H359" t="str">
        <f t="shared" si="78"/>
        <v>501-1000</v>
      </c>
      <c r="I359" t="s">
        <v>58</v>
      </c>
      <c r="J359">
        <v>1</v>
      </c>
      <c r="K359" t="str">
        <f t="shared" si="79"/>
        <v>1-5</v>
      </c>
      <c r="L359">
        <v>1</v>
      </c>
      <c r="M359" t="s">
        <v>74</v>
      </c>
      <c r="N359" t="s">
        <v>95</v>
      </c>
      <c r="O359">
        <v>1</v>
      </c>
      <c r="P359">
        <v>1</v>
      </c>
      <c r="Q359" t="s">
        <v>69</v>
      </c>
      <c r="R359" t="s">
        <v>62</v>
      </c>
      <c r="S359">
        <v>99</v>
      </c>
      <c r="T359" t="str">
        <f t="shared" si="80"/>
        <v>76-100</v>
      </c>
      <c r="U359">
        <v>2</v>
      </c>
      <c r="V359" t="s">
        <v>61</v>
      </c>
      <c r="W359">
        <v>1</v>
      </c>
      <c r="X359" t="s">
        <v>91</v>
      </c>
      <c r="Y359">
        <v>2</v>
      </c>
      <c r="Z359" t="s">
        <v>61</v>
      </c>
      <c r="AA359" t="s">
        <v>66</v>
      </c>
      <c r="AB359" s="4">
        <v>2174</v>
      </c>
      <c r="AC359" s="4" t="str">
        <f t="shared" si="81"/>
        <v>$1,000-$2,500</v>
      </c>
      <c r="AD359">
        <v>9150</v>
      </c>
      <c r="AE359" t="str">
        <f t="shared" si="82"/>
        <v>$8,001-$16,000</v>
      </c>
      <c r="AF359">
        <v>1</v>
      </c>
      <c r="AG359" t="str">
        <f t="shared" si="83"/>
        <v>0-1</v>
      </c>
      <c r="AH359" t="s">
        <v>67</v>
      </c>
      <c r="AI359" t="s">
        <v>56</v>
      </c>
      <c r="AJ359">
        <v>11</v>
      </c>
      <c r="AK359" t="str">
        <f t="shared" si="84"/>
        <v>11-12%</v>
      </c>
      <c r="AL359">
        <v>3</v>
      </c>
      <c r="AM359" t="s">
        <v>68</v>
      </c>
      <c r="AN359">
        <v>3</v>
      </c>
      <c r="AO359" t="s">
        <v>63</v>
      </c>
      <c r="AP359">
        <v>80</v>
      </c>
      <c r="AQ359">
        <v>0</v>
      </c>
      <c r="AR359">
        <v>3</v>
      </c>
      <c r="AS359" t="str">
        <f t="shared" si="85"/>
        <v>3-5</v>
      </c>
      <c r="AT359">
        <v>3</v>
      </c>
      <c r="AU359" t="str">
        <f t="shared" si="86"/>
        <v>3-4</v>
      </c>
      <c r="AV359">
        <v>3</v>
      </c>
      <c r="AW359" t="s">
        <v>79</v>
      </c>
      <c r="AX359">
        <v>3</v>
      </c>
      <c r="AY359" t="str">
        <f t="shared" si="75"/>
        <v>2-5</v>
      </c>
      <c r="AZ359">
        <v>2</v>
      </c>
      <c r="BA359" t="str">
        <f t="shared" si="87"/>
        <v>2-5</v>
      </c>
      <c r="BB359">
        <v>1</v>
      </c>
      <c r="BC359" t="str">
        <f t="shared" si="88"/>
        <v>0-1</v>
      </c>
      <c r="BD359">
        <v>2</v>
      </c>
      <c r="BE359" t="str">
        <f t="shared" si="89"/>
        <v>2-5</v>
      </c>
    </row>
    <row r="360" spans="1:57" x14ac:dyDescent="0.3">
      <c r="A360">
        <v>479</v>
      </c>
      <c r="B360">
        <v>36</v>
      </c>
      <c r="C360" t="str">
        <f t="shared" si="76"/>
        <v>36-45</v>
      </c>
      <c r="D360" t="s">
        <v>71</v>
      </c>
      <c r="E360">
        <f t="shared" si="77"/>
        <v>0</v>
      </c>
      <c r="F360" t="s">
        <v>89</v>
      </c>
      <c r="G360">
        <v>845</v>
      </c>
      <c r="H360" t="str">
        <f t="shared" si="78"/>
        <v>501-1000</v>
      </c>
      <c r="I360" t="s">
        <v>58</v>
      </c>
      <c r="J360">
        <v>1</v>
      </c>
      <c r="K360" t="str">
        <f t="shared" si="79"/>
        <v>1-5</v>
      </c>
      <c r="L360">
        <v>5</v>
      </c>
      <c r="M360" t="s">
        <v>96</v>
      </c>
      <c r="N360" t="s">
        <v>83</v>
      </c>
      <c r="O360">
        <v>1</v>
      </c>
      <c r="P360">
        <v>4</v>
      </c>
      <c r="Q360" t="s">
        <v>65</v>
      </c>
      <c r="R360" t="s">
        <v>62</v>
      </c>
      <c r="S360">
        <v>45</v>
      </c>
      <c r="T360" t="str">
        <f t="shared" si="80"/>
        <v>30-50</v>
      </c>
      <c r="U360">
        <v>3</v>
      </c>
      <c r="V360" t="s">
        <v>63</v>
      </c>
      <c r="W360">
        <v>2</v>
      </c>
      <c r="X360" t="s">
        <v>64</v>
      </c>
      <c r="Y360">
        <v>4</v>
      </c>
      <c r="Z360" t="s">
        <v>65</v>
      </c>
      <c r="AA360" t="s">
        <v>66</v>
      </c>
      <c r="AB360" s="4">
        <v>6653</v>
      </c>
      <c r="AC360" s="4" t="str">
        <f t="shared" si="81"/>
        <v>$5,500-$7,000</v>
      </c>
      <c r="AD360">
        <v>15276</v>
      </c>
      <c r="AE360" t="str">
        <f t="shared" si="82"/>
        <v>$8,001-$16,000</v>
      </c>
      <c r="AF360">
        <v>4</v>
      </c>
      <c r="AG360" t="str">
        <f t="shared" si="83"/>
        <v>4-6</v>
      </c>
      <c r="AH360" t="s">
        <v>67</v>
      </c>
      <c r="AI360" t="s">
        <v>71</v>
      </c>
      <c r="AJ360">
        <v>15</v>
      </c>
      <c r="AK360" t="str">
        <f t="shared" si="84"/>
        <v>13-15%</v>
      </c>
      <c r="AL360">
        <v>3</v>
      </c>
      <c r="AM360" t="s">
        <v>68</v>
      </c>
      <c r="AN360">
        <v>2</v>
      </c>
      <c r="AO360" t="s">
        <v>61</v>
      </c>
      <c r="AP360">
        <v>80</v>
      </c>
      <c r="AQ360">
        <v>0</v>
      </c>
      <c r="AR360">
        <v>7</v>
      </c>
      <c r="AS360" t="str">
        <f t="shared" si="85"/>
        <v>6-10</v>
      </c>
      <c r="AT360">
        <v>6</v>
      </c>
      <c r="AU360" t="str">
        <f t="shared" si="86"/>
        <v>5-6</v>
      </c>
      <c r="AV360">
        <v>3</v>
      </c>
      <c r="AW360" t="s">
        <v>79</v>
      </c>
      <c r="AX360">
        <v>1</v>
      </c>
      <c r="AY360" t="str">
        <f t="shared" si="75"/>
        <v>0-1</v>
      </c>
      <c r="AZ360">
        <v>0</v>
      </c>
      <c r="BA360" t="str">
        <f t="shared" si="87"/>
        <v>0-1</v>
      </c>
      <c r="BB360">
        <v>0</v>
      </c>
      <c r="BC360" t="str">
        <f t="shared" si="88"/>
        <v>0-1</v>
      </c>
      <c r="BD360">
        <v>0</v>
      </c>
      <c r="BE360" t="str">
        <f t="shared" si="89"/>
        <v>0-1</v>
      </c>
    </row>
    <row r="361" spans="1:57" x14ac:dyDescent="0.3">
      <c r="A361">
        <v>481</v>
      </c>
      <c r="B361">
        <v>36</v>
      </c>
      <c r="C361" t="str">
        <f t="shared" si="76"/>
        <v>36-45</v>
      </c>
      <c r="D361" t="s">
        <v>71</v>
      </c>
      <c r="E361">
        <f t="shared" si="77"/>
        <v>0</v>
      </c>
      <c r="F361" t="s">
        <v>72</v>
      </c>
      <c r="G361">
        <v>541</v>
      </c>
      <c r="H361" t="str">
        <f t="shared" si="78"/>
        <v>501-1000</v>
      </c>
      <c r="I361" t="s">
        <v>58</v>
      </c>
      <c r="J361">
        <v>3</v>
      </c>
      <c r="K361" t="str">
        <f t="shared" si="79"/>
        <v>1-5</v>
      </c>
      <c r="L361">
        <v>4</v>
      </c>
      <c r="M361" t="s">
        <v>82</v>
      </c>
      <c r="N361" t="s">
        <v>83</v>
      </c>
      <c r="O361">
        <v>1</v>
      </c>
      <c r="P361">
        <v>1</v>
      </c>
      <c r="Q361" t="s">
        <v>69</v>
      </c>
      <c r="R361" t="s">
        <v>75</v>
      </c>
      <c r="S361">
        <v>48</v>
      </c>
      <c r="T361" t="str">
        <f t="shared" si="80"/>
        <v>30-50</v>
      </c>
      <c r="U361">
        <v>2</v>
      </c>
      <c r="V361" t="s">
        <v>61</v>
      </c>
      <c r="W361">
        <v>3</v>
      </c>
      <c r="X361" t="s">
        <v>64</v>
      </c>
      <c r="Y361">
        <v>4</v>
      </c>
      <c r="Z361" t="s">
        <v>65</v>
      </c>
      <c r="AA361" t="s">
        <v>77</v>
      </c>
      <c r="AB361" s="4">
        <v>9699</v>
      </c>
      <c r="AC361" s="4" t="str">
        <f t="shared" si="81"/>
        <v>$8,500-$10,000</v>
      </c>
      <c r="AD361">
        <v>7246</v>
      </c>
      <c r="AE361" t="str">
        <f t="shared" si="82"/>
        <v>$2,094-$8,000</v>
      </c>
      <c r="AF361">
        <v>4</v>
      </c>
      <c r="AG361" t="str">
        <f t="shared" si="83"/>
        <v>4-6</v>
      </c>
      <c r="AH361" t="s">
        <v>67</v>
      </c>
      <c r="AI361" t="s">
        <v>71</v>
      </c>
      <c r="AJ361">
        <v>11</v>
      </c>
      <c r="AK361" t="str">
        <f t="shared" si="84"/>
        <v>11-12%</v>
      </c>
      <c r="AL361">
        <v>3</v>
      </c>
      <c r="AM361" t="s">
        <v>68</v>
      </c>
      <c r="AN361">
        <v>1</v>
      </c>
      <c r="AO361" t="s">
        <v>69</v>
      </c>
      <c r="AP361">
        <v>80</v>
      </c>
      <c r="AQ361">
        <v>1</v>
      </c>
      <c r="AR361">
        <v>16</v>
      </c>
      <c r="AS361" t="str">
        <f t="shared" si="85"/>
        <v>11-20</v>
      </c>
      <c r="AT361">
        <v>2</v>
      </c>
      <c r="AU361" t="str">
        <f t="shared" si="86"/>
        <v>0-2</v>
      </c>
      <c r="AV361">
        <v>3</v>
      </c>
      <c r="AW361" t="s">
        <v>79</v>
      </c>
      <c r="AX361">
        <v>13</v>
      </c>
      <c r="AY361" t="str">
        <f t="shared" si="75"/>
        <v>11-20</v>
      </c>
      <c r="AZ361">
        <v>9</v>
      </c>
      <c r="BA361" t="str">
        <f t="shared" si="87"/>
        <v>6-10</v>
      </c>
      <c r="BB361">
        <v>1</v>
      </c>
      <c r="BC361" t="str">
        <f t="shared" si="88"/>
        <v>0-1</v>
      </c>
      <c r="BD361">
        <v>12</v>
      </c>
      <c r="BE361" t="str">
        <f t="shared" si="89"/>
        <v>11-17</v>
      </c>
    </row>
    <row r="362" spans="1:57" x14ac:dyDescent="0.3">
      <c r="A362">
        <v>482</v>
      </c>
      <c r="B362">
        <v>57</v>
      </c>
      <c r="C362" t="str">
        <f t="shared" si="76"/>
        <v>56+</v>
      </c>
      <c r="D362" t="s">
        <v>71</v>
      </c>
      <c r="E362">
        <f t="shared" si="77"/>
        <v>0</v>
      </c>
      <c r="F362" t="s">
        <v>57</v>
      </c>
      <c r="G362">
        <v>593</v>
      </c>
      <c r="H362" t="str">
        <f t="shared" si="78"/>
        <v>501-1000</v>
      </c>
      <c r="I362" t="s">
        <v>73</v>
      </c>
      <c r="J362">
        <v>1</v>
      </c>
      <c r="K362" t="str">
        <f t="shared" si="79"/>
        <v>1-5</v>
      </c>
      <c r="L362">
        <v>4</v>
      </c>
      <c r="M362" t="s">
        <v>82</v>
      </c>
      <c r="N362" t="s">
        <v>83</v>
      </c>
      <c r="O362">
        <v>1</v>
      </c>
      <c r="P362">
        <v>4</v>
      </c>
      <c r="Q362" t="s">
        <v>65</v>
      </c>
      <c r="R362" t="s">
        <v>75</v>
      </c>
      <c r="S362">
        <v>88</v>
      </c>
      <c r="T362" t="str">
        <f t="shared" si="80"/>
        <v>76-100</v>
      </c>
      <c r="U362">
        <v>3</v>
      </c>
      <c r="V362" t="s">
        <v>63</v>
      </c>
      <c r="W362">
        <v>2</v>
      </c>
      <c r="X362" t="s">
        <v>88</v>
      </c>
      <c r="Y362">
        <v>3</v>
      </c>
      <c r="Z362" t="s">
        <v>63</v>
      </c>
      <c r="AA362" t="s">
        <v>77</v>
      </c>
      <c r="AB362" s="4">
        <v>6755</v>
      </c>
      <c r="AC362" s="4" t="str">
        <f t="shared" si="81"/>
        <v>$5,500-$7,000</v>
      </c>
      <c r="AD362">
        <v>2967</v>
      </c>
      <c r="AE362" t="str">
        <f t="shared" si="82"/>
        <v>$2,094-$8,000</v>
      </c>
      <c r="AF362">
        <v>2</v>
      </c>
      <c r="AG362" t="str">
        <f t="shared" si="83"/>
        <v>2-3</v>
      </c>
      <c r="AH362" t="s">
        <v>67</v>
      </c>
      <c r="AI362" t="s">
        <v>71</v>
      </c>
      <c r="AJ362">
        <v>11</v>
      </c>
      <c r="AK362" t="str">
        <f t="shared" si="84"/>
        <v>11-12%</v>
      </c>
      <c r="AL362">
        <v>3</v>
      </c>
      <c r="AM362" t="s">
        <v>68</v>
      </c>
      <c r="AN362">
        <v>3</v>
      </c>
      <c r="AO362" t="s">
        <v>63</v>
      </c>
      <c r="AP362">
        <v>80</v>
      </c>
      <c r="AQ362">
        <v>0</v>
      </c>
      <c r="AR362">
        <v>15</v>
      </c>
      <c r="AS362" t="str">
        <f t="shared" si="85"/>
        <v>11-20</v>
      </c>
      <c r="AT362">
        <v>2</v>
      </c>
      <c r="AU362" t="str">
        <f t="shared" si="86"/>
        <v>0-2</v>
      </c>
      <c r="AV362">
        <v>3</v>
      </c>
      <c r="AW362" t="s">
        <v>79</v>
      </c>
      <c r="AX362">
        <v>3</v>
      </c>
      <c r="AY362" t="str">
        <f t="shared" si="75"/>
        <v>2-5</v>
      </c>
      <c r="AZ362">
        <v>2</v>
      </c>
      <c r="BA362" t="str">
        <f t="shared" si="87"/>
        <v>2-5</v>
      </c>
      <c r="BB362">
        <v>1</v>
      </c>
      <c r="BC362" t="str">
        <f t="shared" si="88"/>
        <v>0-1</v>
      </c>
      <c r="BD362">
        <v>2</v>
      </c>
      <c r="BE362" t="str">
        <f t="shared" si="89"/>
        <v>2-5</v>
      </c>
    </row>
    <row r="363" spans="1:57" x14ac:dyDescent="0.3">
      <c r="A363">
        <v>483</v>
      </c>
      <c r="B363">
        <v>40</v>
      </c>
      <c r="C363" t="str">
        <f t="shared" si="76"/>
        <v>36-45</v>
      </c>
      <c r="D363" t="s">
        <v>71</v>
      </c>
      <c r="E363">
        <f t="shared" si="77"/>
        <v>0</v>
      </c>
      <c r="F363" t="s">
        <v>57</v>
      </c>
      <c r="G363">
        <v>1171</v>
      </c>
      <c r="H363" t="str">
        <f t="shared" si="78"/>
        <v>1001-1499</v>
      </c>
      <c r="I363" t="s">
        <v>73</v>
      </c>
      <c r="J363">
        <v>10</v>
      </c>
      <c r="K363" t="str">
        <f t="shared" si="79"/>
        <v>6-10</v>
      </c>
      <c r="L363">
        <v>4</v>
      </c>
      <c r="M363" t="s">
        <v>82</v>
      </c>
      <c r="N363" t="s">
        <v>60</v>
      </c>
      <c r="O363">
        <v>1</v>
      </c>
      <c r="P363">
        <v>4</v>
      </c>
      <c r="Q363" t="s">
        <v>65</v>
      </c>
      <c r="R363" t="s">
        <v>62</v>
      </c>
      <c r="S363">
        <v>46</v>
      </c>
      <c r="T363" t="str">
        <f t="shared" si="80"/>
        <v>30-50</v>
      </c>
      <c r="U363">
        <v>4</v>
      </c>
      <c r="V363" t="s">
        <v>65</v>
      </c>
      <c r="W363">
        <v>1</v>
      </c>
      <c r="X363" t="s">
        <v>81</v>
      </c>
      <c r="Y363">
        <v>3</v>
      </c>
      <c r="Z363" t="s">
        <v>63</v>
      </c>
      <c r="AA363" t="s">
        <v>77</v>
      </c>
      <c r="AB363" s="4">
        <v>2213</v>
      </c>
      <c r="AC363" s="4" t="str">
        <f t="shared" si="81"/>
        <v>$1,000-$2,500</v>
      </c>
      <c r="AD363">
        <v>22495</v>
      </c>
      <c r="AE363" t="str">
        <f t="shared" si="82"/>
        <v>$22,001-$26,999</v>
      </c>
      <c r="AF363">
        <v>3</v>
      </c>
      <c r="AG363" t="str">
        <f t="shared" si="83"/>
        <v>2-3</v>
      </c>
      <c r="AH363" t="s">
        <v>67</v>
      </c>
      <c r="AI363" t="s">
        <v>56</v>
      </c>
      <c r="AJ363">
        <v>13</v>
      </c>
      <c r="AK363" t="str">
        <f t="shared" si="84"/>
        <v>13-15%</v>
      </c>
      <c r="AL363">
        <v>3</v>
      </c>
      <c r="AM363" t="s">
        <v>68</v>
      </c>
      <c r="AN363">
        <v>3</v>
      </c>
      <c r="AO363" t="s">
        <v>63</v>
      </c>
      <c r="AP363">
        <v>80</v>
      </c>
      <c r="AQ363">
        <v>1</v>
      </c>
      <c r="AR363">
        <v>10</v>
      </c>
      <c r="AS363" t="str">
        <f t="shared" si="85"/>
        <v>6-10</v>
      </c>
      <c r="AT363">
        <v>3</v>
      </c>
      <c r="AU363" t="str">
        <f t="shared" si="86"/>
        <v>3-4</v>
      </c>
      <c r="AV363">
        <v>3</v>
      </c>
      <c r="AW363" t="s">
        <v>79</v>
      </c>
      <c r="AX363">
        <v>7</v>
      </c>
      <c r="AY363" t="str">
        <f t="shared" si="75"/>
        <v>6-10</v>
      </c>
      <c r="AZ363">
        <v>7</v>
      </c>
      <c r="BA363" t="str">
        <f t="shared" si="87"/>
        <v>6-10</v>
      </c>
      <c r="BB363">
        <v>1</v>
      </c>
      <c r="BC363" t="str">
        <f t="shared" si="88"/>
        <v>0-1</v>
      </c>
      <c r="BD363">
        <v>7</v>
      </c>
      <c r="BE363" t="str">
        <f t="shared" si="89"/>
        <v>6-10</v>
      </c>
    </row>
    <row r="364" spans="1:57" x14ac:dyDescent="0.3">
      <c r="A364">
        <v>484</v>
      </c>
      <c r="B364">
        <v>21</v>
      </c>
      <c r="C364" t="str">
        <f t="shared" si="76"/>
        <v>18-25</v>
      </c>
      <c r="D364" t="s">
        <v>71</v>
      </c>
      <c r="E364">
        <f t="shared" si="77"/>
        <v>0</v>
      </c>
      <c r="F364" t="s">
        <v>89</v>
      </c>
      <c r="G364">
        <v>895</v>
      </c>
      <c r="H364" t="str">
        <f t="shared" si="78"/>
        <v>501-1000</v>
      </c>
      <c r="I364" t="s">
        <v>58</v>
      </c>
      <c r="J364">
        <v>9</v>
      </c>
      <c r="K364" t="str">
        <f t="shared" si="79"/>
        <v>6-10</v>
      </c>
      <c r="L364">
        <v>2</v>
      </c>
      <c r="M364" t="s">
        <v>59</v>
      </c>
      <c r="N364" t="s">
        <v>83</v>
      </c>
      <c r="O364">
        <v>1</v>
      </c>
      <c r="P364">
        <v>1</v>
      </c>
      <c r="Q364" t="s">
        <v>69</v>
      </c>
      <c r="R364" t="s">
        <v>75</v>
      </c>
      <c r="S364">
        <v>39</v>
      </c>
      <c r="T364" t="str">
        <f t="shared" si="80"/>
        <v>30-50</v>
      </c>
      <c r="U364">
        <v>3</v>
      </c>
      <c r="V364" t="s">
        <v>63</v>
      </c>
      <c r="W364">
        <v>1</v>
      </c>
      <c r="X364" t="s">
        <v>91</v>
      </c>
      <c r="Y364">
        <v>4</v>
      </c>
      <c r="Z364" t="s">
        <v>65</v>
      </c>
      <c r="AA364" t="s">
        <v>66</v>
      </c>
      <c r="AB364" s="4">
        <v>2610</v>
      </c>
      <c r="AC364" s="4" t="str">
        <f t="shared" si="81"/>
        <v>$2,500-$4,000</v>
      </c>
      <c r="AD364">
        <v>2851</v>
      </c>
      <c r="AE364" t="str">
        <f t="shared" si="82"/>
        <v>$2,094-$8,000</v>
      </c>
      <c r="AF364">
        <v>1</v>
      </c>
      <c r="AG364" t="str">
        <f t="shared" si="83"/>
        <v>0-1</v>
      </c>
      <c r="AH364" t="s">
        <v>67</v>
      </c>
      <c r="AI364" t="s">
        <v>71</v>
      </c>
      <c r="AJ364">
        <v>24</v>
      </c>
      <c r="AK364" t="str">
        <f t="shared" si="84"/>
        <v>18-19%</v>
      </c>
      <c r="AL364">
        <v>4</v>
      </c>
      <c r="AM364" t="s">
        <v>78</v>
      </c>
      <c r="AN364">
        <v>3</v>
      </c>
      <c r="AO364" t="s">
        <v>63</v>
      </c>
      <c r="AP364">
        <v>80</v>
      </c>
      <c r="AQ364">
        <v>0</v>
      </c>
      <c r="AR364">
        <v>3</v>
      </c>
      <c r="AS364" t="str">
        <f t="shared" si="85"/>
        <v>3-5</v>
      </c>
      <c r="AT364">
        <v>3</v>
      </c>
      <c r="AU364" t="str">
        <f t="shared" si="86"/>
        <v>3-4</v>
      </c>
      <c r="AV364">
        <v>2</v>
      </c>
      <c r="AW364" t="s">
        <v>84</v>
      </c>
      <c r="AX364">
        <v>3</v>
      </c>
      <c r="AY364" t="str">
        <f t="shared" si="75"/>
        <v>2-5</v>
      </c>
      <c r="AZ364">
        <v>2</v>
      </c>
      <c r="BA364" t="str">
        <f t="shared" si="87"/>
        <v>2-5</v>
      </c>
      <c r="BB364">
        <v>2</v>
      </c>
      <c r="BC364" t="str">
        <f t="shared" si="88"/>
        <v>2-5</v>
      </c>
      <c r="BD364">
        <v>2</v>
      </c>
      <c r="BE364" t="str">
        <f t="shared" si="89"/>
        <v>2-5</v>
      </c>
    </row>
    <row r="365" spans="1:57" x14ac:dyDescent="0.3">
      <c r="A365">
        <v>485</v>
      </c>
      <c r="B365">
        <v>33</v>
      </c>
      <c r="C365" t="str">
        <f t="shared" si="76"/>
        <v>26-35</v>
      </c>
      <c r="D365" t="s">
        <v>56</v>
      </c>
      <c r="E365">
        <f t="shared" si="77"/>
        <v>1</v>
      </c>
      <c r="F365" t="s">
        <v>57</v>
      </c>
      <c r="G365">
        <v>350</v>
      </c>
      <c r="H365" t="str">
        <f t="shared" si="78"/>
        <v>102-500</v>
      </c>
      <c r="I365" t="s">
        <v>58</v>
      </c>
      <c r="J365">
        <v>5</v>
      </c>
      <c r="K365" t="str">
        <f t="shared" si="79"/>
        <v>1-5</v>
      </c>
      <c r="L365">
        <v>3</v>
      </c>
      <c r="M365" t="s">
        <v>85</v>
      </c>
      <c r="N365" t="s">
        <v>93</v>
      </c>
      <c r="O365">
        <v>1</v>
      </c>
      <c r="P365">
        <v>4</v>
      </c>
      <c r="Q365" t="s">
        <v>65</v>
      </c>
      <c r="R365" t="s">
        <v>62</v>
      </c>
      <c r="S365">
        <v>34</v>
      </c>
      <c r="T365" t="str">
        <f t="shared" si="80"/>
        <v>30-50</v>
      </c>
      <c r="U365">
        <v>3</v>
      </c>
      <c r="V365" t="s">
        <v>63</v>
      </c>
      <c r="W365">
        <v>1</v>
      </c>
      <c r="X365" t="s">
        <v>91</v>
      </c>
      <c r="Y365">
        <v>3</v>
      </c>
      <c r="Z365" t="s">
        <v>63</v>
      </c>
      <c r="AA365" t="s">
        <v>66</v>
      </c>
      <c r="AB365" s="4">
        <v>2851</v>
      </c>
      <c r="AC365" s="4" t="str">
        <f t="shared" si="81"/>
        <v>$2,500-$4,000</v>
      </c>
      <c r="AD365">
        <v>9150</v>
      </c>
      <c r="AE365" t="str">
        <f t="shared" si="82"/>
        <v>$8,001-$16,000</v>
      </c>
      <c r="AF365">
        <v>1</v>
      </c>
      <c r="AG365" t="str">
        <f t="shared" si="83"/>
        <v>0-1</v>
      </c>
      <c r="AH365" t="s">
        <v>67</v>
      </c>
      <c r="AI365" t="s">
        <v>56</v>
      </c>
      <c r="AJ365">
        <v>13</v>
      </c>
      <c r="AK365" t="str">
        <f t="shared" si="84"/>
        <v>13-15%</v>
      </c>
      <c r="AL365">
        <v>3</v>
      </c>
      <c r="AM365" t="s">
        <v>68</v>
      </c>
      <c r="AN365">
        <v>2</v>
      </c>
      <c r="AO365" t="s">
        <v>61</v>
      </c>
      <c r="AP365">
        <v>80</v>
      </c>
      <c r="AQ365">
        <v>0</v>
      </c>
      <c r="AR365">
        <v>1</v>
      </c>
      <c r="AS365" t="str">
        <f t="shared" si="85"/>
        <v>0-2</v>
      </c>
      <c r="AT365">
        <v>2</v>
      </c>
      <c r="AU365" t="str">
        <f t="shared" si="86"/>
        <v>0-2</v>
      </c>
      <c r="AV365">
        <v>3</v>
      </c>
      <c r="AW365" t="s">
        <v>79</v>
      </c>
      <c r="AX365">
        <v>1</v>
      </c>
      <c r="AY365" t="str">
        <f t="shared" si="75"/>
        <v>0-1</v>
      </c>
      <c r="AZ365">
        <v>0</v>
      </c>
      <c r="BA365" t="str">
        <f t="shared" si="87"/>
        <v>0-1</v>
      </c>
      <c r="BB365">
        <v>0</v>
      </c>
      <c r="BC365" t="str">
        <f t="shared" si="88"/>
        <v>0-1</v>
      </c>
      <c r="BD365">
        <v>0</v>
      </c>
      <c r="BE365" t="str">
        <f t="shared" si="89"/>
        <v>0-1</v>
      </c>
    </row>
    <row r="366" spans="1:57" x14ac:dyDescent="0.3">
      <c r="A366">
        <v>486</v>
      </c>
      <c r="B366">
        <v>37</v>
      </c>
      <c r="C366" t="str">
        <f t="shared" si="76"/>
        <v>36-45</v>
      </c>
      <c r="D366" t="s">
        <v>71</v>
      </c>
      <c r="E366">
        <f t="shared" si="77"/>
        <v>0</v>
      </c>
      <c r="F366" t="s">
        <v>57</v>
      </c>
      <c r="G366">
        <v>921</v>
      </c>
      <c r="H366" t="str">
        <f t="shared" si="78"/>
        <v>501-1000</v>
      </c>
      <c r="I366" t="s">
        <v>73</v>
      </c>
      <c r="J366">
        <v>10</v>
      </c>
      <c r="K366" t="str">
        <f t="shared" si="79"/>
        <v>6-10</v>
      </c>
      <c r="L366">
        <v>3</v>
      </c>
      <c r="M366" t="s">
        <v>85</v>
      </c>
      <c r="N366" t="s">
        <v>83</v>
      </c>
      <c r="O366">
        <v>1</v>
      </c>
      <c r="P366">
        <v>3</v>
      </c>
      <c r="Q366" t="s">
        <v>63</v>
      </c>
      <c r="R366" t="s">
        <v>62</v>
      </c>
      <c r="S366">
        <v>98</v>
      </c>
      <c r="T366" t="str">
        <f t="shared" si="80"/>
        <v>76-100</v>
      </c>
      <c r="U366">
        <v>3</v>
      </c>
      <c r="V366" t="s">
        <v>63</v>
      </c>
      <c r="W366">
        <v>1</v>
      </c>
      <c r="X366" t="s">
        <v>81</v>
      </c>
      <c r="Y366">
        <v>1</v>
      </c>
      <c r="Z366" t="s">
        <v>69</v>
      </c>
      <c r="AA366" t="s">
        <v>77</v>
      </c>
      <c r="AB366" s="4">
        <v>3452</v>
      </c>
      <c r="AC366" s="4" t="str">
        <f t="shared" si="81"/>
        <v>$2,500-$4,000</v>
      </c>
      <c r="AD366">
        <v>17663</v>
      </c>
      <c r="AE366" t="str">
        <f t="shared" si="82"/>
        <v>$16,001-$22,000</v>
      </c>
      <c r="AF366">
        <v>6</v>
      </c>
      <c r="AG366" t="str">
        <f t="shared" si="83"/>
        <v>4-6</v>
      </c>
      <c r="AH366" t="s">
        <v>67</v>
      </c>
      <c r="AI366" t="s">
        <v>71</v>
      </c>
      <c r="AJ366">
        <v>20</v>
      </c>
      <c r="AK366" t="str">
        <f t="shared" si="84"/>
        <v>18-19%</v>
      </c>
      <c r="AL366">
        <v>4</v>
      </c>
      <c r="AM366" t="s">
        <v>78</v>
      </c>
      <c r="AN366">
        <v>2</v>
      </c>
      <c r="AO366" t="s">
        <v>61</v>
      </c>
      <c r="AP366">
        <v>80</v>
      </c>
      <c r="AQ366">
        <v>1</v>
      </c>
      <c r="AR366">
        <v>17</v>
      </c>
      <c r="AS366" t="str">
        <f t="shared" si="85"/>
        <v>11-20</v>
      </c>
      <c r="AT366">
        <v>3</v>
      </c>
      <c r="AU366" t="str">
        <f t="shared" si="86"/>
        <v>3-4</v>
      </c>
      <c r="AV366">
        <v>3</v>
      </c>
      <c r="AW366" t="s">
        <v>79</v>
      </c>
      <c r="AX366">
        <v>5</v>
      </c>
      <c r="AY366" t="str">
        <f t="shared" si="75"/>
        <v>2-5</v>
      </c>
      <c r="AZ366">
        <v>4</v>
      </c>
      <c r="BA366" t="str">
        <f t="shared" si="87"/>
        <v>2-5</v>
      </c>
      <c r="BB366">
        <v>0</v>
      </c>
      <c r="BC366" t="str">
        <f t="shared" si="88"/>
        <v>0-1</v>
      </c>
      <c r="BD366">
        <v>3</v>
      </c>
      <c r="BE366" t="str">
        <f t="shared" si="89"/>
        <v>2-5</v>
      </c>
    </row>
    <row r="367" spans="1:57" x14ac:dyDescent="0.3">
      <c r="A367">
        <v>487</v>
      </c>
      <c r="B367">
        <v>46</v>
      </c>
      <c r="C367" t="str">
        <f t="shared" si="76"/>
        <v>46-55</v>
      </c>
      <c r="D367" t="s">
        <v>71</v>
      </c>
      <c r="E367">
        <f t="shared" si="77"/>
        <v>0</v>
      </c>
      <c r="F367" t="s">
        <v>89</v>
      </c>
      <c r="G367">
        <v>1144</v>
      </c>
      <c r="H367" t="str">
        <f t="shared" si="78"/>
        <v>1001-1499</v>
      </c>
      <c r="I367" t="s">
        <v>73</v>
      </c>
      <c r="J367">
        <v>7</v>
      </c>
      <c r="K367" t="str">
        <f t="shared" si="79"/>
        <v>6-10</v>
      </c>
      <c r="L367">
        <v>4</v>
      </c>
      <c r="M367" t="s">
        <v>82</v>
      </c>
      <c r="N367" t="s">
        <v>83</v>
      </c>
      <c r="O367">
        <v>1</v>
      </c>
      <c r="P367">
        <v>3</v>
      </c>
      <c r="Q367" t="s">
        <v>63</v>
      </c>
      <c r="R367" t="s">
        <v>62</v>
      </c>
      <c r="S367">
        <v>30</v>
      </c>
      <c r="T367" t="str">
        <f t="shared" si="80"/>
        <v>30-50</v>
      </c>
      <c r="U367">
        <v>3</v>
      </c>
      <c r="V367" t="s">
        <v>63</v>
      </c>
      <c r="W367">
        <v>2</v>
      </c>
      <c r="X367" t="s">
        <v>87</v>
      </c>
      <c r="Y367">
        <v>3</v>
      </c>
      <c r="Z367" t="s">
        <v>63</v>
      </c>
      <c r="AA367" t="s">
        <v>77</v>
      </c>
      <c r="AB367" s="4">
        <v>5258</v>
      </c>
      <c r="AC367" s="4" t="str">
        <f t="shared" si="81"/>
        <v>$4,000-$5,500</v>
      </c>
      <c r="AD367">
        <v>16044</v>
      </c>
      <c r="AE367" t="str">
        <f t="shared" si="82"/>
        <v>$16,001-$22,000</v>
      </c>
      <c r="AF367">
        <v>2</v>
      </c>
      <c r="AG367" t="str">
        <f t="shared" si="83"/>
        <v>2-3</v>
      </c>
      <c r="AH367" t="s">
        <v>67</v>
      </c>
      <c r="AI367" t="s">
        <v>71</v>
      </c>
      <c r="AJ367">
        <v>14</v>
      </c>
      <c r="AK367" t="str">
        <f t="shared" si="84"/>
        <v>13-15%</v>
      </c>
      <c r="AL367">
        <v>3</v>
      </c>
      <c r="AM367" t="s">
        <v>68</v>
      </c>
      <c r="AN367">
        <v>3</v>
      </c>
      <c r="AO367" t="s">
        <v>63</v>
      </c>
      <c r="AP367">
        <v>80</v>
      </c>
      <c r="AQ367">
        <v>0</v>
      </c>
      <c r="AR367">
        <v>7</v>
      </c>
      <c r="AS367" t="str">
        <f t="shared" si="85"/>
        <v>6-10</v>
      </c>
      <c r="AT367">
        <v>2</v>
      </c>
      <c r="AU367" t="str">
        <f t="shared" si="86"/>
        <v>0-2</v>
      </c>
      <c r="AV367">
        <v>4</v>
      </c>
      <c r="AW367" t="s">
        <v>94</v>
      </c>
      <c r="AX367">
        <v>1</v>
      </c>
      <c r="AY367" t="str">
        <f t="shared" si="75"/>
        <v>0-1</v>
      </c>
      <c r="AZ367">
        <v>0</v>
      </c>
      <c r="BA367" t="str">
        <f t="shared" si="87"/>
        <v>0-1</v>
      </c>
      <c r="BB367">
        <v>0</v>
      </c>
      <c r="BC367" t="str">
        <f t="shared" si="88"/>
        <v>0-1</v>
      </c>
      <c r="BD367">
        <v>0</v>
      </c>
      <c r="BE367" t="str">
        <f t="shared" si="89"/>
        <v>0-1</v>
      </c>
    </row>
    <row r="368" spans="1:57" x14ac:dyDescent="0.3">
      <c r="A368">
        <v>488</v>
      </c>
      <c r="B368">
        <v>41</v>
      </c>
      <c r="C368" t="str">
        <f t="shared" si="76"/>
        <v>36-45</v>
      </c>
      <c r="D368" t="s">
        <v>56</v>
      </c>
      <c r="E368">
        <f t="shared" si="77"/>
        <v>1</v>
      </c>
      <c r="F368" t="s">
        <v>72</v>
      </c>
      <c r="G368">
        <v>143</v>
      </c>
      <c r="H368" t="str">
        <f t="shared" si="78"/>
        <v>102-500</v>
      </c>
      <c r="I368" t="s">
        <v>58</v>
      </c>
      <c r="J368">
        <v>4</v>
      </c>
      <c r="K368" t="str">
        <f t="shared" si="79"/>
        <v>1-5</v>
      </c>
      <c r="L368">
        <v>3</v>
      </c>
      <c r="M368" t="s">
        <v>85</v>
      </c>
      <c r="N368" t="s">
        <v>93</v>
      </c>
      <c r="O368">
        <v>1</v>
      </c>
      <c r="P368">
        <v>1</v>
      </c>
      <c r="Q368" t="s">
        <v>69</v>
      </c>
      <c r="R368" t="s">
        <v>75</v>
      </c>
      <c r="S368">
        <v>56</v>
      </c>
      <c r="T368" t="str">
        <f t="shared" si="80"/>
        <v>51-75</v>
      </c>
      <c r="U368">
        <v>3</v>
      </c>
      <c r="V368" t="s">
        <v>63</v>
      </c>
      <c r="W368">
        <v>2</v>
      </c>
      <c r="X368" t="s">
        <v>64</v>
      </c>
      <c r="Y368">
        <v>2</v>
      </c>
      <c r="Z368" t="s">
        <v>61</v>
      </c>
      <c r="AA368" t="s">
        <v>66</v>
      </c>
      <c r="AB368" s="4">
        <v>9355</v>
      </c>
      <c r="AC368" s="4" t="str">
        <f t="shared" si="81"/>
        <v>$8,500-$10,000</v>
      </c>
      <c r="AD368">
        <v>9558</v>
      </c>
      <c r="AE368" t="str">
        <f t="shared" si="82"/>
        <v>$8,001-$16,000</v>
      </c>
      <c r="AF368">
        <v>1</v>
      </c>
      <c r="AG368" t="str">
        <f t="shared" si="83"/>
        <v>0-1</v>
      </c>
      <c r="AH368" t="s">
        <v>67</v>
      </c>
      <c r="AI368" t="s">
        <v>71</v>
      </c>
      <c r="AJ368">
        <v>18</v>
      </c>
      <c r="AK368" t="str">
        <f t="shared" si="84"/>
        <v>18-19%</v>
      </c>
      <c r="AL368">
        <v>3</v>
      </c>
      <c r="AM368" t="s">
        <v>68</v>
      </c>
      <c r="AN368">
        <v>3</v>
      </c>
      <c r="AO368" t="s">
        <v>63</v>
      </c>
      <c r="AP368">
        <v>80</v>
      </c>
      <c r="AQ368">
        <v>0</v>
      </c>
      <c r="AR368">
        <v>8</v>
      </c>
      <c r="AS368" t="str">
        <f t="shared" si="85"/>
        <v>6-10</v>
      </c>
      <c r="AT368">
        <v>5</v>
      </c>
      <c r="AU368" t="str">
        <f t="shared" si="86"/>
        <v>5-6</v>
      </c>
      <c r="AV368">
        <v>3</v>
      </c>
      <c r="AW368" t="s">
        <v>79</v>
      </c>
      <c r="AX368">
        <v>8</v>
      </c>
      <c r="AY368" t="str">
        <f t="shared" si="75"/>
        <v>6-10</v>
      </c>
      <c r="AZ368">
        <v>7</v>
      </c>
      <c r="BA368" t="str">
        <f t="shared" si="87"/>
        <v>6-10</v>
      </c>
      <c r="BB368">
        <v>7</v>
      </c>
      <c r="BC368" t="str">
        <f t="shared" si="88"/>
        <v>6-10</v>
      </c>
      <c r="BD368">
        <v>7</v>
      </c>
      <c r="BE368" t="str">
        <f t="shared" si="89"/>
        <v>6-10</v>
      </c>
    </row>
    <row r="369" spans="1:57" x14ac:dyDescent="0.3">
      <c r="A369">
        <v>491</v>
      </c>
      <c r="B369">
        <v>50</v>
      </c>
      <c r="C369" t="str">
        <f t="shared" si="76"/>
        <v>46-55</v>
      </c>
      <c r="D369" t="s">
        <v>71</v>
      </c>
      <c r="E369">
        <f t="shared" si="77"/>
        <v>0</v>
      </c>
      <c r="F369" t="s">
        <v>57</v>
      </c>
      <c r="G369">
        <v>1046</v>
      </c>
      <c r="H369" t="str">
        <f t="shared" si="78"/>
        <v>1001-1499</v>
      </c>
      <c r="I369" t="s">
        <v>73</v>
      </c>
      <c r="J369">
        <v>10</v>
      </c>
      <c r="K369" t="str">
        <f t="shared" si="79"/>
        <v>6-10</v>
      </c>
      <c r="L369">
        <v>3</v>
      </c>
      <c r="M369" t="s">
        <v>85</v>
      </c>
      <c r="N369" t="s">
        <v>95</v>
      </c>
      <c r="O369">
        <v>1</v>
      </c>
      <c r="P369">
        <v>4</v>
      </c>
      <c r="Q369" t="s">
        <v>65</v>
      </c>
      <c r="R369" t="s">
        <v>75</v>
      </c>
      <c r="S369">
        <v>100</v>
      </c>
      <c r="T369" t="str">
        <f t="shared" si="80"/>
        <v>76-100</v>
      </c>
      <c r="U369">
        <v>2</v>
      </c>
      <c r="V369" t="s">
        <v>61</v>
      </c>
      <c r="W369">
        <v>3</v>
      </c>
      <c r="X369" t="s">
        <v>88</v>
      </c>
      <c r="Y369">
        <v>4</v>
      </c>
      <c r="Z369" t="s">
        <v>65</v>
      </c>
      <c r="AA369" t="s">
        <v>66</v>
      </c>
      <c r="AB369" s="4">
        <v>10496</v>
      </c>
      <c r="AC369" s="4" t="str">
        <f t="shared" si="81"/>
        <v>$10,000-$11,500</v>
      </c>
      <c r="AD369">
        <v>2755</v>
      </c>
      <c r="AE369" t="str">
        <f t="shared" si="82"/>
        <v>$2,094-$8,000</v>
      </c>
      <c r="AF369">
        <v>6</v>
      </c>
      <c r="AG369" t="str">
        <f t="shared" si="83"/>
        <v>4-6</v>
      </c>
      <c r="AH369" t="s">
        <v>67</v>
      </c>
      <c r="AI369" t="s">
        <v>71</v>
      </c>
      <c r="AJ369">
        <v>15</v>
      </c>
      <c r="AK369" t="str">
        <f t="shared" si="84"/>
        <v>13-15%</v>
      </c>
      <c r="AL369">
        <v>3</v>
      </c>
      <c r="AM369" t="s">
        <v>68</v>
      </c>
      <c r="AN369">
        <v>4</v>
      </c>
      <c r="AO369" t="s">
        <v>65</v>
      </c>
      <c r="AP369">
        <v>80</v>
      </c>
      <c r="AQ369">
        <v>0</v>
      </c>
      <c r="AR369">
        <v>20</v>
      </c>
      <c r="AS369" t="str">
        <f t="shared" si="85"/>
        <v>11-20</v>
      </c>
      <c r="AT369">
        <v>2</v>
      </c>
      <c r="AU369" t="str">
        <f t="shared" si="86"/>
        <v>0-2</v>
      </c>
      <c r="AV369">
        <v>3</v>
      </c>
      <c r="AW369" t="s">
        <v>79</v>
      </c>
      <c r="AX369">
        <v>4</v>
      </c>
      <c r="AY369" t="str">
        <f t="shared" si="75"/>
        <v>2-5</v>
      </c>
      <c r="AZ369">
        <v>3</v>
      </c>
      <c r="BA369" t="str">
        <f t="shared" si="87"/>
        <v>2-5</v>
      </c>
      <c r="BB369">
        <v>1</v>
      </c>
      <c r="BC369" t="str">
        <f t="shared" si="88"/>
        <v>0-1</v>
      </c>
      <c r="BD369">
        <v>3</v>
      </c>
      <c r="BE369" t="str">
        <f t="shared" si="89"/>
        <v>2-5</v>
      </c>
    </row>
    <row r="370" spans="1:57" x14ac:dyDescent="0.3">
      <c r="A370">
        <v>492</v>
      </c>
      <c r="B370">
        <v>40</v>
      </c>
      <c r="C370" t="str">
        <f t="shared" si="76"/>
        <v>36-45</v>
      </c>
      <c r="D370" t="s">
        <v>56</v>
      </c>
      <c r="E370">
        <f t="shared" si="77"/>
        <v>1</v>
      </c>
      <c r="F370" t="s">
        <v>57</v>
      </c>
      <c r="G370">
        <v>575</v>
      </c>
      <c r="H370" t="str">
        <f t="shared" si="78"/>
        <v>501-1000</v>
      </c>
      <c r="I370" t="s">
        <v>58</v>
      </c>
      <c r="J370">
        <v>22</v>
      </c>
      <c r="K370" t="str">
        <f t="shared" si="79"/>
        <v>21-29</v>
      </c>
      <c r="L370">
        <v>2</v>
      </c>
      <c r="M370" t="s">
        <v>59</v>
      </c>
      <c r="N370" t="s">
        <v>93</v>
      </c>
      <c r="O370">
        <v>1</v>
      </c>
      <c r="P370">
        <v>3</v>
      </c>
      <c r="Q370" t="s">
        <v>63</v>
      </c>
      <c r="R370" t="s">
        <v>75</v>
      </c>
      <c r="S370">
        <v>68</v>
      </c>
      <c r="T370" t="str">
        <f t="shared" si="80"/>
        <v>51-75</v>
      </c>
      <c r="U370">
        <v>2</v>
      </c>
      <c r="V370" t="s">
        <v>61</v>
      </c>
      <c r="W370">
        <v>2</v>
      </c>
      <c r="X370" t="s">
        <v>64</v>
      </c>
      <c r="Y370">
        <v>3</v>
      </c>
      <c r="Z370" t="s">
        <v>63</v>
      </c>
      <c r="AA370" t="s">
        <v>77</v>
      </c>
      <c r="AB370" s="4">
        <v>6380</v>
      </c>
      <c r="AC370" s="4" t="str">
        <f t="shared" si="81"/>
        <v>$5,500-$7,000</v>
      </c>
      <c r="AD370">
        <v>6110</v>
      </c>
      <c r="AE370" t="str">
        <f t="shared" si="82"/>
        <v>$2,094-$8,000</v>
      </c>
      <c r="AF370">
        <v>2</v>
      </c>
      <c r="AG370" t="str">
        <f t="shared" si="83"/>
        <v>2-3</v>
      </c>
      <c r="AH370" t="s">
        <v>67</v>
      </c>
      <c r="AI370" t="s">
        <v>56</v>
      </c>
      <c r="AJ370">
        <v>12</v>
      </c>
      <c r="AK370" t="str">
        <f t="shared" si="84"/>
        <v>11-12%</v>
      </c>
      <c r="AL370">
        <v>3</v>
      </c>
      <c r="AM370" t="s">
        <v>68</v>
      </c>
      <c r="AN370">
        <v>1</v>
      </c>
      <c r="AO370" t="s">
        <v>69</v>
      </c>
      <c r="AP370">
        <v>80</v>
      </c>
      <c r="AQ370">
        <v>2</v>
      </c>
      <c r="AR370">
        <v>8</v>
      </c>
      <c r="AS370" t="str">
        <f t="shared" si="85"/>
        <v>6-10</v>
      </c>
      <c r="AT370">
        <v>6</v>
      </c>
      <c r="AU370" t="str">
        <f t="shared" si="86"/>
        <v>5-6</v>
      </c>
      <c r="AV370">
        <v>3</v>
      </c>
      <c r="AW370" t="s">
        <v>79</v>
      </c>
      <c r="AX370">
        <v>6</v>
      </c>
      <c r="AY370" t="str">
        <f t="shared" si="75"/>
        <v>6-10</v>
      </c>
      <c r="AZ370">
        <v>4</v>
      </c>
      <c r="BA370" t="str">
        <f t="shared" si="87"/>
        <v>2-5</v>
      </c>
      <c r="BB370">
        <v>1</v>
      </c>
      <c r="BC370" t="str">
        <f t="shared" si="88"/>
        <v>0-1</v>
      </c>
      <c r="BD370">
        <v>0</v>
      </c>
      <c r="BE370" t="str">
        <f t="shared" si="89"/>
        <v>0-1</v>
      </c>
    </row>
    <row r="371" spans="1:57" x14ac:dyDescent="0.3">
      <c r="A371">
        <v>493</v>
      </c>
      <c r="B371">
        <v>31</v>
      </c>
      <c r="C371" t="str">
        <f t="shared" si="76"/>
        <v>26-35</v>
      </c>
      <c r="D371" t="s">
        <v>71</v>
      </c>
      <c r="E371">
        <f t="shared" si="77"/>
        <v>0</v>
      </c>
      <c r="F371" t="s">
        <v>57</v>
      </c>
      <c r="G371">
        <v>408</v>
      </c>
      <c r="H371" t="str">
        <f t="shared" si="78"/>
        <v>102-500</v>
      </c>
      <c r="I371" t="s">
        <v>73</v>
      </c>
      <c r="J371">
        <v>9</v>
      </c>
      <c r="K371" t="str">
        <f t="shared" si="79"/>
        <v>6-10</v>
      </c>
      <c r="L371">
        <v>4</v>
      </c>
      <c r="M371" t="s">
        <v>82</v>
      </c>
      <c r="N371" t="s">
        <v>60</v>
      </c>
      <c r="O371">
        <v>1</v>
      </c>
      <c r="P371">
        <v>3</v>
      </c>
      <c r="Q371" t="s">
        <v>63</v>
      </c>
      <c r="R371" t="s">
        <v>75</v>
      </c>
      <c r="S371">
        <v>42</v>
      </c>
      <c r="T371" t="str">
        <f t="shared" si="80"/>
        <v>30-50</v>
      </c>
      <c r="U371">
        <v>2</v>
      </c>
      <c r="V371" t="s">
        <v>61</v>
      </c>
      <c r="W371">
        <v>1</v>
      </c>
      <c r="X371" t="s">
        <v>76</v>
      </c>
      <c r="Y371">
        <v>2</v>
      </c>
      <c r="Z371" t="s">
        <v>61</v>
      </c>
      <c r="AA371" t="s">
        <v>66</v>
      </c>
      <c r="AB371" s="4">
        <v>2657</v>
      </c>
      <c r="AC371" s="4" t="str">
        <f t="shared" si="81"/>
        <v>$2,500-$4,000</v>
      </c>
      <c r="AD371">
        <v>7551</v>
      </c>
      <c r="AE371" t="str">
        <f t="shared" si="82"/>
        <v>$2,094-$8,000</v>
      </c>
      <c r="AF371">
        <v>0</v>
      </c>
      <c r="AG371" t="str">
        <f t="shared" si="83"/>
        <v>0-1</v>
      </c>
      <c r="AH371" t="s">
        <v>67</v>
      </c>
      <c r="AI371" t="s">
        <v>56</v>
      </c>
      <c r="AJ371">
        <v>16</v>
      </c>
      <c r="AK371" t="str">
        <f t="shared" si="84"/>
        <v>16-17%</v>
      </c>
      <c r="AL371">
        <v>3</v>
      </c>
      <c r="AM371" t="s">
        <v>68</v>
      </c>
      <c r="AN371">
        <v>4</v>
      </c>
      <c r="AO371" t="s">
        <v>65</v>
      </c>
      <c r="AP371">
        <v>80</v>
      </c>
      <c r="AQ371">
        <v>0</v>
      </c>
      <c r="AR371">
        <v>3</v>
      </c>
      <c r="AS371" t="str">
        <f t="shared" si="85"/>
        <v>3-5</v>
      </c>
      <c r="AT371">
        <v>5</v>
      </c>
      <c r="AU371" t="str">
        <f t="shared" si="86"/>
        <v>5-6</v>
      </c>
      <c r="AV371">
        <v>3</v>
      </c>
      <c r="AW371" t="s">
        <v>79</v>
      </c>
      <c r="AX371">
        <v>2</v>
      </c>
      <c r="AY371" t="str">
        <f t="shared" si="75"/>
        <v>2-5</v>
      </c>
      <c r="AZ371">
        <v>2</v>
      </c>
      <c r="BA371" t="str">
        <f t="shared" si="87"/>
        <v>2-5</v>
      </c>
      <c r="BB371">
        <v>2</v>
      </c>
      <c r="BC371" t="str">
        <f t="shared" si="88"/>
        <v>2-5</v>
      </c>
      <c r="BD371">
        <v>2</v>
      </c>
      <c r="BE371" t="str">
        <f t="shared" si="89"/>
        <v>2-5</v>
      </c>
    </row>
    <row r="372" spans="1:57" x14ac:dyDescent="0.3">
      <c r="A372">
        <v>494</v>
      </c>
      <c r="B372">
        <v>21</v>
      </c>
      <c r="C372" t="str">
        <f t="shared" si="76"/>
        <v>18-25</v>
      </c>
      <c r="D372" t="s">
        <v>56</v>
      </c>
      <c r="E372">
        <f t="shared" si="77"/>
        <v>1</v>
      </c>
      <c r="F372" t="s">
        <v>57</v>
      </c>
      <c r="G372">
        <v>156</v>
      </c>
      <c r="H372" t="str">
        <f t="shared" si="78"/>
        <v>102-500</v>
      </c>
      <c r="I372" t="s">
        <v>58</v>
      </c>
      <c r="J372">
        <v>12</v>
      </c>
      <c r="K372" t="str">
        <f t="shared" si="79"/>
        <v>11-20</v>
      </c>
      <c r="L372">
        <v>3</v>
      </c>
      <c r="M372" t="s">
        <v>85</v>
      </c>
      <c r="N372" t="s">
        <v>60</v>
      </c>
      <c r="O372">
        <v>1</v>
      </c>
      <c r="P372">
        <v>3</v>
      </c>
      <c r="Q372" t="s">
        <v>63</v>
      </c>
      <c r="R372" t="s">
        <v>62</v>
      </c>
      <c r="S372">
        <v>90</v>
      </c>
      <c r="T372" t="str">
        <f t="shared" si="80"/>
        <v>76-100</v>
      </c>
      <c r="U372">
        <v>4</v>
      </c>
      <c r="V372" t="s">
        <v>65</v>
      </c>
      <c r="W372">
        <v>1</v>
      </c>
      <c r="X372" t="s">
        <v>91</v>
      </c>
      <c r="Y372">
        <v>2</v>
      </c>
      <c r="Z372" t="s">
        <v>61</v>
      </c>
      <c r="AA372" t="s">
        <v>66</v>
      </c>
      <c r="AB372" s="4">
        <v>2716</v>
      </c>
      <c r="AC372" s="4" t="str">
        <f t="shared" si="81"/>
        <v>$2,500-$4,000</v>
      </c>
      <c r="AD372">
        <v>25422</v>
      </c>
      <c r="AE372" t="str">
        <f t="shared" si="82"/>
        <v>$22,001-$26,999</v>
      </c>
      <c r="AF372">
        <v>1</v>
      </c>
      <c r="AG372" t="str">
        <f t="shared" si="83"/>
        <v>0-1</v>
      </c>
      <c r="AH372" t="s">
        <v>67</v>
      </c>
      <c r="AI372" t="s">
        <v>71</v>
      </c>
      <c r="AJ372">
        <v>15</v>
      </c>
      <c r="AK372" t="str">
        <f t="shared" si="84"/>
        <v>13-15%</v>
      </c>
      <c r="AL372">
        <v>3</v>
      </c>
      <c r="AM372" t="s">
        <v>68</v>
      </c>
      <c r="AN372">
        <v>4</v>
      </c>
      <c r="AO372" t="s">
        <v>65</v>
      </c>
      <c r="AP372">
        <v>80</v>
      </c>
      <c r="AQ372">
        <v>0</v>
      </c>
      <c r="AR372">
        <v>1</v>
      </c>
      <c r="AS372" t="str">
        <f t="shared" si="85"/>
        <v>0-2</v>
      </c>
      <c r="AT372">
        <v>0</v>
      </c>
      <c r="AU372" t="str">
        <f t="shared" si="86"/>
        <v>0-2</v>
      </c>
      <c r="AV372">
        <v>3</v>
      </c>
      <c r="AW372" t="s">
        <v>79</v>
      </c>
      <c r="AX372">
        <v>1</v>
      </c>
      <c r="AY372" t="str">
        <f t="shared" si="75"/>
        <v>0-1</v>
      </c>
      <c r="AZ372">
        <v>0</v>
      </c>
      <c r="BA372" t="str">
        <f t="shared" si="87"/>
        <v>0-1</v>
      </c>
      <c r="BB372">
        <v>0</v>
      </c>
      <c r="BC372" t="str">
        <f t="shared" si="88"/>
        <v>0-1</v>
      </c>
      <c r="BD372">
        <v>0</v>
      </c>
      <c r="BE372" t="str">
        <f t="shared" si="89"/>
        <v>0-1</v>
      </c>
    </row>
    <row r="373" spans="1:57" x14ac:dyDescent="0.3">
      <c r="A373">
        <v>495</v>
      </c>
      <c r="B373">
        <v>29</v>
      </c>
      <c r="C373" t="str">
        <f t="shared" si="76"/>
        <v>26-35</v>
      </c>
      <c r="D373" t="s">
        <v>71</v>
      </c>
      <c r="E373">
        <f t="shared" si="77"/>
        <v>0</v>
      </c>
      <c r="F373" t="s">
        <v>57</v>
      </c>
      <c r="G373">
        <v>1283</v>
      </c>
      <c r="H373" t="str">
        <f t="shared" si="78"/>
        <v>1001-1499</v>
      </c>
      <c r="I373" t="s">
        <v>73</v>
      </c>
      <c r="J373">
        <v>23</v>
      </c>
      <c r="K373" t="str">
        <f t="shared" si="79"/>
        <v>21-29</v>
      </c>
      <c r="L373">
        <v>3</v>
      </c>
      <c r="M373" t="s">
        <v>85</v>
      </c>
      <c r="N373" t="s">
        <v>60</v>
      </c>
      <c r="O373">
        <v>1</v>
      </c>
      <c r="P373">
        <v>4</v>
      </c>
      <c r="Q373" t="s">
        <v>65</v>
      </c>
      <c r="R373" t="s">
        <v>75</v>
      </c>
      <c r="S373">
        <v>54</v>
      </c>
      <c r="T373" t="str">
        <f t="shared" si="80"/>
        <v>51-75</v>
      </c>
      <c r="U373">
        <v>3</v>
      </c>
      <c r="V373" t="s">
        <v>63</v>
      </c>
      <c r="W373">
        <v>1</v>
      </c>
      <c r="X373" t="s">
        <v>76</v>
      </c>
      <c r="Y373">
        <v>4</v>
      </c>
      <c r="Z373" t="s">
        <v>65</v>
      </c>
      <c r="AA373" t="s">
        <v>66</v>
      </c>
      <c r="AB373" s="4">
        <v>2201</v>
      </c>
      <c r="AC373" s="4" t="str">
        <f t="shared" si="81"/>
        <v>$1,000-$2,500</v>
      </c>
      <c r="AD373">
        <v>18168</v>
      </c>
      <c r="AE373" t="str">
        <f t="shared" si="82"/>
        <v>$16,001-$22,000</v>
      </c>
      <c r="AF373">
        <v>9</v>
      </c>
      <c r="AG373" t="str">
        <f t="shared" si="83"/>
        <v>7-9</v>
      </c>
      <c r="AH373" t="s">
        <v>67</v>
      </c>
      <c r="AI373" t="s">
        <v>71</v>
      </c>
      <c r="AJ373">
        <v>16</v>
      </c>
      <c r="AK373" t="str">
        <f t="shared" si="84"/>
        <v>16-17%</v>
      </c>
      <c r="AL373">
        <v>3</v>
      </c>
      <c r="AM373" t="s">
        <v>68</v>
      </c>
      <c r="AN373">
        <v>4</v>
      </c>
      <c r="AO373" t="s">
        <v>65</v>
      </c>
      <c r="AP373">
        <v>80</v>
      </c>
      <c r="AQ373">
        <v>0</v>
      </c>
      <c r="AR373">
        <v>6</v>
      </c>
      <c r="AS373" t="str">
        <f t="shared" si="85"/>
        <v>6-10</v>
      </c>
      <c r="AT373">
        <v>4</v>
      </c>
      <c r="AU373" t="str">
        <f t="shared" si="86"/>
        <v>3-4</v>
      </c>
      <c r="AV373">
        <v>3</v>
      </c>
      <c r="AW373" t="s">
        <v>79</v>
      </c>
      <c r="AX373">
        <v>3</v>
      </c>
      <c r="AY373" t="str">
        <f t="shared" si="75"/>
        <v>2-5</v>
      </c>
      <c r="AZ373">
        <v>2</v>
      </c>
      <c r="BA373" t="str">
        <f t="shared" si="87"/>
        <v>2-5</v>
      </c>
      <c r="BB373">
        <v>1</v>
      </c>
      <c r="BC373" t="str">
        <f t="shared" si="88"/>
        <v>0-1</v>
      </c>
      <c r="BD373">
        <v>2</v>
      </c>
      <c r="BE373" t="str">
        <f t="shared" si="89"/>
        <v>2-5</v>
      </c>
    </row>
    <row r="374" spans="1:57" x14ac:dyDescent="0.3">
      <c r="A374">
        <v>496</v>
      </c>
      <c r="B374">
        <v>35</v>
      </c>
      <c r="C374" t="str">
        <f t="shared" si="76"/>
        <v>26-35</v>
      </c>
      <c r="D374" t="s">
        <v>71</v>
      </c>
      <c r="E374">
        <f t="shared" si="77"/>
        <v>0</v>
      </c>
      <c r="F374" t="s">
        <v>57</v>
      </c>
      <c r="G374">
        <v>755</v>
      </c>
      <c r="H374" t="str">
        <f t="shared" si="78"/>
        <v>501-1000</v>
      </c>
      <c r="I374" t="s">
        <v>73</v>
      </c>
      <c r="J374">
        <v>9</v>
      </c>
      <c r="K374" t="str">
        <f t="shared" si="79"/>
        <v>6-10</v>
      </c>
      <c r="L374">
        <v>4</v>
      </c>
      <c r="M374" t="s">
        <v>82</v>
      </c>
      <c r="N374" t="s">
        <v>60</v>
      </c>
      <c r="O374">
        <v>1</v>
      </c>
      <c r="P374">
        <v>3</v>
      </c>
      <c r="Q374" t="s">
        <v>63</v>
      </c>
      <c r="R374" t="s">
        <v>75</v>
      </c>
      <c r="S374">
        <v>97</v>
      </c>
      <c r="T374" t="str">
        <f t="shared" si="80"/>
        <v>76-100</v>
      </c>
      <c r="U374">
        <v>2</v>
      </c>
      <c r="V374" t="s">
        <v>61</v>
      </c>
      <c r="W374">
        <v>2</v>
      </c>
      <c r="X374" t="s">
        <v>88</v>
      </c>
      <c r="Y374">
        <v>2</v>
      </c>
      <c r="Z374" t="s">
        <v>61</v>
      </c>
      <c r="AA374" t="s">
        <v>66</v>
      </c>
      <c r="AB374" s="4">
        <v>6540</v>
      </c>
      <c r="AC374" s="4" t="str">
        <f t="shared" si="81"/>
        <v>$5,500-$7,000</v>
      </c>
      <c r="AD374">
        <v>19394</v>
      </c>
      <c r="AE374" t="str">
        <f t="shared" si="82"/>
        <v>$16,001-$22,000</v>
      </c>
      <c r="AF374">
        <v>9</v>
      </c>
      <c r="AG374" t="str">
        <f t="shared" si="83"/>
        <v>7-9</v>
      </c>
      <c r="AH374" t="s">
        <v>67</v>
      </c>
      <c r="AI374" t="s">
        <v>71</v>
      </c>
      <c r="AJ374">
        <v>19</v>
      </c>
      <c r="AK374" t="str">
        <f t="shared" si="84"/>
        <v>18-19%</v>
      </c>
      <c r="AL374">
        <v>3</v>
      </c>
      <c r="AM374" t="s">
        <v>68</v>
      </c>
      <c r="AN374">
        <v>3</v>
      </c>
      <c r="AO374" t="s">
        <v>63</v>
      </c>
      <c r="AP374">
        <v>80</v>
      </c>
      <c r="AQ374">
        <v>0</v>
      </c>
      <c r="AR374">
        <v>10</v>
      </c>
      <c r="AS374" t="str">
        <f t="shared" si="85"/>
        <v>6-10</v>
      </c>
      <c r="AT374">
        <v>5</v>
      </c>
      <c r="AU374" t="str">
        <f t="shared" si="86"/>
        <v>5-6</v>
      </c>
      <c r="AV374">
        <v>3</v>
      </c>
      <c r="AW374" t="s">
        <v>79</v>
      </c>
      <c r="AX374">
        <v>1</v>
      </c>
      <c r="AY374" t="str">
        <f t="shared" si="75"/>
        <v>0-1</v>
      </c>
      <c r="AZ374">
        <v>1</v>
      </c>
      <c r="BA374" t="str">
        <f t="shared" si="87"/>
        <v>0-1</v>
      </c>
      <c r="BB374">
        <v>0</v>
      </c>
      <c r="BC374" t="str">
        <f t="shared" si="88"/>
        <v>0-1</v>
      </c>
      <c r="BD374">
        <v>0</v>
      </c>
      <c r="BE374" t="str">
        <f t="shared" si="89"/>
        <v>0-1</v>
      </c>
    </row>
    <row r="375" spans="1:57" x14ac:dyDescent="0.3">
      <c r="A375">
        <v>497</v>
      </c>
      <c r="B375">
        <v>27</v>
      </c>
      <c r="C375" t="str">
        <f t="shared" si="76"/>
        <v>26-35</v>
      </c>
      <c r="D375" t="s">
        <v>71</v>
      </c>
      <c r="E375">
        <f t="shared" si="77"/>
        <v>0</v>
      </c>
      <c r="F375" t="s">
        <v>57</v>
      </c>
      <c r="G375">
        <v>1469</v>
      </c>
      <c r="H375" t="str">
        <f t="shared" si="78"/>
        <v>1001-1499</v>
      </c>
      <c r="I375" t="s">
        <v>73</v>
      </c>
      <c r="J375">
        <v>1</v>
      </c>
      <c r="K375" t="str">
        <f t="shared" si="79"/>
        <v>1-5</v>
      </c>
      <c r="L375">
        <v>2</v>
      </c>
      <c r="M375" t="s">
        <v>59</v>
      </c>
      <c r="N375" t="s">
        <v>83</v>
      </c>
      <c r="O375">
        <v>1</v>
      </c>
      <c r="P375">
        <v>4</v>
      </c>
      <c r="Q375" t="s">
        <v>65</v>
      </c>
      <c r="R375" t="s">
        <v>75</v>
      </c>
      <c r="S375">
        <v>82</v>
      </c>
      <c r="T375" t="str">
        <f t="shared" si="80"/>
        <v>76-100</v>
      </c>
      <c r="U375">
        <v>3</v>
      </c>
      <c r="V375" t="s">
        <v>63</v>
      </c>
      <c r="W375">
        <v>1</v>
      </c>
      <c r="X375" t="s">
        <v>81</v>
      </c>
      <c r="Y375">
        <v>2</v>
      </c>
      <c r="Z375" t="s">
        <v>61</v>
      </c>
      <c r="AA375" t="s">
        <v>86</v>
      </c>
      <c r="AB375" s="4">
        <v>3816</v>
      </c>
      <c r="AC375" s="4" t="str">
        <f t="shared" si="81"/>
        <v>$2,500-$4,000</v>
      </c>
      <c r="AD375">
        <v>17881</v>
      </c>
      <c r="AE375" t="str">
        <f t="shared" si="82"/>
        <v>$16,001-$22,000</v>
      </c>
      <c r="AF375">
        <v>1</v>
      </c>
      <c r="AG375" t="str">
        <f t="shared" si="83"/>
        <v>0-1</v>
      </c>
      <c r="AH375" t="s">
        <v>67</v>
      </c>
      <c r="AI375" t="s">
        <v>71</v>
      </c>
      <c r="AJ375">
        <v>11</v>
      </c>
      <c r="AK375" t="str">
        <f t="shared" si="84"/>
        <v>11-12%</v>
      </c>
      <c r="AL375">
        <v>3</v>
      </c>
      <c r="AM375" t="s">
        <v>68</v>
      </c>
      <c r="AN375">
        <v>2</v>
      </c>
      <c r="AO375" t="s">
        <v>61</v>
      </c>
      <c r="AP375">
        <v>80</v>
      </c>
      <c r="AQ375">
        <v>1</v>
      </c>
      <c r="AR375">
        <v>5</v>
      </c>
      <c r="AS375" t="str">
        <f t="shared" si="85"/>
        <v>3-5</v>
      </c>
      <c r="AT375">
        <v>2</v>
      </c>
      <c r="AU375" t="str">
        <f t="shared" si="86"/>
        <v>0-2</v>
      </c>
      <c r="AV375">
        <v>3</v>
      </c>
      <c r="AW375" t="s">
        <v>79</v>
      </c>
      <c r="AX375">
        <v>5</v>
      </c>
      <c r="AY375" t="str">
        <f t="shared" si="75"/>
        <v>2-5</v>
      </c>
      <c r="AZ375">
        <v>2</v>
      </c>
      <c r="BA375" t="str">
        <f t="shared" si="87"/>
        <v>2-5</v>
      </c>
      <c r="BB375">
        <v>0</v>
      </c>
      <c r="BC375" t="str">
        <f t="shared" si="88"/>
        <v>0-1</v>
      </c>
      <c r="BD375">
        <v>4</v>
      </c>
      <c r="BE375" t="str">
        <f t="shared" si="89"/>
        <v>2-5</v>
      </c>
    </row>
    <row r="376" spans="1:57" x14ac:dyDescent="0.3">
      <c r="A376">
        <v>498</v>
      </c>
      <c r="B376">
        <v>28</v>
      </c>
      <c r="C376" t="str">
        <f t="shared" si="76"/>
        <v>26-35</v>
      </c>
      <c r="D376" t="s">
        <v>71</v>
      </c>
      <c r="E376">
        <f t="shared" si="77"/>
        <v>0</v>
      </c>
      <c r="F376" t="s">
        <v>57</v>
      </c>
      <c r="G376">
        <v>304</v>
      </c>
      <c r="H376" t="str">
        <f t="shared" si="78"/>
        <v>102-500</v>
      </c>
      <c r="I376" t="s">
        <v>58</v>
      </c>
      <c r="J376">
        <v>9</v>
      </c>
      <c r="K376" t="str">
        <f t="shared" si="79"/>
        <v>6-10</v>
      </c>
      <c r="L376">
        <v>4</v>
      </c>
      <c r="M376" t="s">
        <v>82</v>
      </c>
      <c r="N376" t="s">
        <v>60</v>
      </c>
      <c r="O376">
        <v>1</v>
      </c>
      <c r="P376">
        <v>2</v>
      </c>
      <c r="Q376" t="s">
        <v>61</v>
      </c>
      <c r="R376" t="s">
        <v>75</v>
      </c>
      <c r="S376">
        <v>92</v>
      </c>
      <c r="T376" t="str">
        <f t="shared" si="80"/>
        <v>76-100</v>
      </c>
      <c r="U376">
        <v>3</v>
      </c>
      <c r="V376" t="s">
        <v>63</v>
      </c>
      <c r="W376">
        <v>2</v>
      </c>
      <c r="X376" t="s">
        <v>64</v>
      </c>
      <c r="Y376">
        <v>4</v>
      </c>
      <c r="Z376" t="s">
        <v>65</v>
      </c>
      <c r="AA376" t="s">
        <v>66</v>
      </c>
      <c r="AB376" s="4">
        <v>5253</v>
      </c>
      <c r="AC376" s="4" t="str">
        <f t="shared" si="81"/>
        <v>$4,000-$5,500</v>
      </c>
      <c r="AD376">
        <v>20750</v>
      </c>
      <c r="AE376" t="str">
        <f t="shared" si="82"/>
        <v>$16,001-$22,000</v>
      </c>
      <c r="AF376">
        <v>1</v>
      </c>
      <c r="AG376" t="str">
        <f t="shared" si="83"/>
        <v>0-1</v>
      </c>
      <c r="AH376" t="s">
        <v>67</v>
      </c>
      <c r="AI376" t="s">
        <v>71</v>
      </c>
      <c r="AJ376">
        <v>16</v>
      </c>
      <c r="AK376" t="str">
        <f t="shared" si="84"/>
        <v>16-17%</v>
      </c>
      <c r="AL376">
        <v>3</v>
      </c>
      <c r="AM376" t="s">
        <v>68</v>
      </c>
      <c r="AN376">
        <v>4</v>
      </c>
      <c r="AO376" t="s">
        <v>65</v>
      </c>
      <c r="AP376">
        <v>80</v>
      </c>
      <c r="AQ376">
        <v>0</v>
      </c>
      <c r="AR376">
        <v>7</v>
      </c>
      <c r="AS376" t="str">
        <f t="shared" si="85"/>
        <v>6-10</v>
      </c>
      <c r="AT376">
        <v>1</v>
      </c>
      <c r="AU376" t="str">
        <f t="shared" si="86"/>
        <v>0-2</v>
      </c>
      <c r="AV376">
        <v>3</v>
      </c>
      <c r="AW376" t="s">
        <v>79</v>
      </c>
      <c r="AX376">
        <v>7</v>
      </c>
      <c r="AY376" t="str">
        <f t="shared" si="75"/>
        <v>6-10</v>
      </c>
      <c r="AZ376">
        <v>5</v>
      </c>
      <c r="BA376" t="str">
        <f t="shared" si="87"/>
        <v>2-5</v>
      </c>
      <c r="BB376">
        <v>0</v>
      </c>
      <c r="BC376" t="str">
        <f t="shared" si="88"/>
        <v>0-1</v>
      </c>
      <c r="BD376">
        <v>7</v>
      </c>
      <c r="BE376" t="str">
        <f t="shared" si="89"/>
        <v>6-10</v>
      </c>
    </row>
    <row r="377" spans="1:57" x14ac:dyDescent="0.3">
      <c r="A377">
        <v>499</v>
      </c>
      <c r="B377">
        <v>49</v>
      </c>
      <c r="C377" t="str">
        <f t="shared" si="76"/>
        <v>46-55</v>
      </c>
      <c r="D377" t="s">
        <v>71</v>
      </c>
      <c r="E377">
        <f t="shared" si="77"/>
        <v>0</v>
      </c>
      <c r="F377" t="s">
        <v>57</v>
      </c>
      <c r="G377">
        <v>1261</v>
      </c>
      <c r="H377" t="str">
        <f t="shared" si="78"/>
        <v>1001-1499</v>
      </c>
      <c r="I377" t="s">
        <v>73</v>
      </c>
      <c r="J377">
        <v>7</v>
      </c>
      <c r="K377" t="str">
        <f t="shared" si="79"/>
        <v>6-10</v>
      </c>
      <c r="L377">
        <v>3</v>
      </c>
      <c r="M377" t="s">
        <v>85</v>
      </c>
      <c r="N377" t="s">
        <v>80</v>
      </c>
      <c r="O377">
        <v>1</v>
      </c>
      <c r="P377">
        <v>2</v>
      </c>
      <c r="Q377" t="s">
        <v>61</v>
      </c>
      <c r="R377" t="s">
        <v>75</v>
      </c>
      <c r="S377">
        <v>31</v>
      </c>
      <c r="T377" t="str">
        <f t="shared" si="80"/>
        <v>30-50</v>
      </c>
      <c r="U377">
        <v>2</v>
      </c>
      <c r="V377" t="s">
        <v>61</v>
      </c>
      <c r="W377">
        <v>3</v>
      </c>
      <c r="X377" t="s">
        <v>88</v>
      </c>
      <c r="Y377">
        <v>3</v>
      </c>
      <c r="Z377" t="s">
        <v>63</v>
      </c>
      <c r="AA377" t="s">
        <v>66</v>
      </c>
      <c r="AB377" s="4">
        <v>10965</v>
      </c>
      <c r="AC377" s="4" t="str">
        <f t="shared" si="81"/>
        <v>$10,000-$11,500</v>
      </c>
      <c r="AD377">
        <v>12066</v>
      </c>
      <c r="AE377" t="str">
        <f t="shared" si="82"/>
        <v>$8,001-$16,000</v>
      </c>
      <c r="AF377">
        <v>8</v>
      </c>
      <c r="AG377" t="str">
        <f t="shared" si="83"/>
        <v>7-9</v>
      </c>
      <c r="AH377" t="s">
        <v>67</v>
      </c>
      <c r="AI377" t="s">
        <v>71</v>
      </c>
      <c r="AJ377">
        <v>24</v>
      </c>
      <c r="AK377" t="str">
        <f t="shared" si="84"/>
        <v>18-19%</v>
      </c>
      <c r="AL377">
        <v>4</v>
      </c>
      <c r="AM377" t="s">
        <v>78</v>
      </c>
      <c r="AN377">
        <v>3</v>
      </c>
      <c r="AO377" t="s">
        <v>63</v>
      </c>
      <c r="AP377">
        <v>80</v>
      </c>
      <c r="AQ377">
        <v>0</v>
      </c>
      <c r="AR377">
        <v>26</v>
      </c>
      <c r="AS377" t="str">
        <f t="shared" si="85"/>
        <v>21-40</v>
      </c>
      <c r="AT377">
        <v>2</v>
      </c>
      <c r="AU377" t="str">
        <f t="shared" si="86"/>
        <v>0-2</v>
      </c>
      <c r="AV377">
        <v>3</v>
      </c>
      <c r="AW377" t="s">
        <v>79</v>
      </c>
      <c r="AX377">
        <v>5</v>
      </c>
      <c r="AY377" t="str">
        <f t="shared" si="75"/>
        <v>2-5</v>
      </c>
      <c r="AZ377">
        <v>2</v>
      </c>
      <c r="BA377" t="str">
        <f t="shared" si="87"/>
        <v>2-5</v>
      </c>
      <c r="BB377">
        <v>0</v>
      </c>
      <c r="BC377" t="str">
        <f t="shared" si="88"/>
        <v>0-1</v>
      </c>
      <c r="BD377">
        <v>0</v>
      </c>
      <c r="BE377" t="str">
        <f t="shared" si="89"/>
        <v>0-1</v>
      </c>
    </row>
    <row r="378" spans="1:57" x14ac:dyDescent="0.3">
      <c r="A378">
        <v>500</v>
      </c>
      <c r="B378">
        <v>51</v>
      </c>
      <c r="C378" t="str">
        <f t="shared" si="76"/>
        <v>46-55</v>
      </c>
      <c r="D378" t="s">
        <v>71</v>
      </c>
      <c r="E378">
        <f t="shared" si="77"/>
        <v>0</v>
      </c>
      <c r="F378" t="s">
        <v>57</v>
      </c>
      <c r="G378">
        <v>1178</v>
      </c>
      <c r="H378" t="str">
        <f t="shared" si="78"/>
        <v>1001-1499</v>
      </c>
      <c r="I378" t="s">
        <v>58</v>
      </c>
      <c r="J378">
        <v>14</v>
      </c>
      <c r="K378" t="str">
        <f t="shared" si="79"/>
        <v>11-20</v>
      </c>
      <c r="L378">
        <v>2</v>
      </c>
      <c r="M378" t="s">
        <v>59</v>
      </c>
      <c r="N378" t="s">
        <v>60</v>
      </c>
      <c r="O378">
        <v>1</v>
      </c>
      <c r="P378">
        <v>3</v>
      </c>
      <c r="Q378" t="s">
        <v>63</v>
      </c>
      <c r="R378" t="s">
        <v>62</v>
      </c>
      <c r="S378">
        <v>87</v>
      </c>
      <c r="T378" t="str">
        <f t="shared" si="80"/>
        <v>76-100</v>
      </c>
      <c r="U378">
        <v>3</v>
      </c>
      <c r="V378" t="s">
        <v>63</v>
      </c>
      <c r="W378">
        <v>2</v>
      </c>
      <c r="X378" t="s">
        <v>64</v>
      </c>
      <c r="Y378">
        <v>4</v>
      </c>
      <c r="Z378" t="s">
        <v>65</v>
      </c>
      <c r="AA378" t="s">
        <v>77</v>
      </c>
      <c r="AB378" s="4">
        <v>4936</v>
      </c>
      <c r="AC378" s="4" t="str">
        <f t="shared" si="81"/>
        <v>$4,000-$5,500</v>
      </c>
      <c r="AD378">
        <v>14862</v>
      </c>
      <c r="AE378" t="str">
        <f t="shared" si="82"/>
        <v>$8,001-$16,000</v>
      </c>
      <c r="AF378">
        <v>4</v>
      </c>
      <c r="AG378" t="str">
        <f t="shared" si="83"/>
        <v>4-6</v>
      </c>
      <c r="AH378" t="s">
        <v>67</v>
      </c>
      <c r="AI378" t="s">
        <v>71</v>
      </c>
      <c r="AJ378">
        <v>11</v>
      </c>
      <c r="AK378" t="str">
        <f t="shared" si="84"/>
        <v>11-12%</v>
      </c>
      <c r="AL378">
        <v>3</v>
      </c>
      <c r="AM378" t="s">
        <v>68</v>
      </c>
      <c r="AN378">
        <v>3</v>
      </c>
      <c r="AO378" t="s">
        <v>63</v>
      </c>
      <c r="AP378">
        <v>80</v>
      </c>
      <c r="AQ378">
        <v>1</v>
      </c>
      <c r="AR378">
        <v>18</v>
      </c>
      <c r="AS378" t="str">
        <f t="shared" si="85"/>
        <v>11-20</v>
      </c>
      <c r="AT378">
        <v>2</v>
      </c>
      <c r="AU378" t="str">
        <f t="shared" si="86"/>
        <v>0-2</v>
      </c>
      <c r="AV378">
        <v>2</v>
      </c>
      <c r="AW378" t="s">
        <v>84</v>
      </c>
      <c r="AX378">
        <v>7</v>
      </c>
      <c r="AY378" t="str">
        <f t="shared" si="75"/>
        <v>6-10</v>
      </c>
      <c r="AZ378">
        <v>7</v>
      </c>
      <c r="BA378" t="str">
        <f t="shared" si="87"/>
        <v>6-10</v>
      </c>
      <c r="BB378">
        <v>0</v>
      </c>
      <c r="BC378" t="str">
        <f t="shared" si="88"/>
        <v>0-1</v>
      </c>
      <c r="BD378">
        <v>7</v>
      </c>
      <c r="BE378" t="str">
        <f t="shared" si="89"/>
        <v>6-10</v>
      </c>
    </row>
    <row r="379" spans="1:57" x14ac:dyDescent="0.3">
      <c r="A379">
        <v>501</v>
      </c>
      <c r="B379">
        <v>36</v>
      </c>
      <c r="C379" t="str">
        <f t="shared" si="76"/>
        <v>36-45</v>
      </c>
      <c r="D379" t="s">
        <v>71</v>
      </c>
      <c r="E379">
        <f t="shared" si="77"/>
        <v>0</v>
      </c>
      <c r="F379" t="s">
        <v>57</v>
      </c>
      <c r="G379">
        <v>329</v>
      </c>
      <c r="H379" t="str">
        <f t="shared" si="78"/>
        <v>102-500</v>
      </c>
      <c r="I379" t="s">
        <v>73</v>
      </c>
      <c r="J379">
        <v>2</v>
      </c>
      <c r="K379" t="str">
        <f t="shared" si="79"/>
        <v>1-5</v>
      </c>
      <c r="L379">
        <v>3</v>
      </c>
      <c r="M379" t="s">
        <v>85</v>
      </c>
      <c r="N379" t="s">
        <v>60</v>
      </c>
      <c r="O379">
        <v>1</v>
      </c>
      <c r="P379">
        <v>4</v>
      </c>
      <c r="Q379" t="s">
        <v>65</v>
      </c>
      <c r="R379" t="s">
        <v>62</v>
      </c>
      <c r="S379">
        <v>96</v>
      </c>
      <c r="T379" t="str">
        <f t="shared" si="80"/>
        <v>76-100</v>
      </c>
      <c r="U379">
        <v>3</v>
      </c>
      <c r="V379" t="s">
        <v>63</v>
      </c>
      <c r="W379">
        <v>1</v>
      </c>
      <c r="X379" t="s">
        <v>76</v>
      </c>
      <c r="Y379">
        <v>3</v>
      </c>
      <c r="Z379" t="s">
        <v>63</v>
      </c>
      <c r="AA379" t="s">
        <v>77</v>
      </c>
      <c r="AB379" s="4">
        <v>2543</v>
      </c>
      <c r="AC379" s="4" t="str">
        <f t="shared" si="81"/>
        <v>$2,500-$4,000</v>
      </c>
      <c r="AD379">
        <v>11868</v>
      </c>
      <c r="AE379" t="str">
        <f t="shared" si="82"/>
        <v>$8,001-$16,000</v>
      </c>
      <c r="AF379">
        <v>4</v>
      </c>
      <c r="AG379" t="str">
        <f t="shared" si="83"/>
        <v>4-6</v>
      </c>
      <c r="AH379" t="s">
        <v>67</v>
      </c>
      <c r="AI379" t="s">
        <v>71</v>
      </c>
      <c r="AJ379">
        <v>13</v>
      </c>
      <c r="AK379" t="str">
        <f t="shared" si="84"/>
        <v>13-15%</v>
      </c>
      <c r="AL379">
        <v>3</v>
      </c>
      <c r="AM379" t="s">
        <v>68</v>
      </c>
      <c r="AN379">
        <v>2</v>
      </c>
      <c r="AO379" t="s">
        <v>61</v>
      </c>
      <c r="AP379">
        <v>80</v>
      </c>
      <c r="AQ379">
        <v>1</v>
      </c>
      <c r="AR379">
        <v>6</v>
      </c>
      <c r="AS379" t="str">
        <f t="shared" si="85"/>
        <v>6-10</v>
      </c>
      <c r="AT379">
        <v>3</v>
      </c>
      <c r="AU379" t="str">
        <f t="shared" si="86"/>
        <v>3-4</v>
      </c>
      <c r="AV379">
        <v>3</v>
      </c>
      <c r="AW379" t="s">
        <v>79</v>
      </c>
      <c r="AX379">
        <v>2</v>
      </c>
      <c r="AY379" t="str">
        <f t="shared" si="75"/>
        <v>2-5</v>
      </c>
      <c r="AZ379">
        <v>2</v>
      </c>
      <c r="BA379" t="str">
        <f t="shared" si="87"/>
        <v>2-5</v>
      </c>
      <c r="BB379">
        <v>2</v>
      </c>
      <c r="BC379" t="str">
        <f t="shared" si="88"/>
        <v>2-5</v>
      </c>
      <c r="BD379">
        <v>2</v>
      </c>
      <c r="BE379" t="str">
        <f t="shared" si="89"/>
        <v>2-5</v>
      </c>
    </row>
    <row r="380" spans="1:57" x14ac:dyDescent="0.3">
      <c r="A380">
        <v>502</v>
      </c>
      <c r="B380">
        <v>34</v>
      </c>
      <c r="C380" t="str">
        <f t="shared" si="76"/>
        <v>26-35</v>
      </c>
      <c r="D380" t="s">
        <v>56</v>
      </c>
      <c r="E380">
        <f t="shared" si="77"/>
        <v>1</v>
      </c>
      <c r="F380" t="s">
        <v>89</v>
      </c>
      <c r="G380">
        <v>1362</v>
      </c>
      <c r="H380" t="str">
        <f t="shared" si="78"/>
        <v>1001-1499</v>
      </c>
      <c r="I380" t="s">
        <v>58</v>
      </c>
      <c r="J380">
        <v>19</v>
      </c>
      <c r="K380" t="str">
        <f t="shared" si="79"/>
        <v>11-20</v>
      </c>
      <c r="L380">
        <v>3</v>
      </c>
      <c r="M380" t="s">
        <v>85</v>
      </c>
      <c r="N380" t="s">
        <v>93</v>
      </c>
      <c r="O380">
        <v>1</v>
      </c>
      <c r="P380">
        <v>1</v>
      </c>
      <c r="Q380" t="s">
        <v>69</v>
      </c>
      <c r="R380" t="s">
        <v>75</v>
      </c>
      <c r="S380">
        <v>67</v>
      </c>
      <c r="T380" t="str">
        <f t="shared" si="80"/>
        <v>51-75</v>
      </c>
      <c r="U380">
        <v>4</v>
      </c>
      <c r="V380" t="s">
        <v>65</v>
      </c>
      <c r="W380">
        <v>2</v>
      </c>
      <c r="X380" t="s">
        <v>64</v>
      </c>
      <c r="Y380">
        <v>4</v>
      </c>
      <c r="Z380" t="s">
        <v>65</v>
      </c>
      <c r="AA380" t="s">
        <v>66</v>
      </c>
      <c r="AB380" s="4">
        <v>5304</v>
      </c>
      <c r="AC380" s="4" t="str">
        <f t="shared" si="81"/>
        <v>$4,000-$5,500</v>
      </c>
      <c r="AD380">
        <v>4652</v>
      </c>
      <c r="AE380" t="str">
        <f t="shared" si="82"/>
        <v>$2,094-$8,000</v>
      </c>
      <c r="AF380">
        <v>8</v>
      </c>
      <c r="AG380" t="str">
        <f t="shared" si="83"/>
        <v>7-9</v>
      </c>
      <c r="AH380" t="s">
        <v>67</v>
      </c>
      <c r="AI380" t="s">
        <v>56</v>
      </c>
      <c r="AJ380">
        <v>13</v>
      </c>
      <c r="AK380" t="str">
        <f t="shared" si="84"/>
        <v>13-15%</v>
      </c>
      <c r="AL380">
        <v>3</v>
      </c>
      <c r="AM380" t="s">
        <v>68</v>
      </c>
      <c r="AN380">
        <v>2</v>
      </c>
      <c r="AO380" t="s">
        <v>61</v>
      </c>
      <c r="AP380">
        <v>80</v>
      </c>
      <c r="AQ380">
        <v>0</v>
      </c>
      <c r="AR380">
        <v>9</v>
      </c>
      <c r="AS380" t="str">
        <f t="shared" si="85"/>
        <v>6-10</v>
      </c>
      <c r="AT380">
        <v>3</v>
      </c>
      <c r="AU380" t="str">
        <f t="shared" si="86"/>
        <v>3-4</v>
      </c>
      <c r="AV380">
        <v>2</v>
      </c>
      <c r="AW380" t="s">
        <v>84</v>
      </c>
      <c r="AX380">
        <v>5</v>
      </c>
      <c r="AY380" t="str">
        <f t="shared" si="75"/>
        <v>2-5</v>
      </c>
      <c r="AZ380">
        <v>2</v>
      </c>
      <c r="BA380" t="str">
        <f t="shared" si="87"/>
        <v>2-5</v>
      </c>
      <c r="BB380">
        <v>0</v>
      </c>
      <c r="BC380" t="str">
        <f t="shared" si="88"/>
        <v>0-1</v>
      </c>
      <c r="BD380">
        <v>4</v>
      </c>
      <c r="BE380" t="str">
        <f t="shared" si="89"/>
        <v>2-5</v>
      </c>
    </row>
    <row r="381" spans="1:57" x14ac:dyDescent="0.3">
      <c r="A381">
        <v>505</v>
      </c>
      <c r="B381">
        <v>55</v>
      </c>
      <c r="C381" t="str">
        <f t="shared" si="76"/>
        <v>46-55</v>
      </c>
      <c r="D381" t="s">
        <v>71</v>
      </c>
      <c r="E381">
        <f t="shared" si="77"/>
        <v>0</v>
      </c>
      <c r="F381" t="s">
        <v>57</v>
      </c>
      <c r="G381">
        <v>1311</v>
      </c>
      <c r="H381" t="str">
        <f t="shared" si="78"/>
        <v>1001-1499</v>
      </c>
      <c r="I381" t="s">
        <v>73</v>
      </c>
      <c r="J381">
        <v>2</v>
      </c>
      <c r="K381" t="str">
        <f t="shared" si="79"/>
        <v>1-5</v>
      </c>
      <c r="L381">
        <v>3</v>
      </c>
      <c r="M381" t="s">
        <v>85</v>
      </c>
      <c r="N381" t="s">
        <v>60</v>
      </c>
      <c r="O381">
        <v>1</v>
      </c>
      <c r="P381">
        <v>3</v>
      </c>
      <c r="Q381" t="s">
        <v>63</v>
      </c>
      <c r="R381" t="s">
        <v>62</v>
      </c>
      <c r="S381">
        <v>97</v>
      </c>
      <c r="T381" t="str">
        <f t="shared" si="80"/>
        <v>76-100</v>
      </c>
      <c r="U381">
        <v>3</v>
      </c>
      <c r="V381" t="s">
        <v>63</v>
      </c>
      <c r="W381">
        <v>4</v>
      </c>
      <c r="X381" t="s">
        <v>90</v>
      </c>
      <c r="Y381">
        <v>4</v>
      </c>
      <c r="Z381" t="s">
        <v>65</v>
      </c>
      <c r="AA381" t="s">
        <v>66</v>
      </c>
      <c r="AB381" s="4">
        <v>16659</v>
      </c>
      <c r="AC381" s="4" t="str">
        <f t="shared" si="81"/>
        <v>$16,000-$17,500</v>
      </c>
      <c r="AD381">
        <v>23258</v>
      </c>
      <c r="AE381" t="str">
        <f t="shared" si="82"/>
        <v>$22,001-$26,999</v>
      </c>
      <c r="AF381">
        <v>2</v>
      </c>
      <c r="AG381" t="str">
        <f t="shared" si="83"/>
        <v>2-3</v>
      </c>
      <c r="AH381" t="s">
        <v>67</v>
      </c>
      <c r="AI381" t="s">
        <v>56</v>
      </c>
      <c r="AJ381">
        <v>13</v>
      </c>
      <c r="AK381" t="str">
        <f t="shared" si="84"/>
        <v>13-15%</v>
      </c>
      <c r="AL381">
        <v>3</v>
      </c>
      <c r="AM381" t="s">
        <v>68</v>
      </c>
      <c r="AN381">
        <v>3</v>
      </c>
      <c r="AO381" t="s">
        <v>63</v>
      </c>
      <c r="AP381">
        <v>80</v>
      </c>
      <c r="AQ381">
        <v>0</v>
      </c>
      <c r="AR381">
        <v>30</v>
      </c>
      <c r="AS381" t="str">
        <f t="shared" si="85"/>
        <v>21-40</v>
      </c>
      <c r="AT381">
        <v>2</v>
      </c>
      <c r="AU381" t="str">
        <f t="shared" si="86"/>
        <v>0-2</v>
      </c>
      <c r="AV381">
        <v>3</v>
      </c>
      <c r="AW381" t="s">
        <v>79</v>
      </c>
      <c r="AX381">
        <v>5</v>
      </c>
      <c r="AY381" t="str">
        <f t="shared" si="75"/>
        <v>2-5</v>
      </c>
      <c r="AZ381">
        <v>4</v>
      </c>
      <c r="BA381" t="str">
        <f t="shared" si="87"/>
        <v>2-5</v>
      </c>
      <c r="BB381">
        <v>1</v>
      </c>
      <c r="BC381" t="str">
        <f t="shared" si="88"/>
        <v>0-1</v>
      </c>
      <c r="BD381">
        <v>2</v>
      </c>
      <c r="BE381" t="str">
        <f t="shared" si="89"/>
        <v>2-5</v>
      </c>
    </row>
    <row r="382" spans="1:57" x14ac:dyDescent="0.3">
      <c r="A382">
        <v>507</v>
      </c>
      <c r="B382">
        <v>24</v>
      </c>
      <c r="C382" t="str">
        <f t="shared" si="76"/>
        <v>18-25</v>
      </c>
      <c r="D382" t="s">
        <v>71</v>
      </c>
      <c r="E382">
        <f t="shared" si="77"/>
        <v>0</v>
      </c>
      <c r="F382" t="s">
        <v>57</v>
      </c>
      <c r="G382">
        <v>1371</v>
      </c>
      <c r="H382" t="str">
        <f t="shared" si="78"/>
        <v>1001-1499</v>
      </c>
      <c r="I382" t="s">
        <v>58</v>
      </c>
      <c r="J382">
        <v>10</v>
      </c>
      <c r="K382" t="str">
        <f t="shared" si="79"/>
        <v>6-10</v>
      </c>
      <c r="L382">
        <v>4</v>
      </c>
      <c r="M382" t="s">
        <v>82</v>
      </c>
      <c r="N382" t="s">
        <v>93</v>
      </c>
      <c r="O382">
        <v>1</v>
      </c>
      <c r="P382">
        <v>4</v>
      </c>
      <c r="Q382" t="s">
        <v>65</v>
      </c>
      <c r="R382" t="s">
        <v>62</v>
      </c>
      <c r="S382">
        <v>77</v>
      </c>
      <c r="T382" t="str">
        <f t="shared" si="80"/>
        <v>76-100</v>
      </c>
      <c r="U382">
        <v>3</v>
      </c>
      <c r="V382" t="s">
        <v>63</v>
      </c>
      <c r="W382">
        <v>2</v>
      </c>
      <c r="X382" t="s">
        <v>64</v>
      </c>
      <c r="Y382">
        <v>3</v>
      </c>
      <c r="Z382" t="s">
        <v>63</v>
      </c>
      <c r="AA382" t="s">
        <v>86</v>
      </c>
      <c r="AB382" s="4">
        <v>4260</v>
      </c>
      <c r="AC382" s="4" t="str">
        <f t="shared" si="81"/>
        <v>$4,000-$5,500</v>
      </c>
      <c r="AD382">
        <v>5915</v>
      </c>
      <c r="AE382" t="str">
        <f t="shared" si="82"/>
        <v>$2,094-$8,000</v>
      </c>
      <c r="AF382">
        <v>1</v>
      </c>
      <c r="AG382" t="str">
        <f t="shared" si="83"/>
        <v>0-1</v>
      </c>
      <c r="AH382" t="s">
        <v>67</v>
      </c>
      <c r="AI382" t="s">
        <v>56</v>
      </c>
      <c r="AJ382">
        <v>12</v>
      </c>
      <c r="AK382" t="str">
        <f t="shared" si="84"/>
        <v>11-12%</v>
      </c>
      <c r="AL382">
        <v>3</v>
      </c>
      <c r="AM382" t="s">
        <v>68</v>
      </c>
      <c r="AN382">
        <v>4</v>
      </c>
      <c r="AO382" t="s">
        <v>65</v>
      </c>
      <c r="AP382">
        <v>80</v>
      </c>
      <c r="AQ382">
        <v>1</v>
      </c>
      <c r="AR382">
        <v>5</v>
      </c>
      <c r="AS382" t="str">
        <f t="shared" si="85"/>
        <v>3-5</v>
      </c>
      <c r="AT382">
        <v>2</v>
      </c>
      <c r="AU382" t="str">
        <f t="shared" si="86"/>
        <v>0-2</v>
      </c>
      <c r="AV382">
        <v>4</v>
      </c>
      <c r="AW382" t="s">
        <v>94</v>
      </c>
      <c r="AX382">
        <v>5</v>
      </c>
      <c r="AY382" t="str">
        <f t="shared" si="75"/>
        <v>2-5</v>
      </c>
      <c r="AZ382">
        <v>2</v>
      </c>
      <c r="BA382" t="str">
        <f t="shared" si="87"/>
        <v>2-5</v>
      </c>
      <c r="BB382">
        <v>0</v>
      </c>
      <c r="BC382" t="str">
        <f t="shared" si="88"/>
        <v>0-1</v>
      </c>
      <c r="BD382">
        <v>3</v>
      </c>
      <c r="BE382" t="str">
        <f t="shared" si="89"/>
        <v>2-5</v>
      </c>
    </row>
    <row r="383" spans="1:57" x14ac:dyDescent="0.3">
      <c r="A383">
        <v>508</v>
      </c>
      <c r="B383">
        <v>30</v>
      </c>
      <c r="C383" t="str">
        <f t="shared" si="76"/>
        <v>26-35</v>
      </c>
      <c r="D383" t="s">
        <v>71</v>
      </c>
      <c r="E383">
        <f t="shared" si="77"/>
        <v>0</v>
      </c>
      <c r="F383" t="s">
        <v>57</v>
      </c>
      <c r="G383">
        <v>202</v>
      </c>
      <c r="H383" t="str">
        <f t="shared" si="78"/>
        <v>102-500</v>
      </c>
      <c r="I383" t="s">
        <v>58</v>
      </c>
      <c r="J383">
        <v>2</v>
      </c>
      <c r="K383" t="str">
        <f t="shared" si="79"/>
        <v>1-5</v>
      </c>
      <c r="L383">
        <v>1</v>
      </c>
      <c r="M383" t="s">
        <v>74</v>
      </c>
      <c r="N383" t="s">
        <v>95</v>
      </c>
      <c r="O383">
        <v>1</v>
      </c>
      <c r="P383">
        <v>3</v>
      </c>
      <c r="Q383" t="s">
        <v>63</v>
      </c>
      <c r="R383" t="s">
        <v>75</v>
      </c>
      <c r="S383">
        <v>72</v>
      </c>
      <c r="T383" t="str">
        <f t="shared" si="80"/>
        <v>51-75</v>
      </c>
      <c r="U383">
        <v>3</v>
      </c>
      <c r="V383" t="s">
        <v>63</v>
      </c>
      <c r="W383">
        <v>1</v>
      </c>
      <c r="X383" t="s">
        <v>91</v>
      </c>
      <c r="Y383">
        <v>2</v>
      </c>
      <c r="Z383" t="s">
        <v>61</v>
      </c>
      <c r="AA383" t="s">
        <v>77</v>
      </c>
      <c r="AB383" s="4">
        <v>2476</v>
      </c>
      <c r="AC383" s="4" t="str">
        <f t="shared" si="81"/>
        <v>$1,000-$2,500</v>
      </c>
      <c r="AD383">
        <v>17434</v>
      </c>
      <c r="AE383" t="str">
        <f t="shared" si="82"/>
        <v>$16,001-$22,000</v>
      </c>
      <c r="AF383">
        <v>1</v>
      </c>
      <c r="AG383" t="str">
        <f t="shared" si="83"/>
        <v>0-1</v>
      </c>
      <c r="AH383" t="s">
        <v>67</v>
      </c>
      <c r="AI383" t="s">
        <v>71</v>
      </c>
      <c r="AJ383">
        <v>18</v>
      </c>
      <c r="AK383" t="str">
        <f t="shared" si="84"/>
        <v>18-19%</v>
      </c>
      <c r="AL383">
        <v>3</v>
      </c>
      <c r="AM383" t="s">
        <v>68</v>
      </c>
      <c r="AN383">
        <v>1</v>
      </c>
      <c r="AO383" t="s">
        <v>69</v>
      </c>
      <c r="AP383">
        <v>80</v>
      </c>
      <c r="AQ383">
        <v>1</v>
      </c>
      <c r="AR383">
        <v>1</v>
      </c>
      <c r="AS383" t="str">
        <f t="shared" si="85"/>
        <v>0-2</v>
      </c>
      <c r="AT383">
        <v>3</v>
      </c>
      <c r="AU383" t="str">
        <f t="shared" si="86"/>
        <v>3-4</v>
      </c>
      <c r="AV383">
        <v>3</v>
      </c>
      <c r="AW383" t="s">
        <v>79</v>
      </c>
      <c r="AX383">
        <v>1</v>
      </c>
      <c r="AY383" t="str">
        <f t="shared" si="75"/>
        <v>0-1</v>
      </c>
      <c r="AZ383">
        <v>0</v>
      </c>
      <c r="BA383" t="str">
        <f t="shared" si="87"/>
        <v>0-1</v>
      </c>
      <c r="BB383">
        <v>0</v>
      </c>
      <c r="BC383" t="str">
        <f t="shared" si="88"/>
        <v>0-1</v>
      </c>
      <c r="BD383">
        <v>0</v>
      </c>
      <c r="BE383" t="str">
        <f t="shared" si="89"/>
        <v>0-1</v>
      </c>
    </row>
    <row r="384" spans="1:57" x14ac:dyDescent="0.3">
      <c r="A384">
        <v>510</v>
      </c>
      <c r="B384">
        <v>26</v>
      </c>
      <c r="C384" t="str">
        <f t="shared" si="76"/>
        <v>26-35</v>
      </c>
      <c r="D384" t="s">
        <v>56</v>
      </c>
      <c r="E384">
        <f t="shared" si="77"/>
        <v>1</v>
      </c>
      <c r="F384" t="s">
        <v>72</v>
      </c>
      <c r="G384">
        <v>575</v>
      </c>
      <c r="H384" t="str">
        <f t="shared" si="78"/>
        <v>501-1000</v>
      </c>
      <c r="I384" t="s">
        <v>73</v>
      </c>
      <c r="J384">
        <v>3</v>
      </c>
      <c r="K384" t="str">
        <f t="shared" si="79"/>
        <v>1-5</v>
      </c>
      <c r="L384">
        <v>1</v>
      </c>
      <c r="M384" t="s">
        <v>74</v>
      </c>
      <c r="N384" t="s">
        <v>95</v>
      </c>
      <c r="O384">
        <v>1</v>
      </c>
      <c r="P384">
        <v>3</v>
      </c>
      <c r="Q384" t="s">
        <v>63</v>
      </c>
      <c r="R384" t="s">
        <v>75</v>
      </c>
      <c r="S384">
        <v>73</v>
      </c>
      <c r="T384" t="str">
        <f t="shared" si="80"/>
        <v>51-75</v>
      </c>
      <c r="U384">
        <v>3</v>
      </c>
      <c r="V384" t="s">
        <v>63</v>
      </c>
      <c r="W384">
        <v>1</v>
      </c>
      <c r="X384" t="s">
        <v>76</v>
      </c>
      <c r="Y384">
        <v>1</v>
      </c>
      <c r="Z384" t="s">
        <v>69</v>
      </c>
      <c r="AA384" t="s">
        <v>66</v>
      </c>
      <c r="AB384" s="4">
        <v>3102</v>
      </c>
      <c r="AC384" s="4" t="str">
        <f t="shared" si="81"/>
        <v>$2,500-$4,000</v>
      </c>
      <c r="AD384">
        <v>6582</v>
      </c>
      <c r="AE384" t="str">
        <f t="shared" si="82"/>
        <v>$2,094-$8,000</v>
      </c>
      <c r="AF384">
        <v>0</v>
      </c>
      <c r="AG384" t="str">
        <f t="shared" si="83"/>
        <v>0-1</v>
      </c>
      <c r="AH384" t="s">
        <v>67</v>
      </c>
      <c r="AI384" t="s">
        <v>71</v>
      </c>
      <c r="AJ384">
        <v>22</v>
      </c>
      <c r="AK384" t="str">
        <f t="shared" si="84"/>
        <v>18-19%</v>
      </c>
      <c r="AL384">
        <v>4</v>
      </c>
      <c r="AM384" t="s">
        <v>78</v>
      </c>
      <c r="AN384">
        <v>3</v>
      </c>
      <c r="AO384" t="s">
        <v>63</v>
      </c>
      <c r="AP384">
        <v>80</v>
      </c>
      <c r="AQ384">
        <v>0</v>
      </c>
      <c r="AR384">
        <v>7</v>
      </c>
      <c r="AS384" t="str">
        <f t="shared" si="85"/>
        <v>6-10</v>
      </c>
      <c r="AT384">
        <v>2</v>
      </c>
      <c r="AU384" t="str">
        <f t="shared" si="86"/>
        <v>0-2</v>
      </c>
      <c r="AV384">
        <v>3</v>
      </c>
      <c r="AW384" t="s">
        <v>79</v>
      </c>
      <c r="AX384">
        <v>6</v>
      </c>
      <c r="AY384" t="str">
        <f t="shared" si="75"/>
        <v>6-10</v>
      </c>
      <c r="AZ384">
        <v>4</v>
      </c>
      <c r="BA384" t="str">
        <f t="shared" si="87"/>
        <v>2-5</v>
      </c>
      <c r="BB384">
        <v>0</v>
      </c>
      <c r="BC384" t="str">
        <f t="shared" si="88"/>
        <v>0-1</v>
      </c>
      <c r="BD384">
        <v>4</v>
      </c>
      <c r="BE384" t="str">
        <f t="shared" si="89"/>
        <v>2-5</v>
      </c>
    </row>
    <row r="385" spans="1:57" x14ac:dyDescent="0.3">
      <c r="A385">
        <v>511</v>
      </c>
      <c r="B385">
        <v>22</v>
      </c>
      <c r="C385" t="str">
        <f t="shared" si="76"/>
        <v>18-25</v>
      </c>
      <c r="D385" t="s">
        <v>71</v>
      </c>
      <c r="E385">
        <f t="shared" si="77"/>
        <v>0</v>
      </c>
      <c r="F385" t="s">
        <v>57</v>
      </c>
      <c r="G385">
        <v>253</v>
      </c>
      <c r="H385" t="str">
        <f t="shared" si="78"/>
        <v>102-500</v>
      </c>
      <c r="I385" t="s">
        <v>73</v>
      </c>
      <c r="J385">
        <v>11</v>
      </c>
      <c r="K385" t="str">
        <f t="shared" si="79"/>
        <v>11-20</v>
      </c>
      <c r="L385">
        <v>3</v>
      </c>
      <c r="M385" t="s">
        <v>85</v>
      </c>
      <c r="N385" t="s">
        <v>83</v>
      </c>
      <c r="O385">
        <v>1</v>
      </c>
      <c r="P385">
        <v>1</v>
      </c>
      <c r="Q385" t="s">
        <v>69</v>
      </c>
      <c r="R385" t="s">
        <v>62</v>
      </c>
      <c r="S385">
        <v>43</v>
      </c>
      <c r="T385" t="str">
        <f t="shared" si="80"/>
        <v>30-50</v>
      </c>
      <c r="U385">
        <v>3</v>
      </c>
      <c r="V385" t="s">
        <v>63</v>
      </c>
      <c r="W385">
        <v>1</v>
      </c>
      <c r="X385" t="s">
        <v>76</v>
      </c>
      <c r="Y385">
        <v>2</v>
      </c>
      <c r="Z385" t="s">
        <v>61</v>
      </c>
      <c r="AA385" t="s">
        <v>77</v>
      </c>
      <c r="AB385" s="4">
        <v>2244</v>
      </c>
      <c r="AC385" s="4" t="str">
        <f t="shared" si="81"/>
        <v>$1,000-$2,500</v>
      </c>
      <c r="AD385">
        <v>24440</v>
      </c>
      <c r="AE385" t="str">
        <f t="shared" si="82"/>
        <v>$22,001-$26,999</v>
      </c>
      <c r="AF385">
        <v>1</v>
      </c>
      <c r="AG385" t="str">
        <f t="shared" si="83"/>
        <v>0-1</v>
      </c>
      <c r="AH385" t="s">
        <v>67</v>
      </c>
      <c r="AI385" t="s">
        <v>71</v>
      </c>
      <c r="AJ385">
        <v>13</v>
      </c>
      <c r="AK385" t="str">
        <f t="shared" si="84"/>
        <v>13-15%</v>
      </c>
      <c r="AL385">
        <v>3</v>
      </c>
      <c r="AM385" t="s">
        <v>68</v>
      </c>
      <c r="AN385">
        <v>4</v>
      </c>
      <c r="AO385" t="s">
        <v>65</v>
      </c>
      <c r="AP385">
        <v>80</v>
      </c>
      <c r="AQ385">
        <v>1</v>
      </c>
      <c r="AR385">
        <v>2</v>
      </c>
      <c r="AS385" t="str">
        <f t="shared" si="85"/>
        <v>0-2</v>
      </c>
      <c r="AT385">
        <v>1</v>
      </c>
      <c r="AU385" t="str">
        <f t="shared" si="86"/>
        <v>0-2</v>
      </c>
      <c r="AV385">
        <v>3</v>
      </c>
      <c r="AW385" t="s">
        <v>79</v>
      </c>
      <c r="AX385">
        <v>2</v>
      </c>
      <c r="AY385" t="str">
        <f t="shared" si="75"/>
        <v>2-5</v>
      </c>
      <c r="AZ385">
        <v>1</v>
      </c>
      <c r="BA385" t="str">
        <f t="shared" si="87"/>
        <v>0-1</v>
      </c>
      <c r="BB385">
        <v>1</v>
      </c>
      <c r="BC385" t="str">
        <f t="shared" si="88"/>
        <v>0-1</v>
      </c>
      <c r="BD385">
        <v>2</v>
      </c>
      <c r="BE385" t="str">
        <f t="shared" si="89"/>
        <v>2-5</v>
      </c>
    </row>
    <row r="386" spans="1:57" x14ac:dyDescent="0.3">
      <c r="A386">
        <v>513</v>
      </c>
      <c r="B386">
        <v>36</v>
      </c>
      <c r="C386" t="str">
        <f t="shared" si="76"/>
        <v>36-45</v>
      </c>
      <c r="D386" t="s">
        <v>71</v>
      </c>
      <c r="E386">
        <f t="shared" si="77"/>
        <v>0</v>
      </c>
      <c r="F386" t="s">
        <v>57</v>
      </c>
      <c r="G386">
        <v>164</v>
      </c>
      <c r="H386" t="str">
        <f t="shared" si="78"/>
        <v>102-500</v>
      </c>
      <c r="I386" t="s">
        <v>58</v>
      </c>
      <c r="J386">
        <v>2</v>
      </c>
      <c r="K386" t="str">
        <f t="shared" si="79"/>
        <v>1-5</v>
      </c>
      <c r="L386">
        <v>2</v>
      </c>
      <c r="M386" t="s">
        <v>59</v>
      </c>
      <c r="N386" t="s">
        <v>83</v>
      </c>
      <c r="O386">
        <v>1</v>
      </c>
      <c r="P386">
        <v>2</v>
      </c>
      <c r="Q386" t="s">
        <v>61</v>
      </c>
      <c r="R386" t="s">
        <v>75</v>
      </c>
      <c r="S386">
        <v>61</v>
      </c>
      <c r="T386" t="str">
        <f t="shared" si="80"/>
        <v>51-75</v>
      </c>
      <c r="U386">
        <v>2</v>
      </c>
      <c r="V386" t="s">
        <v>61</v>
      </c>
      <c r="W386">
        <v>3</v>
      </c>
      <c r="X386" t="s">
        <v>64</v>
      </c>
      <c r="Y386">
        <v>3</v>
      </c>
      <c r="Z386" t="s">
        <v>63</v>
      </c>
      <c r="AA386" t="s">
        <v>77</v>
      </c>
      <c r="AB386" s="4">
        <v>7596</v>
      </c>
      <c r="AC386" s="4" t="str">
        <f t="shared" si="81"/>
        <v>$7,000-$8,500</v>
      </c>
      <c r="AD386">
        <v>3809</v>
      </c>
      <c r="AE386" t="str">
        <f t="shared" si="82"/>
        <v>$2,094-$8,000</v>
      </c>
      <c r="AF386">
        <v>1</v>
      </c>
      <c r="AG386" t="str">
        <f t="shared" si="83"/>
        <v>0-1</v>
      </c>
      <c r="AH386" t="s">
        <v>67</v>
      </c>
      <c r="AI386" t="s">
        <v>71</v>
      </c>
      <c r="AJ386">
        <v>13</v>
      </c>
      <c r="AK386" t="str">
        <f t="shared" si="84"/>
        <v>13-15%</v>
      </c>
      <c r="AL386">
        <v>3</v>
      </c>
      <c r="AM386" t="s">
        <v>68</v>
      </c>
      <c r="AN386">
        <v>2</v>
      </c>
      <c r="AO386" t="s">
        <v>61</v>
      </c>
      <c r="AP386">
        <v>80</v>
      </c>
      <c r="AQ386">
        <v>2</v>
      </c>
      <c r="AR386">
        <v>10</v>
      </c>
      <c r="AS386" t="str">
        <f t="shared" si="85"/>
        <v>6-10</v>
      </c>
      <c r="AT386">
        <v>2</v>
      </c>
      <c r="AU386" t="str">
        <f t="shared" si="86"/>
        <v>0-2</v>
      </c>
      <c r="AV386">
        <v>3</v>
      </c>
      <c r="AW386" t="s">
        <v>79</v>
      </c>
      <c r="AX386">
        <v>10</v>
      </c>
      <c r="AY386" t="str">
        <f t="shared" ref="AY386:AY449" si="90">IF(AX386&lt;=1,"0-1",IF(AX386&lt;=5,"2-5",IF(AX386&lt;=10,"6-10",IF(AX386&lt;=20,"11-20","21-40"))))</f>
        <v>6-10</v>
      </c>
      <c r="AZ386">
        <v>9</v>
      </c>
      <c r="BA386" t="str">
        <f t="shared" si="87"/>
        <v>6-10</v>
      </c>
      <c r="BB386">
        <v>9</v>
      </c>
      <c r="BC386" t="str">
        <f t="shared" si="88"/>
        <v>6-10</v>
      </c>
      <c r="BD386">
        <v>0</v>
      </c>
      <c r="BE386" t="str">
        <f t="shared" si="89"/>
        <v>0-1</v>
      </c>
    </row>
    <row r="387" spans="1:57" x14ac:dyDescent="0.3">
      <c r="A387">
        <v>514</v>
      </c>
      <c r="B387">
        <v>30</v>
      </c>
      <c r="C387" t="str">
        <f t="shared" ref="C387:C450" si="91">IF(B387&lt;=25, "18-25", IF(B387&lt;=35, "26-35", IF(B387&lt;=45, "36-45", IF(B387&lt;=55, "46-55", "56+"))))</f>
        <v>26-35</v>
      </c>
      <c r="D387" t="s">
        <v>56</v>
      </c>
      <c r="E387">
        <f t="shared" ref="E387:E450" si="92">IF(D387="Yes",1,0)</f>
        <v>1</v>
      </c>
      <c r="F387" t="s">
        <v>72</v>
      </c>
      <c r="G387">
        <v>464</v>
      </c>
      <c r="H387" t="str">
        <f t="shared" ref="H387:H450" si="93">IF(G387&lt;=500,"102-500",IF(G387&lt;=1000,"501-1000","1001-1499"))</f>
        <v>102-500</v>
      </c>
      <c r="I387" t="s">
        <v>73</v>
      </c>
      <c r="J387">
        <v>4</v>
      </c>
      <c r="K387" t="str">
        <f t="shared" ref="K387:K450" si="94">IF(J387&lt;=5,"1-5",IF(J387&lt;=10,"6-10",IF(J387&lt;=20,"11-20","21-29")))</f>
        <v>1-5</v>
      </c>
      <c r="L387">
        <v>3</v>
      </c>
      <c r="M387" t="s">
        <v>85</v>
      </c>
      <c r="N387" t="s">
        <v>95</v>
      </c>
      <c r="O387">
        <v>1</v>
      </c>
      <c r="P387">
        <v>3</v>
      </c>
      <c r="Q387" t="s">
        <v>63</v>
      </c>
      <c r="R387" t="s">
        <v>75</v>
      </c>
      <c r="S387">
        <v>40</v>
      </c>
      <c r="T387" t="str">
        <f t="shared" ref="T387:T450" si="95">IF(S387&lt;=50,"30-50",IF(S387&lt;=75,"51-75","76-100"))</f>
        <v>30-50</v>
      </c>
      <c r="U387">
        <v>3</v>
      </c>
      <c r="V387" t="s">
        <v>63</v>
      </c>
      <c r="W387">
        <v>1</v>
      </c>
      <c r="X387" t="s">
        <v>76</v>
      </c>
      <c r="Y387">
        <v>4</v>
      </c>
      <c r="Z387" t="s">
        <v>65</v>
      </c>
      <c r="AA387" t="s">
        <v>66</v>
      </c>
      <c r="AB387" s="4">
        <v>2285</v>
      </c>
      <c r="AC387" s="4" t="str">
        <f t="shared" ref="AC387:AC450" si="96">IF(AB387&lt;2500,"$1,000-$2,500",IF(AB387&lt;4000,"$2,500-$4,000",IF(AB387&lt;5500,"$4,000-$5,500",IF(AB387&lt;7000,"$5,500-$7,000",IF(AB387&lt;8500,"$7,000-$8,500",IF(AB387&lt;10000,"$8,500-$10,000",IF(AB387&lt;11500,"$10,000-$11,500",IF(AB387&lt;13000,"$11,500-$13,000",IF(AB387&lt;14500,"$13,000-$14,500",IF(AB387&lt;16000,"$14,500-$16,000",IF(AB387&lt;17500,"$16,000-$17,500",IF(AB387&lt;19000,"$17,500-$19,000",IF(AB387&lt;20500,"$19,000-$20,500",IF(AB387&lt;22000,"$20,500-$22,000",IF(AB387&lt;23500,"$22,000-$23,500",IF(AB387&lt;25000,"$23,500-$25,000",IF(AB387&lt;26500,"$25,000-$26,500",IF(AB387&lt;28000,"$26,500-$28,000",IF(AB387&lt;29500,"$28,000-$29,500","$29,500+")))))))))))))))))))</f>
        <v>$1,000-$2,500</v>
      </c>
      <c r="AD387">
        <v>3427</v>
      </c>
      <c r="AE387" t="str">
        <f t="shared" ref="AE387:AE450" si="97">IF(AD387&lt;=8000,"$2,094-$8,000",IF(AD387&lt;=16000,"$8,001-$16,000",IF(AD387&lt;=22000,"$16,001-$22,000","$22,001-$26,999")))</f>
        <v>$2,094-$8,000</v>
      </c>
      <c r="AF387">
        <v>9</v>
      </c>
      <c r="AG387" t="str">
        <f t="shared" ref="AG387:AG450" si="98">IF(AF387&lt;=1,"0-1",IF(AF387&lt;=3,"2-3",IF(AF387&lt;=6,"4-6","7-9")))</f>
        <v>7-9</v>
      </c>
      <c r="AH387" t="s">
        <v>67</v>
      </c>
      <c r="AI387" t="s">
        <v>56</v>
      </c>
      <c r="AJ387">
        <v>23</v>
      </c>
      <c r="AK387" t="str">
        <f t="shared" ref="AK387:AK450" si="99">IF(AJ387&lt;=12,"11-12%",IF(AJ387&lt;=15,"13-15%",IF(AJ387&lt;=17,"16-17%","18-19%")))</f>
        <v>18-19%</v>
      </c>
      <c r="AL387">
        <v>4</v>
      </c>
      <c r="AM387" t="s">
        <v>78</v>
      </c>
      <c r="AN387">
        <v>3</v>
      </c>
      <c r="AO387" t="s">
        <v>63</v>
      </c>
      <c r="AP387">
        <v>80</v>
      </c>
      <c r="AQ387">
        <v>0</v>
      </c>
      <c r="AR387">
        <v>3</v>
      </c>
      <c r="AS387" t="str">
        <f t="shared" ref="AS387:AS450" si="100">IF(AR387&lt;=2,"0-2",IF(AR387&lt;=5,"3-5",IF(AR387&lt;=10,"6-10",IF(AR387&lt;=20,"11-20","21-40"))))</f>
        <v>3-5</v>
      </c>
      <c r="AT387">
        <v>4</v>
      </c>
      <c r="AU387" t="str">
        <f t="shared" ref="AU387:AU450" si="101">IF(AT387&lt;=2,"0-2",IF(AT387&lt;=4,"3-4","5-6"))</f>
        <v>3-4</v>
      </c>
      <c r="AV387">
        <v>3</v>
      </c>
      <c r="AW387" t="s">
        <v>79</v>
      </c>
      <c r="AX387">
        <v>1</v>
      </c>
      <c r="AY387" t="str">
        <f t="shared" si="90"/>
        <v>0-1</v>
      </c>
      <c r="AZ387">
        <v>0</v>
      </c>
      <c r="BA387" t="str">
        <f t="shared" ref="BA387:BA450" si="102">IF(AZ387&lt;=1,"0-1",IF(AZ387&lt;=5,"2-5",IF(AZ387&lt;=10,"6-10","11-18")))</f>
        <v>0-1</v>
      </c>
      <c r="BB387">
        <v>0</v>
      </c>
      <c r="BC387" t="str">
        <f t="shared" ref="BC387:BC450" si="103">IF(BB387&lt;=1,"0-1",IF(BB387&lt;=5,"2-5",IF(BB387&lt;=10,"6-10","11-15")))</f>
        <v>0-1</v>
      </c>
      <c r="BD387">
        <v>0</v>
      </c>
      <c r="BE387" t="str">
        <f t="shared" ref="BE387:BE450" si="104">IF(BD387&lt;=1,"0-1",IF(BD387&lt;=5,"2-5",IF(BD387&lt;=10,"6-10","11-17")))</f>
        <v>0-1</v>
      </c>
    </row>
    <row r="388" spans="1:57" x14ac:dyDescent="0.3">
      <c r="A388">
        <v>515</v>
      </c>
      <c r="B388">
        <v>37</v>
      </c>
      <c r="C388" t="str">
        <f t="shared" si="91"/>
        <v>36-45</v>
      </c>
      <c r="D388" t="s">
        <v>71</v>
      </c>
      <c r="E388">
        <f t="shared" si="92"/>
        <v>0</v>
      </c>
      <c r="F388" t="s">
        <v>57</v>
      </c>
      <c r="G388">
        <v>1107</v>
      </c>
      <c r="H388" t="str">
        <f t="shared" si="93"/>
        <v>1001-1499</v>
      </c>
      <c r="I388" t="s">
        <v>73</v>
      </c>
      <c r="J388">
        <v>14</v>
      </c>
      <c r="K388" t="str">
        <f t="shared" si="94"/>
        <v>11-20</v>
      </c>
      <c r="L388">
        <v>3</v>
      </c>
      <c r="M388" t="s">
        <v>85</v>
      </c>
      <c r="N388" t="s">
        <v>60</v>
      </c>
      <c r="O388">
        <v>1</v>
      </c>
      <c r="P388">
        <v>4</v>
      </c>
      <c r="Q388" t="s">
        <v>65</v>
      </c>
      <c r="R388" t="s">
        <v>62</v>
      </c>
      <c r="S388">
        <v>95</v>
      </c>
      <c r="T388" t="str">
        <f t="shared" si="95"/>
        <v>76-100</v>
      </c>
      <c r="U388">
        <v>3</v>
      </c>
      <c r="V388" t="s">
        <v>63</v>
      </c>
      <c r="W388">
        <v>1</v>
      </c>
      <c r="X388" t="s">
        <v>81</v>
      </c>
      <c r="Y388">
        <v>1</v>
      </c>
      <c r="Z388" t="s">
        <v>69</v>
      </c>
      <c r="AA388" t="s">
        <v>86</v>
      </c>
      <c r="AB388" s="4">
        <v>3034</v>
      </c>
      <c r="AC388" s="4" t="str">
        <f t="shared" si="96"/>
        <v>$2,500-$4,000</v>
      </c>
      <c r="AD388">
        <v>26914</v>
      </c>
      <c r="AE388" t="str">
        <f t="shared" si="97"/>
        <v>$22,001-$26,999</v>
      </c>
      <c r="AF388">
        <v>1</v>
      </c>
      <c r="AG388" t="str">
        <f t="shared" si="98"/>
        <v>0-1</v>
      </c>
      <c r="AH388" t="s">
        <v>67</v>
      </c>
      <c r="AI388" t="s">
        <v>71</v>
      </c>
      <c r="AJ388">
        <v>12</v>
      </c>
      <c r="AK388" t="str">
        <f t="shared" si="99"/>
        <v>11-12%</v>
      </c>
      <c r="AL388">
        <v>3</v>
      </c>
      <c r="AM388" t="s">
        <v>68</v>
      </c>
      <c r="AN388">
        <v>3</v>
      </c>
      <c r="AO388" t="s">
        <v>63</v>
      </c>
      <c r="AP388">
        <v>80</v>
      </c>
      <c r="AQ388">
        <v>1</v>
      </c>
      <c r="AR388">
        <v>18</v>
      </c>
      <c r="AS388" t="str">
        <f t="shared" si="100"/>
        <v>11-20</v>
      </c>
      <c r="AT388">
        <v>2</v>
      </c>
      <c r="AU388" t="str">
        <f t="shared" si="101"/>
        <v>0-2</v>
      </c>
      <c r="AV388">
        <v>2</v>
      </c>
      <c r="AW388" t="s">
        <v>84</v>
      </c>
      <c r="AX388">
        <v>18</v>
      </c>
      <c r="AY388" t="str">
        <f t="shared" si="90"/>
        <v>11-20</v>
      </c>
      <c r="AZ388">
        <v>7</v>
      </c>
      <c r="BA388" t="str">
        <f t="shared" si="102"/>
        <v>6-10</v>
      </c>
      <c r="BB388">
        <v>12</v>
      </c>
      <c r="BC388" t="str">
        <f t="shared" si="103"/>
        <v>11-15</v>
      </c>
      <c r="BD388">
        <v>17</v>
      </c>
      <c r="BE388" t="str">
        <f t="shared" si="104"/>
        <v>11-17</v>
      </c>
    </row>
    <row r="389" spans="1:57" x14ac:dyDescent="0.3">
      <c r="A389">
        <v>516</v>
      </c>
      <c r="B389">
        <v>40</v>
      </c>
      <c r="C389" t="str">
        <f t="shared" si="91"/>
        <v>36-45</v>
      </c>
      <c r="D389" t="s">
        <v>71</v>
      </c>
      <c r="E389">
        <f t="shared" si="92"/>
        <v>0</v>
      </c>
      <c r="F389" t="s">
        <v>57</v>
      </c>
      <c r="G389">
        <v>759</v>
      </c>
      <c r="H389" t="str">
        <f t="shared" si="93"/>
        <v>501-1000</v>
      </c>
      <c r="I389" t="s">
        <v>58</v>
      </c>
      <c r="J389">
        <v>2</v>
      </c>
      <c r="K389" t="str">
        <f t="shared" si="94"/>
        <v>1-5</v>
      </c>
      <c r="L389">
        <v>2</v>
      </c>
      <c r="M389" t="s">
        <v>59</v>
      </c>
      <c r="N389" t="s">
        <v>93</v>
      </c>
      <c r="O389">
        <v>1</v>
      </c>
      <c r="P389">
        <v>4</v>
      </c>
      <c r="Q389" t="s">
        <v>65</v>
      </c>
      <c r="R389" t="s">
        <v>62</v>
      </c>
      <c r="S389">
        <v>46</v>
      </c>
      <c r="T389" t="str">
        <f t="shared" si="95"/>
        <v>30-50</v>
      </c>
      <c r="U389">
        <v>3</v>
      </c>
      <c r="V389" t="s">
        <v>63</v>
      </c>
      <c r="W389">
        <v>2</v>
      </c>
      <c r="X389" t="s">
        <v>64</v>
      </c>
      <c r="Y389">
        <v>2</v>
      </c>
      <c r="Z389" t="s">
        <v>61</v>
      </c>
      <c r="AA389" t="s">
        <v>86</v>
      </c>
      <c r="AB389" s="4">
        <v>5715</v>
      </c>
      <c r="AC389" s="4" t="str">
        <f t="shared" si="96"/>
        <v>$5,500-$7,000</v>
      </c>
      <c r="AD389">
        <v>22553</v>
      </c>
      <c r="AE389" t="str">
        <f t="shared" si="97"/>
        <v>$22,001-$26,999</v>
      </c>
      <c r="AF389">
        <v>7</v>
      </c>
      <c r="AG389" t="str">
        <f t="shared" si="98"/>
        <v>7-9</v>
      </c>
      <c r="AH389" t="s">
        <v>67</v>
      </c>
      <c r="AI389" t="s">
        <v>71</v>
      </c>
      <c r="AJ389">
        <v>12</v>
      </c>
      <c r="AK389" t="str">
        <f t="shared" si="99"/>
        <v>11-12%</v>
      </c>
      <c r="AL389">
        <v>3</v>
      </c>
      <c r="AM389" t="s">
        <v>68</v>
      </c>
      <c r="AN389">
        <v>3</v>
      </c>
      <c r="AO389" t="s">
        <v>63</v>
      </c>
      <c r="AP389">
        <v>80</v>
      </c>
      <c r="AQ389">
        <v>2</v>
      </c>
      <c r="AR389">
        <v>8</v>
      </c>
      <c r="AS389" t="str">
        <f t="shared" si="100"/>
        <v>6-10</v>
      </c>
      <c r="AT389">
        <v>5</v>
      </c>
      <c r="AU389" t="str">
        <f t="shared" si="101"/>
        <v>5-6</v>
      </c>
      <c r="AV389">
        <v>3</v>
      </c>
      <c r="AW389" t="s">
        <v>79</v>
      </c>
      <c r="AX389">
        <v>5</v>
      </c>
      <c r="AY389" t="str">
        <f t="shared" si="90"/>
        <v>2-5</v>
      </c>
      <c r="AZ389">
        <v>4</v>
      </c>
      <c r="BA389" t="str">
        <f t="shared" si="102"/>
        <v>2-5</v>
      </c>
      <c r="BB389">
        <v>1</v>
      </c>
      <c r="BC389" t="str">
        <f t="shared" si="103"/>
        <v>0-1</v>
      </c>
      <c r="BD389">
        <v>3</v>
      </c>
      <c r="BE389" t="str">
        <f t="shared" si="104"/>
        <v>2-5</v>
      </c>
    </row>
    <row r="390" spans="1:57" x14ac:dyDescent="0.3">
      <c r="A390">
        <v>517</v>
      </c>
      <c r="B390">
        <v>42</v>
      </c>
      <c r="C390" t="str">
        <f t="shared" si="91"/>
        <v>36-45</v>
      </c>
      <c r="D390" t="s">
        <v>71</v>
      </c>
      <c r="E390">
        <f t="shared" si="92"/>
        <v>0</v>
      </c>
      <c r="F390" t="s">
        <v>57</v>
      </c>
      <c r="G390">
        <v>201</v>
      </c>
      <c r="H390" t="str">
        <f t="shared" si="93"/>
        <v>102-500</v>
      </c>
      <c r="I390" t="s">
        <v>73</v>
      </c>
      <c r="J390">
        <v>1</v>
      </c>
      <c r="K390" t="str">
        <f t="shared" si="94"/>
        <v>1-5</v>
      </c>
      <c r="L390">
        <v>4</v>
      </c>
      <c r="M390" t="s">
        <v>82</v>
      </c>
      <c r="N390" t="s">
        <v>60</v>
      </c>
      <c r="O390">
        <v>1</v>
      </c>
      <c r="P390">
        <v>2</v>
      </c>
      <c r="Q390" t="s">
        <v>61</v>
      </c>
      <c r="R390" t="s">
        <v>62</v>
      </c>
      <c r="S390">
        <v>95</v>
      </c>
      <c r="T390" t="str">
        <f t="shared" si="95"/>
        <v>76-100</v>
      </c>
      <c r="U390">
        <v>3</v>
      </c>
      <c r="V390" t="s">
        <v>63</v>
      </c>
      <c r="W390">
        <v>1</v>
      </c>
      <c r="X390" t="s">
        <v>81</v>
      </c>
      <c r="Y390">
        <v>1</v>
      </c>
      <c r="Z390" t="s">
        <v>69</v>
      </c>
      <c r="AA390" t="s">
        <v>86</v>
      </c>
      <c r="AB390" s="4">
        <v>2576</v>
      </c>
      <c r="AC390" s="4" t="str">
        <f t="shared" si="96"/>
        <v>$2,500-$4,000</v>
      </c>
      <c r="AD390">
        <v>20490</v>
      </c>
      <c r="AE390" t="str">
        <f t="shared" si="97"/>
        <v>$16,001-$22,000</v>
      </c>
      <c r="AF390">
        <v>3</v>
      </c>
      <c r="AG390" t="str">
        <f t="shared" si="98"/>
        <v>2-3</v>
      </c>
      <c r="AH390" t="s">
        <v>67</v>
      </c>
      <c r="AI390" t="s">
        <v>71</v>
      </c>
      <c r="AJ390">
        <v>16</v>
      </c>
      <c r="AK390" t="str">
        <f t="shared" si="99"/>
        <v>16-17%</v>
      </c>
      <c r="AL390">
        <v>3</v>
      </c>
      <c r="AM390" t="s">
        <v>68</v>
      </c>
      <c r="AN390">
        <v>2</v>
      </c>
      <c r="AO390" t="s">
        <v>61</v>
      </c>
      <c r="AP390">
        <v>80</v>
      </c>
      <c r="AQ390">
        <v>1</v>
      </c>
      <c r="AR390">
        <v>8</v>
      </c>
      <c r="AS390" t="str">
        <f t="shared" si="100"/>
        <v>6-10</v>
      </c>
      <c r="AT390">
        <v>5</v>
      </c>
      <c r="AU390" t="str">
        <f t="shared" si="101"/>
        <v>5-6</v>
      </c>
      <c r="AV390">
        <v>3</v>
      </c>
      <c r="AW390" t="s">
        <v>79</v>
      </c>
      <c r="AX390">
        <v>5</v>
      </c>
      <c r="AY390" t="str">
        <f t="shared" si="90"/>
        <v>2-5</v>
      </c>
      <c r="AZ390">
        <v>2</v>
      </c>
      <c r="BA390" t="str">
        <f t="shared" si="102"/>
        <v>2-5</v>
      </c>
      <c r="BB390">
        <v>1</v>
      </c>
      <c r="BC390" t="str">
        <f t="shared" si="103"/>
        <v>0-1</v>
      </c>
      <c r="BD390">
        <v>2</v>
      </c>
      <c r="BE390" t="str">
        <f t="shared" si="104"/>
        <v>2-5</v>
      </c>
    </row>
    <row r="391" spans="1:57" x14ac:dyDescent="0.3">
      <c r="A391">
        <v>518</v>
      </c>
      <c r="B391">
        <v>37</v>
      </c>
      <c r="C391" t="str">
        <f t="shared" si="91"/>
        <v>36-45</v>
      </c>
      <c r="D391" t="s">
        <v>71</v>
      </c>
      <c r="E391">
        <f t="shared" si="92"/>
        <v>0</v>
      </c>
      <c r="F391" t="s">
        <v>57</v>
      </c>
      <c r="G391">
        <v>1305</v>
      </c>
      <c r="H391" t="str">
        <f t="shared" si="93"/>
        <v>1001-1499</v>
      </c>
      <c r="I391" t="s">
        <v>73</v>
      </c>
      <c r="J391">
        <v>10</v>
      </c>
      <c r="K391" t="str">
        <f t="shared" si="94"/>
        <v>6-10</v>
      </c>
      <c r="L391">
        <v>4</v>
      </c>
      <c r="M391" t="s">
        <v>82</v>
      </c>
      <c r="N391" t="s">
        <v>60</v>
      </c>
      <c r="O391">
        <v>1</v>
      </c>
      <c r="P391">
        <v>3</v>
      </c>
      <c r="Q391" t="s">
        <v>63</v>
      </c>
      <c r="R391" t="s">
        <v>75</v>
      </c>
      <c r="S391">
        <v>49</v>
      </c>
      <c r="T391" t="str">
        <f t="shared" si="95"/>
        <v>30-50</v>
      </c>
      <c r="U391">
        <v>3</v>
      </c>
      <c r="V391" t="s">
        <v>63</v>
      </c>
      <c r="W391">
        <v>2</v>
      </c>
      <c r="X391" t="s">
        <v>87</v>
      </c>
      <c r="Y391">
        <v>2</v>
      </c>
      <c r="Z391" t="s">
        <v>61</v>
      </c>
      <c r="AA391" t="s">
        <v>66</v>
      </c>
      <c r="AB391" s="4">
        <v>4197</v>
      </c>
      <c r="AC391" s="4" t="str">
        <f t="shared" si="96"/>
        <v>$4,000-$5,500</v>
      </c>
      <c r="AD391">
        <v>21123</v>
      </c>
      <c r="AE391" t="str">
        <f t="shared" si="97"/>
        <v>$16,001-$22,000</v>
      </c>
      <c r="AF391">
        <v>2</v>
      </c>
      <c r="AG391" t="str">
        <f t="shared" si="98"/>
        <v>2-3</v>
      </c>
      <c r="AH391" t="s">
        <v>67</v>
      </c>
      <c r="AI391" t="s">
        <v>56</v>
      </c>
      <c r="AJ391">
        <v>12</v>
      </c>
      <c r="AK391" t="str">
        <f t="shared" si="99"/>
        <v>11-12%</v>
      </c>
      <c r="AL391">
        <v>3</v>
      </c>
      <c r="AM391" t="s">
        <v>68</v>
      </c>
      <c r="AN391">
        <v>4</v>
      </c>
      <c r="AO391" t="s">
        <v>65</v>
      </c>
      <c r="AP391">
        <v>80</v>
      </c>
      <c r="AQ391">
        <v>0</v>
      </c>
      <c r="AR391">
        <v>18</v>
      </c>
      <c r="AS391" t="str">
        <f t="shared" si="100"/>
        <v>11-20</v>
      </c>
      <c r="AT391">
        <v>2</v>
      </c>
      <c r="AU391" t="str">
        <f t="shared" si="101"/>
        <v>0-2</v>
      </c>
      <c r="AV391">
        <v>2</v>
      </c>
      <c r="AW391" t="s">
        <v>84</v>
      </c>
      <c r="AX391">
        <v>1</v>
      </c>
      <c r="AY391" t="str">
        <f t="shared" si="90"/>
        <v>0-1</v>
      </c>
      <c r="AZ391">
        <v>0</v>
      </c>
      <c r="BA391" t="str">
        <f t="shared" si="102"/>
        <v>0-1</v>
      </c>
      <c r="BB391">
        <v>0</v>
      </c>
      <c r="BC391" t="str">
        <f t="shared" si="103"/>
        <v>0-1</v>
      </c>
      <c r="BD391">
        <v>1</v>
      </c>
      <c r="BE391" t="str">
        <f t="shared" si="104"/>
        <v>0-1</v>
      </c>
    </row>
    <row r="392" spans="1:57" x14ac:dyDescent="0.3">
      <c r="A392">
        <v>520</v>
      </c>
      <c r="B392">
        <v>43</v>
      </c>
      <c r="C392" t="str">
        <f t="shared" si="91"/>
        <v>36-45</v>
      </c>
      <c r="D392" t="s">
        <v>71</v>
      </c>
      <c r="E392">
        <f t="shared" si="92"/>
        <v>0</v>
      </c>
      <c r="F392" t="s">
        <v>57</v>
      </c>
      <c r="G392">
        <v>982</v>
      </c>
      <c r="H392" t="str">
        <f t="shared" si="93"/>
        <v>501-1000</v>
      </c>
      <c r="I392" t="s">
        <v>73</v>
      </c>
      <c r="J392">
        <v>12</v>
      </c>
      <c r="K392" t="str">
        <f t="shared" si="94"/>
        <v>11-20</v>
      </c>
      <c r="L392">
        <v>3</v>
      </c>
      <c r="M392" t="s">
        <v>85</v>
      </c>
      <c r="N392" t="s">
        <v>60</v>
      </c>
      <c r="O392">
        <v>1</v>
      </c>
      <c r="P392">
        <v>1</v>
      </c>
      <c r="Q392" t="s">
        <v>69</v>
      </c>
      <c r="R392" t="s">
        <v>75</v>
      </c>
      <c r="S392">
        <v>59</v>
      </c>
      <c r="T392" t="str">
        <f t="shared" si="95"/>
        <v>51-75</v>
      </c>
      <c r="U392">
        <v>2</v>
      </c>
      <c r="V392" t="s">
        <v>61</v>
      </c>
      <c r="W392">
        <v>4</v>
      </c>
      <c r="X392" t="s">
        <v>92</v>
      </c>
      <c r="Y392">
        <v>2</v>
      </c>
      <c r="Z392" t="s">
        <v>61</v>
      </c>
      <c r="AA392" t="s">
        <v>86</v>
      </c>
      <c r="AB392" s="4">
        <v>14336</v>
      </c>
      <c r="AC392" s="4" t="str">
        <f t="shared" si="96"/>
        <v>$13,000-$14,500</v>
      </c>
      <c r="AD392">
        <v>4345</v>
      </c>
      <c r="AE392" t="str">
        <f t="shared" si="97"/>
        <v>$2,094-$8,000</v>
      </c>
      <c r="AF392">
        <v>1</v>
      </c>
      <c r="AG392" t="str">
        <f t="shared" si="98"/>
        <v>0-1</v>
      </c>
      <c r="AH392" t="s">
        <v>67</v>
      </c>
      <c r="AI392" t="s">
        <v>71</v>
      </c>
      <c r="AJ392">
        <v>11</v>
      </c>
      <c r="AK392" t="str">
        <f t="shared" si="99"/>
        <v>11-12%</v>
      </c>
      <c r="AL392">
        <v>3</v>
      </c>
      <c r="AM392" t="s">
        <v>68</v>
      </c>
      <c r="AN392">
        <v>3</v>
      </c>
      <c r="AO392" t="s">
        <v>63</v>
      </c>
      <c r="AP392">
        <v>80</v>
      </c>
      <c r="AQ392">
        <v>1</v>
      </c>
      <c r="AR392">
        <v>25</v>
      </c>
      <c r="AS392" t="str">
        <f t="shared" si="100"/>
        <v>21-40</v>
      </c>
      <c r="AT392">
        <v>3</v>
      </c>
      <c r="AU392" t="str">
        <f t="shared" si="101"/>
        <v>3-4</v>
      </c>
      <c r="AV392">
        <v>3</v>
      </c>
      <c r="AW392" t="s">
        <v>79</v>
      </c>
      <c r="AX392">
        <v>25</v>
      </c>
      <c r="AY392" t="str">
        <f t="shared" si="90"/>
        <v>21-40</v>
      </c>
      <c r="AZ392">
        <v>10</v>
      </c>
      <c r="BA392" t="str">
        <f t="shared" si="102"/>
        <v>6-10</v>
      </c>
      <c r="BB392">
        <v>3</v>
      </c>
      <c r="BC392" t="str">
        <f t="shared" si="103"/>
        <v>2-5</v>
      </c>
      <c r="BD392">
        <v>9</v>
      </c>
      <c r="BE392" t="str">
        <f t="shared" si="104"/>
        <v>6-10</v>
      </c>
    </row>
    <row r="393" spans="1:57" x14ac:dyDescent="0.3">
      <c r="A393">
        <v>521</v>
      </c>
      <c r="B393">
        <v>40</v>
      </c>
      <c r="C393" t="str">
        <f t="shared" si="91"/>
        <v>36-45</v>
      </c>
      <c r="D393" t="s">
        <v>71</v>
      </c>
      <c r="E393">
        <f t="shared" si="92"/>
        <v>0</v>
      </c>
      <c r="F393" t="s">
        <v>57</v>
      </c>
      <c r="G393">
        <v>555</v>
      </c>
      <c r="H393" t="str">
        <f t="shared" si="93"/>
        <v>501-1000</v>
      </c>
      <c r="I393" t="s">
        <v>73</v>
      </c>
      <c r="J393">
        <v>2</v>
      </c>
      <c r="K393" t="str">
        <f t="shared" si="94"/>
        <v>1-5</v>
      </c>
      <c r="L393">
        <v>3</v>
      </c>
      <c r="M393" t="s">
        <v>85</v>
      </c>
      <c r="N393" t="s">
        <v>83</v>
      </c>
      <c r="O393">
        <v>1</v>
      </c>
      <c r="P393">
        <v>2</v>
      </c>
      <c r="Q393" t="s">
        <v>61</v>
      </c>
      <c r="R393" t="s">
        <v>62</v>
      </c>
      <c r="S393">
        <v>78</v>
      </c>
      <c r="T393" t="str">
        <f t="shared" si="95"/>
        <v>76-100</v>
      </c>
      <c r="U393">
        <v>2</v>
      </c>
      <c r="V393" t="s">
        <v>61</v>
      </c>
      <c r="W393">
        <v>2</v>
      </c>
      <c r="X393" t="s">
        <v>81</v>
      </c>
      <c r="Y393">
        <v>3</v>
      </c>
      <c r="Z393" t="s">
        <v>63</v>
      </c>
      <c r="AA393" t="s">
        <v>77</v>
      </c>
      <c r="AB393" s="4">
        <v>3448</v>
      </c>
      <c r="AC393" s="4" t="str">
        <f t="shared" si="96"/>
        <v>$2,500-$4,000</v>
      </c>
      <c r="AD393">
        <v>13436</v>
      </c>
      <c r="AE393" t="str">
        <f t="shared" si="97"/>
        <v>$8,001-$16,000</v>
      </c>
      <c r="AF393">
        <v>6</v>
      </c>
      <c r="AG393" t="str">
        <f t="shared" si="98"/>
        <v>4-6</v>
      </c>
      <c r="AH393" t="s">
        <v>67</v>
      </c>
      <c r="AI393" t="s">
        <v>71</v>
      </c>
      <c r="AJ393">
        <v>22</v>
      </c>
      <c r="AK393" t="str">
        <f t="shared" si="99"/>
        <v>18-19%</v>
      </c>
      <c r="AL393">
        <v>4</v>
      </c>
      <c r="AM393" t="s">
        <v>78</v>
      </c>
      <c r="AN393">
        <v>2</v>
      </c>
      <c r="AO393" t="s">
        <v>61</v>
      </c>
      <c r="AP393">
        <v>80</v>
      </c>
      <c r="AQ393">
        <v>1</v>
      </c>
      <c r="AR393">
        <v>20</v>
      </c>
      <c r="AS393" t="str">
        <f t="shared" si="100"/>
        <v>11-20</v>
      </c>
      <c r="AT393">
        <v>3</v>
      </c>
      <c r="AU393" t="str">
        <f t="shared" si="101"/>
        <v>3-4</v>
      </c>
      <c r="AV393">
        <v>3</v>
      </c>
      <c r="AW393" t="s">
        <v>79</v>
      </c>
      <c r="AX393">
        <v>1</v>
      </c>
      <c r="AY393" t="str">
        <f t="shared" si="90"/>
        <v>0-1</v>
      </c>
      <c r="AZ393">
        <v>0</v>
      </c>
      <c r="BA393" t="str">
        <f t="shared" si="102"/>
        <v>0-1</v>
      </c>
      <c r="BB393">
        <v>0</v>
      </c>
      <c r="BC393" t="str">
        <f t="shared" si="103"/>
        <v>0-1</v>
      </c>
      <c r="BD393">
        <v>0</v>
      </c>
      <c r="BE393" t="str">
        <f t="shared" si="104"/>
        <v>0-1</v>
      </c>
    </row>
    <row r="394" spans="1:57" x14ac:dyDescent="0.3">
      <c r="A394">
        <v>522</v>
      </c>
      <c r="B394">
        <v>54</v>
      </c>
      <c r="C394" t="str">
        <f t="shared" si="91"/>
        <v>46-55</v>
      </c>
      <c r="D394" t="s">
        <v>71</v>
      </c>
      <c r="E394">
        <f t="shared" si="92"/>
        <v>0</v>
      </c>
      <c r="F394" t="s">
        <v>57</v>
      </c>
      <c r="G394">
        <v>821</v>
      </c>
      <c r="H394" t="str">
        <f t="shared" si="93"/>
        <v>501-1000</v>
      </c>
      <c r="I394" t="s">
        <v>73</v>
      </c>
      <c r="J394">
        <v>5</v>
      </c>
      <c r="K394" t="str">
        <f t="shared" si="94"/>
        <v>1-5</v>
      </c>
      <c r="L394">
        <v>2</v>
      </c>
      <c r="M394" t="s">
        <v>59</v>
      </c>
      <c r="N394" t="s">
        <v>83</v>
      </c>
      <c r="O394">
        <v>1</v>
      </c>
      <c r="P394">
        <v>1</v>
      </c>
      <c r="Q394" t="s">
        <v>69</v>
      </c>
      <c r="R394" t="s">
        <v>75</v>
      </c>
      <c r="S394">
        <v>86</v>
      </c>
      <c r="T394" t="str">
        <f t="shared" si="95"/>
        <v>76-100</v>
      </c>
      <c r="U394">
        <v>3</v>
      </c>
      <c r="V394" t="s">
        <v>63</v>
      </c>
      <c r="W394">
        <v>5</v>
      </c>
      <c r="X394" t="s">
        <v>92</v>
      </c>
      <c r="Y394">
        <v>1</v>
      </c>
      <c r="Z394" t="s">
        <v>69</v>
      </c>
      <c r="AA394" t="s">
        <v>77</v>
      </c>
      <c r="AB394" s="4">
        <v>19406</v>
      </c>
      <c r="AC394" s="4" t="str">
        <f t="shared" si="96"/>
        <v>$19,000-$20,500</v>
      </c>
      <c r="AD394">
        <v>8509</v>
      </c>
      <c r="AE394" t="str">
        <f t="shared" si="97"/>
        <v>$8,001-$16,000</v>
      </c>
      <c r="AF394">
        <v>4</v>
      </c>
      <c r="AG394" t="str">
        <f t="shared" si="98"/>
        <v>4-6</v>
      </c>
      <c r="AH394" t="s">
        <v>67</v>
      </c>
      <c r="AI394" t="s">
        <v>71</v>
      </c>
      <c r="AJ394">
        <v>11</v>
      </c>
      <c r="AK394" t="str">
        <f t="shared" si="99"/>
        <v>11-12%</v>
      </c>
      <c r="AL394">
        <v>3</v>
      </c>
      <c r="AM394" t="s">
        <v>68</v>
      </c>
      <c r="AN394">
        <v>3</v>
      </c>
      <c r="AO394" t="s">
        <v>63</v>
      </c>
      <c r="AP394">
        <v>80</v>
      </c>
      <c r="AQ394">
        <v>1</v>
      </c>
      <c r="AR394">
        <v>24</v>
      </c>
      <c r="AS394" t="str">
        <f t="shared" si="100"/>
        <v>21-40</v>
      </c>
      <c r="AT394">
        <v>4</v>
      </c>
      <c r="AU394" t="str">
        <f t="shared" si="101"/>
        <v>3-4</v>
      </c>
      <c r="AV394">
        <v>2</v>
      </c>
      <c r="AW394" t="s">
        <v>84</v>
      </c>
      <c r="AX394">
        <v>4</v>
      </c>
      <c r="AY394" t="str">
        <f t="shared" si="90"/>
        <v>2-5</v>
      </c>
      <c r="AZ394">
        <v>2</v>
      </c>
      <c r="BA394" t="str">
        <f t="shared" si="102"/>
        <v>2-5</v>
      </c>
      <c r="BB394">
        <v>1</v>
      </c>
      <c r="BC394" t="str">
        <f t="shared" si="103"/>
        <v>0-1</v>
      </c>
      <c r="BD394">
        <v>2</v>
      </c>
      <c r="BE394" t="str">
        <f t="shared" si="104"/>
        <v>2-5</v>
      </c>
    </row>
    <row r="395" spans="1:57" x14ac:dyDescent="0.3">
      <c r="A395">
        <v>523</v>
      </c>
      <c r="B395">
        <v>34</v>
      </c>
      <c r="C395" t="str">
        <f t="shared" si="91"/>
        <v>26-35</v>
      </c>
      <c r="D395" t="s">
        <v>71</v>
      </c>
      <c r="E395">
        <f t="shared" si="92"/>
        <v>0</v>
      </c>
      <c r="F395" t="s">
        <v>89</v>
      </c>
      <c r="G395">
        <v>1381</v>
      </c>
      <c r="H395" t="str">
        <f t="shared" si="93"/>
        <v>1001-1499</v>
      </c>
      <c r="I395" t="s">
        <v>58</v>
      </c>
      <c r="J395">
        <v>4</v>
      </c>
      <c r="K395" t="str">
        <f t="shared" si="94"/>
        <v>1-5</v>
      </c>
      <c r="L395">
        <v>4</v>
      </c>
      <c r="M395" t="s">
        <v>82</v>
      </c>
      <c r="N395" t="s">
        <v>93</v>
      </c>
      <c r="O395">
        <v>1</v>
      </c>
      <c r="P395">
        <v>3</v>
      </c>
      <c r="Q395" t="s">
        <v>63</v>
      </c>
      <c r="R395" t="s">
        <v>62</v>
      </c>
      <c r="S395">
        <v>72</v>
      </c>
      <c r="T395" t="str">
        <f t="shared" si="95"/>
        <v>51-75</v>
      </c>
      <c r="U395">
        <v>3</v>
      </c>
      <c r="V395" t="s">
        <v>63</v>
      </c>
      <c r="W395">
        <v>2</v>
      </c>
      <c r="X395" t="s">
        <v>64</v>
      </c>
      <c r="Y395">
        <v>3</v>
      </c>
      <c r="Z395" t="s">
        <v>63</v>
      </c>
      <c r="AA395" t="s">
        <v>77</v>
      </c>
      <c r="AB395" s="4">
        <v>6538</v>
      </c>
      <c r="AC395" s="4" t="str">
        <f t="shared" si="96"/>
        <v>$5,500-$7,000</v>
      </c>
      <c r="AD395">
        <v>12740</v>
      </c>
      <c r="AE395" t="str">
        <f t="shared" si="97"/>
        <v>$8,001-$16,000</v>
      </c>
      <c r="AF395">
        <v>9</v>
      </c>
      <c r="AG395" t="str">
        <f t="shared" si="98"/>
        <v>7-9</v>
      </c>
      <c r="AH395" t="s">
        <v>67</v>
      </c>
      <c r="AI395" t="s">
        <v>71</v>
      </c>
      <c r="AJ395">
        <v>15</v>
      </c>
      <c r="AK395" t="str">
        <f t="shared" si="99"/>
        <v>13-15%</v>
      </c>
      <c r="AL395">
        <v>3</v>
      </c>
      <c r="AM395" t="s">
        <v>68</v>
      </c>
      <c r="AN395">
        <v>1</v>
      </c>
      <c r="AO395" t="s">
        <v>69</v>
      </c>
      <c r="AP395">
        <v>80</v>
      </c>
      <c r="AQ395">
        <v>1</v>
      </c>
      <c r="AR395">
        <v>6</v>
      </c>
      <c r="AS395" t="str">
        <f t="shared" si="100"/>
        <v>6-10</v>
      </c>
      <c r="AT395">
        <v>3</v>
      </c>
      <c r="AU395" t="str">
        <f t="shared" si="101"/>
        <v>3-4</v>
      </c>
      <c r="AV395">
        <v>3</v>
      </c>
      <c r="AW395" t="s">
        <v>79</v>
      </c>
      <c r="AX395">
        <v>3</v>
      </c>
      <c r="AY395" t="str">
        <f t="shared" si="90"/>
        <v>2-5</v>
      </c>
      <c r="AZ395">
        <v>2</v>
      </c>
      <c r="BA395" t="str">
        <f t="shared" si="102"/>
        <v>2-5</v>
      </c>
      <c r="BB395">
        <v>1</v>
      </c>
      <c r="BC395" t="str">
        <f t="shared" si="103"/>
        <v>0-1</v>
      </c>
      <c r="BD395">
        <v>2</v>
      </c>
      <c r="BE395" t="str">
        <f t="shared" si="104"/>
        <v>2-5</v>
      </c>
    </row>
    <row r="396" spans="1:57" x14ac:dyDescent="0.3">
      <c r="A396">
        <v>524</v>
      </c>
      <c r="B396">
        <v>31</v>
      </c>
      <c r="C396" t="str">
        <f t="shared" si="91"/>
        <v>26-35</v>
      </c>
      <c r="D396" t="s">
        <v>71</v>
      </c>
      <c r="E396">
        <f t="shared" si="92"/>
        <v>0</v>
      </c>
      <c r="F396" t="s">
        <v>57</v>
      </c>
      <c r="G396">
        <v>480</v>
      </c>
      <c r="H396" t="str">
        <f t="shared" si="93"/>
        <v>102-500</v>
      </c>
      <c r="I396" t="s">
        <v>73</v>
      </c>
      <c r="J396">
        <v>7</v>
      </c>
      <c r="K396" t="str">
        <f t="shared" si="94"/>
        <v>6-10</v>
      </c>
      <c r="L396">
        <v>2</v>
      </c>
      <c r="M396" t="s">
        <v>59</v>
      </c>
      <c r="N396" t="s">
        <v>83</v>
      </c>
      <c r="O396">
        <v>1</v>
      </c>
      <c r="P396">
        <v>2</v>
      </c>
      <c r="Q396" t="s">
        <v>61</v>
      </c>
      <c r="R396" t="s">
        <v>62</v>
      </c>
      <c r="S396">
        <v>31</v>
      </c>
      <c r="T396" t="str">
        <f t="shared" si="95"/>
        <v>30-50</v>
      </c>
      <c r="U396">
        <v>3</v>
      </c>
      <c r="V396" t="s">
        <v>63</v>
      </c>
      <c r="W396">
        <v>2</v>
      </c>
      <c r="X396" t="s">
        <v>87</v>
      </c>
      <c r="Y396">
        <v>1</v>
      </c>
      <c r="Z396" t="s">
        <v>69</v>
      </c>
      <c r="AA396" t="s">
        <v>77</v>
      </c>
      <c r="AB396" s="4">
        <v>4306</v>
      </c>
      <c r="AC396" s="4" t="str">
        <f t="shared" si="96"/>
        <v>$4,000-$5,500</v>
      </c>
      <c r="AD396">
        <v>4156</v>
      </c>
      <c r="AE396" t="str">
        <f t="shared" si="97"/>
        <v>$2,094-$8,000</v>
      </c>
      <c r="AF396">
        <v>1</v>
      </c>
      <c r="AG396" t="str">
        <f t="shared" si="98"/>
        <v>0-1</v>
      </c>
      <c r="AH396" t="s">
        <v>67</v>
      </c>
      <c r="AI396" t="s">
        <v>71</v>
      </c>
      <c r="AJ396">
        <v>12</v>
      </c>
      <c r="AK396" t="str">
        <f t="shared" si="99"/>
        <v>11-12%</v>
      </c>
      <c r="AL396">
        <v>3</v>
      </c>
      <c r="AM396" t="s">
        <v>68</v>
      </c>
      <c r="AN396">
        <v>2</v>
      </c>
      <c r="AO396" t="s">
        <v>61</v>
      </c>
      <c r="AP396">
        <v>80</v>
      </c>
      <c r="AQ396">
        <v>1</v>
      </c>
      <c r="AR396">
        <v>13</v>
      </c>
      <c r="AS396" t="str">
        <f t="shared" si="100"/>
        <v>11-20</v>
      </c>
      <c r="AT396">
        <v>5</v>
      </c>
      <c r="AU396" t="str">
        <f t="shared" si="101"/>
        <v>5-6</v>
      </c>
      <c r="AV396">
        <v>1</v>
      </c>
      <c r="AW396" t="s">
        <v>70</v>
      </c>
      <c r="AX396">
        <v>13</v>
      </c>
      <c r="AY396" t="str">
        <f t="shared" si="90"/>
        <v>11-20</v>
      </c>
      <c r="AZ396">
        <v>10</v>
      </c>
      <c r="BA396" t="str">
        <f t="shared" si="102"/>
        <v>6-10</v>
      </c>
      <c r="BB396">
        <v>3</v>
      </c>
      <c r="BC396" t="str">
        <f t="shared" si="103"/>
        <v>2-5</v>
      </c>
      <c r="BD396">
        <v>12</v>
      </c>
      <c r="BE396" t="str">
        <f t="shared" si="104"/>
        <v>11-17</v>
      </c>
    </row>
    <row r="397" spans="1:57" x14ac:dyDescent="0.3">
      <c r="A397">
        <v>525</v>
      </c>
      <c r="B397">
        <v>43</v>
      </c>
      <c r="C397" t="str">
        <f t="shared" si="91"/>
        <v>36-45</v>
      </c>
      <c r="D397" t="s">
        <v>71</v>
      </c>
      <c r="E397">
        <f t="shared" si="92"/>
        <v>0</v>
      </c>
      <c r="F397" t="s">
        <v>72</v>
      </c>
      <c r="G397">
        <v>313</v>
      </c>
      <c r="H397" t="str">
        <f t="shared" si="93"/>
        <v>102-500</v>
      </c>
      <c r="I397" t="s">
        <v>73</v>
      </c>
      <c r="J397">
        <v>21</v>
      </c>
      <c r="K397" t="str">
        <f t="shared" si="94"/>
        <v>21-29</v>
      </c>
      <c r="L397">
        <v>3</v>
      </c>
      <c r="M397" t="s">
        <v>85</v>
      </c>
      <c r="N397" t="s">
        <v>83</v>
      </c>
      <c r="O397">
        <v>1</v>
      </c>
      <c r="P397">
        <v>4</v>
      </c>
      <c r="Q397" t="s">
        <v>65</v>
      </c>
      <c r="R397" t="s">
        <v>75</v>
      </c>
      <c r="S397">
        <v>61</v>
      </c>
      <c r="T397" t="str">
        <f t="shared" si="95"/>
        <v>51-75</v>
      </c>
      <c r="U397">
        <v>3</v>
      </c>
      <c r="V397" t="s">
        <v>63</v>
      </c>
      <c r="W397">
        <v>1</v>
      </c>
      <c r="X397" t="s">
        <v>81</v>
      </c>
      <c r="Y397">
        <v>4</v>
      </c>
      <c r="Z397" t="s">
        <v>65</v>
      </c>
      <c r="AA397" t="s">
        <v>77</v>
      </c>
      <c r="AB397" s="4">
        <v>2258</v>
      </c>
      <c r="AC397" s="4" t="str">
        <f t="shared" si="96"/>
        <v>$1,000-$2,500</v>
      </c>
      <c r="AD397">
        <v>15238</v>
      </c>
      <c r="AE397" t="str">
        <f t="shared" si="97"/>
        <v>$8,001-$16,000</v>
      </c>
      <c r="AF397">
        <v>7</v>
      </c>
      <c r="AG397" t="str">
        <f t="shared" si="98"/>
        <v>7-9</v>
      </c>
      <c r="AH397" t="s">
        <v>67</v>
      </c>
      <c r="AI397" t="s">
        <v>71</v>
      </c>
      <c r="AJ397">
        <v>20</v>
      </c>
      <c r="AK397" t="str">
        <f t="shared" si="99"/>
        <v>18-19%</v>
      </c>
      <c r="AL397">
        <v>4</v>
      </c>
      <c r="AM397" t="s">
        <v>78</v>
      </c>
      <c r="AN397">
        <v>1</v>
      </c>
      <c r="AO397" t="s">
        <v>69</v>
      </c>
      <c r="AP397">
        <v>80</v>
      </c>
      <c r="AQ397">
        <v>1</v>
      </c>
      <c r="AR397">
        <v>8</v>
      </c>
      <c r="AS397" t="str">
        <f t="shared" si="100"/>
        <v>6-10</v>
      </c>
      <c r="AT397">
        <v>1</v>
      </c>
      <c r="AU397" t="str">
        <f t="shared" si="101"/>
        <v>0-2</v>
      </c>
      <c r="AV397">
        <v>3</v>
      </c>
      <c r="AW397" t="s">
        <v>79</v>
      </c>
      <c r="AX397">
        <v>3</v>
      </c>
      <c r="AY397" t="str">
        <f t="shared" si="90"/>
        <v>2-5</v>
      </c>
      <c r="AZ397">
        <v>2</v>
      </c>
      <c r="BA397" t="str">
        <f t="shared" si="102"/>
        <v>2-5</v>
      </c>
      <c r="BB397">
        <v>1</v>
      </c>
      <c r="BC397" t="str">
        <f t="shared" si="103"/>
        <v>0-1</v>
      </c>
      <c r="BD397">
        <v>2</v>
      </c>
      <c r="BE397" t="str">
        <f t="shared" si="104"/>
        <v>2-5</v>
      </c>
    </row>
    <row r="398" spans="1:57" x14ac:dyDescent="0.3">
      <c r="A398">
        <v>526</v>
      </c>
      <c r="B398">
        <v>43</v>
      </c>
      <c r="C398" t="str">
        <f t="shared" si="91"/>
        <v>36-45</v>
      </c>
      <c r="D398" t="s">
        <v>71</v>
      </c>
      <c r="E398">
        <f t="shared" si="92"/>
        <v>0</v>
      </c>
      <c r="F398" t="s">
        <v>57</v>
      </c>
      <c r="G398">
        <v>1473</v>
      </c>
      <c r="H398" t="str">
        <f t="shared" si="93"/>
        <v>1001-1499</v>
      </c>
      <c r="I398" t="s">
        <v>73</v>
      </c>
      <c r="J398">
        <v>8</v>
      </c>
      <c r="K398" t="str">
        <f t="shared" si="94"/>
        <v>6-10</v>
      </c>
      <c r="L398">
        <v>4</v>
      </c>
      <c r="M398" t="s">
        <v>82</v>
      </c>
      <c r="N398" t="s">
        <v>80</v>
      </c>
      <c r="O398">
        <v>1</v>
      </c>
      <c r="P398">
        <v>3</v>
      </c>
      <c r="Q398" t="s">
        <v>63</v>
      </c>
      <c r="R398" t="s">
        <v>62</v>
      </c>
      <c r="S398">
        <v>74</v>
      </c>
      <c r="T398" t="str">
        <f t="shared" si="95"/>
        <v>51-75</v>
      </c>
      <c r="U398">
        <v>3</v>
      </c>
      <c r="V398" t="s">
        <v>63</v>
      </c>
      <c r="W398">
        <v>2</v>
      </c>
      <c r="X398" t="s">
        <v>88</v>
      </c>
      <c r="Y398">
        <v>3</v>
      </c>
      <c r="Z398" t="s">
        <v>63</v>
      </c>
      <c r="AA398" t="s">
        <v>86</v>
      </c>
      <c r="AB398" s="4">
        <v>4522</v>
      </c>
      <c r="AC398" s="4" t="str">
        <f t="shared" si="96"/>
        <v>$4,000-$5,500</v>
      </c>
      <c r="AD398">
        <v>2227</v>
      </c>
      <c r="AE398" t="str">
        <f t="shared" si="97"/>
        <v>$2,094-$8,000</v>
      </c>
      <c r="AF398">
        <v>4</v>
      </c>
      <c r="AG398" t="str">
        <f t="shared" si="98"/>
        <v>4-6</v>
      </c>
      <c r="AH398" t="s">
        <v>67</v>
      </c>
      <c r="AI398" t="s">
        <v>56</v>
      </c>
      <c r="AJ398">
        <v>14</v>
      </c>
      <c r="AK398" t="str">
        <f t="shared" si="99"/>
        <v>13-15%</v>
      </c>
      <c r="AL398">
        <v>3</v>
      </c>
      <c r="AM398" t="s">
        <v>68</v>
      </c>
      <c r="AN398">
        <v>4</v>
      </c>
      <c r="AO398" t="s">
        <v>65</v>
      </c>
      <c r="AP398">
        <v>80</v>
      </c>
      <c r="AQ398">
        <v>0</v>
      </c>
      <c r="AR398">
        <v>8</v>
      </c>
      <c r="AS398" t="str">
        <f t="shared" si="100"/>
        <v>6-10</v>
      </c>
      <c r="AT398">
        <v>3</v>
      </c>
      <c r="AU398" t="str">
        <f t="shared" si="101"/>
        <v>3-4</v>
      </c>
      <c r="AV398">
        <v>3</v>
      </c>
      <c r="AW398" t="s">
        <v>79</v>
      </c>
      <c r="AX398">
        <v>5</v>
      </c>
      <c r="AY398" t="str">
        <f t="shared" si="90"/>
        <v>2-5</v>
      </c>
      <c r="AZ398">
        <v>2</v>
      </c>
      <c r="BA398" t="str">
        <f t="shared" si="102"/>
        <v>2-5</v>
      </c>
      <c r="BB398">
        <v>0</v>
      </c>
      <c r="BC398" t="str">
        <f t="shared" si="103"/>
        <v>0-1</v>
      </c>
      <c r="BD398">
        <v>2</v>
      </c>
      <c r="BE398" t="str">
        <f t="shared" si="104"/>
        <v>2-5</v>
      </c>
    </row>
    <row r="399" spans="1:57" x14ac:dyDescent="0.3">
      <c r="A399">
        <v>527</v>
      </c>
      <c r="B399">
        <v>25</v>
      </c>
      <c r="C399" t="str">
        <f t="shared" si="91"/>
        <v>18-25</v>
      </c>
      <c r="D399" t="s">
        <v>71</v>
      </c>
      <c r="E399">
        <f t="shared" si="92"/>
        <v>0</v>
      </c>
      <c r="F399" t="s">
        <v>57</v>
      </c>
      <c r="G399">
        <v>891</v>
      </c>
      <c r="H399" t="str">
        <f t="shared" si="93"/>
        <v>501-1000</v>
      </c>
      <c r="I399" t="s">
        <v>58</v>
      </c>
      <c r="J399">
        <v>4</v>
      </c>
      <c r="K399" t="str">
        <f t="shared" si="94"/>
        <v>1-5</v>
      </c>
      <c r="L399">
        <v>2</v>
      </c>
      <c r="M399" t="s">
        <v>59</v>
      </c>
      <c r="N399" t="s">
        <v>60</v>
      </c>
      <c r="O399">
        <v>1</v>
      </c>
      <c r="P399">
        <v>2</v>
      </c>
      <c r="Q399" t="s">
        <v>61</v>
      </c>
      <c r="R399" t="s">
        <v>62</v>
      </c>
      <c r="S399">
        <v>99</v>
      </c>
      <c r="T399" t="str">
        <f t="shared" si="95"/>
        <v>76-100</v>
      </c>
      <c r="U399">
        <v>2</v>
      </c>
      <c r="V399" t="s">
        <v>61</v>
      </c>
      <c r="W399">
        <v>2</v>
      </c>
      <c r="X399" t="s">
        <v>64</v>
      </c>
      <c r="Y399">
        <v>4</v>
      </c>
      <c r="Z399" t="s">
        <v>65</v>
      </c>
      <c r="AA399" t="s">
        <v>66</v>
      </c>
      <c r="AB399" s="4">
        <v>4487</v>
      </c>
      <c r="AC399" s="4" t="str">
        <f t="shared" si="96"/>
        <v>$4,000-$5,500</v>
      </c>
      <c r="AD399">
        <v>12090</v>
      </c>
      <c r="AE399" t="str">
        <f t="shared" si="97"/>
        <v>$8,001-$16,000</v>
      </c>
      <c r="AF399">
        <v>1</v>
      </c>
      <c r="AG399" t="str">
        <f t="shared" si="98"/>
        <v>0-1</v>
      </c>
      <c r="AH399" t="s">
        <v>67</v>
      </c>
      <c r="AI399" t="s">
        <v>56</v>
      </c>
      <c r="AJ399">
        <v>11</v>
      </c>
      <c r="AK399" t="str">
        <f t="shared" si="99"/>
        <v>11-12%</v>
      </c>
      <c r="AL399">
        <v>3</v>
      </c>
      <c r="AM399" t="s">
        <v>68</v>
      </c>
      <c r="AN399">
        <v>2</v>
      </c>
      <c r="AO399" t="s">
        <v>61</v>
      </c>
      <c r="AP399">
        <v>80</v>
      </c>
      <c r="AQ399">
        <v>0</v>
      </c>
      <c r="AR399">
        <v>5</v>
      </c>
      <c r="AS399" t="str">
        <f t="shared" si="100"/>
        <v>3-5</v>
      </c>
      <c r="AT399">
        <v>3</v>
      </c>
      <c r="AU399" t="str">
        <f t="shared" si="101"/>
        <v>3-4</v>
      </c>
      <c r="AV399">
        <v>3</v>
      </c>
      <c r="AW399" t="s">
        <v>79</v>
      </c>
      <c r="AX399">
        <v>5</v>
      </c>
      <c r="AY399" t="str">
        <f t="shared" si="90"/>
        <v>2-5</v>
      </c>
      <c r="AZ399">
        <v>4</v>
      </c>
      <c r="BA399" t="str">
        <f t="shared" si="102"/>
        <v>2-5</v>
      </c>
      <c r="BB399">
        <v>1</v>
      </c>
      <c r="BC399" t="str">
        <f t="shared" si="103"/>
        <v>0-1</v>
      </c>
      <c r="BD399">
        <v>3</v>
      </c>
      <c r="BE399" t="str">
        <f t="shared" si="104"/>
        <v>2-5</v>
      </c>
    </row>
    <row r="400" spans="1:57" x14ac:dyDescent="0.3">
      <c r="A400">
        <v>529</v>
      </c>
      <c r="B400">
        <v>37</v>
      </c>
      <c r="C400" t="str">
        <f t="shared" si="91"/>
        <v>36-45</v>
      </c>
      <c r="D400" t="s">
        <v>71</v>
      </c>
      <c r="E400">
        <f t="shared" si="92"/>
        <v>0</v>
      </c>
      <c r="F400" t="s">
        <v>89</v>
      </c>
      <c r="G400">
        <v>1063</v>
      </c>
      <c r="H400" t="str">
        <f t="shared" si="93"/>
        <v>1001-1499</v>
      </c>
      <c r="I400" t="s">
        <v>73</v>
      </c>
      <c r="J400">
        <v>25</v>
      </c>
      <c r="K400" t="str">
        <f t="shared" si="94"/>
        <v>21-29</v>
      </c>
      <c r="L400">
        <v>5</v>
      </c>
      <c r="M400" t="s">
        <v>96</v>
      </c>
      <c r="N400" t="s">
        <v>83</v>
      </c>
      <c r="O400">
        <v>1</v>
      </c>
      <c r="P400">
        <v>2</v>
      </c>
      <c r="Q400" t="s">
        <v>61</v>
      </c>
      <c r="R400" t="s">
        <v>62</v>
      </c>
      <c r="S400">
        <v>72</v>
      </c>
      <c r="T400" t="str">
        <f t="shared" si="95"/>
        <v>51-75</v>
      </c>
      <c r="U400">
        <v>3</v>
      </c>
      <c r="V400" t="s">
        <v>63</v>
      </c>
      <c r="W400">
        <v>2</v>
      </c>
      <c r="X400" t="s">
        <v>76</v>
      </c>
      <c r="Y400">
        <v>3</v>
      </c>
      <c r="Z400" t="s">
        <v>63</v>
      </c>
      <c r="AA400" t="s">
        <v>77</v>
      </c>
      <c r="AB400" s="4">
        <v>4449</v>
      </c>
      <c r="AC400" s="4" t="str">
        <f t="shared" si="96"/>
        <v>$4,000-$5,500</v>
      </c>
      <c r="AD400">
        <v>23866</v>
      </c>
      <c r="AE400" t="str">
        <f t="shared" si="97"/>
        <v>$22,001-$26,999</v>
      </c>
      <c r="AF400">
        <v>3</v>
      </c>
      <c r="AG400" t="str">
        <f t="shared" si="98"/>
        <v>2-3</v>
      </c>
      <c r="AH400" t="s">
        <v>67</v>
      </c>
      <c r="AI400" t="s">
        <v>56</v>
      </c>
      <c r="AJ400">
        <v>15</v>
      </c>
      <c r="AK400" t="str">
        <f t="shared" si="99"/>
        <v>13-15%</v>
      </c>
      <c r="AL400">
        <v>3</v>
      </c>
      <c r="AM400" t="s">
        <v>68</v>
      </c>
      <c r="AN400">
        <v>1</v>
      </c>
      <c r="AO400" t="s">
        <v>69</v>
      </c>
      <c r="AP400">
        <v>80</v>
      </c>
      <c r="AQ400">
        <v>2</v>
      </c>
      <c r="AR400">
        <v>15</v>
      </c>
      <c r="AS400" t="str">
        <f t="shared" si="100"/>
        <v>11-20</v>
      </c>
      <c r="AT400">
        <v>2</v>
      </c>
      <c r="AU400" t="str">
        <f t="shared" si="101"/>
        <v>0-2</v>
      </c>
      <c r="AV400">
        <v>3</v>
      </c>
      <c r="AW400" t="s">
        <v>79</v>
      </c>
      <c r="AX400">
        <v>13</v>
      </c>
      <c r="AY400" t="str">
        <f t="shared" si="90"/>
        <v>11-20</v>
      </c>
      <c r="AZ400">
        <v>11</v>
      </c>
      <c r="BA400" t="str">
        <f t="shared" si="102"/>
        <v>11-18</v>
      </c>
      <c r="BB400">
        <v>10</v>
      </c>
      <c r="BC400" t="str">
        <f t="shared" si="103"/>
        <v>6-10</v>
      </c>
      <c r="BD400">
        <v>7</v>
      </c>
      <c r="BE400" t="str">
        <f t="shared" si="104"/>
        <v>6-10</v>
      </c>
    </row>
    <row r="401" spans="1:57" x14ac:dyDescent="0.3">
      <c r="A401">
        <v>530</v>
      </c>
      <c r="B401">
        <v>31</v>
      </c>
      <c r="C401" t="str">
        <f t="shared" si="91"/>
        <v>26-35</v>
      </c>
      <c r="D401" t="s">
        <v>71</v>
      </c>
      <c r="E401">
        <f t="shared" si="92"/>
        <v>0</v>
      </c>
      <c r="F401" t="s">
        <v>57</v>
      </c>
      <c r="G401">
        <v>329</v>
      </c>
      <c r="H401" t="str">
        <f t="shared" si="93"/>
        <v>102-500</v>
      </c>
      <c r="I401" t="s">
        <v>73</v>
      </c>
      <c r="J401">
        <v>1</v>
      </c>
      <c r="K401" t="str">
        <f t="shared" si="94"/>
        <v>1-5</v>
      </c>
      <c r="L401">
        <v>2</v>
      </c>
      <c r="M401" t="s">
        <v>59</v>
      </c>
      <c r="N401" t="s">
        <v>60</v>
      </c>
      <c r="O401">
        <v>1</v>
      </c>
      <c r="P401">
        <v>4</v>
      </c>
      <c r="Q401" t="s">
        <v>65</v>
      </c>
      <c r="R401" t="s">
        <v>75</v>
      </c>
      <c r="S401">
        <v>98</v>
      </c>
      <c r="T401" t="str">
        <f t="shared" si="95"/>
        <v>76-100</v>
      </c>
      <c r="U401">
        <v>2</v>
      </c>
      <c r="V401" t="s">
        <v>61</v>
      </c>
      <c r="W401">
        <v>1</v>
      </c>
      <c r="X401" t="s">
        <v>81</v>
      </c>
      <c r="Y401">
        <v>1</v>
      </c>
      <c r="Z401" t="s">
        <v>69</v>
      </c>
      <c r="AA401" t="s">
        <v>77</v>
      </c>
      <c r="AB401" s="4">
        <v>2218</v>
      </c>
      <c r="AC401" s="4" t="str">
        <f t="shared" si="96"/>
        <v>$1,000-$2,500</v>
      </c>
      <c r="AD401">
        <v>16193</v>
      </c>
      <c r="AE401" t="str">
        <f t="shared" si="97"/>
        <v>$16,001-$22,000</v>
      </c>
      <c r="AF401">
        <v>1</v>
      </c>
      <c r="AG401" t="str">
        <f t="shared" si="98"/>
        <v>0-1</v>
      </c>
      <c r="AH401" t="s">
        <v>67</v>
      </c>
      <c r="AI401" t="s">
        <v>71</v>
      </c>
      <c r="AJ401">
        <v>12</v>
      </c>
      <c r="AK401" t="str">
        <f t="shared" si="99"/>
        <v>11-12%</v>
      </c>
      <c r="AL401">
        <v>3</v>
      </c>
      <c r="AM401" t="s">
        <v>68</v>
      </c>
      <c r="AN401">
        <v>3</v>
      </c>
      <c r="AO401" t="s">
        <v>63</v>
      </c>
      <c r="AP401">
        <v>80</v>
      </c>
      <c r="AQ401">
        <v>1</v>
      </c>
      <c r="AR401">
        <v>4</v>
      </c>
      <c r="AS401" t="str">
        <f t="shared" si="100"/>
        <v>3-5</v>
      </c>
      <c r="AT401">
        <v>3</v>
      </c>
      <c r="AU401" t="str">
        <f t="shared" si="101"/>
        <v>3-4</v>
      </c>
      <c r="AV401">
        <v>3</v>
      </c>
      <c r="AW401" t="s">
        <v>79</v>
      </c>
      <c r="AX401">
        <v>4</v>
      </c>
      <c r="AY401" t="str">
        <f t="shared" si="90"/>
        <v>2-5</v>
      </c>
      <c r="AZ401">
        <v>2</v>
      </c>
      <c r="BA401" t="str">
        <f t="shared" si="102"/>
        <v>2-5</v>
      </c>
      <c r="BB401">
        <v>3</v>
      </c>
      <c r="BC401" t="str">
        <f t="shared" si="103"/>
        <v>2-5</v>
      </c>
      <c r="BD401">
        <v>2</v>
      </c>
      <c r="BE401" t="str">
        <f t="shared" si="104"/>
        <v>2-5</v>
      </c>
    </row>
    <row r="402" spans="1:57" x14ac:dyDescent="0.3">
      <c r="A402">
        <v>531</v>
      </c>
      <c r="B402">
        <v>39</v>
      </c>
      <c r="C402" t="str">
        <f t="shared" si="91"/>
        <v>36-45</v>
      </c>
      <c r="D402" t="s">
        <v>71</v>
      </c>
      <c r="E402">
        <f t="shared" si="92"/>
        <v>0</v>
      </c>
      <c r="F402" t="s">
        <v>72</v>
      </c>
      <c r="G402">
        <v>1218</v>
      </c>
      <c r="H402" t="str">
        <f t="shared" si="93"/>
        <v>1001-1499</v>
      </c>
      <c r="I402" t="s">
        <v>73</v>
      </c>
      <c r="J402">
        <v>1</v>
      </c>
      <c r="K402" t="str">
        <f t="shared" si="94"/>
        <v>1-5</v>
      </c>
      <c r="L402">
        <v>1</v>
      </c>
      <c r="M402" t="s">
        <v>74</v>
      </c>
      <c r="N402" t="s">
        <v>60</v>
      </c>
      <c r="O402">
        <v>1</v>
      </c>
      <c r="P402">
        <v>2</v>
      </c>
      <c r="Q402" t="s">
        <v>61</v>
      </c>
      <c r="R402" t="s">
        <v>75</v>
      </c>
      <c r="S402">
        <v>52</v>
      </c>
      <c r="T402" t="str">
        <f t="shared" si="95"/>
        <v>51-75</v>
      </c>
      <c r="U402">
        <v>3</v>
      </c>
      <c r="V402" t="s">
        <v>63</v>
      </c>
      <c r="W402">
        <v>5</v>
      </c>
      <c r="X402" t="s">
        <v>90</v>
      </c>
      <c r="Y402">
        <v>3</v>
      </c>
      <c r="Z402" t="s">
        <v>63</v>
      </c>
      <c r="AA402" t="s">
        <v>86</v>
      </c>
      <c r="AB402" s="4">
        <v>19197</v>
      </c>
      <c r="AC402" s="4" t="str">
        <f t="shared" si="96"/>
        <v>$19,000-$20,500</v>
      </c>
      <c r="AD402">
        <v>8213</v>
      </c>
      <c r="AE402" t="str">
        <f t="shared" si="97"/>
        <v>$8,001-$16,000</v>
      </c>
      <c r="AF402">
        <v>1</v>
      </c>
      <c r="AG402" t="str">
        <f t="shared" si="98"/>
        <v>0-1</v>
      </c>
      <c r="AH402" t="s">
        <v>67</v>
      </c>
      <c r="AI402" t="s">
        <v>56</v>
      </c>
      <c r="AJ402">
        <v>14</v>
      </c>
      <c r="AK402" t="str">
        <f t="shared" si="99"/>
        <v>13-15%</v>
      </c>
      <c r="AL402">
        <v>3</v>
      </c>
      <c r="AM402" t="s">
        <v>68</v>
      </c>
      <c r="AN402">
        <v>3</v>
      </c>
      <c r="AO402" t="s">
        <v>63</v>
      </c>
      <c r="AP402">
        <v>80</v>
      </c>
      <c r="AQ402">
        <v>1</v>
      </c>
      <c r="AR402">
        <v>21</v>
      </c>
      <c r="AS402" t="str">
        <f t="shared" si="100"/>
        <v>21-40</v>
      </c>
      <c r="AT402">
        <v>3</v>
      </c>
      <c r="AU402" t="str">
        <f t="shared" si="101"/>
        <v>3-4</v>
      </c>
      <c r="AV402">
        <v>3</v>
      </c>
      <c r="AW402" t="s">
        <v>79</v>
      </c>
      <c r="AX402">
        <v>21</v>
      </c>
      <c r="AY402" t="str">
        <f t="shared" si="90"/>
        <v>21-40</v>
      </c>
      <c r="AZ402">
        <v>8</v>
      </c>
      <c r="BA402" t="str">
        <f t="shared" si="102"/>
        <v>6-10</v>
      </c>
      <c r="BB402">
        <v>1</v>
      </c>
      <c r="BC402" t="str">
        <f t="shared" si="103"/>
        <v>0-1</v>
      </c>
      <c r="BD402">
        <v>6</v>
      </c>
      <c r="BE402" t="str">
        <f t="shared" si="104"/>
        <v>6-10</v>
      </c>
    </row>
    <row r="403" spans="1:57" x14ac:dyDescent="0.3">
      <c r="A403">
        <v>532</v>
      </c>
      <c r="B403">
        <v>56</v>
      </c>
      <c r="C403" t="str">
        <f t="shared" si="91"/>
        <v>56+</v>
      </c>
      <c r="D403" t="s">
        <v>71</v>
      </c>
      <c r="E403">
        <f t="shared" si="92"/>
        <v>0</v>
      </c>
      <c r="F403" t="s">
        <v>72</v>
      </c>
      <c r="G403">
        <v>906</v>
      </c>
      <c r="H403" t="str">
        <f t="shared" si="93"/>
        <v>501-1000</v>
      </c>
      <c r="I403" t="s">
        <v>58</v>
      </c>
      <c r="J403">
        <v>6</v>
      </c>
      <c r="K403" t="str">
        <f t="shared" si="94"/>
        <v>6-10</v>
      </c>
      <c r="L403">
        <v>3</v>
      </c>
      <c r="M403" t="s">
        <v>85</v>
      </c>
      <c r="N403" t="s">
        <v>60</v>
      </c>
      <c r="O403">
        <v>1</v>
      </c>
      <c r="P403">
        <v>3</v>
      </c>
      <c r="Q403" t="s">
        <v>63</v>
      </c>
      <c r="R403" t="s">
        <v>62</v>
      </c>
      <c r="S403">
        <v>86</v>
      </c>
      <c r="T403" t="str">
        <f t="shared" si="95"/>
        <v>76-100</v>
      </c>
      <c r="U403">
        <v>4</v>
      </c>
      <c r="V403" t="s">
        <v>65</v>
      </c>
      <c r="W403">
        <v>4</v>
      </c>
      <c r="X403" t="s">
        <v>64</v>
      </c>
      <c r="Y403">
        <v>1</v>
      </c>
      <c r="Z403" t="s">
        <v>69</v>
      </c>
      <c r="AA403" t="s">
        <v>77</v>
      </c>
      <c r="AB403" s="4">
        <v>13212</v>
      </c>
      <c r="AC403" s="4" t="str">
        <f t="shared" si="96"/>
        <v>$13,000-$14,500</v>
      </c>
      <c r="AD403">
        <v>18256</v>
      </c>
      <c r="AE403" t="str">
        <f t="shared" si="97"/>
        <v>$16,001-$22,000</v>
      </c>
      <c r="AF403">
        <v>9</v>
      </c>
      <c r="AG403" t="str">
        <f t="shared" si="98"/>
        <v>7-9</v>
      </c>
      <c r="AH403" t="s">
        <v>67</v>
      </c>
      <c r="AI403" t="s">
        <v>71</v>
      </c>
      <c r="AJ403">
        <v>11</v>
      </c>
      <c r="AK403" t="str">
        <f t="shared" si="99"/>
        <v>11-12%</v>
      </c>
      <c r="AL403">
        <v>3</v>
      </c>
      <c r="AM403" t="s">
        <v>68</v>
      </c>
      <c r="AN403">
        <v>4</v>
      </c>
      <c r="AO403" t="s">
        <v>65</v>
      </c>
      <c r="AP403">
        <v>80</v>
      </c>
      <c r="AQ403">
        <v>3</v>
      </c>
      <c r="AR403">
        <v>36</v>
      </c>
      <c r="AS403" t="str">
        <f t="shared" si="100"/>
        <v>21-40</v>
      </c>
      <c r="AT403">
        <v>0</v>
      </c>
      <c r="AU403" t="str">
        <f t="shared" si="101"/>
        <v>0-2</v>
      </c>
      <c r="AV403">
        <v>2</v>
      </c>
      <c r="AW403" t="s">
        <v>84</v>
      </c>
      <c r="AX403">
        <v>7</v>
      </c>
      <c r="AY403" t="str">
        <f t="shared" si="90"/>
        <v>6-10</v>
      </c>
      <c r="AZ403">
        <v>7</v>
      </c>
      <c r="BA403" t="str">
        <f t="shared" si="102"/>
        <v>6-10</v>
      </c>
      <c r="BB403">
        <v>7</v>
      </c>
      <c r="BC403" t="str">
        <f t="shared" si="103"/>
        <v>6-10</v>
      </c>
      <c r="BD403">
        <v>7</v>
      </c>
      <c r="BE403" t="str">
        <f t="shared" si="104"/>
        <v>6-10</v>
      </c>
    </row>
    <row r="404" spans="1:57" x14ac:dyDescent="0.3">
      <c r="A404">
        <v>533</v>
      </c>
      <c r="B404">
        <v>30</v>
      </c>
      <c r="C404" t="str">
        <f t="shared" si="91"/>
        <v>26-35</v>
      </c>
      <c r="D404" t="s">
        <v>71</v>
      </c>
      <c r="E404">
        <f t="shared" si="92"/>
        <v>0</v>
      </c>
      <c r="F404" t="s">
        <v>57</v>
      </c>
      <c r="G404">
        <v>1082</v>
      </c>
      <c r="H404" t="str">
        <f t="shared" si="93"/>
        <v>1001-1499</v>
      </c>
      <c r="I404" t="s">
        <v>58</v>
      </c>
      <c r="J404">
        <v>12</v>
      </c>
      <c r="K404" t="str">
        <f t="shared" si="94"/>
        <v>11-20</v>
      </c>
      <c r="L404">
        <v>3</v>
      </c>
      <c r="M404" t="s">
        <v>85</v>
      </c>
      <c r="N404" t="s">
        <v>95</v>
      </c>
      <c r="O404">
        <v>1</v>
      </c>
      <c r="P404">
        <v>2</v>
      </c>
      <c r="Q404" t="s">
        <v>61</v>
      </c>
      <c r="R404" t="s">
        <v>62</v>
      </c>
      <c r="S404">
        <v>83</v>
      </c>
      <c r="T404" t="str">
        <f t="shared" si="95"/>
        <v>76-100</v>
      </c>
      <c r="U404">
        <v>3</v>
      </c>
      <c r="V404" t="s">
        <v>63</v>
      </c>
      <c r="W404">
        <v>2</v>
      </c>
      <c r="X404" t="s">
        <v>64</v>
      </c>
      <c r="Y404">
        <v>3</v>
      </c>
      <c r="Z404" t="s">
        <v>63</v>
      </c>
      <c r="AA404" t="s">
        <v>66</v>
      </c>
      <c r="AB404" s="4">
        <v>6577</v>
      </c>
      <c r="AC404" s="4" t="str">
        <f t="shared" si="96"/>
        <v>$5,500-$7,000</v>
      </c>
      <c r="AD404">
        <v>19558</v>
      </c>
      <c r="AE404" t="str">
        <f t="shared" si="97"/>
        <v>$16,001-$22,000</v>
      </c>
      <c r="AF404">
        <v>0</v>
      </c>
      <c r="AG404" t="str">
        <f t="shared" si="98"/>
        <v>0-1</v>
      </c>
      <c r="AH404" t="s">
        <v>67</v>
      </c>
      <c r="AI404" t="s">
        <v>71</v>
      </c>
      <c r="AJ404">
        <v>11</v>
      </c>
      <c r="AK404" t="str">
        <f t="shared" si="99"/>
        <v>11-12%</v>
      </c>
      <c r="AL404">
        <v>3</v>
      </c>
      <c r="AM404" t="s">
        <v>68</v>
      </c>
      <c r="AN404">
        <v>2</v>
      </c>
      <c r="AO404" t="s">
        <v>61</v>
      </c>
      <c r="AP404">
        <v>80</v>
      </c>
      <c r="AQ404">
        <v>0</v>
      </c>
      <c r="AR404">
        <v>6</v>
      </c>
      <c r="AS404" t="str">
        <f t="shared" si="100"/>
        <v>6-10</v>
      </c>
      <c r="AT404">
        <v>6</v>
      </c>
      <c r="AU404" t="str">
        <f t="shared" si="101"/>
        <v>5-6</v>
      </c>
      <c r="AV404">
        <v>3</v>
      </c>
      <c r="AW404" t="s">
        <v>79</v>
      </c>
      <c r="AX404">
        <v>5</v>
      </c>
      <c r="AY404" t="str">
        <f t="shared" si="90"/>
        <v>2-5</v>
      </c>
      <c r="AZ404">
        <v>4</v>
      </c>
      <c r="BA404" t="str">
        <f t="shared" si="102"/>
        <v>2-5</v>
      </c>
      <c r="BB404">
        <v>4</v>
      </c>
      <c r="BC404" t="str">
        <f t="shared" si="103"/>
        <v>2-5</v>
      </c>
      <c r="BD404">
        <v>4</v>
      </c>
      <c r="BE404" t="str">
        <f t="shared" si="104"/>
        <v>2-5</v>
      </c>
    </row>
    <row r="405" spans="1:57" x14ac:dyDescent="0.3">
      <c r="A405">
        <v>534</v>
      </c>
      <c r="B405">
        <v>41</v>
      </c>
      <c r="C405" t="str">
        <f t="shared" si="91"/>
        <v>36-45</v>
      </c>
      <c r="D405" t="s">
        <v>71</v>
      </c>
      <c r="E405">
        <f t="shared" si="92"/>
        <v>0</v>
      </c>
      <c r="F405" t="s">
        <v>57</v>
      </c>
      <c r="G405">
        <v>645</v>
      </c>
      <c r="H405" t="str">
        <f t="shared" si="93"/>
        <v>501-1000</v>
      </c>
      <c r="I405" t="s">
        <v>58</v>
      </c>
      <c r="J405">
        <v>1</v>
      </c>
      <c r="K405" t="str">
        <f t="shared" si="94"/>
        <v>1-5</v>
      </c>
      <c r="L405">
        <v>3</v>
      </c>
      <c r="M405" t="s">
        <v>85</v>
      </c>
      <c r="N405" t="s">
        <v>93</v>
      </c>
      <c r="O405">
        <v>1</v>
      </c>
      <c r="P405">
        <v>2</v>
      </c>
      <c r="Q405" t="s">
        <v>61</v>
      </c>
      <c r="R405" t="s">
        <v>75</v>
      </c>
      <c r="S405">
        <v>49</v>
      </c>
      <c r="T405" t="str">
        <f t="shared" si="95"/>
        <v>30-50</v>
      </c>
      <c r="U405">
        <v>4</v>
      </c>
      <c r="V405" t="s">
        <v>65</v>
      </c>
      <c r="W405">
        <v>3</v>
      </c>
      <c r="X405" t="s">
        <v>64</v>
      </c>
      <c r="Y405">
        <v>1</v>
      </c>
      <c r="Z405" t="s">
        <v>69</v>
      </c>
      <c r="AA405" t="s">
        <v>77</v>
      </c>
      <c r="AB405" s="4">
        <v>8392</v>
      </c>
      <c r="AC405" s="4" t="str">
        <f t="shared" si="96"/>
        <v>$7,000-$8,500</v>
      </c>
      <c r="AD405">
        <v>19566</v>
      </c>
      <c r="AE405" t="str">
        <f t="shared" si="97"/>
        <v>$16,001-$22,000</v>
      </c>
      <c r="AF405">
        <v>1</v>
      </c>
      <c r="AG405" t="str">
        <f t="shared" si="98"/>
        <v>0-1</v>
      </c>
      <c r="AH405" t="s">
        <v>67</v>
      </c>
      <c r="AI405" t="s">
        <v>71</v>
      </c>
      <c r="AJ405">
        <v>16</v>
      </c>
      <c r="AK405" t="str">
        <f t="shared" si="99"/>
        <v>16-17%</v>
      </c>
      <c r="AL405">
        <v>3</v>
      </c>
      <c r="AM405" t="s">
        <v>68</v>
      </c>
      <c r="AN405">
        <v>3</v>
      </c>
      <c r="AO405" t="s">
        <v>63</v>
      </c>
      <c r="AP405">
        <v>80</v>
      </c>
      <c r="AQ405">
        <v>1</v>
      </c>
      <c r="AR405">
        <v>10</v>
      </c>
      <c r="AS405" t="str">
        <f t="shared" si="100"/>
        <v>6-10</v>
      </c>
      <c r="AT405">
        <v>2</v>
      </c>
      <c r="AU405" t="str">
        <f t="shared" si="101"/>
        <v>0-2</v>
      </c>
      <c r="AV405">
        <v>3</v>
      </c>
      <c r="AW405" t="s">
        <v>79</v>
      </c>
      <c r="AX405">
        <v>10</v>
      </c>
      <c r="AY405" t="str">
        <f t="shared" si="90"/>
        <v>6-10</v>
      </c>
      <c r="AZ405">
        <v>7</v>
      </c>
      <c r="BA405" t="str">
        <f t="shared" si="102"/>
        <v>6-10</v>
      </c>
      <c r="BB405">
        <v>0</v>
      </c>
      <c r="BC405" t="str">
        <f t="shared" si="103"/>
        <v>0-1</v>
      </c>
      <c r="BD405">
        <v>7</v>
      </c>
      <c r="BE405" t="str">
        <f t="shared" si="104"/>
        <v>6-10</v>
      </c>
    </row>
    <row r="406" spans="1:57" x14ac:dyDescent="0.3">
      <c r="A406">
        <v>536</v>
      </c>
      <c r="B406">
        <v>28</v>
      </c>
      <c r="C406" t="str">
        <f t="shared" si="91"/>
        <v>26-35</v>
      </c>
      <c r="D406" t="s">
        <v>71</v>
      </c>
      <c r="E406">
        <f t="shared" si="92"/>
        <v>0</v>
      </c>
      <c r="F406" t="s">
        <v>57</v>
      </c>
      <c r="G406">
        <v>1300</v>
      </c>
      <c r="H406" t="str">
        <f t="shared" si="93"/>
        <v>1001-1499</v>
      </c>
      <c r="I406" t="s">
        <v>73</v>
      </c>
      <c r="J406">
        <v>17</v>
      </c>
      <c r="K406" t="str">
        <f t="shared" si="94"/>
        <v>11-20</v>
      </c>
      <c r="L406">
        <v>2</v>
      </c>
      <c r="M406" t="s">
        <v>59</v>
      </c>
      <c r="N406" t="s">
        <v>83</v>
      </c>
      <c r="O406">
        <v>1</v>
      </c>
      <c r="P406">
        <v>3</v>
      </c>
      <c r="Q406" t="s">
        <v>63</v>
      </c>
      <c r="R406" t="s">
        <v>75</v>
      </c>
      <c r="S406">
        <v>79</v>
      </c>
      <c r="T406" t="str">
        <f t="shared" si="95"/>
        <v>76-100</v>
      </c>
      <c r="U406">
        <v>3</v>
      </c>
      <c r="V406" t="s">
        <v>63</v>
      </c>
      <c r="W406">
        <v>2</v>
      </c>
      <c r="X406" t="s">
        <v>81</v>
      </c>
      <c r="Y406">
        <v>1</v>
      </c>
      <c r="Z406" t="s">
        <v>69</v>
      </c>
      <c r="AA406" t="s">
        <v>86</v>
      </c>
      <c r="AB406" s="4">
        <v>4558</v>
      </c>
      <c r="AC406" s="4" t="str">
        <f t="shared" si="96"/>
        <v>$4,000-$5,500</v>
      </c>
      <c r="AD406">
        <v>13535</v>
      </c>
      <c r="AE406" t="str">
        <f t="shared" si="97"/>
        <v>$8,001-$16,000</v>
      </c>
      <c r="AF406">
        <v>1</v>
      </c>
      <c r="AG406" t="str">
        <f t="shared" si="98"/>
        <v>0-1</v>
      </c>
      <c r="AH406" t="s">
        <v>67</v>
      </c>
      <c r="AI406" t="s">
        <v>71</v>
      </c>
      <c r="AJ406">
        <v>12</v>
      </c>
      <c r="AK406" t="str">
        <f t="shared" si="99"/>
        <v>11-12%</v>
      </c>
      <c r="AL406">
        <v>3</v>
      </c>
      <c r="AM406" t="s">
        <v>68</v>
      </c>
      <c r="AN406">
        <v>4</v>
      </c>
      <c r="AO406" t="s">
        <v>65</v>
      </c>
      <c r="AP406">
        <v>80</v>
      </c>
      <c r="AQ406">
        <v>1</v>
      </c>
      <c r="AR406">
        <v>10</v>
      </c>
      <c r="AS406" t="str">
        <f t="shared" si="100"/>
        <v>6-10</v>
      </c>
      <c r="AT406">
        <v>2</v>
      </c>
      <c r="AU406" t="str">
        <f t="shared" si="101"/>
        <v>0-2</v>
      </c>
      <c r="AV406">
        <v>3</v>
      </c>
      <c r="AW406" t="s">
        <v>79</v>
      </c>
      <c r="AX406">
        <v>10</v>
      </c>
      <c r="AY406" t="str">
        <f t="shared" si="90"/>
        <v>6-10</v>
      </c>
      <c r="AZ406">
        <v>0</v>
      </c>
      <c r="BA406" t="str">
        <f t="shared" si="102"/>
        <v>0-1</v>
      </c>
      <c r="BB406">
        <v>1</v>
      </c>
      <c r="BC406" t="str">
        <f t="shared" si="103"/>
        <v>0-1</v>
      </c>
      <c r="BD406">
        <v>8</v>
      </c>
      <c r="BE406" t="str">
        <f t="shared" si="104"/>
        <v>6-10</v>
      </c>
    </row>
    <row r="407" spans="1:57" x14ac:dyDescent="0.3">
      <c r="A407">
        <v>538</v>
      </c>
      <c r="B407">
        <v>25</v>
      </c>
      <c r="C407" t="str">
        <f t="shared" si="91"/>
        <v>18-25</v>
      </c>
      <c r="D407" t="s">
        <v>56</v>
      </c>
      <c r="E407">
        <f t="shared" si="92"/>
        <v>1</v>
      </c>
      <c r="F407" t="s">
        <v>57</v>
      </c>
      <c r="G407">
        <v>688</v>
      </c>
      <c r="H407" t="str">
        <f t="shared" si="93"/>
        <v>501-1000</v>
      </c>
      <c r="I407" t="s">
        <v>73</v>
      </c>
      <c r="J407">
        <v>3</v>
      </c>
      <c r="K407" t="str">
        <f t="shared" si="94"/>
        <v>1-5</v>
      </c>
      <c r="L407">
        <v>3</v>
      </c>
      <c r="M407" t="s">
        <v>85</v>
      </c>
      <c r="N407" t="s">
        <v>83</v>
      </c>
      <c r="O407">
        <v>1</v>
      </c>
      <c r="P407">
        <v>1</v>
      </c>
      <c r="Q407" t="s">
        <v>69</v>
      </c>
      <c r="R407" t="s">
        <v>75</v>
      </c>
      <c r="S407">
        <v>91</v>
      </c>
      <c r="T407" t="str">
        <f t="shared" si="95"/>
        <v>76-100</v>
      </c>
      <c r="U407">
        <v>3</v>
      </c>
      <c r="V407" t="s">
        <v>63</v>
      </c>
      <c r="W407">
        <v>1</v>
      </c>
      <c r="X407" t="s">
        <v>81</v>
      </c>
      <c r="Y407">
        <v>1</v>
      </c>
      <c r="Z407" t="s">
        <v>69</v>
      </c>
      <c r="AA407" t="s">
        <v>77</v>
      </c>
      <c r="AB407" s="4">
        <v>4031</v>
      </c>
      <c r="AC407" s="4" t="str">
        <f t="shared" si="96"/>
        <v>$4,000-$5,500</v>
      </c>
      <c r="AD407">
        <v>9396</v>
      </c>
      <c r="AE407" t="str">
        <f t="shared" si="97"/>
        <v>$8,001-$16,000</v>
      </c>
      <c r="AF407">
        <v>5</v>
      </c>
      <c r="AG407" t="str">
        <f t="shared" si="98"/>
        <v>4-6</v>
      </c>
      <c r="AH407" t="s">
        <v>67</v>
      </c>
      <c r="AI407" t="s">
        <v>71</v>
      </c>
      <c r="AJ407">
        <v>13</v>
      </c>
      <c r="AK407" t="str">
        <f t="shared" si="99"/>
        <v>13-15%</v>
      </c>
      <c r="AL407">
        <v>3</v>
      </c>
      <c r="AM407" t="s">
        <v>68</v>
      </c>
      <c r="AN407">
        <v>3</v>
      </c>
      <c r="AO407" t="s">
        <v>63</v>
      </c>
      <c r="AP407">
        <v>80</v>
      </c>
      <c r="AQ407">
        <v>1</v>
      </c>
      <c r="AR407">
        <v>6</v>
      </c>
      <c r="AS407" t="str">
        <f t="shared" si="100"/>
        <v>6-10</v>
      </c>
      <c r="AT407">
        <v>5</v>
      </c>
      <c r="AU407" t="str">
        <f t="shared" si="101"/>
        <v>5-6</v>
      </c>
      <c r="AV407">
        <v>3</v>
      </c>
      <c r="AW407" t="s">
        <v>79</v>
      </c>
      <c r="AX407">
        <v>2</v>
      </c>
      <c r="AY407" t="str">
        <f t="shared" si="90"/>
        <v>2-5</v>
      </c>
      <c r="AZ407">
        <v>2</v>
      </c>
      <c r="BA407" t="str">
        <f t="shared" si="102"/>
        <v>2-5</v>
      </c>
      <c r="BB407">
        <v>0</v>
      </c>
      <c r="BC407" t="str">
        <f t="shared" si="103"/>
        <v>0-1</v>
      </c>
      <c r="BD407">
        <v>2</v>
      </c>
      <c r="BE407" t="str">
        <f t="shared" si="104"/>
        <v>2-5</v>
      </c>
    </row>
    <row r="408" spans="1:57" x14ac:dyDescent="0.3">
      <c r="A408">
        <v>543</v>
      </c>
      <c r="B408">
        <v>52</v>
      </c>
      <c r="C408" t="str">
        <f t="shared" si="91"/>
        <v>46-55</v>
      </c>
      <c r="D408" t="s">
        <v>71</v>
      </c>
      <c r="E408">
        <f t="shared" si="92"/>
        <v>0</v>
      </c>
      <c r="F408" t="s">
        <v>57</v>
      </c>
      <c r="G408">
        <v>319</v>
      </c>
      <c r="H408" t="str">
        <f t="shared" si="93"/>
        <v>102-500</v>
      </c>
      <c r="I408" t="s">
        <v>73</v>
      </c>
      <c r="J408">
        <v>3</v>
      </c>
      <c r="K408" t="str">
        <f t="shared" si="94"/>
        <v>1-5</v>
      </c>
      <c r="L408">
        <v>3</v>
      </c>
      <c r="M408" t="s">
        <v>85</v>
      </c>
      <c r="N408" t="s">
        <v>83</v>
      </c>
      <c r="O408">
        <v>1</v>
      </c>
      <c r="P408">
        <v>4</v>
      </c>
      <c r="Q408" t="s">
        <v>65</v>
      </c>
      <c r="R408" t="s">
        <v>75</v>
      </c>
      <c r="S408">
        <v>39</v>
      </c>
      <c r="T408" t="str">
        <f t="shared" si="95"/>
        <v>30-50</v>
      </c>
      <c r="U408">
        <v>2</v>
      </c>
      <c r="V408" t="s">
        <v>61</v>
      </c>
      <c r="W408">
        <v>3</v>
      </c>
      <c r="X408" t="s">
        <v>87</v>
      </c>
      <c r="Y408">
        <v>3</v>
      </c>
      <c r="Z408" t="s">
        <v>63</v>
      </c>
      <c r="AA408" t="s">
        <v>77</v>
      </c>
      <c r="AB408" s="4">
        <v>7969</v>
      </c>
      <c r="AC408" s="4" t="str">
        <f t="shared" si="96"/>
        <v>$7,000-$8,500</v>
      </c>
      <c r="AD408">
        <v>19609</v>
      </c>
      <c r="AE408" t="str">
        <f t="shared" si="97"/>
        <v>$16,001-$22,000</v>
      </c>
      <c r="AF408">
        <v>2</v>
      </c>
      <c r="AG408" t="str">
        <f t="shared" si="98"/>
        <v>2-3</v>
      </c>
      <c r="AH408" t="s">
        <v>67</v>
      </c>
      <c r="AI408" t="s">
        <v>56</v>
      </c>
      <c r="AJ408">
        <v>14</v>
      </c>
      <c r="AK408" t="str">
        <f t="shared" si="99"/>
        <v>13-15%</v>
      </c>
      <c r="AL408">
        <v>3</v>
      </c>
      <c r="AM408" t="s">
        <v>68</v>
      </c>
      <c r="AN408">
        <v>3</v>
      </c>
      <c r="AO408" t="s">
        <v>63</v>
      </c>
      <c r="AP408">
        <v>80</v>
      </c>
      <c r="AQ408">
        <v>0</v>
      </c>
      <c r="AR408">
        <v>28</v>
      </c>
      <c r="AS408" t="str">
        <f t="shared" si="100"/>
        <v>21-40</v>
      </c>
      <c r="AT408">
        <v>4</v>
      </c>
      <c r="AU408" t="str">
        <f t="shared" si="101"/>
        <v>3-4</v>
      </c>
      <c r="AV408">
        <v>3</v>
      </c>
      <c r="AW408" t="s">
        <v>79</v>
      </c>
      <c r="AX408">
        <v>5</v>
      </c>
      <c r="AY408" t="str">
        <f t="shared" si="90"/>
        <v>2-5</v>
      </c>
      <c r="AZ408">
        <v>4</v>
      </c>
      <c r="BA408" t="str">
        <f t="shared" si="102"/>
        <v>2-5</v>
      </c>
      <c r="BB408">
        <v>0</v>
      </c>
      <c r="BC408" t="str">
        <f t="shared" si="103"/>
        <v>0-1</v>
      </c>
      <c r="BD408">
        <v>4</v>
      </c>
      <c r="BE408" t="str">
        <f t="shared" si="104"/>
        <v>2-5</v>
      </c>
    </row>
    <row r="409" spans="1:57" x14ac:dyDescent="0.3">
      <c r="A409">
        <v>544</v>
      </c>
      <c r="B409">
        <v>45</v>
      </c>
      <c r="C409" t="str">
        <f t="shared" si="91"/>
        <v>36-45</v>
      </c>
      <c r="D409" t="s">
        <v>71</v>
      </c>
      <c r="E409">
        <f t="shared" si="92"/>
        <v>0</v>
      </c>
      <c r="F409" t="s">
        <v>57</v>
      </c>
      <c r="G409">
        <v>192</v>
      </c>
      <c r="H409" t="str">
        <f t="shared" si="93"/>
        <v>102-500</v>
      </c>
      <c r="I409" t="s">
        <v>73</v>
      </c>
      <c r="J409">
        <v>10</v>
      </c>
      <c r="K409" t="str">
        <f t="shared" si="94"/>
        <v>6-10</v>
      </c>
      <c r="L409">
        <v>2</v>
      </c>
      <c r="M409" t="s">
        <v>59</v>
      </c>
      <c r="N409" t="s">
        <v>60</v>
      </c>
      <c r="O409">
        <v>1</v>
      </c>
      <c r="P409">
        <v>1</v>
      </c>
      <c r="Q409" t="s">
        <v>69</v>
      </c>
      <c r="R409" t="s">
        <v>75</v>
      </c>
      <c r="S409">
        <v>69</v>
      </c>
      <c r="T409" t="str">
        <f t="shared" si="95"/>
        <v>51-75</v>
      </c>
      <c r="U409">
        <v>3</v>
      </c>
      <c r="V409" t="s">
        <v>63</v>
      </c>
      <c r="W409">
        <v>1</v>
      </c>
      <c r="X409" t="s">
        <v>76</v>
      </c>
      <c r="Y409">
        <v>4</v>
      </c>
      <c r="Z409" t="s">
        <v>65</v>
      </c>
      <c r="AA409" t="s">
        <v>77</v>
      </c>
      <c r="AB409" s="4">
        <v>2654</v>
      </c>
      <c r="AC409" s="4" t="str">
        <f t="shared" si="96"/>
        <v>$2,500-$4,000</v>
      </c>
      <c r="AD409">
        <v>9655</v>
      </c>
      <c r="AE409" t="str">
        <f t="shared" si="97"/>
        <v>$8,001-$16,000</v>
      </c>
      <c r="AF409">
        <v>3</v>
      </c>
      <c r="AG409" t="str">
        <f t="shared" si="98"/>
        <v>2-3</v>
      </c>
      <c r="AH409" t="s">
        <v>67</v>
      </c>
      <c r="AI409" t="s">
        <v>71</v>
      </c>
      <c r="AJ409">
        <v>21</v>
      </c>
      <c r="AK409" t="str">
        <f t="shared" si="99"/>
        <v>18-19%</v>
      </c>
      <c r="AL409">
        <v>4</v>
      </c>
      <c r="AM409" t="s">
        <v>78</v>
      </c>
      <c r="AN409">
        <v>4</v>
      </c>
      <c r="AO409" t="s">
        <v>65</v>
      </c>
      <c r="AP409">
        <v>80</v>
      </c>
      <c r="AQ409">
        <v>2</v>
      </c>
      <c r="AR409">
        <v>8</v>
      </c>
      <c r="AS409" t="str">
        <f t="shared" si="100"/>
        <v>6-10</v>
      </c>
      <c r="AT409">
        <v>3</v>
      </c>
      <c r="AU409" t="str">
        <f t="shared" si="101"/>
        <v>3-4</v>
      </c>
      <c r="AV409">
        <v>2</v>
      </c>
      <c r="AW409" t="s">
        <v>84</v>
      </c>
      <c r="AX409">
        <v>2</v>
      </c>
      <c r="AY409" t="str">
        <f t="shared" si="90"/>
        <v>2-5</v>
      </c>
      <c r="AZ409">
        <v>2</v>
      </c>
      <c r="BA409" t="str">
        <f t="shared" si="102"/>
        <v>2-5</v>
      </c>
      <c r="BB409">
        <v>0</v>
      </c>
      <c r="BC409" t="str">
        <f t="shared" si="103"/>
        <v>0-1</v>
      </c>
      <c r="BD409">
        <v>2</v>
      </c>
      <c r="BE409" t="str">
        <f t="shared" si="104"/>
        <v>2-5</v>
      </c>
    </row>
    <row r="410" spans="1:57" x14ac:dyDescent="0.3">
      <c r="A410">
        <v>546</v>
      </c>
      <c r="B410">
        <v>52</v>
      </c>
      <c r="C410" t="str">
        <f t="shared" si="91"/>
        <v>46-55</v>
      </c>
      <c r="D410" t="s">
        <v>71</v>
      </c>
      <c r="E410">
        <f t="shared" si="92"/>
        <v>0</v>
      </c>
      <c r="F410" t="s">
        <v>57</v>
      </c>
      <c r="G410">
        <v>1490</v>
      </c>
      <c r="H410" t="str">
        <f t="shared" si="93"/>
        <v>1001-1499</v>
      </c>
      <c r="I410" t="s">
        <v>73</v>
      </c>
      <c r="J410">
        <v>4</v>
      </c>
      <c r="K410" t="str">
        <f t="shared" si="94"/>
        <v>1-5</v>
      </c>
      <c r="L410">
        <v>2</v>
      </c>
      <c r="M410" t="s">
        <v>59</v>
      </c>
      <c r="N410" t="s">
        <v>60</v>
      </c>
      <c r="O410">
        <v>1</v>
      </c>
      <c r="P410">
        <v>4</v>
      </c>
      <c r="Q410" t="s">
        <v>65</v>
      </c>
      <c r="R410" t="s">
        <v>62</v>
      </c>
      <c r="S410">
        <v>30</v>
      </c>
      <c r="T410" t="str">
        <f t="shared" si="95"/>
        <v>30-50</v>
      </c>
      <c r="U410">
        <v>3</v>
      </c>
      <c r="V410" t="s">
        <v>63</v>
      </c>
      <c r="W410">
        <v>4</v>
      </c>
      <c r="X410" t="s">
        <v>90</v>
      </c>
      <c r="Y410">
        <v>4</v>
      </c>
      <c r="Z410" t="s">
        <v>65</v>
      </c>
      <c r="AA410" t="s">
        <v>77</v>
      </c>
      <c r="AB410" s="4">
        <v>16555</v>
      </c>
      <c r="AC410" s="4" t="str">
        <f t="shared" si="96"/>
        <v>$16,000-$17,500</v>
      </c>
      <c r="AD410">
        <v>10310</v>
      </c>
      <c r="AE410" t="str">
        <f t="shared" si="97"/>
        <v>$8,001-$16,000</v>
      </c>
      <c r="AF410">
        <v>2</v>
      </c>
      <c r="AG410" t="str">
        <f t="shared" si="98"/>
        <v>2-3</v>
      </c>
      <c r="AH410" t="s">
        <v>67</v>
      </c>
      <c r="AI410" t="s">
        <v>71</v>
      </c>
      <c r="AJ410">
        <v>13</v>
      </c>
      <c r="AK410" t="str">
        <f t="shared" si="99"/>
        <v>13-15%</v>
      </c>
      <c r="AL410">
        <v>3</v>
      </c>
      <c r="AM410" t="s">
        <v>68</v>
      </c>
      <c r="AN410">
        <v>4</v>
      </c>
      <c r="AO410" t="s">
        <v>65</v>
      </c>
      <c r="AP410">
        <v>80</v>
      </c>
      <c r="AQ410">
        <v>0</v>
      </c>
      <c r="AR410">
        <v>31</v>
      </c>
      <c r="AS410" t="str">
        <f t="shared" si="100"/>
        <v>21-40</v>
      </c>
      <c r="AT410">
        <v>2</v>
      </c>
      <c r="AU410" t="str">
        <f t="shared" si="101"/>
        <v>0-2</v>
      </c>
      <c r="AV410">
        <v>1</v>
      </c>
      <c r="AW410" t="s">
        <v>70</v>
      </c>
      <c r="AX410">
        <v>5</v>
      </c>
      <c r="AY410" t="str">
        <f t="shared" si="90"/>
        <v>2-5</v>
      </c>
      <c r="AZ410">
        <v>2</v>
      </c>
      <c r="BA410" t="str">
        <f t="shared" si="102"/>
        <v>2-5</v>
      </c>
      <c r="BB410">
        <v>1</v>
      </c>
      <c r="BC410" t="str">
        <f t="shared" si="103"/>
        <v>0-1</v>
      </c>
      <c r="BD410">
        <v>4</v>
      </c>
      <c r="BE410" t="str">
        <f t="shared" si="104"/>
        <v>2-5</v>
      </c>
    </row>
    <row r="411" spans="1:57" x14ac:dyDescent="0.3">
      <c r="A411">
        <v>547</v>
      </c>
      <c r="B411">
        <v>42</v>
      </c>
      <c r="C411" t="str">
        <f t="shared" si="91"/>
        <v>36-45</v>
      </c>
      <c r="D411" t="s">
        <v>71</v>
      </c>
      <c r="E411">
        <f t="shared" si="92"/>
        <v>0</v>
      </c>
      <c r="F411" t="s">
        <v>72</v>
      </c>
      <c r="G411">
        <v>532</v>
      </c>
      <c r="H411" t="str">
        <f t="shared" si="93"/>
        <v>501-1000</v>
      </c>
      <c r="I411" t="s">
        <v>73</v>
      </c>
      <c r="J411">
        <v>29</v>
      </c>
      <c r="K411" t="str">
        <f t="shared" si="94"/>
        <v>21-29</v>
      </c>
      <c r="L411">
        <v>2</v>
      </c>
      <c r="M411" t="s">
        <v>59</v>
      </c>
      <c r="N411" t="s">
        <v>60</v>
      </c>
      <c r="O411">
        <v>1</v>
      </c>
      <c r="P411">
        <v>1</v>
      </c>
      <c r="Q411" t="s">
        <v>69</v>
      </c>
      <c r="R411" t="s">
        <v>62</v>
      </c>
      <c r="S411">
        <v>92</v>
      </c>
      <c r="T411" t="str">
        <f t="shared" si="95"/>
        <v>76-100</v>
      </c>
      <c r="U411">
        <v>3</v>
      </c>
      <c r="V411" t="s">
        <v>63</v>
      </c>
      <c r="W411">
        <v>2</v>
      </c>
      <c r="X411" t="s">
        <v>76</v>
      </c>
      <c r="Y411">
        <v>3</v>
      </c>
      <c r="Z411" t="s">
        <v>63</v>
      </c>
      <c r="AA411" t="s">
        <v>86</v>
      </c>
      <c r="AB411" s="4">
        <v>4556</v>
      </c>
      <c r="AC411" s="4" t="str">
        <f t="shared" si="96"/>
        <v>$4,000-$5,500</v>
      </c>
      <c r="AD411">
        <v>12932</v>
      </c>
      <c r="AE411" t="str">
        <f t="shared" si="97"/>
        <v>$8,001-$16,000</v>
      </c>
      <c r="AF411">
        <v>2</v>
      </c>
      <c r="AG411" t="str">
        <f t="shared" si="98"/>
        <v>2-3</v>
      </c>
      <c r="AH411" t="s">
        <v>67</v>
      </c>
      <c r="AI411" t="s">
        <v>71</v>
      </c>
      <c r="AJ411">
        <v>11</v>
      </c>
      <c r="AK411" t="str">
        <f t="shared" si="99"/>
        <v>11-12%</v>
      </c>
      <c r="AL411">
        <v>3</v>
      </c>
      <c r="AM411" t="s">
        <v>68</v>
      </c>
      <c r="AN411">
        <v>2</v>
      </c>
      <c r="AO411" t="s">
        <v>61</v>
      </c>
      <c r="AP411">
        <v>80</v>
      </c>
      <c r="AQ411">
        <v>1</v>
      </c>
      <c r="AR411">
        <v>19</v>
      </c>
      <c r="AS411" t="str">
        <f t="shared" si="100"/>
        <v>11-20</v>
      </c>
      <c r="AT411">
        <v>3</v>
      </c>
      <c r="AU411" t="str">
        <f t="shared" si="101"/>
        <v>3-4</v>
      </c>
      <c r="AV411">
        <v>3</v>
      </c>
      <c r="AW411" t="s">
        <v>79</v>
      </c>
      <c r="AX411">
        <v>5</v>
      </c>
      <c r="AY411" t="str">
        <f t="shared" si="90"/>
        <v>2-5</v>
      </c>
      <c r="AZ411">
        <v>4</v>
      </c>
      <c r="BA411" t="str">
        <f t="shared" si="102"/>
        <v>2-5</v>
      </c>
      <c r="BB411">
        <v>0</v>
      </c>
      <c r="BC411" t="str">
        <f t="shared" si="103"/>
        <v>0-1</v>
      </c>
      <c r="BD411">
        <v>2</v>
      </c>
      <c r="BE411" t="str">
        <f t="shared" si="104"/>
        <v>2-5</v>
      </c>
    </row>
    <row r="412" spans="1:57" x14ac:dyDescent="0.3">
      <c r="A412">
        <v>548</v>
      </c>
      <c r="B412">
        <v>30</v>
      </c>
      <c r="C412" t="str">
        <f t="shared" si="91"/>
        <v>26-35</v>
      </c>
      <c r="D412" t="s">
        <v>71</v>
      </c>
      <c r="E412">
        <f t="shared" si="92"/>
        <v>0</v>
      </c>
      <c r="F412" t="s">
        <v>57</v>
      </c>
      <c r="G412">
        <v>317</v>
      </c>
      <c r="H412" t="str">
        <f t="shared" si="93"/>
        <v>102-500</v>
      </c>
      <c r="I412" t="s">
        <v>73</v>
      </c>
      <c r="J412">
        <v>2</v>
      </c>
      <c r="K412" t="str">
        <f t="shared" si="94"/>
        <v>1-5</v>
      </c>
      <c r="L412">
        <v>3</v>
      </c>
      <c r="M412" t="s">
        <v>85</v>
      </c>
      <c r="N412" t="s">
        <v>60</v>
      </c>
      <c r="O412">
        <v>1</v>
      </c>
      <c r="P412">
        <v>3</v>
      </c>
      <c r="Q412" t="s">
        <v>63</v>
      </c>
      <c r="R412" t="s">
        <v>62</v>
      </c>
      <c r="S412">
        <v>43</v>
      </c>
      <c r="T412" t="str">
        <f t="shared" si="95"/>
        <v>30-50</v>
      </c>
      <c r="U412">
        <v>1</v>
      </c>
      <c r="V412" t="s">
        <v>69</v>
      </c>
      <c r="W412">
        <v>2</v>
      </c>
      <c r="X412" t="s">
        <v>87</v>
      </c>
      <c r="Y412">
        <v>4</v>
      </c>
      <c r="Z412" t="s">
        <v>65</v>
      </c>
      <c r="AA412" t="s">
        <v>66</v>
      </c>
      <c r="AB412" s="4">
        <v>6091</v>
      </c>
      <c r="AC412" s="4" t="str">
        <f t="shared" si="96"/>
        <v>$5,500-$7,000</v>
      </c>
      <c r="AD412">
        <v>24793</v>
      </c>
      <c r="AE412" t="str">
        <f t="shared" si="97"/>
        <v>$22,001-$26,999</v>
      </c>
      <c r="AF412">
        <v>2</v>
      </c>
      <c r="AG412" t="str">
        <f t="shared" si="98"/>
        <v>2-3</v>
      </c>
      <c r="AH412" t="s">
        <v>67</v>
      </c>
      <c r="AI412" t="s">
        <v>71</v>
      </c>
      <c r="AJ412">
        <v>20</v>
      </c>
      <c r="AK412" t="str">
        <f t="shared" si="99"/>
        <v>18-19%</v>
      </c>
      <c r="AL412">
        <v>4</v>
      </c>
      <c r="AM412" t="s">
        <v>78</v>
      </c>
      <c r="AN412">
        <v>3</v>
      </c>
      <c r="AO412" t="s">
        <v>63</v>
      </c>
      <c r="AP412">
        <v>80</v>
      </c>
      <c r="AQ412">
        <v>0</v>
      </c>
      <c r="AR412">
        <v>11</v>
      </c>
      <c r="AS412" t="str">
        <f t="shared" si="100"/>
        <v>11-20</v>
      </c>
      <c r="AT412">
        <v>2</v>
      </c>
      <c r="AU412" t="str">
        <f t="shared" si="101"/>
        <v>0-2</v>
      </c>
      <c r="AV412">
        <v>3</v>
      </c>
      <c r="AW412" t="s">
        <v>79</v>
      </c>
      <c r="AX412">
        <v>5</v>
      </c>
      <c r="AY412" t="str">
        <f t="shared" si="90"/>
        <v>2-5</v>
      </c>
      <c r="AZ412">
        <v>4</v>
      </c>
      <c r="BA412" t="str">
        <f t="shared" si="102"/>
        <v>2-5</v>
      </c>
      <c r="BB412">
        <v>0</v>
      </c>
      <c r="BC412" t="str">
        <f t="shared" si="103"/>
        <v>0-1</v>
      </c>
      <c r="BD412">
        <v>2</v>
      </c>
      <c r="BE412" t="str">
        <f t="shared" si="104"/>
        <v>2-5</v>
      </c>
    </row>
    <row r="413" spans="1:57" x14ac:dyDescent="0.3">
      <c r="A413">
        <v>549</v>
      </c>
      <c r="B413">
        <v>60</v>
      </c>
      <c r="C413" t="str">
        <f t="shared" si="91"/>
        <v>56+</v>
      </c>
      <c r="D413" t="s">
        <v>71</v>
      </c>
      <c r="E413">
        <f t="shared" si="92"/>
        <v>0</v>
      </c>
      <c r="F413" t="s">
        <v>57</v>
      </c>
      <c r="G413">
        <v>422</v>
      </c>
      <c r="H413" t="str">
        <f t="shared" si="93"/>
        <v>102-500</v>
      </c>
      <c r="I413" t="s">
        <v>73</v>
      </c>
      <c r="J413">
        <v>7</v>
      </c>
      <c r="K413" t="str">
        <f t="shared" si="94"/>
        <v>6-10</v>
      </c>
      <c r="L413">
        <v>3</v>
      </c>
      <c r="M413" t="s">
        <v>85</v>
      </c>
      <c r="N413" t="s">
        <v>60</v>
      </c>
      <c r="O413">
        <v>1</v>
      </c>
      <c r="P413">
        <v>1</v>
      </c>
      <c r="Q413" t="s">
        <v>69</v>
      </c>
      <c r="R413" t="s">
        <v>62</v>
      </c>
      <c r="S413">
        <v>41</v>
      </c>
      <c r="T413" t="str">
        <f t="shared" si="95"/>
        <v>30-50</v>
      </c>
      <c r="U413">
        <v>3</v>
      </c>
      <c r="V413" t="s">
        <v>63</v>
      </c>
      <c r="W413">
        <v>5</v>
      </c>
      <c r="X413" t="s">
        <v>90</v>
      </c>
      <c r="Y413">
        <v>1</v>
      </c>
      <c r="Z413" t="s">
        <v>69</v>
      </c>
      <c r="AA413" t="s">
        <v>77</v>
      </c>
      <c r="AB413" s="4">
        <v>19566</v>
      </c>
      <c r="AC413" s="4" t="str">
        <f t="shared" si="96"/>
        <v>$19,000-$20,500</v>
      </c>
      <c r="AD413">
        <v>3854</v>
      </c>
      <c r="AE413" t="str">
        <f t="shared" si="97"/>
        <v>$2,094-$8,000</v>
      </c>
      <c r="AF413">
        <v>5</v>
      </c>
      <c r="AG413" t="str">
        <f t="shared" si="98"/>
        <v>4-6</v>
      </c>
      <c r="AH413" t="s">
        <v>67</v>
      </c>
      <c r="AI413" t="s">
        <v>71</v>
      </c>
      <c r="AJ413">
        <v>11</v>
      </c>
      <c r="AK413" t="str">
        <f t="shared" si="99"/>
        <v>11-12%</v>
      </c>
      <c r="AL413">
        <v>3</v>
      </c>
      <c r="AM413" t="s">
        <v>68</v>
      </c>
      <c r="AN413">
        <v>4</v>
      </c>
      <c r="AO413" t="s">
        <v>65</v>
      </c>
      <c r="AP413">
        <v>80</v>
      </c>
      <c r="AQ413">
        <v>0</v>
      </c>
      <c r="AR413">
        <v>33</v>
      </c>
      <c r="AS413" t="str">
        <f t="shared" si="100"/>
        <v>21-40</v>
      </c>
      <c r="AT413">
        <v>5</v>
      </c>
      <c r="AU413" t="str">
        <f t="shared" si="101"/>
        <v>5-6</v>
      </c>
      <c r="AV413">
        <v>1</v>
      </c>
      <c r="AW413" t="s">
        <v>70</v>
      </c>
      <c r="AX413">
        <v>29</v>
      </c>
      <c r="AY413" t="str">
        <f t="shared" si="90"/>
        <v>21-40</v>
      </c>
      <c r="AZ413">
        <v>8</v>
      </c>
      <c r="BA413" t="str">
        <f t="shared" si="102"/>
        <v>6-10</v>
      </c>
      <c r="BB413">
        <v>11</v>
      </c>
      <c r="BC413" t="str">
        <f t="shared" si="103"/>
        <v>11-15</v>
      </c>
      <c r="BD413">
        <v>10</v>
      </c>
      <c r="BE413" t="str">
        <f t="shared" si="104"/>
        <v>6-10</v>
      </c>
    </row>
    <row r="414" spans="1:57" x14ac:dyDescent="0.3">
      <c r="A414">
        <v>550</v>
      </c>
      <c r="B414">
        <v>46</v>
      </c>
      <c r="C414" t="str">
        <f t="shared" si="91"/>
        <v>46-55</v>
      </c>
      <c r="D414" t="s">
        <v>71</v>
      </c>
      <c r="E414">
        <f t="shared" si="92"/>
        <v>0</v>
      </c>
      <c r="F414" t="s">
        <v>57</v>
      </c>
      <c r="G414">
        <v>1485</v>
      </c>
      <c r="H414" t="str">
        <f t="shared" si="93"/>
        <v>1001-1499</v>
      </c>
      <c r="I414" t="s">
        <v>73</v>
      </c>
      <c r="J414">
        <v>18</v>
      </c>
      <c r="K414" t="str">
        <f t="shared" si="94"/>
        <v>11-20</v>
      </c>
      <c r="L414">
        <v>3</v>
      </c>
      <c r="M414" t="s">
        <v>85</v>
      </c>
      <c r="N414" t="s">
        <v>83</v>
      </c>
      <c r="O414">
        <v>1</v>
      </c>
      <c r="P414">
        <v>3</v>
      </c>
      <c r="Q414" t="s">
        <v>63</v>
      </c>
      <c r="R414" t="s">
        <v>62</v>
      </c>
      <c r="S414">
        <v>87</v>
      </c>
      <c r="T414" t="str">
        <f t="shared" si="95"/>
        <v>76-100</v>
      </c>
      <c r="U414">
        <v>3</v>
      </c>
      <c r="V414" t="s">
        <v>63</v>
      </c>
      <c r="W414">
        <v>2</v>
      </c>
      <c r="X414" t="s">
        <v>87</v>
      </c>
      <c r="Y414">
        <v>3</v>
      </c>
      <c r="Z414" t="s">
        <v>63</v>
      </c>
      <c r="AA414" t="s">
        <v>86</v>
      </c>
      <c r="AB414" s="4">
        <v>4810</v>
      </c>
      <c r="AC414" s="4" t="str">
        <f t="shared" si="96"/>
        <v>$4,000-$5,500</v>
      </c>
      <c r="AD414">
        <v>26314</v>
      </c>
      <c r="AE414" t="str">
        <f t="shared" si="97"/>
        <v>$22,001-$26,999</v>
      </c>
      <c r="AF414">
        <v>2</v>
      </c>
      <c r="AG414" t="str">
        <f t="shared" si="98"/>
        <v>2-3</v>
      </c>
      <c r="AH414" t="s">
        <v>67</v>
      </c>
      <c r="AI414" t="s">
        <v>71</v>
      </c>
      <c r="AJ414">
        <v>14</v>
      </c>
      <c r="AK414" t="str">
        <f t="shared" si="99"/>
        <v>13-15%</v>
      </c>
      <c r="AL414">
        <v>3</v>
      </c>
      <c r="AM414" t="s">
        <v>68</v>
      </c>
      <c r="AN414">
        <v>3</v>
      </c>
      <c r="AO414" t="s">
        <v>63</v>
      </c>
      <c r="AP414">
        <v>80</v>
      </c>
      <c r="AQ414">
        <v>1</v>
      </c>
      <c r="AR414">
        <v>19</v>
      </c>
      <c r="AS414" t="str">
        <f t="shared" si="100"/>
        <v>11-20</v>
      </c>
      <c r="AT414">
        <v>5</v>
      </c>
      <c r="AU414" t="str">
        <f t="shared" si="101"/>
        <v>5-6</v>
      </c>
      <c r="AV414">
        <v>2</v>
      </c>
      <c r="AW414" t="s">
        <v>84</v>
      </c>
      <c r="AX414">
        <v>10</v>
      </c>
      <c r="AY414" t="str">
        <f t="shared" si="90"/>
        <v>6-10</v>
      </c>
      <c r="AZ414">
        <v>7</v>
      </c>
      <c r="BA414" t="str">
        <f t="shared" si="102"/>
        <v>6-10</v>
      </c>
      <c r="BB414">
        <v>0</v>
      </c>
      <c r="BC414" t="str">
        <f t="shared" si="103"/>
        <v>0-1</v>
      </c>
      <c r="BD414">
        <v>8</v>
      </c>
      <c r="BE414" t="str">
        <f t="shared" si="104"/>
        <v>6-10</v>
      </c>
    </row>
    <row r="415" spans="1:57" x14ac:dyDescent="0.3">
      <c r="A415">
        <v>551</v>
      </c>
      <c r="B415">
        <v>42</v>
      </c>
      <c r="C415" t="str">
        <f t="shared" si="91"/>
        <v>36-45</v>
      </c>
      <c r="D415" t="s">
        <v>71</v>
      </c>
      <c r="E415">
        <f t="shared" si="92"/>
        <v>0</v>
      </c>
      <c r="F415" t="s">
        <v>72</v>
      </c>
      <c r="G415">
        <v>1368</v>
      </c>
      <c r="H415" t="str">
        <f t="shared" si="93"/>
        <v>1001-1499</v>
      </c>
      <c r="I415" t="s">
        <v>73</v>
      </c>
      <c r="J415">
        <v>28</v>
      </c>
      <c r="K415" t="str">
        <f t="shared" si="94"/>
        <v>21-29</v>
      </c>
      <c r="L415">
        <v>4</v>
      </c>
      <c r="M415" t="s">
        <v>82</v>
      </c>
      <c r="N415" t="s">
        <v>95</v>
      </c>
      <c r="O415">
        <v>1</v>
      </c>
      <c r="P415">
        <v>4</v>
      </c>
      <c r="Q415" t="s">
        <v>65</v>
      </c>
      <c r="R415" t="s">
        <v>62</v>
      </c>
      <c r="S415">
        <v>88</v>
      </c>
      <c r="T415" t="str">
        <f t="shared" si="95"/>
        <v>76-100</v>
      </c>
      <c r="U415">
        <v>2</v>
      </c>
      <c r="V415" t="s">
        <v>61</v>
      </c>
      <c r="W415">
        <v>2</v>
      </c>
      <c r="X415" t="s">
        <v>88</v>
      </c>
      <c r="Y415">
        <v>4</v>
      </c>
      <c r="Z415" t="s">
        <v>65</v>
      </c>
      <c r="AA415" t="s">
        <v>77</v>
      </c>
      <c r="AB415" s="4">
        <v>4523</v>
      </c>
      <c r="AC415" s="4" t="str">
        <f t="shared" si="96"/>
        <v>$4,000-$5,500</v>
      </c>
      <c r="AD415">
        <v>4386</v>
      </c>
      <c r="AE415" t="str">
        <f t="shared" si="97"/>
        <v>$2,094-$8,000</v>
      </c>
      <c r="AF415">
        <v>0</v>
      </c>
      <c r="AG415" t="str">
        <f t="shared" si="98"/>
        <v>0-1</v>
      </c>
      <c r="AH415" t="s">
        <v>67</v>
      </c>
      <c r="AI415" t="s">
        <v>71</v>
      </c>
      <c r="AJ415">
        <v>11</v>
      </c>
      <c r="AK415" t="str">
        <f t="shared" si="99"/>
        <v>11-12%</v>
      </c>
      <c r="AL415">
        <v>3</v>
      </c>
      <c r="AM415" t="s">
        <v>68</v>
      </c>
      <c r="AN415">
        <v>4</v>
      </c>
      <c r="AO415" t="s">
        <v>65</v>
      </c>
      <c r="AP415">
        <v>80</v>
      </c>
      <c r="AQ415">
        <v>3</v>
      </c>
      <c r="AR415">
        <v>7</v>
      </c>
      <c r="AS415" t="str">
        <f t="shared" si="100"/>
        <v>6-10</v>
      </c>
      <c r="AT415">
        <v>4</v>
      </c>
      <c r="AU415" t="str">
        <f t="shared" si="101"/>
        <v>3-4</v>
      </c>
      <c r="AV415">
        <v>4</v>
      </c>
      <c r="AW415" t="s">
        <v>94</v>
      </c>
      <c r="AX415">
        <v>6</v>
      </c>
      <c r="AY415" t="str">
        <f t="shared" si="90"/>
        <v>6-10</v>
      </c>
      <c r="AZ415">
        <v>5</v>
      </c>
      <c r="BA415" t="str">
        <f t="shared" si="102"/>
        <v>2-5</v>
      </c>
      <c r="BB415">
        <v>0</v>
      </c>
      <c r="BC415" t="str">
        <f t="shared" si="103"/>
        <v>0-1</v>
      </c>
      <c r="BD415">
        <v>4</v>
      </c>
      <c r="BE415" t="str">
        <f t="shared" si="104"/>
        <v>2-5</v>
      </c>
    </row>
    <row r="416" spans="1:57" x14ac:dyDescent="0.3">
      <c r="A416">
        <v>554</v>
      </c>
      <c r="B416">
        <v>24</v>
      </c>
      <c r="C416" t="str">
        <f t="shared" si="91"/>
        <v>18-25</v>
      </c>
      <c r="D416" t="s">
        <v>56</v>
      </c>
      <c r="E416">
        <f t="shared" si="92"/>
        <v>1</v>
      </c>
      <c r="F416" t="s">
        <v>57</v>
      </c>
      <c r="G416">
        <v>1448</v>
      </c>
      <c r="H416" t="str">
        <f t="shared" si="93"/>
        <v>1001-1499</v>
      </c>
      <c r="I416" t="s">
        <v>58</v>
      </c>
      <c r="J416">
        <v>1</v>
      </c>
      <c r="K416" t="str">
        <f t="shared" si="94"/>
        <v>1-5</v>
      </c>
      <c r="L416">
        <v>1</v>
      </c>
      <c r="M416" t="s">
        <v>74</v>
      </c>
      <c r="N416" t="s">
        <v>95</v>
      </c>
      <c r="O416">
        <v>1</v>
      </c>
      <c r="P416">
        <v>1</v>
      </c>
      <c r="Q416" t="s">
        <v>69</v>
      </c>
      <c r="R416" t="s">
        <v>62</v>
      </c>
      <c r="S416">
        <v>62</v>
      </c>
      <c r="T416" t="str">
        <f t="shared" si="95"/>
        <v>51-75</v>
      </c>
      <c r="U416">
        <v>3</v>
      </c>
      <c r="V416" t="s">
        <v>63</v>
      </c>
      <c r="W416">
        <v>1</v>
      </c>
      <c r="X416" t="s">
        <v>91</v>
      </c>
      <c r="Y416">
        <v>2</v>
      </c>
      <c r="Z416" t="s">
        <v>61</v>
      </c>
      <c r="AA416" t="s">
        <v>66</v>
      </c>
      <c r="AB416" s="4">
        <v>3202</v>
      </c>
      <c r="AC416" s="4" t="str">
        <f t="shared" si="96"/>
        <v>$2,500-$4,000</v>
      </c>
      <c r="AD416">
        <v>21972</v>
      </c>
      <c r="AE416" t="str">
        <f t="shared" si="97"/>
        <v>$16,001-$22,000</v>
      </c>
      <c r="AF416">
        <v>1</v>
      </c>
      <c r="AG416" t="str">
        <f t="shared" si="98"/>
        <v>0-1</v>
      </c>
      <c r="AH416" t="s">
        <v>67</v>
      </c>
      <c r="AI416" t="s">
        <v>56</v>
      </c>
      <c r="AJ416">
        <v>16</v>
      </c>
      <c r="AK416" t="str">
        <f t="shared" si="99"/>
        <v>16-17%</v>
      </c>
      <c r="AL416">
        <v>3</v>
      </c>
      <c r="AM416" t="s">
        <v>68</v>
      </c>
      <c r="AN416">
        <v>2</v>
      </c>
      <c r="AO416" t="s">
        <v>61</v>
      </c>
      <c r="AP416">
        <v>80</v>
      </c>
      <c r="AQ416">
        <v>0</v>
      </c>
      <c r="AR416">
        <v>6</v>
      </c>
      <c r="AS416" t="str">
        <f t="shared" si="100"/>
        <v>6-10</v>
      </c>
      <c r="AT416">
        <v>4</v>
      </c>
      <c r="AU416" t="str">
        <f t="shared" si="101"/>
        <v>3-4</v>
      </c>
      <c r="AV416">
        <v>3</v>
      </c>
      <c r="AW416" t="s">
        <v>79</v>
      </c>
      <c r="AX416">
        <v>5</v>
      </c>
      <c r="AY416" t="str">
        <f t="shared" si="90"/>
        <v>2-5</v>
      </c>
      <c r="AZ416">
        <v>3</v>
      </c>
      <c r="BA416" t="str">
        <f t="shared" si="102"/>
        <v>2-5</v>
      </c>
      <c r="BB416">
        <v>1</v>
      </c>
      <c r="BC416" t="str">
        <f t="shared" si="103"/>
        <v>0-1</v>
      </c>
      <c r="BD416">
        <v>4</v>
      </c>
      <c r="BE416" t="str">
        <f t="shared" si="104"/>
        <v>2-5</v>
      </c>
    </row>
    <row r="417" spans="1:57" x14ac:dyDescent="0.3">
      <c r="A417">
        <v>555</v>
      </c>
      <c r="B417">
        <v>34</v>
      </c>
      <c r="C417" t="str">
        <f t="shared" si="91"/>
        <v>26-35</v>
      </c>
      <c r="D417" t="s">
        <v>56</v>
      </c>
      <c r="E417">
        <f t="shared" si="92"/>
        <v>1</v>
      </c>
      <c r="F417" t="s">
        <v>72</v>
      </c>
      <c r="G417">
        <v>296</v>
      </c>
      <c r="H417" t="str">
        <f t="shared" si="93"/>
        <v>102-500</v>
      </c>
      <c r="I417" t="s">
        <v>58</v>
      </c>
      <c r="J417">
        <v>6</v>
      </c>
      <c r="K417" t="str">
        <f t="shared" si="94"/>
        <v>6-10</v>
      </c>
      <c r="L417">
        <v>2</v>
      </c>
      <c r="M417" t="s">
        <v>59</v>
      </c>
      <c r="N417" t="s">
        <v>93</v>
      </c>
      <c r="O417">
        <v>1</v>
      </c>
      <c r="P417">
        <v>4</v>
      </c>
      <c r="Q417" t="s">
        <v>65</v>
      </c>
      <c r="R417" t="s">
        <v>62</v>
      </c>
      <c r="S417">
        <v>33</v>
      </c>
      <c r="T417" t="str">
        <f t="shared" si="95"/>
        <v>30-50</v>
      </c>
      <c r="U417">
        <v>1</v>
      </c>
      <c r="V417" t="s">
        <v>69</v>
      </c>
      <c r="W417">
        <v>1</v>
      </c>
      <c r="X417" t="s">
        <v>91</v>
      </c>
      <c r="Y417">
        <v>3</v>
      </c>
      <c r="Z417" t="s">
        <v>63</v>
      </c>
      <c r="AA417" t="s">
        <v>86</v>
      </c>
      <c r="AB417" s="4">
        <v>2351</v>
      </c>
      <c r="AC417" s="4" t="str">
        <f t="shared" si="96"/>
        <v>$1,000-$2,500</v>
      </c>
      <c r="AD417">
        <v>12253</v>
      </c>
      <c r="AE417" t="str">
        <f t="shared" si="97"/>
        <v>$8,001-$16,000</v>
      </c>
      <c r="AF417">
        <v>0</v>
      </c>
      <c r="AG417" t="str">
        <f t="shared" si="98"/>
        <v>0-1</v>
      </c>
      <c r="AH417" t="s">
        <v>67</v>
      </c>
      <c r="AI417" t="s">
        <v>71</v>
      </c>
      <c r="AJ417">
        <v>16</v>
      </c>
      <c r="AK417" t="str">
        <f t="shared" si="99"/>
        <v>16-17%</v>
      </c>
      <c r="AL417">
        <v>3</v>
      </c>
      <c r="AM417" t="s">
        <v>68</v>
      </c>
      <c r="AN417">
        <v>4</v>
      </c>
      <c r="AO417" t="s">
        <v>65</v>
      </c>
      <c r="AP417">
        <v>80</v>
      </c>
      <c r="AQ417">
        <v>1</v>
      </c>
      <c r="AR417">
        <v>3</v>
      </c>
      <c r="AS417" t="str">
        <f t="shared" si="100"/>
        <v>3-5</v>
      </c>
      <c r="AT417">
        <v>3</v>
      </c>
      <c r="AU417" t="str">
        <f t="shared" si="101"/>
        <v>3-4</v>
      </c>
      <c r="AV417">
        <v>2</v>
      </c>
      <c r="AW417" t="s">
        <v>84</v>
      </c>
      <c r="AX417">
        <v>2</v>
      </c>
      <c r="AY417" t="str">
        <f t="shared" si="90"/>
        <v>2-5</v>
      </c>
      <c r="AZ417">
        <v>2</v>
      </c>
      <c r="BA417" t="str">
        <f t="shared" si="102"/>
        <v>2-5</v>
      </c>
      <c r="BB417">
        <v>1</v>
      </c>
      <c r="BC417" t="str">
        <f t="shared" si="103"/>
        <v>0-1</v>
      </c>
      <c r="BD417">
        <v>0</v>
      </c>
      <c r="BE417" t="str">
        <f t="shared" si="104"/>
        <v>0-1</v>
      </c>
    </row>
    <row r="418" spans="1:57" x14ac:dyDescent="0.3">
      <c r="A418">
        <v>556</v>
      </c>
      <c r="B418">
        <v>38</v>
      </c>
      <c r="C418" t="str">
        <f t="shared" si="91"/>
        <v>36-45</v>
      </c>
      <c r="D418" t="s">
        <v>71</v>
      </c>
      <c r="E418">
        <f t="shared" si="92"/>
        <v>0</v>
      </c>
      <c r="F418" t="s">
        <v>72</v>
      </c>
      <c r="G418">
        <v>1490</v>
      </c>
      <c r="H418" t="str">
        <f t="shared" si="93"/>
        <v>1001-1499</v>
      </c>
      <c r="I418" t="s">
        <v>73</v>
      </c>
      <c r="J418">
        <v>2</v>
      </c>
      <c r="K418" t="str">
        <f t="shared" si="94"/>
        <v>1-5</v>
      </c>
      <c r="L418">
        <v>2</v>
      </c>
      <c r="M418" t="s">
        <v>59</v>
      </c>
      <c r="N418" t="s">
        <v>60</v>
      </c>
      <c r="O418">
        <v>1</v>
      </c>
      <c r="P418">
        <v>4</v>
      </c>
      <c r="Q418" t="s">
        <v>65</v>
      </c>
      <c r="R418" t="s">
        <v>75</v>
      </c>
      <c r="S418">
        <v>42</v>
      </c>
      <c r="T418" t="str">
        <f t="shared" si="95"/>
        <v>30-50</v>
      </c>
      <c r="U418">
        <v>3</v>
      </c>
      <c r="V418" t="s">
        <v>63</v>
      </c>
      <c r="W418">
        <v>1</v>
      </c>
      <c r="X418" t="s">
        <v>81</v>
      </c>
      <c r="Y418">
        <v>4</v>
      </c>
      <c r="Z418" t="s">
        <v>65</v>
      </c>
      <c r="AA418" t="s">
        <v>77</v>
      </c>
      <c r="AB418" s="4">
        <v>1702</v>
      </c>
      <c r="AC418" s="4" t="str">
        <f t="shared" si="96"/>
        <v>$1,000-$2,500</v>
      </c>
      <c r="AD418">
        <v>12106</v>
      </c>
      <c r="AE418" t="str">
        <f t="shared" si="97"/>
        <v>$8,001-$16,000</v>
      </c>
      <c r="AF418">
        <v>1</v>
      </c>
      <c r="AG418" t="str">
        <f t="shared" si="98"/>
        <v>0-1</v>
      </c>
      <c r="AH418" t="s">
        <v>67</v>
      </c>
      <c r="AI418" t="s">
        <v>56</v>
      </c>
      <c r="AJ418">
        <v>23</v>
      </c>
      <c r="AK418" t="str">
        <f t="shared" si="99"/>
        <v>18-19%</v>
      </c>
      <c r="AL418">
        <v>4</v>
      </c>
      <c r="AM418" t="s">
        <v>78</v>
      </c>
      <c r="AN418">
        <v>3</v>
      </c>
      <c r="AO418" t="s">
        <v>63</v>
      </c>
      <c r="AP418">
        <v>80</v>
      </c>
      <c r="AQ418">
        <v>1</v>
      </c>
      <c r="AR418">
        <v>1</v>
      </c>
      <c r="AS418" t="str">
        <f t="shared" si="100"/>
        <v>0-2</v>
      </c>
      <c r="AT418">
        <v>3</v>
      </c>
      <c r="AU418" t="str">
        <f t="shared" si="101"/>
        <v>3-4</v>
      </c>
      <c r="AV418">
        <v>3</v>
      </c>
      <c r="AW418" t="s">
        <v>79</v>
      </c>
      <c r="AX418">
        <v>1</v>
      </c>
      <c r="AY418" t="str">
        <f t="shared" si="90"/>
        <v>0-1</v>
      </c>
      <c r="AZ418">
        <v>0</v>
      </c>
      <c r="BA418" t="str">
        <f t="shared" si="102"/>
        <v>0-1</v>
      </c>
      <c r="BB418">
        <v>0</v>
      </c>
      <c r="BC418" t="str">
        <f t="shared" si="103"/>
        <v>0-1</v>
      </c>
      <c r="BD418">
        <v>0</v>
      </c>
      <c r="BE418" t="str">
        <f t="shared" si="104"/>
        <v>0-1</v>
      </c>
    </row>
    <row r="419" spans="1:57" x14ac:dyDescent="0.3">
      <c r="A419">
        <v>558</v>
      </c>
      <c r="B419">
        <v>40</v>
      </c>
      <c r="C419" t="str">
        <f t="shared" si="91"/>
        <v>36-45</v>
      </c>
      <c r="D419" t="s">
        <v>71</v>
      </c>
      <c r="E419">
        <f t="shared" si="92"/>
        <v>0</v>
      </c>
      <c r="F419" t="s">
        <v>57</v>
      </c>
      <c r="G419">
        <v>1398</v>
      </c>
      <c r="H419" t="str">
        <f t="shared" si="93"/>
        <v>1001-1499</v>
      </c>
      <c r="I419" t="s">
        <v>58</v>
      </c>
      <c r="J419">
        <v>2</v>
      </c>
      <c r="K419" t="str">
        <f t="shared" si="94"/>
        <v>1-5</v>
      </c>
      <c r="L419">
        <v>4</v>
      </c>
      <c r="M419" t="s">
        <v>82</v>
      </c>
      <c r="N419" t="s">
        <v>60</v>
      </c>
      <c r="O419">
        <v>1</v>
      </c>
      <c r="P419">
        <v>3</v>
      </c>
      <c r="Q419" t="s">
        <v>63</v>
      </c>
      <c r="R419" t="s">
        <v>62</v>
      </c>
      <c r="S419">
        <v>79</v>
      </c>
      <c r="T419" t="str">
        <f t="shared" si="95"/>
        <v>76-100</v>
      </c>
      <c r="U419">
        <v>3</v>
      </c>
      <c r="V419" t="s">
        <v>63</v>
      </c>
      <c r="W419">
        <v>5</v>
      </c>
      <c r="X419" t="s">
        <v>90</v>
      </c>
      <c r="Y419">
        <v>3</v>
      </c>
      <c r="Z419" t="s">
        <v>63</v>
      </c>
      <c r="AA419" t="s">
        <v>77</v>
      </c>
      <c r="AB419" s="4">
        <v>18041</v>
      </c>
      <c r="AC419" s="4" t="str">
        <f t="shared" si="96"/>
        <v>$17,500-$19,000</v>
      </c>
      <c r="AD419">
        <v>13022</v>
      </c>
      <c r="AE419" t="str">
        <f t="shared" si="97"/>
        <v>$8,001-$16,000</v>
      </c>
      <c r="AF419">
        <v>0</v>
      </c>
      <c r="AG419" t="str">
        <f t="shared" si="98"/>
        <v>0-1</v>
      </c>
      <c r="AH419" t="s">
        <v>67</v>
      </c>
      <c r="AI419" t="s">
        <v>71</v>
      </c>
      <c r="AJ419">
        <v>14</v>
      </c>
      <c r="AK419" t="str">
        <f t="shared" si="99"/>
        <v>13-15%</v>
      </c>
      <c r="AL419">
        <v>3</v>
      </c>
      <c r="AM419" t="s">
        <v>68</v>
      </c>
      <c r="AN419">
        <v>4</v>
      </c>
      <c r="AO419" t="s">
        <v>65</v>
      </c>
      <c r="AP419">
        <v>80</v>
      </c>
      <c r="AQ419">
        <v>0</v>
      </c>
      <c r="AR419">
        <v>21</v>
      </c>
      <c r="AS419" t="str">
        <f t="shared" si="100"/>
        <v>21-40</v>
      </c>
      <c r="AT419">
        <v>2</v>
      </c>
      <c r="AU419" t="str">
        <f t="shared" si="101"/>
        <v>0-2</v>
      </c>
      <c r="AV419">
        <v>3</v>
      </c>
      <c r="AW419" t="s">
        <v>79</v>
      </c>
      <c r="AX419">
        <v>20</v>
      </c>
      <c r="AY419" t="str">
        <f t="shared" si="90"/>
        <v>11-20</v>
      </c>
      <c r="AZ419">
        <v>15</v>
      </c>
      <c r="BA419" t="str">
        <f t="shared" si="102"/>
        <v>11-18</v>
      </c>
      <c r="BB419">
        <v>1</v>
      </c>
      <c r="BC419" t="str">
        <f t="shared" si="103"/>
        <v>0-1</v>
      </c>
      <c r="BD419">
        <v>12</v>
      </c>
      <c r="BE419" t="str">
        <f t="shared" si="104"/>
        <v>11-17</v>
      </c>
    </row>
    <row r="420" spans="1:57" x14ac:dyDescent="0.3">
      <c r="A420">
        <v>560</v>
      </c>
      <c r="B420">
        <v>26</v>
      </c>
      <c r="C420" t="str">
        <f t="shared" si="91"/>
        <v>26-35</v>
      </c>
      <c r="D420" t="s">
        <v>71</v>
      </c>
      <c r="E420">
        <f t="shared" si="92"/>
        <v>0</v>
      </c>
      <c r="F420" t="s">
        <v>57</v>
      </c>
      <c r="G420">
        <v>1349</v>
      </c>
      <c r="H420" t="str">
        <f t="shared" si="93"/>
        <v>1001-1499</v>
      </c>
      <c r="I420" t="s">
        <v>73</v>
      </c>
      <c r="J420">
        <v>23</v>
      </c>
      <c r="K420" t="str">
        <f t="shared" si="94"/>
        <v>21-29</v>
      </c>
      <c r="L420">
        <v>3</v>
      </c>
      <c r="M420" t="s">
        <v>85</v>
      </c>
      <c r="N420" t="s">
        <v>60</v>
      </c>
      <c r="O420">
        <v>1</v>
      </c>
      <c r="P420">
        <v>1</v>
      </c>
      <c r="Q420" t="s">
        <v>69</v>
      </c>
      <c r="R420" t="s">
        <v>62</v>
      </c>
      <c r="S420">
        <v>90</v>
      </c>
      <c r="T420" t="str">
        <f t="shared" si="95"/>
        <v>76-100</v>
      </c>
      <c r="U420">
        <v>3</v>
      </c>
      <c r="V420" t="s">
        <v>63</v>
      </c>
      <c r="W420">
        <v>1</v>
      </c>
      <c r="X420" t="s">
        <v>76</v>
      </c>
      <c r="Y420">
        <v>4</v>
      </c>
      <c r="Z420" t="s">
        <v>65</v>
      </c>
      <c r="AA420" t="s">
        <v>86</v>
      </c>
      <c r="AB420" s="4">
        <v>2886</v>
      </c>
      <c r="AC420" s="4" t="str">
        <f t="shared" si="96"/>
        <v>$2,500-$4,000</v>
      </c>
      <c r="AD420">
        <v>3032</v>
      </c>
      <c r="AE420" t="str">
        <f t="shared" si="97"/>
        <v>$2,094-$8,000</v>
      </c>
      <c r="AF420">
        <v>1</v>
      </c>
      <c r="AG420" t="str">
        <f t="shared" si="98"/>
        <v>0-1</v>
      </c>
      <c r="AH420" t="s">
        <v>67</v>
      </c>
      <c r="AI420" t="s">
        <v>71</v>
      </c>
      <c r="AJ420">
        <v>22</v>
      </c>
      <c r="AK420" t="str">
        <f t="shared" si="99"/>
        <v>18-19%</v>
      </c>
      <c r="AL420">
        <v>4</v>
      </c>
      <c r="AM420" t="s">
        <v>78</v>
      </c>
      <c r="AN420">
        <v>2</v>
      </c>
      <c r="AO420" t="s">
        <v>61</v>
      </c>
      <c r="AP420">
        <v>80</v>
      </c>
      <c r="AQ420">
        <v>2</v>
      </c>
      <c r="AR420">
        <v>3</v>
      </c>
      <c r="AS420" t="str">
        <f t="shared" si="100"/>
        <v>3-5</v>
      </c>
      <c r="AT420">
        <v>3</v>
      </c>
      <c r="AU420" t="str">
        <f t="shared" si="101"/>
        <v>3-4</v>
      </c>
      <c r="AV420">
        <v>1</v>
      </c>
      <c r="AW420" t="s">
        <v>70</v>
      </c>
      <c r="AX420">
        <v>3</v>
      </c>
      <c r="AY420" t="str">
        <f t="shared" si="90"/>
        <v>2-5</v>
      </c>
      <c r="AZ420">
        <v>2</v>
      </c>
      <c r="BA420" t="str">
        <f t="shared" si="102"/>
        <v>2-5</v>
      </c>
      <c r="BB420">
        <v>0</v>
      </c>
      <c r="BC420" t="str">
        <f t="shared" si="103"/>
        <v>0-1</v>
      </c>
      <c r="BD420">
        <v>2</v>
      </c>
      <c r="BE420" t="str">
        <f t="shared" si="104"/>
        <v>2-5</v>
      </c>
    </row>
    <row r="421" spans="1:57" x14ac:dyDescent="0.3">
      <c r="A421">
        <v>562</v>
      </c>
      <c r="B421">
        <v>30</v>
      </c>
      <c r="C421" t="str">
        <f t="shared" si="91"/>
        <v>26-35</v>
      </c>
      <c r="D421" t="s">
        <v>71</v>
      </c>
      <c r="E421">
        <f t="shared" si="92"/>
        <v>0</v>
      </c>
      <c r="F421" t="s">
        <v>89</v>
      </c>
      <c r="G421">
        <v>1400</v>
      </c>
      <c r="H421" t="str">
        <f t="shared" si="93"/>
        <v>1001-1499</v>
      </c>
      <c r="I421" t="s">
        <v>73</v>
      </c>
      <c r="J421">
        <v>3</v>
      </c>
      <c r="K421" t="str">
        <f t="shared" si="94"/>
        <v>1-5</v>
      </c>
      <c r="L421">
        <v>3</v>
      </c>
      <c r="M421" t="s">
        <v>85</v>
      </c>
      <c r="N421" t="s">
        <v>60</v>
      </c>
      <c r="O421">
        <v>1</v>
      </c>
      <c r="P421">
        <v>3</v>
      </c>
      <c r="Q421" t="s">
        <v>63</v>
      </c>
      <c r="R421" t="s">
        <v>75</v>
      </c>
      <c r="S421">
        <v>53</v>
      </c>
      <c r="T421" t="str">
        <f t="shared" si="95"/>
        <v>51-75</v>
      </c>
      <c r="U421">
        <v>3</v>
      </c>
      <c r="V421" t="s">
        <v>63</v>
      </c>
      <c r="W421">
        <v>1</v>
      </c>
      <c r="X421" t="s">
        <v>81</v>
      </c>
      <c r="Y421">
        <v>4</v>
      </c>
      <c r="Z421" t="s">
        <v>65</v>
      </c>
      <c r="AA421" t="s">
        <v>77</v>
      </c>
      <c r="AB421" s="4">
        <v>2097</v>
      </c>
      <c r="AC421" s="4" t="str">
        <f t="shared" si="96"/>
        <v>$1,000-$2,500</v>
      </c>
      <c r="AD421">
        <v>16734</v>
      </c>
      <c r="AE421" t="str">
        <f t="shared" si="97"/>
        <v>$16,001-$22,000</v>
      </c>
      <c r="AF421">
        <v>4</v>
      </c>
      <c r="AG421" t="str">
        <f t="shared" si="98"/>
        <v>4-6</v>
      </c>
      <c r="AH421" t="s">
        <v>67</v>
      </c>
      <c r="AI421" t="s">
        <v>71</v>
      </c>
      <c r="AJ421">
        <v>15</v>
      </c>
      <c r="AK421" t="str">
        <f t="shared" si="99"/>
        <v>13-15%</v>
      </c>
      <c r="AL421">
        <v>3</v>
      </c>
      <c r="AM421" t="s">
        <v>68</v>
      </c>
      <c r="AN421">
        <v>3</v>
      </c>
      <c r="AO421" t="s">
        <v>63</v>
      </c>
      <c r="AP421">
        <v>80</v>
      </c>
      <c r="AQ421">
        <v>1</v>
      </c>
      <c r="AR421">
        <v>9</v>
      </c>
      <c r="AS421" t="str">
        <f t="shared" si="100"/>
        <v>6-10</v>
      </c>
      <c r="AT421">
        <v>3</v>
      </c>
      <c r="AU421" t="str">
        <f t="shared" si="101"/>
        <v>3-4</v>
      </c>
      <c r="AV421">
        <v>1</v>
      </c>
      <c r="AW421" t="s">
        <v>70</v>
      </c>
      <c r="AX421">
        <v>5</v>
      </c>
      <c r="AY421" t="str">
        <f t="shared" si="90"/>
        <v>2-5</v>
      </c>
      <c r="AZ421">
        <v>3</v>
      </c>
      <c r="BA421" t="str">
        <f t="shared" si="102"/>
        <v>2-5</v>
      </c>
      <c r="BB421">
        <v>1</v>
      </c>
      <c r="BC421" t="str">
        <f t="shared" si="103"/>
        <v>0-1</v>
      </c>
      <c r="BD421">
        <v>4</v>
      </c>
      <c r="BE421" t="str">
        <f t="shared" si="104"/>
        <v>2-5</v>
      </c>
    </row>
    <row r="422" spans="1:57" x14ac:dyDescent="0.3">
      <c r="A422">
        <v>564</v>
      </c>
      <c r="B422">
        <v>29</v>
      </c>
      <c r="C422" t="str">
        <f t="shared" si="91"/>
        <v>26-35</v>
      </c>
      <c r="D422" t="s">
        <v>71</v>
      </c>
      <c r="E422">
        <f t="shared" si="92"/>
        <v>0</v>
      </c>
      <c r="F422" t="s">
        <v>57</v>
      </c>
      <c r="G422">
        <v>986</v>
      </c>
      <c r="H422" t="str">
        <f t="shared" si="93"/>
        <v>501-1000</v>
      </c>
      <c r="I422" t="s">
        <v>73</v>
      </c>
      <c r="J422">
        <v>3</v>
      </c>
      <c r="K422" t="str">
        <f t="shared" si="94"/>
        <v>1-5</v>
      </c>
      <c r="L422">
        <v>4</v>
      </c>
      <c r="M422" t="s">
        <v>82</v>
      </c>
      <c r="N422" t="s">
        <v>83</v>
      </c>
      <c r="O422">
        <v>1</v>
      </c>
      <c r="P422">
        <v>2</v>
      </c>
      <c r="Q422" t="s">
        <v>61</v>
      </c>
      <c r="R422" t="s">
        <v>75</v>
      </c>
      <c r="S422">
        <v>93</v>
      </c>
      <c r="T422" t="str">
        <f t="shared" si="95"/>
        <v>76-100</v>
      </c>
      <c r="U422">
        <v>2</v>
      </c>
      <c r="V422" t="s">
        <v>61</v>
      </c>
      <c r="W422">
        <v>3</v>
      </c>
      <c r="X422" t="s">
        <v>92</v>
      </c>
      <c r="Y422">
        <v>3</v>
      </c>
      <c r="Z422" t="s">
        <v>63</v>
      </c>
      <c r="AA422" t="s">
        <v>77</v>
      </c>
      <c r="AB422" s="4">
        <v>11935</v>
      </c>
      <c r="AC422" s="4" t="str">
        <f t="shared" si="96"/>
        <v>$11,500-$13,000</v>
      </c>
      <c r="AD422">
        <v>21526</v>
      </c>
      <c r="AE422" t="str">
        <f t="shared" si="97"/>
        <v>$16,001-$22,000</v>
      </c>
      <c r="AF422">
        <v>1</v>
      </c>
      <c r="AG422" t="str">
        <f t="shared" si="98"/>
        <v>0-1</v>
      </c>
      <c r="AH422" t="s">
        <v>67</v>
      </c>
      <c r="AI422" t="s">
        <v>71</v>
      </c>
      <c r="AJ422">
        <v>18</v>
      </c>
      <c r="AK422" t="str">
        <f t="shared" si="99"/>
        <v>18-19%</v>
      </c>
      <c r="AL422">
        <v>3</v>
      </c>
      <c r="AM422" t="s">
        <v>68</v>
      </c>
      <c r="AN422">
        <v>3</v>
      </c>
      <c r="AO422" t="s">
        <v>63</v>
      </c>
      <c r="AP422">
        <v>80</v>
      </c>
      <c r="AQ422">
        <v>0</v>
      </c>
      <c r="AR422">
        <v>10</v>
      </c>
      <c r="AS422" t="str">
        <f t="shared" si="100"/>
        <v>6-10</v>
      </c>
      <c r="AT422">
        <v>2</v>
      </c>
      <c r="AU422" t="str">
        <f t="shared" si="101"/>
        <v>0-2</v>
      </c>
      <c r="AV422">
        <v>3</v>
      </c>
      <c r="AW422" t="s">
        <v>79</v>
      </c>
      <c r="AX422">
        <v>10</v>
      </c>
      <c r="AY422" t="str">
        <f t="shared" si="90"/>
        <v>6-10</v>
      </c>
      <c r="AZ422">
        <v>2</v>
      </c>
      <c r="BA422" t="str">
        <f t="shared" si="102"/>
        <v>2-5</v>
      </c>
      <c r="BB422">
        <v>0</v>
      </c>
      <c r="BC422" t="str">
        <f t="shared" si="103"/>
        <v>0-1</v>
      </c>
      <c r="BD422">
        <v>7</v>
      </c>
      <c r="BE422" t="str">
        <f t="shared" si="104"/>
        <v>6-10</v>
      </c>
    </row>
    <row r="423" spans="1:57" x14ac:dyDescent="0.3">
      <c r="A423">
        <v>565</v>
      </c>
      <c r="B423">
        <v>29</v>
      </c>
      <c r="C423" t="str">
        <f t="shared" si="91"/>
        <v>26-35</v>
      </c>
      <c r="D423" t="s">
        <v>56</v>
      </c>
      <c r="E423">
        <f t="shared" si="92"/>
        <v>1</v>
      </c>
      <c r="F423" t="s">
        <v>57</v>
      </c>
      <c r="G423">
        <v>408</v>
      </c>
      <c r="H423" t="str">
        <f t="shared" si="93"/>
        <v>102-500</v>
      </c>
      <c r="I423" t="s">
        <v>73</v>
      </c>
      <c r="J423">
        <v>25</v>
      </c>
      <c r="K423" t="str">
        <f t="shared" si="94"/>
        <v>21-29</v>
      </c>
      <c r="L423">
        <v>5</v>
      </c>
      <c r="M423" t="s">
        <v>96</v>
      </c>
      <c r="N423" t="s">
        <v>95</v>
      </c>
      <c r="O423">
        <v>1</v>
      </c>
      <c r="P423">
        <v>3</v>
      </c>
      <c r="Q423" t="s">
        <v>63</v>
      </c>
      <c r="R423" t="s">
        <v>62</v>
      </c>
      <c r="S423">
        <v>71</v>
      </c>
      <c r="T423" t="str">
        <f t="shared" si="95"/>
        <v>51-75</v>
      </c>
      <c r="U423">
        <v>2</v>
      </c>
      <c r="V423" t="s">
        <v>61</v>
      </c>
      <c r="W423">
        <v>1</v>
      </c>
      <c r="X423" t="s">
        <v>76</v>
      </c>
      <c r="Y423">
        <v>2</v>
      </c>
      <c r="Z423" t="s">
        <v>61</v>
      </c>
      <c r="AA423" t="s">
        <v>77</v>
      </c>
      <c r="AB423" s="4">
        <v>2546</v>
      </c>
      <c r="AC423" s="4" t="str">
        <f t="shared" si="96"/>
        <v>$2,500-$4,000</v>
      </c>
      <c r="AD423">
        <v>18300</v>
      </c>
      <c r="AE423" t="str">
        <f t="shared" si="97"/>
        <v>$16,001-$22,000</v>
      </c>
      <c r="AF423">
        <v>5</v>
      </c>
      <c r="AG423" t="str">
        <f t="shared" si="98"/>
        <v>4-6</v>
      </c>
      <c r="AH423" t="s">
        <v>67</v>
      </c>
      <c r="AI423" t="s">
        <v>71</v>
      </c>
      <c r="AJ423">
        <v>16</v>
      </c>
      <c r="AK423" t="str">
        <f t="shared" si="99"/>
        <v>16-17%</v>
      </c>
      <c r="AL423">
        <v>3</v>
      </c>
      <c r="AM423" t="s">
        <v>68</v>
      </c>
      <c r="AN423">
        <v>2</v>
      </c>
      <c r="AO423" t="s">
        <v>61</v>
      </c>
      <c r="AP423">
        <v>80</v>
      </c>
      <c r="AQ423">
        <v>0</v>
      </c>
      <c r="AR423">
        <v>6</v>
      </c>
      <c r="AS423" t="str">
        <f t="shared" si="100"/>
        <v>6-10</v>
      </c>
      <c r="AT423">
        <v>2</v>
      </c>
      <c r="AU423" t="str">
        <f t="shared" si="101"/>
        <v>0-2</v>
      </c>
      <c r="AV423">
        <v>4</v>
      </c>
      <c r="AW423" t="s">
        <v>94</v>
      </c>
      <c r="AX423">
        <v>2</v>
      </c>
      <c r="AY423" t="str">
        <f t="shared" si="90"/>
        <v>2-5</v>
      </c>
      <c r="AZ423">
        <v>2</v>
      </c>
      <c r="BA423" t="str">
        <f t="shared" si="102"/>
        <v>2-5</v>
      </c>
      <c r="BB423">
        <v>1</v>
      </c>
      <c r="BC423" t="str">
        <f t="shared" si="103"/>
        <v>0-1</v>
      </c>
      <c r="BD423">
        <v>1</v>
      </c>
      <c r="BE423" t="str">
        <f t="shared" si="104"/>
        <v>0-1</v>
      </c>
    </row>
    <row r="424" spans="1:57" x14ac:dyDescent="0.3">
      <c r="A424">
        <v>566</v>
      </c>
      <c r="B424">
        <v>19</v>
      </c>
      <c r="C424" t="str">
        <f t="shared" si="91"/>
        <v>18-25</v>
      </c>
      <c r="D424" t="s">
        <v>56</v>
      </c>
      <c r="E424">
        <f t="shared" si="92"/>
        <v>1</v>
      </c>
      <c r="F424" t="s">
        <v>57</v>
      </c>
      <c r="G424">
        <v>489</v>
      </c>
      <c r="H424" t="str">
        <f t="shared" si="93"/>
        <v>102-500</v>
      </c>
      <c r="I424" t="s">
        <v>97</v>
      </c>
      <c r="J424">
        <v>2</v>
      </c>
      <c r="K424" t="str">
        <f t="shared" si="94"/>
        <v>1-5</v>
      </c>
      <c r="L424">
        <v>2</v>
      </c>
      <c r="M424" t="s">
        <v>59</v>
      </c>
      <c r="N424" t="s">
        <v>95</v>
      </c>
      <c r="O424">
        <v>1</v>
      </c>
      <c r="P424">
        <v>1</v>
      </c>
      <c r="Q424" t="s">
        <v>69</v>
      </c>
      <c r="R424" t="s">
        <v>75</v>
      </c>
      <c r="S424">
        <v>52</v>
      </c>
      <c r="T424" t="str">
        <f t="shared" si="95"/>
        <v>51-75</v>
      </c>
      <c r="U424">
        <v>2</v>
      </c>
      <c r="V424" t="s">
        <v>61</v>
      </c>
      <c r="W424">
        <v>1</v>
      </c>
      <c r="X424" t="s">
        <v>97</v>
      </c>
      <c r="Y424">
        <v>4</v>
      </c>
      <c r="Z424" t="s">
        <v>65</v>
      </c>
      <c r="AA424" t="s">
        <v>66</v>
      </c>
      <c r="AB424" s="4">
        <v>2564</v>
      </c>
      <c r="AC424" s="4" t="str">
        <f t="shared" si="96"/>
        <v>$2,500-$4,000</v>
      </c>
      <c r="AD424">
        <v>18437</v>
      </c>
      <c r="AE424" t="str">
        <f t="shared" si="97"/>
        <v>$16,001-$22,000</v>
      </c>
      <c r="AF424">
        <v>1</v>
      </c>
      <c r="AG424" t="str">
        <f t="shared" si="98"/>
        <v>0-1</v>
      </c>
      <c r="AH424" t="s">
        <v>67</v>
      </c>
      <c r="AI424" t="s">
        <v>71</v>
      </c>
      <c r="AJ424">
        <v>12</v>
      </c>
      <c r="AK424" t="str">
        <f t="shared" si="99"/>
        <v>11-12%</v>
      </c>
      <c r="AL424">
        <v>3</v>
      </c>
      <c r="AM424" t="s">
        <v>68</v>
      </c>
      <c r="AN424">
        <v>3</v>
      </c>
      <c r="AO424" t="s">
        <v>63</v>
      </c>
      <c r="AP424">
        <v>80</v>
      </c>
      <c r="AQ424">
        <v>0</v>
      </c>
      <c r="AR424">
        <v>1</v>
      </c>
      <c r="AS424" t="str">
        <f t="shared" si="100"/>
        <v>0-2</v>
      </c>
      <c r="AT424">
        <v>3</v>
      </c>
      <c r="AU424" t="str">
        <f t="shared" si="101"/>
        <v>3-4</v>
      </c>
      <c r="AV424">
        <v>4</v>
      </c>
      <c r="AW424" t="s">
        <v>94</v>
      </c>
      <c r="AX424">
        <v>1</v>
      </c>
      <c r="AY424" t="str">
        <f t="shared" si="90"/>
        <v>0-1</v>
      </c>
      <c r="AZ424">
        <v>0</v>
      </c>
      <c r="BA424" t="str">
        <f t="shared" si="102"/>
        <v>0-1</v>
      </c>
      <c r="BB424">
        <v>0</v>
      </c>
      <c r="BC424" t="str">
        <f t="shared" si="103"/>
        <v>0-1</v>
      </c>
      <c r="BD424">
        <v>0</v>
      </c>
      <c r="BE424" t="str">
        <f t="shared" si="104"/>
        <v>0-1</v>
      </c>
    </row>
    <row r="425" spans="1:57" x14ac:dyDescent="0.3">
      <c r="A425">
        <v>567</v>
      </c>
      <c r="B425">
        <v>30</v>
      </c>
      <c r="C425" t="str">
        <f t="shared" si="91"/>
        <v>26-35</v>
      </c>
      <c r="D425" t="s">
        <v>71</v>
      </c>
      <c r="E425">
        <f t="shared" si="92"/>
        <v>0</v>
      </c>
      <c r="F425" t="s">
        <v>89</v>
      </c>
      <c r="G425">
        <v>1398</v>
      </c>
      <c r="H425" t="str">
        <f t="shared" si="93"/>
        <v>1001-1499</v>
      </c>
      <c r="I425" t="s">
        <v>58</v>
      </c>
      <c r="J425">
        <v>22</v>
      </c>
      <c r="K425" t="str">
        <f t="shared" si="94"/>
        <v>21-29</v>
      </c>
      <c r="L425">
        <v>4</v>
      </c>
      <c r="M425" t="s">
        <v>82</v>
      </c>
      <c r="N425" t="s">
        <v>80</v>
      </c>
      <c r="O425">
        <v>1</v>
      </c>
      <c r="P425">
        <v>3</v>
      </c>
      <c r="Q425" t="s">
        <v>63</v>
      </c>
      <c r="R425" t="s">
        <v>62</v>
      </c>
      <c r="S425">
        <v>69</v>
      </c>
      <c r="T425" t="str">
        <f t="shared" si="95"/>
        <v>51-75</v>
      </c>
      <c r="U425">
        <v>3</v>
      </c>
      <c r="V425" t="s">
        <v>63</v>
      </c>
      <c r="W425">
        <v>3</v>
      </c>
      <c r="X425" t="s">
        <v>64</v>
      </c>
      <c r="Y425">
        <v>1</v>
      </c>
      <c r="Z425" t="s">
        <v>69</v>
      </c>
      <c r="AA425" t="s">
        <v>77</v>
      </c>
      <c r="AB425" s="4">
        <v>8412</v>
      </c>
      <c r="AC425" s="4" t="str">
        <f t="shared" si="96"/>
        <v>$7,000-$8,500</v>
      </c>
      <c r="AD425">
        <v>2890</v>
      </c>
      <c r="AE425" t="str">
        <f t="shared" si="97"/>
        <v>$2,094-$8,000</v>
      </c>
      <c r="AF425">
        <v>0</v>
      </c>
      <c r="AG425" t="str">
        <f t="shared" si="98"/>
        <v>0-1</v>
      </c>
      <c r="AH425" t="s">
        <v>67</v>
      </c>
      <c r="AI425" t="s">
        <v>71</v>
      </c>
      <c r="AJ425">
        <v>11</v>
      </c>
      <c r="AK425" t="str">
        <f t="shared" si="99"/>
        <v>11-12%</v>
      </c>
      <c r="AL425">
        <v>3</v>
      </c>
      <c r="AM425" t="s">
        <v>68</v>
      </c>
      <c r="AN425">
        <v>3</v>
      </c>
      <c r="AO425" t="s">
        <v>63</v>
      </c>
      <c r="AP425">
        <v>80</v>
      </c>
      <c r="AQ425">
        <v>0</v>
      </c>
      <c r="AR425">
        <v>10</v>
      </c>
      <c r="AS425" t="str">
        <f t="shared" si="100"/>
        <v>6-10</v>
      </c>
      <c r="AT425">
        <v>3</v>
      </c>
      <c r="AU425" t="str">
        <f t="shared" si="101"/>
        <v>3-4</v>
      </c>
      <c r="AV425">
        <v>3</v>
      </c>
      <c r="AW425" t="s">
        <v>79</v>
      </c>
      <c r="AX425">
        <v>9</v>
      </c>
      <c r="AY425" t="str">
        <f t="shared" si="90"/>
        <v>6-10</v>
      </c>
      <c r="AZ425">
        <v>8</v>
      </c>
      <c r="BA425" t="str">
        <f t="shared" si="102"/>
        <v>6-10</v>
      </c>
      <c r="BB425">
        <v>7</v>
      </c>
      <c r="BC425" t="str">
        <f t="shared" si="103"/>
        <v>6-10</v>
      </c>
      <c r="BD425">
        <v>8</v>
      </c>
      <c r="BE425" t="str">
        <f t="shared" si="104"/>
        <v>6-10</v>
      </c>
    </row>
    <row r="426" spans="1:57" x14ac:dyDescent="0.3">
      <c r="A426">
        <v>568</v>
      </c>
      <c r="B426">
        <v>57</v>
      </c>
      <c r="C426" t="str">
        <f t="shared" si="91"/>
        <v>56+</v>
      </c>
      <c r="D426" t="s">
        <v>71</v>
      </c>
      <c r="E426">
        <f t="shared" si="92"/>
        <v>0</v>
      </c>
      <c r="F426" t="s">
        <v>57</v>
      </c>
      <c r="G426">
        <v>210</v>
      </c>
      <c r="H426" t="str">
        <f t="shared" si="93"/>
        <v>102-500</v>
      </c>
      <c r="I426" t="s">
        <v>58</v>
      </c>
      <c r="J426">
        <v>29</v>
      </c>
      <c r="K426" t="str">
        <f t="shared" si="94"/>
        <v>21-29</v>
      </c>
      <c r="L426">
        <v>3</v>
      </c>
      <c r="M426" t="s">
        <v>85</v>
      </c>
      <c r="N426" t="s">
        <v>93</v>
      </c>
      <c r="O426">
        <v>1</v>
      </c>
      <c r="P426">
        <v>1</v>
      </c>
      <c r="Q426" t="s">
        <v>69</v>
      </c>
      <c r="R426" t="s">
        <v>75</v>
      </c>
      <c r="S426">
        <v>56</v>
      </c>
      <c r="T426" t="str">
        <f t="shared" si="95"/>
        <v>51-75</v>
      </c>
      <c r="U426">
        <v>2</v>
      </c>
      <c r="V426" t="s">
        <v>61</v>
      </c>
      <c r="W426">
        <v>4</v>
      </c>
      <c r="X426" t="s">
        <v>90</v>
      </c>
      <c r="Y426">
        <v>4</v>
      </c>
      <c r="Z426" t="s">
        <v>65</v>
      </c>
      <c r="AA426" t="s">
        <v>86</v>
      </c>
      <c r="AB426" s="4">
        <v>14118</v>
      </c>
      <c r="AC426" s="4" t="str">
        <f t="shared" si="96"/>
        <v>$13,000-$14,500</v>
      </c>
      <c r="AD426">
        <v>22102</v>
      </c>
      <c r="AE426" t="str">
        <f t="shared" si="97"/>
        <v>$22,001-$26,999</v>
      </c>
      <c r="AF426">
        <v>3</v>
      </c>
      <c r="AG426" t="str">
        <f t="shared" si="98"/>
        <v>2-3</v>
      </c>
      <c r="AH426" t="s">
        <v>67</v>
      </c>
      <c r="AI426" t="s">
        <v>71</v>
      </c>
      <c r="AJ426">
        <v>12</v>
      </c>
      <c r="AK426" t="str">
        <f t="shared" si="99"/>
        <v>11-12%</v>
      </c>
      <c r="AL426">
        <v>3</v>
      </c>
      <c r="AM426" t="s">
        <v>68</v>
      </c>
      <c r="AN426">
        <v>3</v>
      </c>
      <c r="AO426" t="s">
        <v>63</v>
      </c>
      <c r="AP426">
        <v>80</v>
      </c>
      <c r="AQ426">
        <v>1</v>
      </c>
      <c r="AR426">
        <v>32</v>
      </c>
      <c r="AS426" t="str">
        <f t="shared" si="100"/>
        <v>21-40</v>
      </c>
      <c r="AT426">
        <v>3</v>
      </c>
      <c r="AU426" t="str">
        <f t="shared" si="101"/>
        <v>3-4</v>
      </c>
      <c r="AV426">
        <v>2</v>
      </c>
      <c r="AW426" t="s">
        <v>84</v>
      </c>
      <c r="AX426">
        <v>1</v>
      </c>
      <c r="AY426" t="str">
        <f t="shared" si="90"/>
        <v>0-1</v>
      </c>
      <c r="AZ426">
        <v>0</v>
      </c>
      <c r="BA426" t="str">
        <f t="shared" si="102"/>
        <v>0-1</v>
      </c>
      <c r="BB426">
        <v>0</v>
      </c>
      <c r="BC426" t="str">
        <f t="shared" si="103"/>
        <v>0-1</v>
      </c>
      <c r="BD426">
        <v>0</v>
      </c>
      <c r="BE426" t="str">
        <f t="shared" si="104"/>
        <v>0-1</v>
      </c>
    </row>
    <row r="427" spans="1:57" x14ac:dyDescent="0.3">
      <c r="A427">
        <v>569</v>
      </c>
      <c r="B427">
        <v>50</v>
      </c>
      <c r="C427" t="str">
        <f t="shared" si="91"/>
        <v>46-55</v>
      </c>
      <c r="D427" t="s">
        <v>71</v>
      </c>
      <c r="E427">
        <f t="shared" si="92"/>
        <v>0</v>
      </c>
      <c r="F427" t="s">
        <v>57</v>
      </c>
      <c r="G427">
        <v>1099</v>
      </c>
      <c r="H427" t="str">
        <f t="shared" si="93"/>
        <v>1001-1499</v>
      </c>
      <c r="I427" t="s">
        <v>73</v>
      </c>
      <c r="J427">
        <v>29</v>
      </c>
      <c r="K427" t="str">
        <f t="shared" si="94"/>
        <v>21-29</v>
      </c>
      <c r="L427">
        <v>4</v>
      </c>
      <c r="M427" t="s">
        <v>82</v>
      </c>
      <c r="N427" t="s">
        <v>60</v>
      </c>
      <c r="O427">
        <v>1</v>
      </c>
      <c r="P427">
        <v>2</v>
      </c>
      <c r="Q427" t="s">
        <v>61</v>
      </c>
      <c r="R427" t="s">
        <v>75</v>
      </c>
      <c r="S427">
        <v>88</v>
      </c>
      <c r="T427" t="str">
        <f t="shared" si="95"/>
        <v>76-100</v>
      </c>
      <c r="U427">
        <v>2</v>
      </c>
      <c r="V427" t="s">
        <v>61</v>
      </c>
      <c r="W427">
        <v>4</v>
      </c>
      <c r="X427" t="s">
        <v>90</v>
      </c>
      <c r="Y427">
        <v>3</v>
      </c>
      <c r="Z427" t="s">
        <v>63</v>
      </c>
      <c r="AA427" t="s">
        <v>77</v>
      </c>
      <c r="AB427" s="4">
        <v>17046</v>
      </c>
      <c r="AC427" s="4" t="str">
        <f t="shared" si="96"/>
        <v>$16,000-$17,500</v>
      </c>
      <c r="AD427">
        <v>9314</v>
      </c>
      <c r="AE427" t="str">
        <f t="shared" si="97"/>
        <v>$8,001-$16,000</v>
      </c>
      <c r="AF427">
        <v>0</v>
      </c>
      <c r="AG427" t="str">
        <f t="shared" si="98"/>
        <v>0-1</v>
      </c>
      <c r="AH427" t="s">
        <v>67</v>
      </c>
      <c r="AI427" t="s">
        <v>71</v>
      </c>
      <c r="AJ427">
        <v>15</v>
      </c>
      <c r="AK427" t="str">
        <f t="shared" si="99"/>
        <v>13-15%</v>
      </c>
      <c r="AL427">
        <v>3</v>
      </c>
      <c r="AM427" t="s">
        <v>68</v>
      </c>
      <c r="AN427">
        <v>2</v>
      </c>
      <c r="AO427" t="s">
        <v>61</v>
      </c>
      <c r="AP427">
        <v>80</v>
      </c>
      <c r="AQ427">
        <v>1</v>
      </c>
      <c r="AR427">
        <v>28</v>
      </c>
      <c r="AS427" t="str">
        <f t="shared" si="100"/>
        <v>21-40</v>
      </c>
      <c r="AT427">
        <v>2</v>
      </c>
      <c r="AU427" t="str">
        <f t="shared" si="101"/>
        <v>0-2</v>
      </c>
      <c r="AV427">
        <v>3</v>
      </c>
      <c r="AW427" t="s">
        <v>79</v>
      </c>
      <c r="AX427">
        <v>27</v>
      </c>
      <c r="AY427" t="str">
        <f t="shared" si="90"/>
        <v>21-40</v>
      </c>
      <c r="AZ427">
        <v>10</v>
      </c>
      <c r="BA427" t="str">
        <f t="shared" si="102"/>
        <v>6-10</v>
      </c>
      <c r="BB427">
        <v>15</v>
      </c>
      <c r="BC427" t="str">
        <f t="shared" si="103"/>
        <v>11-15</v>
      </c>
      <c r="BD427">
        <v>7</v>
      </c>
      <c r="BE427" t="str">
        <f t="shared" si="104"/>
        <v>6-10</v>
      </c>
    </row>
    <row r="428" spans="1:57" x14ac:dyDescent="0.3">
      <c r="A428">
        <v>571</v>
      </c>
      <c r="B428">
        <v>30</v>
      </c>
      <c r="C428" t="str">
        <f t="shared" si="91"/>
        <v>26-35</v>
      </c>
      <c r="D428" t="s">
        <v>71</v>
      </c>
      <c r="E428">
        <f t="shared" si="92"/>
        <v>0</v>
      </c>
      <c r="F428" t="s">
        <v>89</v>
      </c>
      <c r="G428">
        <v>1116</v>
      </c>
      <c r="H428" t="str">
        <f t="shared" si="93"/>
        <v>1001-1499</v>
      </c>
      <c r="I428" t="s">
        <v>73</v>
      </c>
      <c r="J428">
        <v>2</v>
      </c>
      <c r="K428" t="str">
        <f t="shared" si="94"/>
        <v>1-5</v>
      </c>
      <c r="L428">
        <v>3</v>
      </c>
      <c r="M428" t="s">
        <v>85</v>
      </c>
      <c r="N428" t="s">
        <v>83</v>
      </c>
      <c r="O428">
        <v>1</v>
      </c>
      <c r="P428">
        <v>3</v>
      </c>
      <c r="Q428" t="s">
        <v>63</v>
      </c>
      <c r="R428" t="s">
        <v>62</v>
      </c>
      <c r="S428">
        <v>49</v>
      </c>
      <c r="T428" t="str">
        <f t="shared" si="95"/>
        <v>30-50</v>
      </c>
      <c r="U428">
        <v>3</v>
      </c>
      <c r="V428" t="s">
        <v>63</v>
      </c>
      <c r="W428">
        <v>1</v>
      </c>
      <c r="X428" t="s">
        <v>81</v>
      </c>
      <c r="Y428">
        <v>4</v>
      </c>
      <c r="Z428" t="s">
        <v>65</v>
      </c>
      <c r="AA428" t="s">
        <v>66</v>
      </c>
      <c r="AB428" s="4">
        <v>2564</v>
      </c>
      <c r="AC428" s="4" t="str">
        <f t="shared" si="96"/>
        <v>$2,500-$4,000</v>
      </c>
      <c r="AD428">
        <v>7181</v>
      </c>
      <c r="AE428" t="str">
        <f t="shared" si="97"/>
        <v>$2,094-$8,000</v>
      </c>
      <c r="AF428">
        <v>0</v>
      </c>
      <c r="AG428" t="str">
        <f t="shared" si="98"/>
        <v>0-1</v>
      </c>
      <c r="AH428" t="s">
        <v>67</v>
      </c>
      <c r="AI428" t="s">
        <v>71</v>
      </c>
      <c r="AJ428">
        <v>14</v>
      </c>
      <c r="AK428" t="str">
        <f t="shared" si="99"/>
        <v>13-15%</v>
      </c>
      <c r="AL428">
        <v>3</v>
      </c>
      <c r="AM428" t="s">
        <v>68</v>
      </c>
      <c r="AN428">
        <v>3</v>
      </c>
      <c r="AO428" t="s">
        <v>63</v>
      </c>
      <c r="AP428">
        <v>80</v>
      </c>
      <c r="AQ428">
        <v>0</v>
      </c>
      <c r="AR428">
        <v>12</v>
      </c>
      <c r="AS428" t="str">
        <f t="shared" si="100"/>
        <v>11-20</v>
      </c>
      <c r="AT428">
        <v>2</v>
      </c>
      <c r="AU428" t="str">
        <f t="shared" si="101"/>
        <v>0-2</v>
      </c>
      <c r="AV428">
        <v>2</v>
      </c>
      <c r="AW428" t="s">
        <v>84</v>
      </c>
      <c r="AX428">
        <v>11</v>
      </c>
      <c r="AY428" t="str">
        <f t="shared" si="90"/>
        <v>11-20</v>
      </c>
      <c r="AZ428">
        <v>7</v>
      </c>
      <c r="BA428" t="str">
        <f t="shared" si="102"/>
        <v>6-10</v>
      </c>
      <c r="BB428">
        <v>6</v>
      </c>
      <c r="BC428" t="str">
        <f t="shared" si="103"/>
        <v>6-10</v>
      </c>
      <c r="BD428">
        <v>7</v>
      </c>
      <c r="BE428" t="str">
        <f t="shared" si="104"/>
        <v>6-10</v>
      </c>
    </row>
    <row r="429" spans="1:57" x14ac:dyDescent="0.3">
      <c r="A429">
        <v>573</v>
      </c>
      <c r="B429">
        <v>60</v>
      </c>
      <c r="C429" t="str">
        <f t="shared" si="91"/>
        <v>56+</v>
      </c>
      <c r="D429" t="s">
        <v>71</v>
      </c>
      <c r="E429">
        <f t="shared" si="92"/>
        <v>0</v>
      </c>
      <c r="F429" t="s">
        <v>72</v>
      </c>
      <c r="G429">
        <v>1499</v>
      </c>
      <c r="H429" t="str">
        <f t="shared" si="93"/>
        <v>1001-1499</v>
      </c>
      <c r="I429" t="s">
        <v>58</v>
      </c>
      <c r="J429">
        <v>28</v>
      </c>
      <c r="K429" t="str">
        <f t="shared" si="94"/>
        <v>21-29</v>
      </c>
      <c r="L429">
        <v>3</v>
      </c>
      <c r="M429" t="s">
        <v>85</v>
      </c>
      <c r="N429" t="s">
        <v>93</v>
      </c>
      <c r="O429">
        <v>1</v>
      </c>
      <c r="P429">
        <v>3</v>
      </c>
      <c r="Q429" t="s">
        <v>63</v>
      </c>
      <c r="R429" t="s">
        <v>62</v>
      </c>
      <c r="S429">
        <v>80</v>
      </c>
      <c r="T429" t="str">
        <f t="shared" si="95"/>
        <v>76-100</v>
      </c>
      <c r="U429">
        <v>2</v>
      </c>
      <c r="V429" t="s">
        <v>61</v>
      </c>
      <c r="W429">
        <v>3</v>
      </c>
      <c r="X429" t="s">
        <v>64</v>
      </c>
      <c r="Y429">
        <v>1</v>
      </c>
      <c r="Z429" t="s">
        <v>69</v>
      </c>
      <c r="AA429" t="s">
        <v>77</v>
      </c>
      <c r="AB429" s="4">
        <v>10266</v>
      </c>
      <c r="AC429" s="4" t="str">
        <f t="shared" si="96"/>
        <v>$10,000-$11,500</v>
      </c>
      <c r="AD429">
        <v>2845</v>
      </c>
      <c r="AE429" t="str">
        <f t="shared" si="97"/>
        <v>$2,094-$8,000</v>
      </c>
      <c r="AF429">
        <v>4</v>
      </c>
      <c r="AG429" t="str">
        <f t="shared" si="98"/>
        <v>4-6</v>
      </c>
      <c r="AH429" t="s">
        <v>67</v>
      </c>
      <c r="AI429" t="s">
        <v>71</v>
      </c>
      <c r="AJ429">
        <v>19</v>
      </c>
      <c r="AK429" t="str">
        <f t="shared" si="99"/>
        <v>18-19%</v>
      </c>
      <c r="AL429">
        <v>3</v>
      </c>
      <c r="AM429" t="s">
        <v>68</v>
      </c>
      <c r="AN429">
        <v>4</v>
      </c>
      <c r="AO429" t="s">
        <v>65</v>
      </c>
      <c r="AP429">
        <v>80</v>
      </c>
      <c r="AQ429">
        <v>0</v>
      </c>
      <c r="AR429">
        <v>22</v>
      </c>
      <c r="AS429" t="str">
        <f t="shared" si="100"/>
        <v>21-40</v>
      </c>
      <c r="AT429">
        <v>5</v>
      </c>
      <c r="AU429" t="str">
        <f t="shared" si="101"/>
        <v>5-6</v>
      </c>
      <c r="AV429">
        <v>4</v>
      </c>
      <c r="AW429" t="s">
        <v>94</v>
      </c>
      <c r="AX429">
        <v>18</v>
      </c>
      <c r="AY429" t="str">
        <f t="shared" si="90"/>
        <v>11-20</v>
      </c>
      <c r="AZ429">
        <v>13</v>
      </c>
      <c r="BA429" t="str">
        <f t="shared" si="102"/>
        <v>11-18</v>
      </c>
      <c r="BB429">
        <v>13</v>
      </c>
      <c r="BC429" t="str">
        <f t="shared" si="103"/>
        <v>11-15</v>
      </c>
      <c r="BD429">
        <v>11</v>
      </c>
      <c r="BE429" t="str">
        <f t="shared" si="104"/>
        <v>11-17</v>
      </c>
    </row>
    <row r="430" spans="1:57" x14ac:dyDescent="0.3">
      <c r="A430">
        <v>574</v>
      </c>
      <c r="B430">
        <v>47</v>
      </c>
      <c r="C430" t="str">
        <f t="shared" si="91"/>
        <v>46-55</v>
      </c>
      <c r="D430" t="s">
        <v>71</v>
      </c>
      <c r="E430">
        <f t="shared" si="92"/>
        <v>0</v>
      </c>
      <c r="F430" t="s">
        <v>57</v>
      </c>
      <c r="G430">
        <v>983</v>
      </c>
      <c r="H430" t="str">
        <f t="shared" si="93"/>
        <v>501-1000</v>
      </c>
      <c r="I430" t="s">
        <v>73</v>
      </c>
      <c r="J430">
        <v>2</v>
      </c>
      <c r="K430" t="str">
        <f t="shared" si="94"/>
        <v>1-5</v>
      </c>
      <c r="L430">
        <v>2</v>
      </c>
      <c r="M430" t="s">
        <v>59</v>
      </c>
      <c r="N430" t="s">
        <v>83</v>
      </c>
      <c r="O430">
        <v>1</v>
      </c>
      <c r="P430">
        <v>1</v>
      </c>
      <c r="Q430" t="s">
        <v>69</v>
      </c>
      <c r="R430" t="s">
        <v>62</v>
      </c>
      <c r="S430">
        <v>65</v>
      </c>
      <c r="T430" t="str">
        <f t="shared" si="95"/>
        <v>51-75</v>
      </c>
      <c r="U430">
        <v>3</v>
      </c>
      <c r="V430" t="s">
        <v>63</v>
      </c>
      <c r="W430">
        <v>2</v>
      </c>
      <c r="X430" t="s">
        <v>87</v>
      </c>
      <c r="Y430">
        <v>4</v>
      </c>
      <c r="Z430" t="s">
        <v>65</v>
      </c>
      <c r="AA430" t="s">
        <v>86</v>
      </c>
      <c r="AB430" s="4">
        <v>5070</v>
      </c>
      <c r="AC430" s="4" t="str">
        <f t="shared" si="96"/>
        <v>$4,000-$5,500</v>
      </c>
      <c r="AD430">
        <v>7389</v>
      </c>
      <c r="AE430" t="str">
        <f t="shared" si="97"/>
        <v>$2,094-$8,000</v>
      </c>
      <c r="AF430">
        <v>5</v>
      </c>
      <c r="AG430" t="str">
        <f t="shared" si="98"/>
        <v>4-6</v>
      </c>
      <c r="AH430" t="s">
        <v>67</v>
      </c>
      <c r="AI430" t="s">
        <v>71</v>
      </c>
      <c r="AJ430">
        <v>13</v>
      </c>
      <c r="AK430" t="str">
        <f t="shared" si="99"/>
        <v>13-15%</v>
      </c>
      <c r="AL430">
        <v>3</v>
      </c>
      <c r="AM430" t="s">
        <v>68</v>
      </c>
      <c r="AN430">
        <v>3</v>
      </c>
      <c r="AO430" t="s">
        <v>63</v>
      </c>
      <c r="AP430">
        <v>80</v>
      </c>
      <c r="AQ430">
        <v>3</v>
      </c>
      <c r="AR430">
        <v>20</v>
      </c>
      <c r="AS430" t="str">
        <f t="shared" si="100"/>
        <v>11-20</v>
      </c>
      <c r="AT430">
        <v>2</v>
      </c>
      <c r="AU430" t="str">
        <f t="shared" si="101"/>
        <v>0-2</v>
      </c>
      <c r="AV430">
        <v>3</v>
      </c>
      <c r="AW430" t="s">
        <v>79</v>
      </c>
      <c r="AX430">
        <v>5</v>
      </c>
      <c r="AY430" t="str">
        <f t="shared" si="90"/>
        <v>2-5</v>
      </c>
      <c r="AZ430">
        <v>0</v>
      </c>
      <c r="BA430" t="str">
        <f t="shared" si="102"/>
        <v>0-1</v>
      </c>
      <c r="BB430">
        <v>0</v>
      </c>
      <c r="BC430" t="str">
        <f t="shared" si="103"/>
        <v>0-1</v>
      </c>
      <c r="BD430">
        <v>4</v>
      </c>
      <c r="BE430" t="str">
        <f t="shared" si="104"/>
        <v>2-5</v>
      </c>
    </row>
    <row r="431" spans="1:57" x14ac:dyDescent="0.3">
      <c r="A431">
        <v>575</v>
      </c>
      <c r="B431">
        <v>46</v>
      </c>
      <c r="C431" t="str">
        <f t="shared" si="91"/>
        <v>46-55</v>
      </c>
      <c r="D431" t="s">
        <v>71</v>
      </c>
      <c r="E431">
        <f t="shared" si="92"/>
        <v>0</v>
      </c>
      <c r="F431" t="s">
        <v>57</v>
      </c>
      <c r="G431">
        <v>1009</v>
      </c>
      <c r="H431" t="str">
        <f t="shared" si="93"/>
        <v>1001-1499</v>
      </c>
      <c r="I431" t="s">
        <v>73</v>
      </c>
      <c r="J431">
        <v>2</v>
      </c>
      <c r="K431" t="str">
        <f t="shared" si="94"/>
        <v>1-5</v>
      </c>
      <c r="L431">
        <v>3</v>
      </c>
      <c r="M431" t="s">
        <v>85</v>
      </c>
      <c r="N431" t="s">
        <v>60</v>
      </c>
      <c r="O431">
        <v>1</v>
      </c>
      <c r="P431">
        <v>1</v>
      </c>
      <c r="Q431" t="s">
        <v>69</v>
      </c>
      <c r="R431" t="s">
        <v>75</v>
      </c>
      <c r="S431">
        <v>51</v>
      </c>
      <c r="T431" t="str">
        <f t="shared" si="95"/>
        <v>51-75</v>
      </c>
      <c r="U431">
        <v>3</v>
      </c>
      <c r="V431" t="s">
        <v>63</v>
      </c>
      <c r="W431">
        <v>4</v>
      </c>
      <c r="X431" t="s">
        <v>92</v>
      </c>
      <c r="Y431">
        <v>3</v>
      </c>
      <c r="Z431" t="s">
        <v>63</v>
      </c>
      <c r="AA431" t="s">
        <v>77</v>
      </c>
      <c r="AB431" s="4">
        <v>17861</v>
      </c>
      <c r="AC431" s="4" t="str">
        <f t="shared" si="96"/>
        <v>$17,500-$19,000</v>
      </c>
      <c r="AD431">
        <v>2288</v>
      </c>
      <c r="AE431" t="str">
        <f t="shared" si="97"/>
        <v>$2,094-$8,000</v>
      </c>
      <c r="AF431">
        <v>6</v>
      </c>
      <c r="AG431" t="str">
        <f t="shared" si="98"/>
        <v>4-6</v>
      </c>
      <c r="AH431" t="s">
        <v>67</v>
      </c>
      <c r="AI431" t="s">
        <v>71</v>
      </c>
      <c r="AJ431">
        <v>13</v>
      </c>
      <c r="AK431" t="str">
        <f t="shared" si="99"/>
        <v>13-15%</v>
      </c>
      <c r="AL431">
        <v>3</v>
      </c>
      <c r="AM431" t="s">
        <v>68</v>
      </c>
      <c r="AN431">
        <v>3</v>
      </c>
      <c r="AO431" t="s">
        <v>63</v>
      </c>
      <c r="AP431">
        <v>80</v>
      </c>
      <c r="AQ431">
        <v>0</v>
      </c>
      <c r="AR431">
        <v>26</v>
      </c>
      <c r="AS431" t="str">
        <f t="shared" si="100"/>
        <v>21-40</v>
      </c>
      <c r="AT431">
        <v>2</v>
      </c>
      <c r="AU431" t="str">
        <f t="shared" si="101"/>
        <v>0-2</v>
      </c>
      <c r="AV431">
        <v>1</v>
      </c>
      <c r="AW431" t="s">
        <v>70</v>
      </c>
      <c r="AX431">
        <v>3</v>
      </c>
      <c r="AY431" t="str">
        <f t="shared" si="90"/>
        <v>2-5</v>
      </c>
      <c r="AZ431">
        <v>2</v>
      </c>
      <c r="BA431" t="str">
        <f t="shared" si="102"/>
        <v>2-5</v>
      </c>
      <c r="BB431">
        <v>0</v>
      </c>
      <c r="BC431" t="str">
        <f t="shared" si="103"/>
        <v>0-1</v>
      </c>
      <c r="BD431">
        <v>1</v>
      </c>
      <c r="BE431" t="str">
        <f t="shared" si="104"/>
        <v>0-1</v>
      </c>
    </row>
    <row r="432" spans="1:57" x14ac:dyDescent="0.3">
      <c r="A432">
        <v>577</v>
      </c>
      <c r="B432">
        <v>35</v>
      </c>
      <c r="C432" t="str">
        <f t="shared" si="91"/>
        <v>26-35</v>
      </c>
      <c r="D432" t="s">
        <v>71</v>
      </c>
      <c r="E432">
        <f t="shared" si="92"/>
        <v>0</v>
      </c>
      <c r="F432" t="s">
        <v>57</v>
      </c>
      <c r="G432">
        <v>144</v>
      </c>
      <c r="H432" t="str">
        <f t="shared" si="93"/>
        <v>102-500</v>
      </c>
      <c r="I432" t="s">
        <v>73</v>
      </c>
      <c r="J432">
        <v>22</v>
      </c>
      <c r="K432" t="str">
        <f t="shared" si="94"/>
        <v>21-29</v>
      </c>
      <c r="L432">
        <v>3</v>
      </c>
      <c r="M432" t="s">
        <v>85</v>
      </c>
      <c r="N432" t="s">
        <v>60</v>
      </c>
      <c r="O432">
        <v>1</v>
      </c>
      <c r="P432">
        <v>4</v>
      </c>
      <c r="Q432" t="s">
        <v>65</v>
      </c>
      <c r="R432" t="s">
        <v>75</v>
      </c>
      <c r="S432">
        <v>46</v>
      </c>
      <c r="T432" t="str">
        <f t="shared" si="95"/>
        <v>30-50</v>
      </c>
      <c r="U432">
        <v>1</v>
      </c>
      <c r="V432" t="s">
        <v>69</v>
      </c>
      <c r="W432">
        <v>1</v>
      </c>
      <c r="X432" t="s">
        <v>81</v>
      </c>
      <c r="Y432">
        <v>3</v>
      </c>
      <c r="Z432" t="s">
        <v>63</v>
      </c>
      <c r="AA432" t="s">
        <v>66</v>
      </c>
      <c r="AB432" s="4">
        <v>4230</v>
      </c>
      <c r="AC432" s="4" t="str">
        <f t="shared" si="96"/>
        <v>$4,000-$5,500</v>
      </c>
      <c r="AD432">
        <v>19225</v>
      </c>
      <c r="AE432" t="str">
        <f t="shared" si="97"/>
        <v>$16,001-$22,000</v>
      </c>
      <c r="AF432">
        <v>0</v>
      </c>
      <c r="AG432" t="str">
        <f t="shared" si="98"/>
        <v>0-1</v>
      </c>
      <c r="AH432" t="s">
        <v>67</v>
      </c>
      <c r="AI432" t="s">
        <v>71</v>
      </c>
      <c r="AJ432">
        <v>15</v>
      </c>
      <c r="AK432" t="str">
        <f t="shared" si="99"/>
        <v>13-15%</v>
      </c>
      <c r="AL432">
        <v>3</v>
      </c>
      <c r="AM432" t="s">
        <v>68</v>
      </c>
      <c r="AN432">
        <v>3</v>
      </c>
      <c r="AO432" t="s">
        <v>63</v>
      </c>
      <c r="AP432">
        <v>80</v>
      </c>
      <c r="AQ432">
        <v>0</v>
      </c>
      <c r="AR432">
        <v>6</v>
      </c>
      <c r="AS432" t="str">
        <f t="shared" si="100"/>
        <v>6-10</v>
      </c>
      <c r="AT432">
        <v>2</v>
      </c>
      <c r="AU432" t="str">
        <f t="shared" si="101"/>
        <v>0-2</v>
      </c>
      <c r="AV432">
        <v>3</v>
      </c>
      <c r="AW432" t="s">
        <v>79</v>
      </c>
      <c r="AX432">
        <v>5</v>
      </c>
      <c r="AY432" t="str">
        <f t="shared" si="90"/>
        <v>2-5</v>
      </c>
      <c r="AZ432">
        <v>4</v>
      </c>
      <c r="BA432" t="str">
        <f t="shared" si="102"/>
        <v>2-5</v>
      </c>
      <c r="BB432">
        <v>4</v>
      </c>
      <c r="BC432" t="str">
        <f t="shared" si="103"/>
        <v>2-5</v>
      </c>
      <c r="BD432">
        <v>3</v>
      </c>
      <c r="BE432" t="str">
        <f t="shared" si="104"/>
        <v>2-5</v>
      </c>
    </row>
    <row r="433" spans="1:57" x14ac:dyDescent="0.3">
      <c r="A433">
        <v>578</v>
      </c>
      <c r="B433">
        <v>54</v>
      </c>
      <c r="C433" t="str">
        <f t="shared" si="91"/>
        <v>46-55</v>
      </c>
      <c r="D433" t="s">
        <v>71</v>
      </c>
      <c r="E433">
        <f t="shared" si="92"/>
        <v>0</v>
      </c>
      <c r="F433" t="s">
        <v>57</v>
      </c>
      <c r="G433">
        <v>548</v>
      </c>
      <c r="H433" t="str">
        <f t="shared" si="93"/>
        <v>501-1000</v>
      </c>
      <c r="I433" t="s">
        <v>73</v>
      </c>
      <c r="J433">
        <v>8</v>
      </c>
      <c r="K433" t="str">
        <f t="shared" si="94"/>
        <v>6-10</v>
      </c>
      <c r="L433">
        <v>4</v>
      </c>
      <c r="M433" t="s">
        <v>82</v>
      </c>
      <c r="N433" t="s">
        <v>60</v>
      </c>
      <c r="O433">
        <v>1</v>
      </c>
      <c r="P433">
        <v>3</v>
      </c>
      <c r="Q433" t="s">
        <v>63</v>
      </c>
      <c r="R433" t="s">
        <v>62</v>
      </c>
      <c r="S433">
        <v>42</v>
      </c>
      <c r="T433" t="str">
        <f t="shared" si="95"/>
        <v>30-50</v>
      </c>
      <c r="U433">
        <v>3</v>
      </c>
      <c r="V433" t="s">
        <v>63</v>
      </c>
      <c r="W433">
        <v>2</v>
      </c>
      <c r="X433" t="s">
        <v>81</v>
      </c>
      <c r="Y433">
        <v>3</v>
      </c>
      <c r="Z433" t="s">
        <v>63</v>
      </c>
      <c r="AA433" t="s">
        <v>66</v>
      </c>
      <c r="AB433" s="4">
        <v>3780</v>
      </c>
      <c r="AC433" s="4" t="str">
        <f t="shared" si="96"/>
        <v>$2,500-$4,000</v>
      </c>
      <c r="AD433">
        <v>23428</v>
      </c>
      <c r="AE433" t="str">
        <f t="shared" si="97"/>
        <v>$22,001-$26,999</v>
      </c>
      <c r="AF433">
        <v>7</v>
      </c>
      <c r="AG433" t="str">
        <f t="shared" si="98"/>
        <v>7-9</v>
      </c>
      <c r="AH433" t="s">
        <v>67</v>
      </c>
      <c r="AI433" t="s">
        <v>71</v>
      </c>
      <c r="AJ433">
        <v>11</v>
      </c>
      <c r="AK433" t="str">
        <f t="shared" si="99"/>
        <v>11-12%</v>
      </c>
      <c r="AL433">
        <v>3</v>
      </c>
      <c r="AM433" t="s">
        <v>68</v>
      </c>
      <c r="AN433">
        <v>3</v>
      </c>
      <c r="AO433" t="s">
        <v>63</v>
      </c>
      <c r="AP433">
        <v>80</v>
      </c>
      <c r="AQ433">
        <v>0</v>
      </c>
      <c r="AR433">
        <v>19</v>
      </c>
      <c r="AS433" t="str">
        <f t="shared" si="100"/>
        <v>11-20</v>
      </c>
      <c r="AT433">
        <v>3</v>
      </c>
      <c r="AU433" t="str">
        <f t="shared" si="101"/>
        <v>3-4</v>
      </c>
      <c r="AV433">
        <v>3</v>
      </c>
      <c r="AW433" t="s">
        <v>79</v>
      </c>
      <c r="AX433">
        <v>1</v>
      </c>
      <c r="AY433" t="str">
        <f t="shared" si="90"/>
        <v>0-1</v>
      </c>
      <c r="AZ433">
        <v>0</v>
      </c>
      <c r="BA433" t="str">
        <f t="shared" si="102"/>
        <v>0-1</v>
      </c>
      <c r="BB433">
        <v>0</v>
      </c>
      <c r="BC433" t="str">
        <f t="shared" si="103"/>
        <v>0-1</v>
      </c>
      <c r="BD433">
        <v>0</v>
      </c>
      <c r="BE433" t="str">
        <f t="shared" si="104"/>
        <v>0-1</v>
      </c>
    </row>
    <row r="434" spans="1:57" x14ac:dyDescent="0.3">
      <c r="A434">
        <v>579</v>
      </c>
      <c r="B434">
        <v>34</v>
      </c>
      <c r="C434" t="str">
        <f t="shared" si="91"/>
        <v>26-35</v>
      </c>
      <c r="D434" t="s">
        <v>71</v>
      </c>
      <c r="E434">
        <f t="shared" si="92"/>
        <v>0</v>
      </c>
      <c r="F434" t="s">
        <v>57</v>
      </c>
      <c r="G434">
        <v>1303</v>
      </c>
      <c r="H434" t="str">
        <f t="shared" si="93"/>
        <v>1001-1499</v>
      </c>
      <c r="I434" t="s">
        <v>73</v>
      </c>
      <c r="J434">
        <v>2</v>
      </c>
      <c r="K434" t="str">
        <f t="shared" si="94"/>
        <v>1-5</v>
      </c>
      <c r="L434">
        <v>4</v>
      </c>
      <c r="M434" t="s">
        <v>82</v>
      </c>
      <c r="N434" t="s">
        <v>60</v>
      </c>
      <c r="O434">
        <v>1</v>
      </c>
      <c r="P434">
        <v>4</v>
      </c>
      <c r="Q434" t="s">
        <v>65</v>
      </c>
      <c r="R434" t="s">
        <v>75</v>
      </c>
      <c r="S434">
        <v>62</v>
      </c>
      <c r="T434" t="str">
        <f t="shared" si="95"/>
        <v>51-75</v>
      </c>
      <c r="U434">
        <v>2</v>
      </c>
      <c r="V434" t="s">
        <v>61</v>
      </c>
      <c r="W434">
        <v>1</v>
      </c>
      <c r="X434" t="s">
        <v>76</v>
      </c>
      <c r="Y434">
        <v>3</v>
      </c>
      <c r="Z434" t="s">
        <v>63</v>
      </c>
      <c r="AA434" t="s">
        <v>86</v>
      </c>
      <c r="AB434" s="4">
        <v>2768</v>
      </c>
      <c r="AC434" s="4" t="str">
        <f t="shared" si="96"/>
        <v>$2,500-$4,000</v>
      </c>
      <c r="AD434">
        <v>8416</v>
      </c>
      <c r="AE434" t="str">
        <f t="shared" si="97"/>
        <v>$8,001-$16,000</v>
      </c>
      <c r="AF434">
        <v>3</v>
      </c>
      <c r="AG434" t="str">
        <f t="shared" si="98"/>
        <v>2-3</v>
      </c>
      <c r="AH434" t="s">
        <v>67</v>
      </c>
      <c r="AI434" t="s">
        <v>71</v>
      </c>
      <c r="AJ434">
        <v>12</v>
      </c>
      <c r="AK434" t="str">
        <f t="shared" si="99"/>
        <v>11-12%</v>
      </c>
      <c r="AL434">
        <v>3</v>
      </c>
      <c r="AM434" t="s">
        <v>68</v>
      </c>
      <c r="AN434">
        <v>3</v>
      </c>
      <c r="AO434" t="s">
        <v>63</v>
      </c>
      <c r="AP434">
        <v>80</v>
      </c>
      <c r="AQ434">
        <v>1</v>
      </c>
      <c r="AR434">
        <v>14</v>
      </c>
      <c r="AS434" t="str">
        <f t="shared" si="100"/>
        <v>11-20</v>
      </c>
      <c r="AT434">
        <v>3</v>
      </c>
      <c r="AU434" t="str">
        <f t="shared" si="101"/>
        <v>3-4</v>
      </c>
      <c r="AV434">
        <v>3</v>
      </c>
      <c r="AW434" t="s">
        <v>79</v>
      </c>
      <c r="AX434">
        <v>7</v>
      </c>
      <c r="AY434" t="str">
        <f t="shared" si="90"/>
        <v>6-10</v>
      </c>
      <c r="AZ434">
        <v>3</v>
      </c>
      <c r="BA434" t="str">
        <f t="shared" si="102"/>
        <v>2-5</v>
      </c>
      <c r="BB434">
        <v>5</v>
      </c>
      <c r="BC434" t="str">
        <f t="shared" si="103"/>
        <v>2-5</v>
      </c>
      <c r="BD434">
        <v>7</v>
      </c>
      <c r="BE434" t="str">
        <f t="shared" si="104"/>
        <v>6-10</v>
      </c>
    </row>
    <row r="435" spans="1:57" x14ac:dyDescent="0.3">
      <c r="A435">
        <v>580</v>
      </c>
      <c r="B435">
        <v>46</v>
      </c>
      <c r="C435" t="str">
        <f t="shared" si="91"/>
        <v>46-55</v>
      </c>
      <c r="D435" t="s">
        <v>71</v>
      </c>
      <c r="E435">
        <f t="shared" si="92"/>
        <v>0</v>
      </c>
      <c r="F435" t="s">
        <v>57</v>
      </c>
      <c r="G435">
        <v>1125</v>
      </c>
      <c r="H435" t="str">
        <f t="shared" si="93"/>
        <v>1001-1499</v>
      </c>
      <c r="I435" t="s">
        <v>58</v>
      </c>
      <c r="J435">
        <v>10</v>
      </c>
      <c r="K435" t="str">
        <f t="shared" si="94"/>
        <v>6-10</v>
      </c>
      <c r="L435">
        <v>3</v>
      </c>
      <c r="M435" t="s">
        <v>85</v>
      </c>
      <c r="N435" t="s">
        <v>93</v>
      </c>
      <c r="O435">
        <v>1</v>
      </c>
      <c r="P435">
        <v>3</v>
      </c>
      <c r="Q435" t="s">
        <v>63</v>
      </c>
      <c r="R435" t="s">
        <v>62</v>
      </c>
      <c r="S435">
        <v>94</v>
      </c>
      <c r="T435" t="str">
        <f t="shared" si="95"/>
        <v>76-100</v>
      </c>
      <c r="U435">
        <v>2</v>
      </c>
      <c r="V435" t="s">
        <v>61</v>
      </c>
      <c r="W435">
        <v>3</v>
      </c>
      <c r="X435" t="s">
        <v>64</v>
      </c>
      <c r="Y435">
        <v>4</v>
      </c>
      <c r="Z435" t="s">
        <v>65</v>
      </c>
      <c r="AA435" t="s">
        <v>77</v>
      </c>
      <c r="AB435" s="4">
        <v>9071</v>
      </c>
      <c r="AC435" s="4" t="str">
        <f t="shared" si="96"/>
        <v>$8,500-$10,000</v>
      </c>
      <c r="AD435">
        <v>11563</v>
      </c>
      <c r="AE435" t="str">
        <f t="shared" si="97"/>
        <v>$8,001-$16,000</v>
      </c>
      <c r="AF435">
        <v>2</v>
      </c>
      <c r="AG435" t="str">
        <f t="shared" si="98"/>
        <v>2-3</v>
      </c>
      <c r="AH435" t="s">
        <v>67</v>
      </c>
      <c r="AI435" t="s">
        <v>56</v>
      </c>
      <c r="AJ435">
        <v>19</v>
      </c>
      <c r="AK435" t="str">
        <f t="shared" si="99"/>
        <v>18-19%</v>
      </c>
      <c r="AL435">
        <v>3</v>
      </c>
      <c r="AM435" t="s">
        <v>68</v>
      </c>
      <c r="AN435">
        <v>3</v>
      </c>
      <c r="AO435" t="s">
        <v>63</v>
      </c>
      <c r="AP435">
        <v>80</v>
      </c>
      <c r="AQ435">
        <v>1</v>
      </c>
      <c r="AR435">
        <v>15</v>
      </c>
      <c r="AS435" t="str">
        <f t="shared" si="100"/>
        <v>11-20</v>
      </c>
      <c r="AT435">
        <v>3</v>
      </c>
      <c r="AU435" t="str">
        <f t="shared" si="101"/>
        <v>3-4</v>
      </c>
      <c r="AV435">
        <v>3</v>
      </c>
      <c r="AW435" t="s">
        <v>79</v>
      </c>
      <c r="AX435">
        <v>3</v>
      </c>
      <c r="AY435" t="str">
        <f t="shared" si="90"/>
        <v>2-5</v>
      </c>
      <c r="AZ435">
        <v>2</v>
      </c>
      <c r="BA435" t="str">
        <f t="shared" si="102"/>
        <v>2-5</v>
      </c>
      <c r="BB435">
        <v>1</v>
      </c>
      <c r="BC435" t="str">
        <f t="shared" si="103"/>
        <v>0-1</v>
      </c>
      <c r="BD435">
        <v>2</v>
      </c>
      <c r="BE435" t="str">
        <f t="shared" si="104"/>
        <v>2-5</v>
      </c>
    </row>
    <row r="436" spans="1:57" x14ac:dyDescent="0.3">
      <c r="A436">
        <v>581</v>
      </c>
      <c r="B436">
        <v>31</v>
      </c>
      <c r="C436" t="str">
        <f t="shared" si="91"/>
        <v>26-35</v>
      </c>
      <c r="D436" t="s">
        <v>71</v>
      </c>
      <c r="E436">
        <f t="shared" si="92"/>
        <v>0</v>
      </c>
      <c r="F436" t="s">
        <v>57</v>
      </c>
      <c r="G436">
        <v>1274</v>
      </c>
      <c r="H436" t="str">
        <f t="shared" si="93"/>
        <v>1001-1499</v>
      </c>
      <c r="I436" t="s">
        <v>73</v>
      </c>
      <c r="J436">
        <v>9</v>
      </c>
      <c r="K436" t="str">
        <f t="shared" si="94"/>
        <v>6-10</v>
      </c>
      <c r="L436">
        <v>1</v>
      </c>
      <c r="M436" t="s">
        <v>74</v>
      </c>
      <c r="N436" t="s">
        <v>60</v>
      </c>
      <c r="O436">
        <v>1</v>
      </c>
      <c r="P436">
        <v>3</v>
      </c>
      <c r="Q436" t="s">
        <v>63</v>
      </c>
      <c r="R436" t="s">
        <v>75</v>
      </c>
      <c r="S436">
        <v>33</v>
      </c>
      <c r="T436" t="str">
        <f t="shared" si="95"/>
        <v>30-50</v>
      </c>
      <c r="U436">
        <v>3</v>
      </c>
      <c r="V436" t="s">
        <v>63</v>
      </c>
      <c r="W436">
        <v>3</v>
      </c>
      <c r="X436" t="s">
        <v>87</v>
      </c>
      <c r="Y436">
        <v>2</v>
      </c>
      <c r="Z436" t="s">
        <v>61</v>
      </c>
      <c r="AA436" t="s">
        <v>86</v>
      </c>
      <c r="AB436" s="4">
        <v>10648</v>
      </c>
      <c r="AC436" s="4" t="str">
        <f t="shared" si="96"/>
        <v>$10,000-$11,500</v>
      </c>
      <c r="AD436">
        <v>14394</v>
      </c>
      <c r="AE436" t="str">
        <f t="shared" si="97"/>
        <v>$8,001-$16,000</v>
      </c>
      <c r="AF436">
        <v>1</v>
      </c>
      <c r="AG436" t="str">
        <f t="shared" si="98"/>
        <v>0-1</v>
      </c>
      <c r="AH436" t="s">
        <v>67</v>
      </c>
      <c r="AI436" t="s">
        <v>71</v>
      </c>
      <c r="AJ436">
        <v>25</v>
      </c>
      <c r="AK436" t="str">
        <f t="shared" si="99"/>
        <v>18-19%</v>
      </c>
      <c r="AL436">
        <v>4</v>
      </c>
      <c r="AM436" t="s">
        <v>78</v>
      </c>
      <c r="AN436">
        <v>4</v>
      </c>
      <c r="AO436" t="s">
        <v>65</v>
      </c>
      <c r="AP436">
        <v>80</v>
      </c>
      <c r="AQ436">
        <v>1</v>
      </c>
      <c r="AR436">
        <v>13</v>
      </c>
      <c r="AS436" t="str">
        <f t="shared" si="100"/>
        <v>11-20</v>
      </c>
      <c r="AT436">
        <v>6</v>
      </c>
      <c r="AU436" t="str">
        <f t="shared" si="101"/>
        <v>5-6</v>
      </c>
      <c r="AV436">
        <v>4</v>
      </c>
      <c r="AW436" t="s">
        <v>94</v>
      </c>
      <c r="AX436">
        <v>13</v>
      </c>
      <c r="AY436" t="str">
        <f t="shared" si="90"/>
        <v>11-20</v>
      </c>
      <c r="AZ436">
        <v>8</v>
      </c>
      <c r="BA436" t="str">
        <f t="shared" si="102"/>
        <v>6-10</v>
      </c>
      <c r="BB436">
        <v>0</v>
      </c>
      <c r="BC436" t="str">
        <f t="shared" si="103"/>
        <v>0-1</v>
      </c>
      <c r="BD436">
        <v>8</v>
      </c>
      <c r="BE436" t="str">
        <f t="shared" si="104"/>
        <v>6-10</v>
      </c>
    </row>
    <row r="437" spans="1:57" x14ac:dyDescent="0.3">
      <c r="A437">
        <v>582</v>
      </c>
      <c r="B437">
        <v>33</v>
      </c>
      <c r="C437" t="str">
        <f t="shared" si="91"/>
        <v>26-35</v>
      </c>
      <c r="D437" t="s">
        <v>56</v>
      </c>
      <c r="E437">
        <f t="shared" si="92"/>
        <v>1</v>
      </c>
      <c r="F437" t="s">
        <v>57</v>
      </c>
      <c r="G437">
        <v>1277</v>
      </c>
      <c r="H437" t="str">
        <f t="shared" si="93"/>
        <v>1001-1499</v>
      </c>
      <c r="I437" t="s">
        <v>73</v>
      </c>
      <c r="J437">
        <v>15</v>
      </c>
      <c r="K437" t="str">
        <f t="shared" si="94"/>
        <v>11-20</v>
      </c>
      <c r="L437">
        <v>1</v>
      </c>
      <c r="M437" t="s">
        <v>74</v>
      </c>
      <c r="N437" t="s">
        <v>83</v>
      </c>
      <c r="O437">
        <v>1</v>
      </c>
      <c r="P437">
        <v>2</v>
      </c>
      <c r="Q437" t="s">
        <v>61</v>
      </c>
      <c r="R437" t="s">
        <v>75</v>
      </c>
      <c r="S437">
        <v>56</v>
      </c>
      <c r="T437" t="str">
        <f t="shared" si="95"/>
        <v>51-75</v>
      </c>
      <c r="U437">
        <v>3</v>
      </c>
      <c r="V437" t="s">
        <v>63</v>
      </c>
      <c r="W437">
        <v>3</v>
      </c>
      <c r="X437" t="s">
        <v>90</v>
      </c>
      <c r="Y437">
        <v>3</v>
      </c>
      <c r="Z437" t="s">
        <v>63</v>
      </c>
      <c r="AA437" t="s">
        <v>77</v>
      </c>
      <c r="AB437" s="4">
        <v>13610</v>
      </c>
      <c r="AC437" s="4" t="str">
        <f t="shared" si="96"/>
        <v>$13,000-$14,500</v>
      </c>
      <c r="AD437">
        <v>24619</v>
      </c>
      <c r="AE437" t="str">
        <f t="shared" si="97"/>
        <v>$22,001-$26,999</v>
      </c>
      <c r="AF437">
        <v>7</v>
      </c>
      <c r="AG437" t="str">
        <f t="shared" si="98"/>
        <v>7-9</v>
      </c>
      <c r="AH437" t="s">
        <v>67</v>
      </c>
      <c r="AI437" t="s">
        <v>56</v>
      </c>
      <c r="AJ437">
        <v>12</v>
      </c>
      <c r="AK437" t="str">
        <f t="shared" si="99"/>
        <v>11-12%</v>
      </c>
      <c r="AL437">
        <v>3</v>
      </c>
      <c r="AM437" t="s">
        <v>68</v>
      </c>
      <c r="AN437">
        <v>4</v>
      </c>
      <c r="AO437" t="s">
        <v>65</v>
      </c>
      <c r="AP437">
        <v>80</v>
      </c>
      <c r="AQ437">
        <v>0</v>
      </c>
      <c r="AR437">
        <v>15</v>
      </c>
      <c r="AS437" t="str">
        <f t="shared" si="100"/>
        <v>11-20</v>
      </c>
      <c r="AT437">
        <v>2</v>
      </c>
      <c r="AU437" t="str">
        <f t="shared" si="101"/>
        <v>0-2</v>
      </c>
      <c r="AV437">
        <v>4</v>
      </c>
      <c r="AW437" t="s">
        <v>94</v>
      </c>
      <c r="AX437">
        <v>7</v>
      </c>
      <c r="AY437" t="str">
        <f t="shared" si="90"/>
        <v>6-10</v>
      </c>
      <c r="AZ437">
        <v>6</v>
      </c>
      <c r="BA437" t="str">
        <f t="shared" si="102"/>
        <v>6-10</v>
      </c>
      <c r="BB437">
        <v>7</v>
      </c>
      <c r="BC437" t="str">
        <f t="shared" si="103"/>
        <v>6-10</v>
      </c>
      <c r="BD437">
        <v>7</v>
      </c>
      <c r="BE437" t="str">
        <f t="shared" si="104"/>
        <v>6-10</v>
      </c>
    </row>
    <row r="438" spans="1:57" x14ac:dyDescent="0.3">
      <c r="A438">
        <v>584</v>
      </c>
      <c r="B438">
        <v>33</v>
      </c>
      <c r="C438" t="str">
        <f t="shared" si="91"/>
        <v>26-35</v>
      </c>
      <c r="D438" t="s">
        <v>56</v>
      </c>
      <c r="E438">
        <f t="shared" si="92"/>
        <v>1</v>
      </c>
      <c r="F438" t="s">
        <v>57</v>
      </c>
      <c r="G438">
        <v>587</v>
      </c>
      <c r="H438" t="str">
        <f t="shared" si="93"/>
        <v>501-1000</v>
      </c>
      <c r="I438" t="s">
        <v>73</v>
      </c>
      <c r="J438">
        <v>10</v>
      </c>
      <c r="K438" t="str">
        <f t="shared" si="94"/>
        <v>6-10</v>
      </c>
      <c r="L438">
        <v>1</v>
      </c>
      <c r="M438" t="s">
        <v>74</v>
      </c>
      <c r="N438" t="s">
        <v>83</v>
      </c>
      <c r="O438">
        <v>1</v>
      </c>
      <c r="P438">
        <v>1</v>
      </c>
      <c r="Q438" t="s">
        <v>69</v>
      </c>
      <c r="R438" t="s">
        <v>75</v>
      </c>
      <c r="S438">
        <v>38</v>
      </c>
      <c r="T438" t="str">
        <f t="shared" si="95"/>
        <v>30-50</v>
      </c>
      <c r="U438">
        <v>1</v>
      </c>
      <c r="V438" t="s">
        <v>69</v>
      </c>
      <c r="W438">
        <v>1</v>
      </c>
      <c r="X438" t="s">
        <v>81</v>
      </c>
      <c r="Y438">
        <v>4</v>
      </c>
      <c r="Z438" t="s">
        <v>65</v>
      </c>
      <c r="AA438" t="s">
        <v>86</v>
      </c>
      <c r="AB438" s="4">
        <v>3408</v>
      </c>
      <c r="AC438" s="4" t="str">
        <f t="shared" si="96"/>
        <v>$2,500-$4,000</v>
      </c>
      <c r="AD438">
        <v>6705</v>
      </c>
      <c r="AE438" t="str">
        <f t="shared" si="97"/>
        <v>$2,094-$8,000</v>
      </c>
      <c r="AF438">
        <v>7</v>
      </c>
      <c r="AG438" t="str">
        <f t="shared" si="98"/>
        <v>7-9</v>
      </c>
      <c r="AH438" t="s">
        <v>67</v>
      </c>
      <c r="AI438" t="s">
        <v>71</v>
      </c>
      <c r="AJ438">
        <v>13</v>
      </c>
      <c r="AK438" t="str">
        <f t="shared" si="99"/>
        <v>13-15%</v>
      </c>
      <c r="AL438">
        <v>3</v>
      </c>
      <c r="AM438" t="s">
        <v>68</v>
      </c>
      <c r="AN438">
        <v>1</v>
      </c>
      <c r="AO438" t="s">
        <v>69</v>
      </c>
      <c r="AP438">
        <v>80</v>
      </c>
      <c r="AQ438">
        <v>3</v>
      </c>
      <c r="AR438">
        <v>8</v>
      </c>
      <c r="AS438" t="str">
        <f t="shared" si="100"/>
        <v>6-10</v>
      </c>
      <c r="AT438">
        <v>2</v>
      </c>
      <c r="AU438" t="str">
        <f t="shared" si="101"/>
        <v>0-2</v>
      </c>
      <c r="AV438">
        <v>3</v>
      </c>
      <c r="AW438" t="s">
        <v>79</v>
      </c>
      <c r="AX438">
        <v>4</v>
      </c>
      <c r="AY438" t="str">
        <f t="shared" si="90"/>
        <v>2-5</v>
      </c>
      <c r="AZ438">
        <v>3</v>
      </c>
      <c r="BA438" t="str">
        <f t="shared" si="102"/>
        <v>2-5</v>
      </c>
      <c r="BB438">
        <v>1</v>
      </c>
      <c r="BC438" t="str">
        <f t="shared" si="103"/>
        <v>0-1</v>
      </c>
      <c r="BD438">
        <v>3</v>
      </c>
      <c r="BE438" t="str">
        <f t="shared" si="104"/>
        <v>2-5</v>
      </c>
    </row>
    <row r="439" spans="1:57" x14ac:dyDescent="0.3">
      <c r="A439">
        <v>585</v>
      </c>
      <c r="B439">
        <v>30</v>
      </c>
      <c r="C439" t="str">
        <f t="shared" si="91"/>
        <v>26-35</v>
      </c>
      <c r="D439" t="s">
        <v>71</v>
      </c>
      <c r="E439">
        <f t="shared" si="92"/>
        <v>0</v>
      </c>
      <c r="F439" t="s">
        <v>57</v>
      </c>
      <c r="G439">
        <v>413</v>
      </c>
      <c r="H439" t="str">
        <f t="shared" si="93"/>
        <v>102-500</v>
      </c>
      <c r="I439" t="s">
        <v>58</v>
      </c>
      <c r="J439">
        <v>7</v>
      </c>
      <c r="K439" t="str">
        <f t="shared" si="94"/>
        <v>6-10</v>
      </c>
      <c r="L439">
        <v>1</v>
      </c>
      <c r="M439" t="s">
        <v>74</v>
      </c>
      <c r="N439" t="s">
        <v>93</v>
      </c>
      <c r="O439">
        <v>1</v>
      </c>
      <c r="P439">
        <v>4</v>
      </c>
      <c r="Q439" t="s">
        <v>65</v>
      </c>
      <c r="R439" t="s">
        <v>75</v>
      </c>
      <c r="S439">
        <v>57</v>
      </c>
      <c r="T439" t="str">
        <f t="shared" si="95"/>
        <v>51-75</v>
      </c>
      <c r="U439">
        <v>3</v>
      </c>
      <c r="V439" t="s">
        <v>63</v>
      </c>
      <c r="W439">
        <v>1</v>
      </c>
      <c r="X439" t="s">
        <v>91</v>
      </c>
      <c r="Y439">
        <v>2</v>
      </c>
      <c r="Z439" t="s">
        <v>61</v>
      </c>
      <c r="AA439" t="s">
        <v>66</v>
      </c>
      <c r="AB439" s="4">
        <v>2983</v>
      </c>
      <c r="AC439" s="4" t="str">
        <f t="shared" si="96"/>
        <v>$2,500-$4,000</v>
      </c>
      <c r="AD439">
        <v>18398</v>
      </c>
      <c r="AE439" t="str">
        <f t="shared" si="97"/>
        <v>$16,001-$22,000</v>
      </c>
      <c r="AF439">
        <v>0</v>
      </c>
      <c r="AG439" t="str">
        <f t="shared" si="98"/>
        <v>0-1</v>
      </c>
      <c r="AH439" t="s">
        <v>67</v>
      </c>
      <c r="AI439" t="s">
        <v>71</v>
      </c>
      <c r="AJ439">
        <v>14</v>
      </c>
      <c r="AK439" t="str">
        <f t="shared" si="99"/>
        <v>13-15%</v>
      </c>
      <c r="AL439">
        <v>3</v>
      </c>
      <c r="AM439" t="s">
        <v>68</v>
      </c>
      <c r="AN439">
        <v>1</v>
      </c>
      <c r="AO439" t="s">
        <v>69</v>
      </c>
      <c r="AP439">
        <v>80</v>
      </c>
      <c r="AQ439">
        <v>0</v>
      </c>
      <c r="AR439">
        <v>4</v>
      </c>
      <c r="AS439" t="str">
        <f t="shared" si="100"/>
        <v>3-5</v>
      </c>
      <c r="AT439">
        <v>3</v>
      </c>
      <c r="AU439" t="str">
        <f t="shared" si="101"/>
        <v>3-4</v>
      </c>
      <c r="AV439">
        <v>3</v>
      </c>
      <c r="AW439" t="s">
        <v>79</v>
      </c>
      <c r="AX439">
        <v>3</v>
      </c>
      <c r="AY439" t="str">
        <f t="shared" si="90"/>
        <v>2-5</v>
      </c>
      <c r="AZ439">
        <v>2</v>
      </c>
      <c r="BA439" t="str">
        <f t="shared" si="102"/>
        <v>2-5</v>
      </c>
      <c r="BB439">
        <v>1</v>
      </c>
      <c r="BC439" t="str">
        <f t="shared" si="103"/>
        <v>0-1</v>
      </c>
      <c r="BD439">
        <v>2</v>
      </c>
      <c r="BE439" t="str">
        <f t="shared" si="104"/>
        <v>2-5</v>
      </c>
    </row>
    <row r="440" spans="1:57" x14ac:dyDescent="0.3">
      <c r="A440">
        <v>586</v>
      </c>
      <c r="B440">
        <v>35</v>
      </c>
      <c r="C440" t="str">
        <f t="shared" si="91"/>
        <v>26-35</v>
      </c>
      <c r="D440" t="s">
        <v>71</v>
      </c>
      <c r="E440">
        <f t="shared" si="92"/>
        <v>0</v>
      </c>
      <c r="F440" t="s">
        <v>57</v>
      </c>
      <c r="G440">
        <v>1276</v>
      </c>
      <c r="H440" t="str">
        <f t="shared" si="93"/>
        <v>1001-1499</v>
      </c>
      <c r="I440" t="s">
        <v>73</v>
      </c>
      <c r="J440">
        <v>16</v>
      </c>
      <c r="K440" t="str">
        <f t="shared" si="94"/>
        <v>11-20</v>
      </c>
      <c r="L440">
        <v>3</v>
      </c>
      <c r="M440" t="s">
        <v>85</v>
      </c>
      <c r="N440" t="s">
        <v>60</v>
      </c>
      <c r="O440">
        <v>1</v>
      </c>
      <c r="P440">
        <v>4</v>
      </c>
      <c r="Q440" t="s">
        <v>65</v>
      </c>
      <c r="R440" t="s">
        <v>75</v>
      </c>
      <c r="S440">
        <v>72</v>
      </c>
      <c r="T440" t="str">
        <f t="shared" si="95"/>
        <v>51-75</v>
      </c>
      <c r="U440">
        <v>3</v>
      </c>
      <c r="V440" t="s">
        <v>63</v>
      </c>
      <c r="W440">
        <v>3</v>
      </c>
      <c r="X440" t="s">
        <v>88</v>
      </c>
      <c r="Y440">
        <v>3</v>
      </c>
      <c r="Z440" t="s">
        <v>63</v>
      </c>
      <c r="AA440" t="s">
        <v>77</v>
      </c>
      <c r="AB440" s="4">
        <v>7632</v>
      </c>
      <c r="AC440" s="4" t="str">
        <f t="shared" si="96"/>
        <v>$7,000-$8,500</v>
      </c>
      <c r="AD440">
        <v>14295</v>
      </c>
      <c r="AE440" t="str">
        <f t="shared" si="97"/>
        <v>$8,001-$16,000</v>
      </c>
      <c r="AF440">
        <v>4</v>
      </c>
      <c r="AG440" t="str">
        <f t="shared" si="98"/>
        <v>4-6</v>
      </c>
      <c r="AH440" t="s">
        <v>67</v>
      </c>
      <c r="AI440" t="s">
        <v>56</v>
      </c>
      <c r="AJ440">
        <v>12</v>
      </c>
      <c r="AK440" t="str">
        <f t="shared" si="99"/>
        <v>11-12%</v>
      </c>
      <c r="AL440">
        <v>3</v>
      </c>
      <c r="AM440" t="s">
        <v>68</v>
      </c>
      <c r="AN440">
        <v>3</v>
      </c>
      <c r="AO440" t="s">
        <v>63</v>
      </c>
      <c r="AP440">
        <v>80</v>
      </c>
      <c r="AQ440">
        <v>0</v>
      </c>
      <c r="AR440">
        <v>10</v>
      </c>
      <c r="AS440" t="str">
        <f t="shared" si="100"/>
        <v>6-10</v>
      </c>
      <c r="AT440">
        <v>2</v>
      </c>
      <c r="AU440" t="str">
        <f t="shared" si="101"/>
        <v>0-2</v>
      </c>
      <c r="AV440">
        <v>3</v>
      </c>
      <c r="AW440" t="s">
        <v>79</v>
      </c>
      <c r="AX440">
        <v>8</v>
      </c>
      <c r="AY440" t="str">
        <f t="shared" si="90"/>
        <v>6-10</v>
      </c>
      <c r="AZ440">
        <v>7</v>
      </c>
      <c r="BA440" t="str">
        <f t="shared" si="102"/>
        <v>6-10</v>
      </c>
      <c r="BB440">
        <v>0</v>
      </c>
      <c r="BC440" t="str">
        <f t="shared" si="103"/>
        <v>0-1</v>
      </c>
      <c r="BD440">
        <v>0</v>
      </c>
      <c r="BE440" t="str">
        <f t="shared" si="104"/>
        <v>0-1</v>
      </c>
    </row>
    <row r="441" spans="1:57" x14ac:dyDescent="0.3">
      <c r="A441">
        <v>587</v>
      </c>
      <c r="B441">
        <v>31</v>
      </c>
      <c r="C441" t="str">
        <f t="shared" si="91"/>
        <v>26-35</v>
      </c>
      <c r="D441" t="s">
        <v>56</v>
      </c>
      <c r="E441">
        <f t="shared" si="92"/>
        <v>1</v>
      </c>
      <c r="F441" t="s">
        <v>72</v>
      </c>
      <c r="G441">
        <v>534</v>
      </c>
      <c r="H441" t="str">
        <f t="shared" si="93"/>
        <v>501-1000</v>
      </c>
      <c r="I441" t="s">
        <v>73</v>
      </c>
      <c r="J441">
        <v>20</v>
      </c>
      <c r="K441" t="str">
        <f t="shared" si="94"/>
        <v>11-20</v>
      </c>
      <c r="L441">
        <v>3</v>
      </c>
      <c r="M441" t="s">
        <v>85</v>
      </c>
      <c r="N441" t="s">
        <v>60</v>
      </c>
      <c r="O441">
        <v>1</v>
      </c>
      <c r="P441">
        <v>1</v>
      </c>
      <c r="Q441" t="s">
        <v>69</v>
      </c>
      <c r="R441" t="s">
        <v>75</v>
      </c>
      <c r="S441">
        <v>66</v>
      </c>
      <c r="T441" t="str">
        <f t="shared" si="95"/>
        <v>51-75</v>
      </c>
      <c r="U441">
        <v>3</v>
      </c>
      <c r="V441" t="s">
        <v>63</v>
      </c>
      <c r="W441">
        <v>3</v>
      </c>
      <c r="X441" t="s">
        <v>88</v>
      </c>
      <c r="Y441">
        <v>3</v>
      </c>
      <c r="Z441" t="s">
        <v>63</v>
      </c>
      <c r="AA441" t="s">
        <v>77</v>
      </c>
      <c r="AB441" s="4">
        <v>9824</v>
      </c>
      <c r="AC441" s="4" t="str">
        <f t="shared" si="96"/>
        <v>$8,500-$10,000</v>
      </c>
      <c r="AD441">
        <v>22908</v>
      </c>
      <c r="AE441" t="str">
        <f t="shared" si="97"/>
        <v>$22,001-$26,999</v>
      </c>
      <c r="AF441">
        <v>3</v>
      </c>
      <c r="AG441" t="str">
        <f t="shared" si="98"/>
        <v>2-3</v>
      </c>
      <c r="AH441" t="s">
        <v>67</v>
      </c>
      <c r="AI441" t="s">
        <v>71</v>
      </c>
      <c r="AJ441">
        <v>12</v>
      </c>
      <c r="AK441" t="str">
        <f t="shared" si="99"/>
        <v>11-12%</v>
      </c>
      <c r="AL441">
        <v>3</v>
      </c>
      <c r="AM441" t="s">
        <v>68</v>
      </c>
      <c r="AN441">
        <v>1</v>
      </c>
      <c r="AO441" t="s">
        <v>69</v>
      </c>
      <c r="AP441">
        <v>80</v>
      </c>
      <c r="AQ441">
        <v>0</v>
      </c>
      <c r="AR441">
        <v>12</v>
      </c>
      <c r="AS441" t="str">
        <f t="shared" si="100"/>
        <v>11-20</v>
      </c>
      <c r="AT441">
        <v>2</v>
      </c>
      <c r="AU441" t="str">
        <f t="shared" si="101"/>
        <v>0-2</v>
      </c>
      <c r="AV441">
        <v>3</v>
      </c>
      <c r="AW441" t="s">
        <v>79</v>
      </c>
      <c r="AX441">
        <v>1</v>
      </c>
      <c r="AY441" t="str">
        <f t="shared" si="90"/>
        <v>0-1</v>
      </c>
      <c r="AZ441">
        <v>0</v>
      </c>
      <c r="BA441" t="str">
        <f t="shared" si="102"/>
        <v>0-1</v>
      </c>
      <c r="BB441">
        <v>0</v>
      </c>
      <c r="BC441" t="str">
        <f t="shared" si="103"/>
        <v>0-1</v>
      </c>
      <c r="BD441">
        <v>0</v>
      </c>
      <c r="BE441" t="str">
        <f t="shared" si="104"/>
        <v>0-1</v>
      </c>
    </row>
    <row r="442" spans="1:57" x14ac:dyDescent="0.3">
      <c r="A442">
        <v>590</v>
      </c>
      <c r="B442">
        <v>34</v>
      </c>
      <c r="C442" t="str">
        <f t="shared" si="91"/>
        <v>26-35</v>
      </c>
      <c r="D442" t="s">
        <v>56</v>
      </c>
      <c r="E442">
        <f t="shared" si="92"/>
        <v>1</v>
      </c>
      <c r="F442" t="s">
        <v>72</v>
      </c>
      <c r="G442">
        <v>988</v>
      </c>
      <c r="H442" t="str">
        <f t="shared" si="93"/>
        <v>501-1000</v>
      </c>
      <c r="I442" t="s">
        <v>97</v>
      </c>
      <c r="J442">
        <v>23</v>
      </c>
      <c r="K442" t="str">
        <f t="shared" si="94"/>
        <v>21-29</v>
      </c>
      <c r="L442">
        <v>3</v>
      </c>
      <c r="M442" t="s">
        <v>85</v>
      </c>
      <c r="N442" t="s">
        <v>97</v>
      </c>
      <c r="O442">
        <v>1</v>
      </c>
      <c r="P442">
        <v>2</v>
      </c>
      <c r="Q442" t="s">
        <v>61</v>
      </c>
      <c r="R442" t="s">
        <v>62</v>
      </c>
      <c r="S442">
        <v>43</v>
      </c>
      <c r="T442" t="str">
        <f t="shared" si="95"/>
        <v>30-50</v>
      </c>
      <c r="U442">
        <v>3</v>
      </c>
      <c r="V442" t="s">
        <v>63</v>
      </c>
      <c r="W442">
        <v>3</v>
      </c>
      <c r="X442" t="s">
        <v>97</v>
      </c>
      <c r="Y442">
        <v>1</v>
      </c>
      <c r="Z442" t="s">
        <v>69</v>
      </c>
      <c r="AA442" t="s">
        <v>86</v>
      </c>
      <c r="AB442" s="4">
        <v>9950</v>
      </c>
      <c r="AC442" s="4" t="str">
        <f t="shared" si="96"/>
        <v>$8,500-$10,000</v>
      </c>
      <c r="AD442">
        <v>11533</v>
      </c>
      <c r="AE442" t="str">
        <f t="shared" si="97"/>
        <v>$8,001-$16,000</v>
      </c>
      <c r="AF442">
        <v>9</v>
      </c>
      <c r="AG442" t="str">
        <f t="shared" si="98"/>
        <v>7-9</v>
      </c>
      <c r="AH442" t="s">
        <v>67</v>
      </c>
      <c r="AI442" t="s">
        <v>56</v>
      </c>
      <c r="AJ442">
        <v>15</v>
      </c>
      <c r="AK442" t="str">
        <f t="shared" si="99"/>
        <v>13-15%</v>
      </c>
      <c r="AL442">
        <v>3</v>
      </c>
      <c r="AM442" t="s">
        <v>68</v>
      </c>
      <c r="AN442">
        <v>3</v>
      </c>
      <c r="AO442" t="s">
        <v>63</v>
      </c>
      <c r="AP442">
        <v>80</v>
      </c>
      <c r="AQ442">
        <v>3</v>
      </c>
      <c r="AR442">
        <v>11</v>
      </c>
      <c r="AS442" t="str">
        <f t="shared" si="100"/>
        <v>11-20</v>
      </c>
      <c r="AT442">
        <v>2</v>
      </c>
      <c r="AU442" t="str">
        <f t="shared" si="101"/>
        <v>0-2</v>
      </c>
      <c r="AV442">
        <v>3</v>
      </c>
      <c r="AW442" t="s">
        <v>79</v>
      </c>
      <c r="AX442">
        <v>3</v>
      </c>
      <c r="AY442" t="str">
        <f t="shared" si="90"/>
        <v>2-5</v>
      </c>
      <c r="AZ442">
        <v>2</v>
      </c>
      <c r="BA442" t="str">
        <f t="shared" si="102"/>
        <v>2-5</v>
      </c>
      <c r="BB442">
        <v>0</v>
      </c>
      <c r="BC442" t="str">
        <f t="shared" si="103"/>
        <v>0-1</v>
      </c>
      <c r="BD442">
        <v>2</v>
      </c>
      <c r="BE442" t="str">
        <f t="shared" si="104"/>
        <v>2-5</v>
      </c>
    </row>
    <row r="443" spans="1:57" x14ac:dyDescent="0.3">
      <c r="A443">
        <v>591</v>
      </c>
      <c r="B443">
        <v>42</v>
      </c>
      <c r="C443" t="str">
        <f t="shared" si="91"/>
        <v>36-45</v>
      </c>
      <c r="D443" t="s">
        <v>71</v>
      </c>
      <c r="E443">
        <f t="shared" si="92"/>
        <v>0</v>
      </c>
      <c r="F443" t="s">
        <v>72</v>
      </c>
      <c r="G443">
        <v>1474</v>
      </c>
      <c r="H443" t="str">
        <f t="shared" si="93"/>
        <v>1001-1499</v>
      </c>
      <c r="I443" t="s">
        <v>73</v>
      </c>
      <c r="J443">
        <v>5</v>
      </c>
      <c r="K443" t="str">
        <f t="shared" si="94"/>
        <v>1-5</v>
      </c>
      <c r="L443">
        <v>2</v>
      </c>
      <c r="M443" t="s">
        <v>59</v>
      </c>
      <c r="N443" t="s">
        <v>80</v>
      </c>
      <c r="O443">
        <v>1</v>
      </c>
      <c r="P443">
        <v>2</v>
      </c>
      <c r="Q443" t="s">
        <v>61</v>
      </c>
      <c r="R443" t="s">
        <v>75</v>
      </c>
      <c r="S443">
        <v>97</v>
      </c>
      <c r="T443" t="str">
        <f t="shared" si="95"/>
        <v>76-100</v>
      </c>
      <c r="U443">
        <v>3</v>
      </c>
      <c r="V443" t="s">
        <v>63</v>
      </c>
      <c r="W443">
        <v>1</v>
      </c>
      <c r="X443" t="s">
        <v>81</v>
      </c>
      <c r="Y443">
        <v>3</v>
      </c>
      <c r="Z443" t="s">
        <v>63</v>
      </c>
      <c r="AA443" t="s">
        <v>77</v>
      </c>
      <c r="AB443" s="4">
        <v>2093</v>
      </c>
      <c r="AC443" s="4" t="str">
        <f t="shared" si="96"/>
        <v>$1,000-$2,500</v>
      </c>
      <c r="AD443">
        <v>9260</v>
      </c>
      <c r="AE443" t="str">
        <f t="shared" si="97"/>
        <v>$8,001-$16,000</v>
      </c>
      <c r="AF443">
        <v>4</v>
      </c>
      <c r="AG443" t="str">
        <f t="shared" si="98"/>
        <v>4-6</v>
      </c>
      <c r="AH443" t="s">
        <v>67</v>
      </c>
      <c r="AI443" t="s">
        <v>71</v>
      </c>
      <c r="AJ443">
        <v>17</v>
      </c>
      <c r="AK443" t="str">
        <f t="shared" si="99"/>
        <v>16-17%</v>
      </c>
      <c r="AL443">
        <v>3</v>
      </c>
      <c r="AM443" t="s">
        <v>68</v>
      </c>
      <c r="AN443">
        <v>4</v>
      </c>
      <c r="AO443" t="s">
        <v>65</v>
      </c>
      <c r="AP443">
        <v>80</v>
      </c>
      <c r="AQ443">
        <v>1</v>
      </c>
      <c r="AR443">
        <v>8</v>
      </c>
      <c r="AS443" t="str">
        <f t="shared" si="100"/>
        <v>6-10</v>
      </c>
      <c r="AT443">
        <v>4</v>
      </c>
      <c r="AU443" t="str">
        <f t="shared" si="101"/>
        <v>3-4</v>
      </c>
      <c r="AV443">
        <v>3</v>
      </c>
      <c r="AW443" t="s">
        <v>79</v>
      </c>
      <c r="AX443">
        <v>2</v>
      </c>
      <c r="AY443" t="str">
        <f t="shared" si="90"/>
        <v>2-5</v>
      </c>
      <c r="AZ443">
        <v>2</v>
      </c>
      <c r="BA443" t="str">
        <f t="shared" si="102"/>
        <v>2-5</v>
      </c>
      <c r="BB443">
        <v>2</v>
      </c>
      <c r="BC443" t="str">
        <f t="shared" si="103"/>
        <v>2-5</v>
      </c>
      <c r="BD443">
        <v>0</v>
      </c>
      <c r="BE443" t="str">
        <f t="shared" si="104"/>
        <v>0-1</v>
      </c>
    </row>
    <row r="444" spans="1:57" x14ac:dyDescent="0.3">
      <c r="A444">
        <v>592</v>
      </c>
      <c r="B444">
        <v>36</v>
      </c>
      <c r="C444" t="str">
        <f t="shared" si="91"/>
        <v>36-45</v>
      </c>
      <c r="D444" t="s">
        <v>71</v>
      </c>
      <c r="E444">
        <f t="shared" si="92"/>
        <v>0</v>
      </c>
      <c r="F444" t="s">
        <v>89</v>
      </c>
      <c r="G444">
        <v>635</v>
      </c>
      <c r="H444" t="str">
        <f t="shared" si="93"/>
        <v>501-1000</v>
      </c>
      <c r="I444" t="s">
        <v>58</v>
      </c>
      <c r="J444">
        <v>10</v>
      </c>
      <c r="K444" t="str">
        <f t="shared" si="94"/>
        <v>6-10</v>
      </c>
      <c r="L444">
        <v>4</v>
      </c>
      <c r="M444" t="s">
        <v>82</v>
      </c>
      <c r="N444" t="s">
        <v>83</v>
      </c>
      <c r="O444">
        <v>1</v>
      </c>
      <c r="P444">
        <v>2</v>
      </c>
      <c r="Q444" t="s">
        <v>61</v>
      </c>
      <c r="R444" t="s">
        <v>75</v>
      </c>
      <c r="S444">
        <v>32</v>
      </c>
      <c r="T444" t="str">
        <f t="shared" si="95"/>
        <v>30-50</v>
      </c>
      <c r="U444">
        <v>3</v>
      </c>
      <c r="V444" t="s">
        <v>63</v>
      </c>
      <c r="W444">
        <v>3</v>
      </c>
      <c r="X444" t="s">
        <v>64</v>
      </c>
      <c r="Y444">
        <v>4</v>
      </c>
      <c r="Z444" t="s">
        <v>65</v>
      </c>
      <c r="AA444" t="s">
        <v>66</v>
      </c>
      <c r="AB444" s="4">
        <v>9980</v>
      </c>
      <c r="AC444" s="4" t="str">
        <f t="shared" si="96"/>
        <v>$8,500-$10,000</v>
      </c>
      <c r="AD444">
        <v>15318</v>
      </c>
      <c r="AE444" t="str">
        <f t="shared" si="97"/>
        <v>$8,001-$16,000</v>
      </c>
      <c r="AF444">
        <v>1</v>
      </c>
      <c r="AG444" t="str">
        <f t="shared" si="98"/>
        <v>0-1</v>
      </c>
      <c r="AH444" t="s">
        <v>67</v>
      </c>
      <c r="AI444" t="s">
        <v>71</v>
      </c>
      <c r="AJ444">
        <v>14</v>
      </c>
      <c r="AK444" t="str">
        <f t="shared" si="99"/>
        <v>13-15%</v>
      </c>
      <c r="AL444">
        <v>3</v>
      </c>
      <c r="AM444" t="s">
        <v>68</v>
      </c>
      <c r="AN444">
        <v>4</v>
      </c>
      <c r="AO444" t="s">
        <v>65</v>
      </c>
      <c r="AP444">
        <v>80</v>
      </c>
      <c r="AQ444">
        <v>0</v>
      </c>
      <c r="AR444">
        <v>10</v>
      </c>
      <c r="AS444" t="str">
        <f t="shared" si="100"/>
        <v>6-10</v>
      </c>
      <c r="AT444">
        <v>3</v>
      </c>
      <c r="AU444" t="str">
        <f t="shared" si="101"/>
        <v>3-4</v>
      </c>
      <c r="AV444">
        <v>2</v>
      </c>
      <c r="AW444" t="s">
        <v>84</v>
      </c>
      <c r="AX444">
        <v>10</v>
      </c>
      <c r="AY444" t="str">
        <f t="shared" si="90"/>
        <v>6-10</v>
      </c>
      <c r="AZ444">
        <v>3</v>
      </c>
      <c r="BA444" t="str">
        <f t="shared" si="102"/>
        <v>2-5</v>
      </c>
      <c r="BB444">
        <v>9</v>
      </c>
      <c r="BC444" t="str">
        <f t="shared" si="103"/>
        <v>6-10</v>
      </c>
      <c r="BD444">
        <v>7</v>
      </c>
      <c r="BE444" t="str">
        <f t="shared" si="104"/>
        <v>6-10</v>
      </c>
    </row>
    <row r="445" spans="1:57" x14ac:dyDescent="0.3">
      <c r="A445">
        <v>593</v>
      </c>
      <c r="B445">
        <v>22</v>
      </c>
      <c r="C445" t="str">
        <f t="shared" si="91"/>
        <v>18-25</v>
      </c>
      <c r="D445" t="s">
        <v>56</v>
      </c>
      <c r="E445">
        <f t="shared" si="92"/>
        <v>1</v>
      </c>
      <c r="F445" t="s">
        <v>72</v>
      </c>
      <c r="G445">
        <v>1368</v>
      </c>
      <c r="H445" t="str">
        <f t="shared" si="93"/>
        <v>1001-1499</v>
      </c>
      <c r="I445" t="s">
        <v>73</v>
      </c>
      <c r="J445">
        <v>4</v>
      </c>
      <c r="K445" t="str">
        <f t="shared" si="94"/>
        <v>1-5</v>
      </c>
      <c r="L445">
        <v>1</v>
      </c>
      <c r="M445" t="s">
        <v>74</v>
      </c>
      <c r="N445" t="s">
        <v>95</v>
      </c>
      <c r="O445">
        <v>1</v>
      </c>
      <c r="P445">
        <v>3</v>
      </c>
      <c r="Q445" t="s">
        <v>63</v>
      </c>
      <c r="R445" t="s">
        <v>75</v>
      </c>
      <c r="S445">
        <v>99</v>
      </c>
      <c r="T445" t="str">
        <f t="shared" si="95"/>
        <v>76-100</v>
      </c>
      <c r="U445">
        <v>2</v>
      </c>
      <c r="V445" t="s">
        <v>61</v>
      </c>
      <c r="W445">
        <v>1</v>
      </c>
      <c r="X445" t="s">
        <v>81</v>
      </c>
      <c r="Y445">
        <v>3</v>
      </c>
      <c r="Z445" t="s">
        <v>63</v>
      </c>
      <c r="AA445" t="s">
        <v>66</v>
      </c>
      <c r="AB445" s="4">
        <v>3894</v>
      </c>
      <c r="AC445" s="4" t="str">
        <f t="shared" si="96"/>
        <v>$2,500-$4,000</v>
      </c>
      <c r="AD445">
        <v>9129</v>
      </c>
      <c r="AE445" t="str">
        <f t="shared" si="97"/>
        <v>$8,001-$16,000</v>
      </c>
      <c r="AF445">
        <v>5</v>
      </c>
      <c r="AG445" t="str">
        <f t="shared" si="98"/>
        <v>4-6</v>
      </c>
      <c r="AH445" t="s">
        <v>67</v>
      </c>
      <c r="AI445" t="s">
        <v>71</v>
      </c>
      <c r="AJ445">
        <v>16</v>
      </c>
      <c r="AK445" t="str">
        <f t="shared" si="99"/>
        <v>16-17%</v>
      </c>
      <c r="AL445">
        <v>3</v>
      </c>
      <c r="AM445" t="s">
        <v>68</v>
      </c>
      <c r="AN445">
        <v>3</v>
      </c>
      <c r="AO445" t="s">
        <v>63</v>
      </c>
      <c r="AP445">
        <v>80</v>
      </c>
      <c r="AQ445">
        <v>0</v>
      </c>
      <c r="AR445">
        <v>4</v>
      </c>
      <c r="AS445" t="str">
        <f t="shared" si="100"/>
        <v>3-5</v>
      </c>
      <c r="AT445">
        <v>3</v>
      </c>
      <c r="AU445" t="str">
        <f t="shared" si="101"/>
        <v>3-4</v>
      </c>
      <c r="AV445">
        <v>3</v>
      </c>
      <c r="AW445" t="s">
        <v>79</v>
      </c>
      <c r="AX445">
        <v>2</v>
      </c>
      <c r="AY445" t="str">
        <f t="shared" si="90"/>
        <v>2-5</v>
      </c>
      <c r="AZ445">
        <v>2</v>
      </c>
      <c r="BA445" t="str">
        <f t="shared" si="102"/>
        <v>2-5</v>
      </c>
      <c r="BB445">
        <v>1</v>
      </c>
      <c r="BC445" t="str">
        <f t="shared" si="103"/>
        <v>0-1</v>
      </c>
      <c r="BD445">
        <v>2</v>
      </c>
      <c r="BE445" t="str">
        <f t="shared" si="104"/>
        <v>2-5</v>
      </c>
    </row>
    <row r="446" spans="1:57" x14ac:dyDescent="0.3">
      <c r="A446">
        <v>595</v>
      </c>
      <c r="B446">
        <v>48</v>
      </c>
      <c r="C446" t="str">
        <f t="shared" si="91"/>
        <v>46-55</v>
      </c>
      <c r="D446" t="s">
        <v>71</v>
      </c>
      <c r="E446">
        <f t="shared" si="92"/>
        <v>0</v>
      </c>
      <c r="F446" t="s">
        <v>57</v>
      </c>
      <c r="G446">
        <v>163</v>
      </c>
      <c r="H446" t="str">
        <f t="shared" si="93"/>
        <v>102-500</v>
      </c>
      <c r="I446" t="s">
        <v>58</v>
      </c>
      <c r="J446">
        <v>2</v>
      </c>
      <c r="K446" t="str">
        <f t="shared" si="94"/>
        <v>1-5</v>
      </c>
      <c r="L446">
        <v>5</v>
      </c>
      <c r="M446" t="s">
        <v>96</v>
      </c>
      <c r="N446" t="s">
        <v>93</v>
      </c>
      <c r="O446">
        <v>1</v>
      </c>
      <c r="P446">
        <v>2</v>
      </c>
      <c r="Q446" t="s">
        <v>61</v>
      </c>
      <c r="R446" t="s">
        <v>62</v>
      </c>
      <c r="S446">
        <v>37</v>
      </c>
      <c r="T446" t="str">
        <f t="shared" si="95"/>
        <v>30-50</v>
      </c>
      <c r="U446">
        <v>3</v>
      </c>
      <c r="V446" t="s">
        <v>63</v>
      </c>
      <c r="W446">
        <v>2</v>
      </c>
      <c r="X446" t="s">
        <v>64</v>
      </c>
      <c r="Y446">
        <v>4</v>
      </c>
      <c r="Z446" t="s">
        <v>65</v>
      </c>
      <c r="AA446" t="s">
        <v>77</v>
      </c>
      <c r="AB446" s="4">
        <v>4051</v>
      </c>
      <c r="AC446" s="4" t="str">
        <f t="shared" si="96"/>
        <v>$4,000-$5,500</v>
      </c>
      <c r="AD446">
        <v>19658</v>
      </c>
      <c r="AE446" t="str">
        <f t="shared" si="97"/>
        <v>$16,001-$22,000</v>
      </c>
      <c r="AF446">
        <v>2</v>
      </c>
      <c r="AG446" t="str">
        <f t="shared" si="98"/>
        <v>2-3</v>
      </c>
      <c r="AH446" t="s">
        <v>67</v>
      </c>
      <c r="AI446" t="s">
        <v>71</v>
      </c>
      <c r="AJ446">
        <v>14</v>
      </c>
      <c r="AK446" t="str">
        <f t="shared" si="99"/>
        <v>13-15%</v>
      </c>
      <c r="AL446">
        <v>3</v>
      </c>
      <c r="AM446" t="s">
        <v>68</v>
      </c>
      <c r="AN446">
        <v>1</v>
      </c>
      <c r="AO446" t="s">
        <v>69</v>
      </c>
      <c r="AP446">
        <v>80</v>
      </c>
      <c r="AQ446">
        <v>1</v>
      </c>
      <c r="AR446">
        <v>14</v>
      </c>
      <c r="AS446" t="str">
        <f t="shared" si="100"/>
        <v>11-20</v>
      </c>
      <c r="AT446">
        <v>2</v>
      </c>
      <c r="AU446" t="str">
        <f t="shared" si="101"/>
        <v>0-2</v>
      </c>
      <c r="AV446">
        <v>3</v>
      </c>
      <c r="AW446" t="s">
        <v>79</v>
      </c>
      <c r="AX446">
        <v>9</v>
      </c>
      <c r="AY446" t="str">
        <f t="shared" si="90"/>
        <v>6-10</v>
      </c>
      <c r="AZ446">
        <v>7</v>
      </c>
      <c r="BA446" t="str">
        <f t="shared" si="102"/>
        <v>6-10</v>
      </c>
      <c r="BB446">
        <v>6</v>
      </c>
      <c r="BC446" t="str">
        <f t="shared" si="103"/>
        <v>6-10</v>
      </c>
      <c r="BD446">
        <v>7</v>
      </c>
      <c r="BE446" t="str">
        <f t="shared" si="104"/>
        <v>6-10</v>
      </c>
    </row>
    <row r="447" spans="1:57" x14ac:dyDescent="0.3">
      <c r="A447">
        <v>597</v>
      </c>
      <c r="B447">
        <v>55</v>
      </c>
      <c r="C447" t="str">
        <f t="shared" si="91"/>
        <v>46-55</v>
      </c>
      <c r="D447" t="s">
        <v>71</v>
      </c>
      <c r="E447">
        <f t="shared" si="92"/>
        <v>0</v>
      </c>
      <c r="F447" t="s">
        <v>57</v>
      </c>
      <c r="G447">
        <v>1117</v>
      </c>
      <c r="H447" t="str">
        <f t="shared" si="93"/>
        <v>1001-1499</v>
      </c>
      <c r="I447" t="s">
        <v>58</v>
      </c>
      <c r="J447">
        <v>18</v>
      </c>
      <c r="K447" t="str">
        <f t="shared" si="94"/>
        <v>11-20</v>
      </c>
      <c r="L447">
        <v>5</v>
      </c>
      <c r="M447" t="s">
        <v>96</v>
      </c>
      <c r="N447" t="s">
        <v>60</v>
      </c>
      <c r="O447">
        <v>1</v>
      </c>
      <c r="P447">
        <v>1</v>
      </c>
      <c r="Q447" t="s">
        <v>69</v>
      </c>
      <c r="R447" t="s">
        <v>62</v>
      </c>
      <c r="S447">
        <v>83</v>
      </c>
      <c r="T447" t="str">
        <f t="shared" si="95"/>
        <v>76-100</v>
      </c>
      <c r="U447">
        <v>3</v>
      </c>
      <c r="V447" t="s">
        <v>63</v>
      </c>
      <c r="W447">
        <v>4</v>
      </c>
      <c r="X447" t="s">
        <v>90</v>
      </c>
      <c r="Y447">
        <v>2</v>
      </c>
      <c r="Z447" t="s">
        <v>61</v>
      </c>
      <c r="AA447" t="s">
        <v>66</v>
      </c>
      <c r="AB447" s="4">
        <v>16835</v>
      </c>
      <c r="AC447" s="4" t="str">
        <f t="shared" si="96"/>
        <v>$16,000-$17,500</v>
      </c>
      <c r="AD447">
        <v>9873</v>
      </c>
      <c r="AE447" t="str">
        <f t="shared" si="97"/>
        <v>$8,001-$16,000</v>
      </c>
      <c r="AF447">
        <v>3</v>
      </c>
      <c r="AG447" t="str">
        <f t="shared" si="98"/>
        <v>2-3</v>
      </c>
      <c r="AH447" t="s">
        <v>67</v>
      </c>
      <c r="AI447" t="s">
        <v>71</v>
      </c>
      <c r="AJ447">
        <v>23</v>
      </c>
      <c r="AK447" t="str">
        <f t="shared" si="99"/>
        <v>18-19%</v>
      </c>
      <c r="AL447">
        <v>4</v>
      </c>
      <c r="AM447" t="s">
        <v>78</v>
      </c>
      <c r="AN447">
        <v>4</v>
      </c>
      <c r="AO447" t="s">
        <v>65</v>
      </c>
      <c r="AP447">
        <v>80</v>
      </c>
      <c r="AQ447">
        <v>0</v>
      </c>
      <c r="AR447">
        <v>37</v>
      </c>
      <c r="AS447" t="str">
        <f t="shared" si="100"/>
        <v>21-40</v>
      </c>
      <c r="AT447">
        <v>2</v>
      </c>
      <c r="AU447" t="str">
        <f t="shared" si="101"/>
        <v>0-2</v>
      </c>
      <c r="AV447">
        <v>3</v>
      </c>
      <c r="AW447" t="s">
        <v>79</v>
      </c>
      <c r="AX447">
        <v>10</v>
      </c>
      <c r="AY447" t="str">
        <f t="shared" si="90"/>
        <v>6-10</v>
      </c>
      <c r="AZ447">
        <v>9</v>
      </c>
      <c r="BA447" t="str">
        <f t="shared" si="102"/>
        <v>6-10</v>
      </c>
      <c r="BB447">
        <v>7</v>
      </c>
      <c r="BC447" t="str">
        <f t="shared" si="103"/>
        <v>6-10</v>
      </c>
      <c r="BD447">
        <v>7</v>
      </c>
      <c r="BE447" t="str">
        <f t="shared" si="104"/>
        <v>6-10</v>
      </c>
    </row>
    <row r="448" spans="1:57" x14ac:dyDescent="0.3">
      <c r="A448">
        <v>599</v>
      </c>
      <c r="B448">
        <v>41</v>
      </c>
      <c r="C448" t="str">
        <f t="shared" si="91"/>
        <v>36-45</v>
      </c>
      <c r="D448" t="s">
        <v>71</v>
      </c>
      <c r="E448">
        <f t="shared" si="92"/>
        <v>0</v>
      </c>
      <c r="F448" t="s">
        <v>89</v>
      </c>
      <c r="G448">
        <v>267</v>
      </c>
      <c r="H448" t="str">
        <f t="shared" si="93"/>
        <v>102-500</v>
      </c>
      <c r="I448" t="s">
        <v>58</v>
      </c>
      <c r="J448">
        <v>10</v>
      </c>
      <c r="K448" t="str">
        <f t="shared" si="94"/>
        <v>6-10</v>
      </c>
      <c r="L448">
        <v>2</v>
      </c>
      <c r="M448" t="s">
        <v>59</v>
      </c>
      <c r="N448" t="s">
        <v>60</v>
      </c>
      <c r="O448">
        <v>1</v>
      </c>
      <c r="P448">
        <v>4</v>
      </c>
      <c r="Q448" t="s">
        <v>65</v>
      </c>
      <c r="R448" t="s">
        <v>75</v>
      </c>
      <c r="S448">
        <v>56</v>
      </c>
      <c r="T448" t="str">
        <f t="shared" si="95"/>
        <v>51-75</v>
      </c>
      <c r="U448">
        <v>3</v>
      </c>
      <c r="V448" t="s">
        <v>63</v>
      </c>
      <c r="W448">
        <v>2</v>
      </c>
      <c r="X448" t="s">
        <v>64</v>
      </c>
      <c r="Y448">
        <v>4</v>
      </c>
      <c r="Z448" t="s">
        <v>65</v>
      </c>
      <c r="AA448" t="s">
        <v>66</v>
      </c>
      <c r="AB448" s="4">
        <v>6230</v>
      </c>
      <c r="AC448" s="4" t="str">
        <f t="shared" si="96"/>
        <v>$5,500-$7,000</v>
      </c>
      <c r="AD448">
        <v>13430</v>
      </c>
      <c r="AE448" t="str">
        <f t="shared" si="97"/>
        <v>$8,001-$16,000</v>
      </c>
      <c r="AF448">
        <v>7</v>
      </c>
      <c r="AG448" t="str">
        <f t="shared" si="98"/>
        <v>7-9</v>
      </c>
      <c r="AH448" t="s">
        <v>67</v>
      </c>
      <c r="AI448" t="s">
        <v>71</v>
      </c>
      <c r="AJ448">
        <v>14</v>
      </c>
      <c r="AK448" t="str">
        <f t="shared" si="99"/>
        <v>13-15%</v>
      </c>
      <c r="AL448">
        <v>3</v>
      </c>
      <c r="AM448" t="s">
        <v>68</v>
      </c>
      <c r="AN448">
        <v>4</v>
      </c>
      <c r="AO448" t="s">
        <v>65</v>
      </c>
      <c r="AP448">
        <v>80</v>
      </c>
      <c r="AQ448">
        <v>0</v>
      </c>
      <c r="AR448">
        <v>16</v>
      </c>
      <c r="AS448" t="str">
        <f t="shared" si="100"/>
        <v>11-20</v>
      </c>
      <c r="AT448">
        <v>3</v>
      </c>
      <c r="AU448" t="str">
        <f t="shared" si="101"/>
        <v>3-4</v>
      </c>
      <c r="AV448">
        <v>3</v>
      </c>
      <c r="AW448" t="s">
        <v>79</v>
      </c>
      <c r="AX448">
        <v>14</v>
      </c>
      <c r="AY448" t="str">
        <f t="shared" si="90"/>
        <v>11-20</v>
      </c>
      <c r="AZ448">
        <v>3</v>
      </c>
      <c r="BA448" t="str">
        <f t="shared" si="102"/>
        <v>2-5</v>
      </c>
      <c r="BB448">
        <v>1</v>
      </c>
      <c r="BC448" t="str">
        <f t="shared" si="103"/>
        <v>0-1</v>
      </c>
      <c r="BD448">
        <v>10</v>
      </c>
      <c r="BE448" t="str">
        <f t="shared" si="104"/>
        <v>6-10</v>
      </c>
    </row>
    <row r="449" spans="1:57" x14ac:dyDescent="0.3">
      <c r="A449">
        <v>600</v>
      </c>
      <c r="B449">
        <v>35</v>
      </c>
      <c r="C449" t="str">
        <f t="shared" si="91"/>
        <v>26-35</v>
      </c>
      <c r="D449" t="s">
        <v>71</v>
      </c>
      <c r="E449">
        <f t="shared" si="92"/>
        <v>0</v>
      </c>
      <c r="F449" t="s">
        <v>57</v>
      </c>
      <c r="G449">
        <v>619</v>
      </c>
      <c r="H449" t="str">
        <f t="shared" si="93"/>
        <v>501-1000</v>
      </c>
      <c r="I449" t="s">
        <v>58</v>
      </c>
      <c r="J449">
        <v>1</v>
      </c>
      <c r="K449" t="str">
        <f t="shared" si="94"/>
        <v>1-5</v>
      </c>
      <c r="L449">
        <v>3</v>
      </c>
      <c r="M449" t="s">
        <v>85</v>
      </c>
      <c r="N449" t="s">
        <v>93</v>
      </c>
      <c r="O449">
        <v>1</v>
      </c>
      <c r="P449">
        <v>2</v>
      </c>
      <c r="Q449" t="s">
        <v>61</v>
      </c>
      <c r="R449" t="s">
        <v>75</v>
      </c>
      <c r="S449">
        <v>85</v>
      </c>
      <c r="T449" t="str">
        <f t="shared" si="95"/>
        <v>76-100</v>
      </c>
      <c r="U449">
        <v>3</v>
      </c>
      <c r="V449" t="s">
        <v>63</v>
      </c>
      <c r="W449">
        <v>2</v>
      </c>
      <c r="X449" t="s">
        <v>64</v>
      </c>
      <c r="Y449">
        <v>3</v>
      </c>
      <c r="Z449" t="s">
        <v>63</v>
      </c>
      <c r="AA449" t="s">
        <v>77</v>
      </c>
      <c r="AB449" s="4">
        <v>4717</v>
      </c>
      <c r="AC449" s="4" t="str">
        <f t="shared" si="96"/>
        <v>$4,000-$5,500</v>
      </c>
      <c r="AD449">
        <v>18659</v>
      </c>
      <c r="AE449" t="str">
        <f t="shared" si="97"/>
        <v>$16,001-$22,000</v>
      </c>
      <c r="AF449">
        <v>9</v>
      </c>
      <c r="AG449" t="str">
        <f t="shared" si="98"/>
        <v>7-9</v>
      </c>
      <c r="AH449" t="s">
        <v>67</v>
      </c>
      <c r="AI449" t="s">
        <v>71</v>
      </c>
      <c r="AJ449">
        <v>11</v>
      </c>
      <c r="AK449" t="str">
        <f t="shared" si="99"/>
        <v>11-12%</v>
      </c>
      <c r="AL449">
        <v>3</v>
      </c>
      <c r="AM449" t="s">
        <v>68</v>
      </c>
      <c r="AN449">
        <v>3</v>
      </c>
      <c r="AO449" t="s">
        <v>63</v>
      </c>
      <c r="AP449">
        <v>80</v>
      </c>
      <c r="AQ449">
        <v>0</v>
      </c>
      <c r="AR449">
        <v>15</v>
      </c>
      <c r="AS449" t="str">
        <f t="shared" si="100"/>
        <v>11-20</v>
      </c>
      <c r="AT449">
        <v>2</v>
      </c>
      <c r="AU449" t="str">
        <f t="shared" si="101"/>
        <v>0-2</v>
      </c>
      <c r="AV449">
        <v>3</v>
      </c>
      <c r="AW449" t="s">
        <v>79</v>
      </c>
      <c r="AX449">
        <v>11</v>
      </c>
      <c r="AY449" t="str">
        <f t="shared" si="90"/>
        <v>11-20</v>
      </c>
      <c r="AZ449">
        <v>9</v>
      </c>
      <c r="BA449" t="str">
        <f t="shared" si="102"/>
        <v>6-10</v>
      </c>
      <c r="BB449">
        <v>6</v>
      </c>
      <c r="BC449" t="str">
        <f t="shared" si="103"/>
        <v>6-10</v>
      </c>
      <c r="BD449">
        <v>9</v>
      </c>
      <c r="BE449" t="str">
        <f t="shared" si="104"/>
        <v>6-10</v>
      </c>
    </row>
    <row r="450" spans="1:57" x14ac:dyDescent="0.3">
      <c r="A450">
        <v>601</v>
      </c>
      <c r="B450">
        <v>40</v>
      </c>
      <c r="C450" t="str">
        <f t="shared" si="91"/>
        <v>36-45</v>
      </c>
      <c r="D450" t="s">
        <v>71</v>
      </c>
      <c r="E450">
        <f t="shared" si="92"/>
        <v>0</v>
      </c>
      <c r="F450" t="s">
        <v>57</v>
      </c>
      <c r="G450">
        <v>302</v>
      </c>
      <c r="H450" t="str">
        <f t="shared" si="93"/>
        <v>102-500</v>
      </c>
      <c r="I450" t="s">
        <v>73</v>
      </c>
      <c r="J450">
        <v>6</v>
      </c>
      <c r="K450" t="str">
        <f t="shared" si="94"/>
        <v>6-10</v>
      </c>
      <c r="L450">
        <v>3</v>
      </c>
      <c r="M450" t="s">
        <v>85</v>
      </c>
      <c r="N450" t="s">
        <v>60</v>
      </c>
      <c r="O450">
        <v>1</v>
      </c>
      <c r="P450">
        <v>2</v>
      </c>
      <c r="Q450" t="s">
        <v>61</v>
      </c>
      <c r="R450" t="s">
        <v>62</v>
      </c>
      <c r="S450">
        <v>75</v>
      </c>
      <c r="T450" t="str">
        <f t="shared" si="95"/>
        <v>51-75</v>
      </c>
      <c r="U450">
        <v>3</v>
      </c>
      <c r="V450" t="s">
        <v>63</v>
      </c>
      <c r="W450">
        <v>4</v>
      </c>
      <c r="X450" t="s">
        <v>87</v>
      </c>
      <c r="Y450">
        <v>3</v>
      </c>
      <c r="Z450" t="s">
        <v>63</v>
      </c>
      <c r="AA450" t="s">
        <v>66</v>
      </c>
      <c r="AB450" s="4">
        <v>13237</v>
      </c>
      <c r="AC450" s="4" t="str">
        <f t="shared" si="96"/>
        <v>$13,000-$14,500</v>
      </c>
      <c r="AD450">
        <v>20364</v>
      </c>
      <c r="AE450" t="str">
        <f t="shared" si="97"/>
        <v>$16,001-$22,000</v>
      </c>
      <c r="AF450">
        <v>7</v>
      </c>
      <c r="AG450" t="str">
        <f t="shared" si="98"/>
        <v>7-9</v>
      </c>
      <c r="AH450" t="s">
        <v>67</v>
      </c>
      <c r="AI450" t="s">
        <v>71</v>
      </c>
      <c r="AJ450">
        <v>15</v>
      </c>
      <c r="AK450" t="str">
        <f t="shared" si="99"/>
        <v>13-15%</v>
      </c>
      <c r="AL450">
        <v>3</v>
      </c>
      <c r="AM450" t="s">
        <v>68</v>
      </c>
      <c r="AN450">
        <v>3</v>
      </c>
      <c r="AO450" t="s">
        <v>63</v>
      </c>
      <c r="AP450">
        <v>80</v>
      </c>
      <c r="AQ450">
        <v>0</v>
      </c>
      <c r="AR450">
        <v>22</v>
      </c>
      <c r="AS450" t="str">
        <f t="shared" si="100"/>
        <v>21-40</v>
      </c>
      <c r="AT450">
        <v>3</v>
      </c>
      <c r="AU450" t="str">
        <f t="shared" si="101"/>
        <v>3-4</v>
      </c>
      <c r="AV450">
        <v>3</v>
      </c>
      <c r="AW450" t="s">
        <v>79</v>
      </c>
      <c r="AX450">
        <v>20</v>
      </c>
      <c r="AY450" t="str">
        <f t="shared" ref="AY450:AY513" si="105">IF(AX450&lt;=1,"0-1",IF(AX450&lt;=5,"2-5",IF(AX450&lt;=10,"6-10",IF(AX450&lt;=20,"11-20","21-40"))))</f>
        <v>11-20</v>
      </c>
      <c r="AZ450">
        <v>6</v>
      </c>
      <c r="BA450" t="str">
        <f t="shared" si="102"/>
        <v>6-10</v>
      </c>
      <c r="BB450">
        <v>5</v>
      </c>
      <c r="BC450" t="str">
        <f t="shared" si="103"/>
        <v>2-5</v>
      </c>
      <c r="BD450">
        <v>13</v>
      </c>
      <c r="BE450" t="str">
        <f t="shared" si="104"/>
        <v>11-17</v>
      </c>
    </row>
    <row r="451" spans="1:57" x14ac:dyDescent="0.3">
      <c r="A451">
        <v>602</v>
      </c>
      <c r="B451">
        <v>39</v>
      </c>
      <c r="C451" t="str">
        <f t="shared" ref="C451:C514" si="106">IF(B451&lt;=25, "18-25", IF(B451&lt;=35, "26-35", IF(B451&lt;=45, "36-45", IF(B451&lt;=55, "46-55", "56+"))))</f>
        <v>36-45</v>
      </c>
      <c r="D451" t="s">
        <v>71</v>
      </c>
      <c r="E451">
        <f t="shared" ref="E451:E514" si="107">IF(D451="Yes",1,0)</f>
        <v>0</v>
      </c>
      <c r="F451" t="s">
        <v>72</v>
      </c>
      <c r="G451">
        <v>443</v>
      </c>
      <c r="H451" t="str">
        <f t="shared" ref="H451:H514" si="108">IF(G451&lt;=500,"102-500",IF(G451&lt;=1000,"501-1000","1001-1499"))</f>
        <v>102-500</v>
      </c>
      <c r="I451" t="s">
        <v>73</v>
      </c>
      <c r="J451">
        <v>8</v>
      </c>
      <c r="K451" t="str">
        <f t="shared" ref="K451:K514" si="109">IF(J451&lt;=5,"1-5",IF(J451&lt;=10,"6-10",IF(J451&lt;=20,"11-20","21-29")))</f>
        <v>6-10</v>
      </c>
      <c r="L451">
        <v>1</v>
      </c>
      <c r="M451" t="s">
        <v>74</v>
      </c>
      <c r="N451" t="s">
        <v>60</v>
      </c>
      <c r="O451">
        <v>1</v>
      </c>
      <c r="P451">
        <v>3</v>
      </c>
      <c r="Q451" t="s">
        <v>63</v>
      </c>
      <c r="R451" t="s">
        <v>62</v>
      </c>
      <c r="S451">
        <v>48</v>
      </c>
      <c r="T451" t="str">
        <f t="shared" ref="T451:T514" si="110">IF(S451&lt;=50,"30-50",IF(S451&lt;=75,"51-75","76-100"))</f>
        <v>30-50</v>
      </c>
      <c r="U451">
        <v>3</v>
      </c>
      <c r="V451" t="s">
        <v>63</v>
      </c>
      <c r="W451">
        <v>1</v>
      </c>
      <c r="X451" t="s">
        <v>81</v>
      </c>
      <c r="Y451">
        <v>3</v>
      </c>
      <c r="Z451" t="s">
        <v>63</v>
      </c>
      <c r="AA451" t="s">
        <v>77</v>
      </c>
      <c r="AB451" s="4">
        <v>3755</v>
      </c>
      <c r="AC451" s="4" t="str">
        <f t="shared" ref="AC451:AC514" si="111">IF(AB451&lt;2500,"$1,000-$2,500",IF(AB451&lt;4000,"$2,500-$4,000",IF(AB451&lt;5500,"$4,000-$5,500",IF(AB451&lt;7000,"$5,500-$7,000",IF(AB451&lt;8500,"$7,000-$8,500",IF(AB451&lt;10000,"$8,500-$10,000",IF(AB451&lt;11500,"$10,000-$11,500",IF(AB451&lt;13000,"$11,500-$13,000",IF(AB451&lt;14500,"$13,000-$14,500",IF(AB451&lt;16000,"$14,500-$16,000",IF(AB451&lt;17500,"$16,000-$17,500",IF(AB451&lt;19000,"$17,500-$19,000",IF(AB451&lt;20500,"$19,000-$20,500",IF(AB451&lt;22000,"$20,500-$22,000",IF(AB451&lt;23500,"$22,000-$23,500",IF(AB451&lt;25000,"$23,500-$25,000",IF(AB451&lt;26500,"$25,000-$26,500",IF(AB451&lt;28000,"$26,500-$28,000",IF(AB451&lt;29500,"$28,000-$29,500","$29,500+")))))))))))))))))))</f>
        <v>$2,500-$4,000</v>
      </c>
      <c r="AD451">
        <v>17872</v>
      </c>
      <c r="AE451" t="str">
        <f t="shared" ref="AE451:AE514" si="112">IF(AD451&lt;=8000,"$2,094-$8,000",IF(AD451&lt;=16000,"$8,001-$16,000",IF(AD451&lt;=22000,"$16,001-$22,000","$22,001-$26,999")))</f>
        <v>$16,001-$22,000</v>
      </c>
      <c r="AF451">
        <v>1</v>
      </c>
      <c r="AG451" t="str">
        <f t="shared" ref="AG451:AG514" si="113">IF(AF451&lt;=1,"0-1",IF(AF451&lt;=3,"2-3",IF(AF451&lt;=6,"4-6","7-9")))</f>
        <v>0-1</v>
      </c>
      <c r="AH451" t="s">
        <v>67</v>
      </c>
      <c r="AI451" t="s">
        <v>71</v>
      </c>
      <c r="AJ451">
        <v>11</v>
      </c>
      <c r="AK451" t="str">
        <f t="shared" ref="AK451:AK514" si="114">IF(AJ451&lt;=12,"11-12%",IF(AJ451&lt;=15,"13-15%",IF(AJ451&lt;=17,"16-17%","18-19%")))</f>
        <v>11-12%</v>
      </c>
      <c r="AL451">
        <v>3</v>
      </c>
      <c r="AM451" t="s">
        <v>68</v>
      </c>
      <c r="AN451">
        <v>1</v>
      </c>
      <c r="AO451" t="s">
        <v>69</v>
      </c>
      <c r="AP451">
        <v>80</v>
      </c>
      <c r="AQ451">
        <v>1</v>
      </c>
      <c r="AR451">
        <v>8</v>
      </c>
      <c r="AS451" t="str">
        <f t="shared" ref="AS451:AS514" si="115">IF(AR451&lt;=2,"0-2",IF(AR451&lt;=5,"3-5",IF(AR451&lt;=10,"6-10",IF(AR451&lt;=20,"11-20","21-40"))))</f>
        <v>6-10</v>
      </c>
      <c r="AT451">
        <v>3</v>
      </c>
      <c r="AU451" t="str">
        <f t="shared" ref="AU451:AU514" si="116">IF(AT451&lt;=2,"0-2",IF(AT451&lt;=4,"3-4","5-6"))</f>
        <v>3-4</v>
      </c>
      <c r="AV451">
        <v>3</v>
      </c>
      <c r="AW451" t="s">
        <v>79</v>
      </c>
      <c r="AX451">
        <v>8</v>
      </c>
      <c r="AY451" t="str">
        <f t="shared" si="105"/>
        <v>6-10</v>
      </c>
      <c r="AZ451">
        <v>3</v>
      </c>
      <c r="BA451" t="str">
        <f t="shared" ref="BA451:BA514" si="117">IF(AZ451&lt;=1,"0-1",IF(AZ451&lt;=5,"2-5",IF(AZ451&lt;=10,"6-10","11-18")))</f>
        <v>2-5</v>
      </c>
      <c r="BB451">
        <v>0</v>
      </c>
      <c r="BC451" t="str">
        <f t="shared" ref="BC451:BC514" si="118">IF(BB451&lt;=1,"0-1",IF(BB451&lt;=5,"2-5",IF(BB451&lt;=10,"6-10","11-15")))</f>
        <v>0-1</v>
      </c>
      <c r="BD451">
        <v>7</v>
      </c>
      <c r="BE451" t="str">
        <f t="shared" ref="BE451:BE514" si="119">IF(BD451&lt;=1,"0-1",IF(BD451&lt;=5,"2-5",IF(BD451&lt;=10,"6-10","11-17")))</f>
        <v>6-10</v>
      </c>
    </row>
    <row r="452" spans="1:57" x14ac:dyDescent="0.3">
      <c r="A452">
        <v>604</v>
      </c>
      <c r="B452">
        <v>31</v>
      </c>
      <c r="C452" t="str">
        <f t="shared" si="106"/>
        <v>26-35</v>
      </c>
      <c r="D452" t="s">
        <v>71</v>
      </c>
      <c r="E452">
        <f t="shared" si="107"/>
        <v>0</v>
      </c>
      <c r="F452" t="s">
        <v>57</v>
      </c>
      <c r="G452">
        <v>828</v>
      </c>
      <c r="H452" t="str">
        <f t="shared" si="108"/>
        <v>501-1000</v>
      </c>
      <c r="I452" t="s">
        <v>58</v>
      </c>
      <c r="J452">
        <v>2</v>
      </c>
      <c r="K452" t="str">
        <f t="shared" si="109"/>
        <v>1-5</v>
      </c>
      <c r="L452">
        <v>1</v>
      </c>
      <c r="M452" t="s">
        <v>74</v>
      </c>
      <c r="N452" t="s">
        <v>60</v>
      </c>
      <c r="O452">
        <v>1</v>
      </c>
      <c r="P452">
        <v>2</v>
      </c>
      <c r="Q452" t="s">
        <v>61</v>
      </c>
      <c r="R452" t="s">
        <v>75</v>
      </c>
      <c r="S452">
        <v>77</v>
      </c>
      <c r="T452" t="str">
        <f t="shared" si="110"/>
        <v>76-100</v>
      </c>
      <c r="U452">
        <v>3</v>
      </c>
      <c r="V452" t="s">
        <v>63</v>
      </c>
      <c r="W452">
        <v>2</v>
      </c>
      <c r="X452" t="s">
        <v>64</v>
      </c>
      <c r="Y452">
        <v>4</v>
      </c>
      <c r="Z452" t="s">
        <v>65</v>
      </c>
      <c r="AA452" t="s">
        <v>66</v>
      </c>
      <c r="AB452" s="4">
        <v>6582</v>
      </c>
      <c r="AC452" s="4" t="str">
        <f t="shared" si="111"/>
        <v>$5,500-$7,000</v>
      </c>
      <c r="AD452">
        <v>8346</v>
      </c>
      <c r="AE452" t="str">
        <f t="shared" si="112"/>
        <v>$8,001-$16,000</v>
      </c>
      <c r="AF452">
        <v>4</v>
      </c>
      <c r="AG452" t="str">
        <f t="shared" si="113"/>
        <v>4-6</v>
      </c>
      <c r="AH452" t="s">
        <v>67</v>
      </c>
      <c r="AI452" t="s">
        <v>56</v>
      </c>
      <c r="AJ452">
        <v>13</v>
      </c>
      <c r="AK452" t="str">
        <f t="shared" si="114"/>
        <v>13-15%</v>
      </c>
      <c r="AL452">
        <v>3</v>
      </c>
      <c r="AM452" t="s">
        <v>68</v>
      </c>
      <c r="AN452">
        <v>3</v>
      </c>
      <c r="AO452" t="s">
        <v>63</v>
      </c>
      <c r="AP452">
        <v>80</v>
      </c>
      <c r="AQ452">
        <v>0</v>
      </c>
      <c r="AR452">
        <v>10</v>
      </c>
      <c r="AS452" t="str">
        <f t="shared" si="115"/>
        <v>6-10</v>
      </c>
      <c r="AT452">
        <v>2</v>
      </c>
      <c r="AU452" t="str">
        <f t="shared" si="116"/>
        <v>0-2</v>
      </c>
      <c r="AV452">
        <v>4</v>
      </c>
      <c r="AW452" t="s">
        <v>94</v>
      </c>
      <c r="AX452">
        <v>6</v>
      </c>
      <c r="AY452" t="str">
        <f t="shared" si="105"/>
        <v>6-10</v>
      </c>
      <c r="AZ452">
        <v>5</v>
      </c>
      <c r="BA452" t="str">
        <f t="shared" si="117"/>
        <v>2-5</v>
      </c>
      <c r="BB452">
        <v>0</v>
      </c>
      <c r="BC452" t="str">
        <f t="shared" si="118"/>
        <v>0-1</v>
      </c>
      <c r="BD452">
        <v>5</v>
      </c>
      <c r="BE452" t="str">
        <f t="shared" si="119"/>
        <v>2-5</v>
      </c>
    </row>
    <row r="453" spans="1:57" x14ac:dyDescent="0.3">
      <c r="A453">
        <v>605</v>
      </c>
      <c r="B453">
        <v>42</v>
      </c>
      <c r="C453" t="str">
        <f t="shared" si="106"/>
        <v>36-45</v>
      </c>
      <c r="D453" t="s">
        <v>71</v>
      </c>
      <c r="E453">
        <f t="shared" si="107"/>
        <v>0</v>
      </c>
      <c r="F453" t="s">
        <v>57</v>
      </c>
      <c r="G453">
        <v>319</v>
      </c>
      <c r="H453" t="str">
        <f t="shared" si="108"/>
        <v>102-500</v>
      </c>
      <c r="I453" t="s">
        <v>73</v>
      </c>
      <c r="J453">
        <v>24</v>
      </c>
      <c r="K453" t="str">
        <f t="shared" si="109"/>
        <v>21-29</v>
      </c>
      <c r="L453">
        <v>3</v>
      </c>
      <c r="M453" t="s">
        <v>85</v>
      </c>
      <c r="N453" t="s">
        <v>83</v>
      </c>
      <c r="O453">
        <v>1</v>
      </c>
      <c r="P453">
        <v>4</v>
      </c>
      <c r="Q453" t="s">
        <v>65</v>
      </c>
      <c r="R453" t="s">
        <v>75</v>
      </c>
      <c r="S453">
        <v>56</v>
      </c>
      <c r="T453" t="str">
        <f t="shared" si="110"/>
        <v>51-75</v>
      </c>
      <c r="U453">
        <v>3</v>
      </c>
      <c r="V453" t="s">
        <v>63</v>
      </c>
      <c r="W453">
        <v>3</v>
      </c>
      <c r="X453" t="s">
        <v>87</v>
      </c>
      <c r="Y453">
        <v>1</v>
      </c>
      <c r="Z453" t="s">
        <v>69</v>
      </c>
      <c r="AA453" t="s">
        <v>77</v>
      </c>
      <c r="AB453" s="4">
        <v>7406</v>
      </c>
      <c r="AC453" s="4" t="str">
        <f t="shared" si="111"/>
        <v>$7,000-$8,500</v>
      </c>
      <c r="AD453">
        <v>6950</v>
      </c>
      <c r="AE453" t="str">
        <f t="shared" si="112"/>
        <v>$2,094-$8,000</v>
      </c>
      <c r="AF453">
        <v>1</v>
      </c>
      <c r="AG453" t="str">
        <f t="shared" si="113"/>
        <v>0-1</v>
      </c>
      <c r="AH453" t="s">
        <v>67</v>
      </c>
      <c r="AI453" t="s">
        <v>56</v>
      </c>
      <c r="AJ453">
        <v>21</v>
      </c>
      <c r="AK453" t="str">
        <f t="shared" si="114"/>
        <v>18-19%</v>
      </c>
      <c r="AL453">
        <v>4</v>
      </c>
      <c r="AM453" t="s">
        <v>78</v>
      </c>
      <c r="AN453">
        <v>4</v>
      </c>
      <c r="AO453" t="s">
        <v>65</v>
      </c>
      <c r="AP453">
        <v>80</v>
      </c>
      <c r="AQ453">
        <v>1</v>
      </c>
      <c r="AR453">
        <v>10</v>
      </c>
      <c r="AS453" t="str">
        <f t="shared" si="115"/>
        <v>6-10</v>
      </c>
      <c r="AT453">
        <v>5</v>
      </c>
      <c r="AU453" t="str">
        <f t="shared" si="116"/>
        <v>5-6</v>
      </c>
      <c r="AV453">
        <v>2</v>
      </c>
      <c r="AW453" t="s">
        <v>84</v>
      </c>
      <c r="AX453">
        <v>10</v>
      </c>
      <c r="AY453" t="str">
        <f t="shared" si="105"/>
        <v>6-10</v>
      </c>
      <c r="AZ453">
        <v>9</v>
      </c>
      <c r="BA453" t="str">
        <f t="shared" si="117"/>
        <v>6-10</v>
      </c>
      <c r="BB453">
        <v>5</v>
      </c>
      <c r="BC453" t="str">
        <f t="shared" si="118"/>
        <v>2-5</v>
      </c>
      <c r="BD453">
        <v>8</v>
      </c>
      <c r="BE453" t="str">
        <f t="shared" si="119"/>
        <v>6-10</v>
      </c>
    </row>
    <row r="454" spans="1:57" x14ac:dyDescent="0.3">
      <c r="A454">
        <v>606</v>
      </c>
      <c r="B454">
        <v>45</v>
      </c>
      <c r="C454" t="str">
        <f t="shared" si="106"/>
        <v>36-45</v>
      </c>
      <c r="D454" t="s">
        <v>71</v>
      </c>
      <c r="E454">
        <f t="shared" si="107"/>
        <v>0</v>
      </c>
      <c r="F454" t="s">
        <v>57</v>
      </c>
      <c r="G454">
        <v>561</v>
      </c>
      <c r="H454" t="str">
        <f t="shared" si="108"/>
        <v>501-1000</v>
      </c>
      <c r="I454" t="s">
        <v>58</v>
      </c>
      <c r="J454">
        <v>2</v>
      </c>
      <c r="K454" t="str">
        <f t="shared" si="109"/>
        <v>1-5</v>
      </c>
      <c r="L454">
        <v>3</v>
      </c>
      <c r="M454" t="s">
        <v>85</v>
      </c>
      <c r="N454" t="s">
        <v>80</v>
      </c>
      <c r="O454">
        <v>1</v>
      </c>
      <c r="P454">
        <v>4</v>
      </c>
      <c r="Q454" t="s">
        <v>65</v>
      </c>
      <c r="R454" t="s">
        <v>75</v>
      </c>
      <c r="S454">
        <v>61</v>
      </c>
      <c r="T454" t="str">
        <f t="shared" si="110"/>
        <v>51-75</v>
      </c>
      <c r="U454">
        <v>3</v>
      </c>
      <c r="V454" t="s">
        <v>63</v>
      </c>
      <c r="W454">
        <v>2</v>
      </c>
      <c r="X454" t="s">
        <v>64</v>
      </c>
      <c r="Y454">
        <v>2</v>
      </c>
      <c r="Z454" t="s">
        <v>61</v>
      </c>
      <c r="AA454" t="s">
        <v>77</v>
      </c>
      <c r="AB454" s="4">
        <v>4805</v>
      </c>
      <c r="AC454" s="4" t="str">
        <f t="shared" si="111"/>
        <v>$4,000-$5,500</v>
      </c>
      <c r="AD454">
        <v>16177</v>
      </c>
      <c r="AE454" t="str">
        <f t="shared" si="112"/>
        <v>$16,001-$22,000</v>
      </c>
      <c r="AF454">
        <v>0</v>
      </c>
      <c r="AG454" t="str">
        <f t="shared" si="113"/>
        <v>0-1</v>
      </c>
      <c r="AH454" t="s">
        <v>67</v>
      </c>
      <c r="AI454" t="s">
        <v>71</v>
      </c>
      <c r="AJ454">
        <v>19</v>
      </c>
      <c r="AK454" t="str">
        <f t="shared" si="114"/>
        <v>18-19%</v>
      </c>
      <c r="AL454">
        <v>3</v>
      </c>
      <c r="AM454" t="s">
        <v>68</v>
      </c>
      <c r="AN454">
        <v>2</v>
      </c>
      <c r="AO454" t="s">
        <v>61</v>
      </c>
      <c r="AP454">
        <v>80</v>
      </c>
      <c r="AQ454">
        <v>1</v>
      </c>
      <c r="AR454">
        <v>9</v>
      </c>
      <c r="AS454" t="str">
        <f t="shared" si="115"/>
        <v>6-10</v>
      </c>
      <c r="AT454">
        <v>3</v>
      </c>
      <c r="AU454" t="str">
        <f t="shared" si="116"/>
        <v>3-4</v>
      </c>
      <c r="AV454">
        <v>4</v>
      </c>
      <c r="AW454" t="s">
        <v>94</v>
      </c>
      <c r="AX454">
        <v>8</v>
      </c>
      <c r="AY454" t="str">
        <f t="shared" si="105"/>
        <v>6-10</v>
      </c>
      <c r="AZ454">
        <v>7</v>
      </c>
      <c r="BA454" t="str">
        <f t="shared" si="117"/>
        <v>6-10</v>
      </c>
      <c r="BB454">
        <v>3</v>
      </c>
      <c r="BC454" t="str">
        <f t="shared" si="118"/>
        <v>2-5</v>
      </c>
      <c r="BD454">
        <v>7</v>
      </c>
      <c r="BE454" t="str">
        <f t="shared" si="119"/>
        <v>6-10</v>
      </c>
    </row>
    <row r="455" spans="1:57" x14ac:dyDescent="0.3">
      <c r="A455">
        <v>608</v>
      </c>
      <c r="B455">
        <v>26</v>
      </c>
      <c r="C455" t="str">
        <f t="shared" si="106"/>
        <v>26-35</v>
      </c>
      <c r="D455" t="s">
        <v>56</v>
      </c>
      <c r="E455">
        <f t="shared" si="107"/>
        <v>1</v>
      </c>
      <c r="F455" t="s">
        <v>72</v>
      </c>
      <c r="G455">
        <v>426</v>
      </c>
      <c r="H455" t="str">
        <f t="shared" si="108"/>
        <v>102-500</v>
      </c>
      <c r="I455" t="s">
        <v>97</v>
      </c>
      <c r="J455">
        <v>17</v>
      </c>
      <c r="K455" t="str">
        <f t="shared" si="109"/>
        <v>11-20</v>
      </c>
      <c r="L455">
        <v>4</v>
      </c>
      <c r="M455" t="s">
        <v>82</v>
      </c>
      <c r="N455" t="s">
        <v>60</v>
      </c>
      <c r="O455">
        <v>1</v>
      </c>
      <c r="P455">
        <v>2</v>
      </c>
      <c r="Q455" t="s">
        <v>61</v>
      </c>
      <c r="R455" t="s">
        <v>62</v>
      </c>
      <c r="S455">
        <v>58</v>
      </c>
      <c r="T455" t="str">
        <f t="shared" si="110"/>
        <v>51-75</v>
      </c>
      <c r="U455">
        <v>3</v>
      </c>
      <c r="V455" t="s">
        <v>63</v>
      </c>
      <c r="W455">
        <v>1</v>
      </c>
      <c r="X455" t="s">
        <v>97</v>
      </c>
      <c r="Y455">
        <v>3</v>
      </c>
      <c r="Z455" t="s">
        <v>63</v>
      </c>
      <c r="AA455" t="s">
        <v>86</v>
      </c>
      <c r="AB455" s="4">
        <v>2741</v>
      </c>
      <c r="AC455" s="4" t="str">
        <f t="shared" si="111"/>
        <v>$2,500-$4,000</v>
      </c>
      <c r="AD455">
        <v>22808</v>
      </c>
      <c r="AE455" t="str">
        <f t="shared" si="112"/>
        <v>$22,001-$26,999</v>
      </c>
      <c r="AF455">
        <v>0</v>
      </c>
      <c r="AG455" t="str">
        <f t="shared" si="113"/>
        <v>0-1</v>
      </c>
      <c r="AH455" t="s">
        <v>67</v>
      </c>
      <c r="AI455" t="s">
        <v>56</v>
      </c>
      <c r="AJ455">
        <v>11</v>
      </c>
      <c r="AK455" t="str">
        <f t="shared" si="114"/>
        <v>11-12%</v>
      </c>
      <c r="AL455">
        <v>3</v>
      </c>
      <c r="AM455" t="s">
        <v>68</v>
      </c>
      <c r="AN455">
        <v>2</v>
      </c>
      <c r="AO455" t="s">
        <v>61</v>
      </c>
      <c r="AP455">
        <v>80</v>
      </c>
      <c r="AQ455">
        <v>1</v>
      </c>
      <c r="AR455">
        <v>8</v>
      </c>
      <c r="AS455" t="str">
        <f t="shared" si="115"/>
        <v>6-10</v>
      </c>
      <c r="AT455">
        <v>2</v>
      </c>
      <c r="AU455" t="str">
        <f t="shared" si="116"/>
        <v>0-2</v>
      </c>
      <c r="AV455">
        <v>2</v>
      </c>
      <c r="AW455" t="s">
        <v>84</v>
      </c>
      <c r="AX455">
        <v>7</v>
      </c>
      <c r="AY455" t="str">
        <f t="shared" si="105"/>
        <v>6-10</v>
      </c>
      <c r="AZ455">
        <v>7</v>
      </c>
      <c r="BA455" t="str">
        <f t="shared" si="117"/>
        <v>6-10</v>
      </c>
      <c r="BB455">
        <v>1</v>
      </c>
      <c r="BC455" t="str">
        <f t="shared" si="118"/>
        <v>0-1</v>
      </c>
      <c r="BD455">
        <v>0</v>
      </c>
      <c r="BE455" t="str">
        <f t="shared" si="119"/>
        <v>0-1</v>
      </c>
    </row>
    <row r="456" spans="1:57" x14ac:dyDescent="0.3">
      <c r="A456">
        <v>611</v>
      </c>
      <c r="B456">
        <v>29</v>
      </c>
      <c r="C456" t="str">
        <f t="shared" si="106"/>
        <v>26-35</v>
      </c>
      <c r="D456" t="s">
        <v>71</v>
      </c>
      <c r="E456">
        <f t="shared" si="107"/>
        <v>0</v>
      </c>
      <c r="F456" t="s">
        <v>57</v>
      </c>
      <c r="G456">
        <v>232</v>
      </c>
      <c r="H456" t="str">
        <f t="shared" si="108"/>
        <v>102-500</v>
      </c>
      <c r="I456" t="s">
        <v>73</v>
      </c>
      <c r="J456">
        <v>19</v>
      </c>
      <c r="K456" t="str">
        <f t="shared" si="109"/>
        <v>11-20</v>
      </c>
      <c r="L456">
        <v>3</v>
      </c>
      <c r="M456" t="s">
        <v>85</v>
      </c>
      <c r="N456" t="s">
        <v>95</v>
      </c>
      <c r="O456">
        <v>1</v>
      </c>
      <c r="P456">
        <v>4</v>
      </c>
      <c r="Q456" t="s">
        <v>65</v>
      </c>
      <c r="R456" t="s">
        <v>75</v>
      </c>
      <c r="S456">
        <v>34</v>
      </c>
      <c r="T456" t="str">
        <f t="shared" si="110"/>
        <v>30-50</v>
      </c>
      <c r="U456">
        <v>3</v>
      </c>
      <c r="V456" t="s">
        <v>63</v>
      </c>
      <c r="W456">
        <v>2</v>
      </c>
      <c r="X456" t="s">
        <v>87</v>
      </c>
      <c r="Y456">
        <v>4</v>
      </c>
      <c r="Z456" t="s">
        <v>65</v>
      </c>
      <c r="AA456" t="s">
        <v>86</v>
      </c>
      <c r="AB456" s="4">
        <v>4262</v>
      </c>
      <c r="AC456" s="4" t="str">
        <f t="shared" si="111"/>
        <v>$4,000-$5,500</v>
      </c>
      <c r="AD456">
        <v>22645</v>
      </c>
      <c r="AE456" t="str">
        <f t="shared" si="112"/>
        <v>$22,001-$26,999</v>
      </c>
      <c r="AF456">
        <v>4</v>
      </c>
      <c r="AG456" t="str">
        <f t="shared" si="113"/>
        <v>4-6</v>
      </c>
      <c r="AH456" t="s">
        <v>67</v>
      </c>
      <c r="AI456" t="s">
        <v>71</v>
      </c>
      <c r="AJ456">
        <v>12</v>
      </c>
      <c r="AK456" t="str">
        <f t="shared" si="114"/>
        <v>11-12%</v>
      </c>
      <c r="AL456">
        <v>3</v>
      </c>
      <c r="AM456" t="s">
        <v>68</v>
      </c>
      <c r="AN456">
        <v>2</v>
      </c>
      <c r="AO456" t="s">
        <v>61</v>
      </c>
      <c r="AP456">
        <v>80</v>
      </c>
      <c r="AQ456">
        <v>2</v>
      </c>
      <c r="AR456">
        <v>8</v>
      </c>
      <c r="AS456" t="str">
        <f t="shared" si="115"/>
        <v>6-10</v>
      </c>
      <c r="AT456">
        <v>2</v>
      </c>
      <c r="AU456" t="str">
        <f t="shared" si="116"/>
        <v>0-2</v>
      </c>
      <c r="AV456">
        <v>4</v>
      </c>
      <c r="AW456" t="s">
        <v>94</v>
      </c>
      <c r="AX456">
        <v>3</v>
      </c>
      <c r="AY456" t="str">
        <f t="shared" si="105"/>
        <v>2-5</v>
      </c>
      <c r="AZ456">
        <v>2</v>
      </c>
      <c r="BA456" t="str">
        <f t="shared" si="117"/>
        <v>2-5</v>
      </c>
      <c r="BB456">
        <v>1</v>
      </c>
      <c r="BC456" t="str">
        <f t="shared" si="118"/>
        <v>0-1</v>
      </c>
      <c r="BD456">
        <v>2</v>
      </c>
      <c r="BE456" t="str">
        <f t="shared" si="119"/>
        <v>2-5</v>
      </c>
    </row>
    <row r="457" spans="1:57" x14ac:dyDescent="0.3">
      <c r="A457">
        <v>612</v>
      </c>
      <c r="B457">
        <v>33</v>
      </c>
      <c r="C457" t="str">
        <f t="shared" si="106"/>
        <v>26-35</v>
      </c>
      <c r="D457" t="s">
        <v>71</v>
      </c>
      <c r="E457">
        <f t="shared" si="107"/>
        <v>0</v>
      </c>
      <c r="F457" t="s">
        <v>57</v>
      </c>
      <c r="G457">
        <v>922</v>
      </c>
      <c r="H457" t="str">
        <f t="shared" si="108"/>
        <v>501-1000</v>
      </c>
      <c r="I457" t="s">
        <v>73</v>
      </c>
      <c r="J457">
        <v>1</v>
      </c>
      <c r="K457" t="str">
        <f t="shared" si="109"/>
        <v>1-5</v>
      </c>
      <c r="L457">
        <v>5</v>
      </c>
      <c r="M457" t="s">
        <v>96</v>
      </c>
      <c r="N457" t="s">
        <v>83</v>
      </c>
      <c r="O457">
        <v>1</v>
      </c>
      <c r="P457">
        <v>1</v>
      </c>
      <c r="Q457" t="s">
        <v>69</v>
      </c>
      <c r="R457" t="s">
        <v>62</v>
      </c>
      <c r="S457">
        <v>95</v>
      </c>
      <c r="T457" t="str">
        <f t="shared" si="110"/>
        <v>76-100</v>
      </c>
      <c r="U457">
        <v>4</v>
      </c>
      <c r="V457" t="s">
        <v>65</v>
      </c>
      <c r="W457">
        <v>4</v>
      </c>
      <c r="X457" t="s">
        <v>92</v>
      </c>
      <c r="Y457">
        <v>3</v>
      </c>
      <c r="Z457" t="s">
        <v>63</v>
      </c>
      <c r="AA457" t="s">
        <v>86</v>
      </c>
      <c r="AB457" s="4">
        <v>16184</v>
      </c>
      <c r="AC457" s="4" t="str">
        <f t="shared" si="111"/>
        <v>$16,000-$17,500</v>
      </c>
      <c r="AD457">
        <v>22578</v>
      </c>
      <c r="AE457" t="str">
        <f t="shared" si="112"/>
        <v>$22,001-$26,999</v>
      </c>
      <c r="AF457">
        <v>4</v>
      </c>
      <c r="AG457" t="str">
        <f t="shared" si="113"/>
        <v>4-6</v>
      </c>
      <c r="AH457" t="s">
        <v>67</v>
      </c>
      <c r="AI457" t="s">
        <v>71</v>
      </c>
      <c r="AJ457">
        <v>19</v>
      </c>
      <c r="AK457" t="str">
        <f t="shared" si="114"/>
        <v>18-19%</v>
      </c>
      <c r="AL457">
        <v>3</v>
      </c>
      <c r="AM457" t="s">
        <v>68</v>
      </c>
      <c r="AN457">
        <v>3</v>
      </c>
      <c r="AO457" t="s">
        <v>63</v>
      </c>
      <c r="AP457">
        <v>80</v>
      </c>
      <c r="AQ457">
        <v>1</v>
      </c>
      <c r="AR457">
        <v>10</v>
      </c>
      <c r="AS457" t="str">
        <f t="shared" si="115"/>
        <v>6-10</v>
      </c>
      <c r="AT457">
        <v>2</v>
      </c>
      <c r="AU457" t="str">
        <f t="shared" si="116"/>
        <v>0-2</v>
      </c>
      <c r="AV457">
        <v>3</v>
      </c>
      <c r="AW457" t="s">
        <v>79</v>
      </c>
      <c r="AX457">
        <v>6</v>
      </c>
      <c r="AY457" t="str">
        <f t="shared" si="105"/>
        <v>6-10</v>
      </c>
      <c r="AZ457">
        <v>1</v>
      </c>
      <c r="BA457" t="str">
        <f t="shared" si="117"/>
        <v>0-1</v>
      </c>
      <c r="BB457">
        <v>0</v>
      </c>
      <c r="BC457" t="str">
        <f t="shared" si="118"/>
        <v>0-1</v>
      </c>
      <c r="BD457">
        <v>5</v>
      </c>
      <c r="BE457" t="str">
        <f t="shared" si="119"/>
        <v>2-5</v>
      </c>
    </row>
    <row r="458" spans="1:57" x14ac:dyDescent="0.3">
      <c r="A458">
        <v>613</v>
      </c>
      <c r="B458">
        <v>31</v>
      </c>
      <c r="C458" t="str">
        <f t="shared" si="106"/>
        <v>26-35</v>
      </c>
      <c r="D458" t="s">
        <v>71</v>
      </c>
      <c r="E458">
        <f t="shared" si="107"/>
        <v>0</v>
      </c>
      <c r="F458" t="s">
        <v>57</v>
      </c>
      <c r="G458">
        <v>688</v>
      </c>
      <c r="H458" t="str">
        <f t="shared" si="108"/>
        <v>501-1000</v>
      </c>
      <c r="I458" t="s">
        <v>58</v>
      </c>
      <c r="J458">
        <v>7</v>
      </c>
      <c r="K458" t="str">
        <f t="shared" si="109"/>
        <v>6-10</v>
      </c>
      <c r="L458">
        <v>3</v>
      </c>
      <c r="M458" t="s">
        <v>85</v>
      </c>
      <c r="N458" t="s">
        <v>60</v>
      </c>
      <c r="O458">
        <v>1</v>
      </c>
      <c r="P458">
        <v>3</v>
      </c>
      <c r="Q458" t="s">
        <v>63</v>
      </c>
      <c r="R458" t="s">
        <v>75</v>
      </c>
      <c r="S458">
        <v>44</v>
      </c>
      <c r="T458" t="str">
        <f t="shared" si="110"/>
        <v>30-50</v>
      </c>
      <c r="U458">
        <v>2</v>
      </c>
      <c r="V458" t="s">
        <v>61</v>
      </c>
      <c r="W458">
        <v>3</v>
      </c>
      <c r="X458" t="s">
        <v>90</v>
      </c>
      <c r="Y458">
        <v>4</v>
      </c>
      <c r="Z458" t="s">
        <v>65</v>
      </c>
      <c r="AA458" t="s">
        <v>86</v>
      </c>
      <c r="AB458" s="4">
        <v>11557</v>
      </c>
      <c r="AC458" s="4" t="str">
        <f t="shared" si="111"/>
        <v>$11,500-$13,000</v>
      </c>
      <c r="AD458">
        <v>25291</v>
      </c>
      <c r="AE458" t="str">
        <f t="shared" si="112"/>
        <v>$22,001-$26,999</v>
      </c>
      <c r="AF458">
        <v>9</v>
      </c>
      <c r="AG458" t="str">
        <f t="shared" si="113"/>
        <v>7-9</v>
      </c>
      <c r="AH458" t="s">
        <v>67</v>
      </c>
      <c r="AI458" t="s">
        <v>71</v>
      </c>
      <c r="AJ458">
        <v>21</v>
      </c>
      <c r="AK458" t="str">
        <f t="shared" si="114"/>
        <v>18-19%</v>
      </c>
      <c r="AL458">
        <v>4</v>
      </c>
      <c r="AM458" t="s">
        <v>78</v>
      </c>
      <c r="AN458">
        <v>3</v>
      </c>
      <c r="AO458" t="s">
        <v>63</v>
      </c>
      <c r="AP458">
        <v>80</v>
      </c>
      <c r="AQ458">
        <v>1</v>
      </c>
      <c r="AR458">
        <v>10</v>
      </c>
      <c r="AS458" t="str">
        <f t="shared" si="115"/>
        <v>6-10</v>
      </c>
      <c r="AT458">
        <v>3</v>
      </c>
      <c r="AU458" t="str">
        <f t="shared" si="116"/>
        <v>3-4</v>
      </c>
      <c r="AV458">
        <v>2</v>
      </c>
      <c r="AW458" t="s">
        <v>84</v>
      </c>
      <c r="AX458">
        <v>5</v>
      </c>
      <c r="AY458" t="str">
        <f t="shared" si="105"/>
        <v>2-5</v>
      </c>
      <c r="AZ458">
        <v>4</v>
      </c>
      <c r="BA458" t="str">
        <f t="shared" si="117"/>
        <v>2-5</v>
      </c>
      <c r="BB458">
        <v>0</v>
      </c>
      <c r="BC458" t="str">
        <f t="shared" si="118"/>
        <v>0-1</v>
      </c>
      <c r="BD458">
        <v>1</v>
      </c>
      <c r="BE458" t="str">
        <f t="shared" si="119"/>
        <v>0-1</v>
      </c>
    </row>
    <row r="459" spans="1:57" x14ac:dyDescent="0.3">
      <c r="A459">
        <v>614</v>
      </c>
      <c r="B459">
        <v>18</v>
      </c>
      <c r="C459" t="str">
        <f t="shared" si="106"/>
        <v>18-25</v>
      </c>
      <c r="D459" t="s">
        <v>56</v>
      </c>
      <c r="E459">
        <f t="shared" si="107"/>
        <v>1</v>
      </c>
      <c r="F459" t="s">
        <v>72</v>
      </c>
      <c r="G459">
        <v>1306</v>
      </c>
      <c r="H459" t="str">
        <f t="shared" si="108"/>
        <v>1001-1499</v>
      </c>
      <c r="I459" t="s">
        <v>58</v>
      </c>
      <c r="J459">
        <v>5</v>
      </c>
      <c r="K459" t="str">
        <f t="shared" si="109"/>
        <v>1-5</v>
      </c>
      <c r="L459">
        <v>3</v>
      </c>
      <c r="M459" t="s">
        <v>85</v>
      </c>
      <c r="N459" t="s">
        <v>93</v>
      </c>
      <c r="O459">
        <v>1</v>
      </c>
      <c r="P459">
        <v>2</v>
      </c>
      <c r="Q459" t="s">
        <v>61</v>
      </c>
      <c r="R459" t="s">
        <v>75</v>
      </c>
      <c r="S459">
        <v>69</v>
      </c>
      <c r="T459" t="str">
        <f t="shared" si="110"/>
        <v>51-75</v>
      </c>
      <c r="U459">
        <v>3</v>
      </c>
      <c r="V459" t="s">
        <v>63</v>
      </c>
      <c r="W459">
        <v>1</v>
      </c>
      <c r="X459" t="s">
        <v>91</v>
      </c>
      <c r="Y459">
        <v>2</v>
      </c>
      <c r="Z459" t="s">
        <v>61</v>
      </c>
      <c r="AA459" t="s">
        <v>66</v>
      </c>
      <c r="AB459" s="4">
        <v>1878</v>
      </c>
      <c r="AC459" s="4" t="str">
        <f t="shared" si="111"/>
        <v>$1,000-$2,500</v>
      </c>
      <c r="AD459">
        <v>8059</v>
      </c>
      <c r="AE459" t="str">
        <f t="shared" si="112"/>
        <v>$8,001-$16,000</v>
      </c>
      <c r="AF459">
        <v>1</v>
      </c>
      <c r="AG459" t="str">
        <f t="shared" si="113"/>
        <v>0-1</v>
      </c>
      <c r="AH459" t="s">
        <v>67</v>
      </c>
      <c r="AI459" t="s">
        <v>56</v>
      </c>
      <c r="AJ459">
        <v>14</v>
      </c>
      <c r="AK459" t="str">
        <f t="shared" si="114"/>
        <v>13-15%</v>
      </c>
      <c r="AL459">
        <v>3</v>
      </c>
      <c r="AM459" t="s">
        <v>68</v>
      </c>
      <c r="AN459">
        <v>4</v>
      </c>
      <c r="AO459" t="s">
        <v>65</v>
      </c>
      <c r="AP459">
        <v>80</v>
      </c>
      <c r="AQ459">
        <v>0</v>
      </c>
      <c r="AR459">
        <v>0</v>
      </c>
      <c r="AS459" t="str">
        <f t="shared" si="115"/>
        <v>0-2</v>
      </c>
      <c r="AT459">
        <v>3</v>
      </c>
      <c r="AU459" t="str">
        <f t="shared" si="116"/>
        <v>3-4</v>
      </c>
      <c r="AV459">
        <v>3</v>
      </c>
      <c r="AW459" t="s">
        <v>79</v>
      </c>
      <c r="AX459">
        <v>0</v>
      </c>
      <c r="AY459" t="str">
        <f t="shared" si="105"/>
        <v>0-1</v>
      </c>
      <c r="AZ459">
        <v>0</v>
      </c>
      <c r="BA459" t="str">
        <f t="shared" si="117"/>
        <v>0-1</v>
      </c>
      <c r="BB459">
        <v>0</v>
      </c>
      <c r="BC459" t="str">
        <f t="shared" si="118"/>
        <v>0-1</v>
      </c>
      <c r="BD459">
        <v>0</v>
      </c>
      <c r="BE459" t="str">
        <f t="shared" si="119"/>
        <v>0-1</v>
      </c>
    </row>
    <row r="460" spans="1:57" x14ac:dyDescent="0.3">
      <c r="A460">
        <v>615</v>
      </c>
      <c r="B460">
        <v>40</v>
      </c>
      <c r="C460" t="str">
        <f t="shared" si="106"/>
        <v>36-45</v>
      </c>
      <c r="D460" t="s">
        <v>71</v>
      </c>
      <c r="E460">
        <f t="shared" si="107"/>
        <v>0</v>
      </c>
      <c r="F460" t="s">
        <v>89</v>
      </c>
      <c r="G460">
        <v>1094</v>
      </c>
      <c r="H460" t="str">
        <f t="shared" si="108"/>
        <v>1001-1499</v>
      </c>
      <c r="I460" t="s">
        <v>58</v>
      </c>
      <c r="J460">
        <v>28</v>
      </c>
      <c r="K460" t="str">
        <f t="shared" si="109"/>
        <v>21-29</v>
      </c>
      <c r="L460">
        <v>3</v>
      </c>
      <c r="M460" t="s">
        <v>85</v>
      </c>
      <c r="N460" t="s">
        <v>80</v>
      </c>
      <c r="O460">
        <v>1</v>
      </c>
      <c r="P460">
        <v>3</v>
      </c>
      <c r="Q460" t="s">
        <v>63</v>
      </c>
      <c r="R460" t="s">
        <v>75</v>
      </c>
      <c r="S460">
        <v>58</v>
      </c>
      <c r="T460" t="str">
        <f t="shared" si="110"/>
        <v>51-75</v>
      </c>
      <c r="U460">
        <v>1</v>
      </c>
      <c r="V460" t="s">
        <v>69</v>
      </c>
      <c r="W460">
        <v>3</v>
      </c>
      <c r="X460" t="s">
        <v>64</v>
      </c>
      <c r="Y460">
        <v>1</v>
      </c>
      <c r="Z460" t="s">
        <v>69</v>
      </c>
      <c r="AA460" t="s">
        <v>86</v>
      </c>
      <c r="AB460" s="4">
        <v>10932</v>
      </c>
      <c r="AC460" s="4" t="str">
        <f t="shared" si="111"/>
        <v>$10,000-$11,500</v>
      </c>
      <c r="AD460">
        <v>11373</v>
      </c>
      <c r="AE460" t="str">
        <f t="shared" si="112"/>
        <v>$8,001-$16,000</v>
      </c>
      <c r="AF460">
        <v>3</v>
      </c>
      <c r="AG460" t="str">
        <f t="shared" si="113"/>
        <v>2-3</v>
      </c>
      <c r="AH460" t="s">
        <v>67</v>
      </c>
      <c r="AI460" t="s">
        <v>71</v>
      </c>
      <c r="AJ460">
        <v>15</v>
      </c>
      <c r="AK460" t="str">
        <f t="shared" si="114"/>
        <v>13-15%</v>
      </c>
      <c r="AL460">
        <v>3</v>
      </c>
      <c r="AM460" t="s">
        <v>68</v>
      </c>
      <c r="AN460">
        <v>3</v>
      </c>
      <c r="AO460" t="s">
        <v>63</v>
      </c>
      <c r="AP460">
        <v>80</v>
      </c>
      <c r="AQ460">
        <v>1</v>
      </c>
      <c r="AR460">
        <v>20</v>
      </c>
      <c r="AS460" t="str">
        <f t="shared" si="115"/>
        <v>11-20</v>
      </c>
      <c r="AT460">
        <v>2</v>
      </c>
      <c r="AU460" t="str">
        <f t="shared" si="116"/>
        <v>0-2</v>
      </c>
      <c r="AV460">
        <v>3</v>
      </c>
      <c r="AW460" t="s">
        <v>79</v>
      </c>
      <c r="AX460">
        <v>1</v>
      </c>
      <c r="AY460" t="str">
        <f t="shared" si="105"/>
        <v>0-1</v>
      </c>
      <c r="AZ460">
        <v>0</v>
      </c>
      <c r="BA460" t="str">
        <f t="shared" si="117"/>
        <v>0-1</v>
      </c>
      <c r="BB460">
        <v>0</v>
      </c>
      <c r="BC460" t="str">
        <f t="shared" si="118"/>
        <v>0-1</v>
      </c>
      <c r="BD460">
        <v>1</v>
      </c>
      <c r="BE460" t="str">
        <f t="shared" si="119"/>
        <v>0-1</v>
      </c>
    </row>
    <row r="461" spans="1:57" x14ac:dyDescent="0.3">
      <c r="A461">
        <v>616</v>
      </c>
      <c r="B461">
        <v>41</v>
      </c>
      <c r="C461" t="str">
        <f t="shared" si="106"/>
        <v>36-45</v>
      </c>
      <c r="D461" t="s">
        <v>71</v>
      </c>
      <c r="E461">
        <f t="shared" si="107"/>
        <v>0</v>
      </c>
      <c r="F461" t="s">
        <v>89</v>
      </c>
      <c r="G461">
        <v>509</v>
      </c>
      <c r="H461" t="str">
        <f t="shared" si="108"/>
        <v>501-1000</v>
      </c>
      <c r="I461" t="s">
        <v>73</v>
      </c>
      <c r="J461">
        <v>2</v>
      </c>
      <c r="K461" t="str">
        <f t="shared" si="109"/>
        <v>1-5</v>
      </c>
      <c r="L461">
        <v>4</v>
      </c>
      <c r="M461" t="s">
        <v>82</v>
      </c>
      <c r="N461" t="s">
        <v>80</v>
      </c>
      <c r="O461">
        <v>1</v>
      </c>
      <c r="P461">
        <v>1</v>
      </c>
      <c r="Q461" t="s">
        <v>69</v>
      </c>
      <c r="R461" t="s">
        <v>62</v>
      </c>
      <c r="S461">
        <v>62</v>
      </c>
      <c r="T461" t="str">
        <f t="shared" si="110"/>
        <v>51-75</v>
      </c>
      <c r="U461">
        <v>2</v>
      </c>
      <c r="V461" t="s">
        <v>61</v>
      </c>
      <c r="W461">
        <v>2</v>
      </c>
      <c r="X461" t="s">
        <v>88</v>
      </c>
      <c r="Y461">
        <v>3</v>
      </c>
      <c r="Z461" t="s">
        <v>63</v>
      </c>
      <c r="AA461" t="s">
        <v>66</v>
      </c>
      <c r="AB461" s="4">
        <v>6811</v>
      </c>
      <c r="AC461" s="4" t="str">
        <f t="shared" si="111"/>
        <v>$5,500-$7,000</v>
      </c>
      <c r="AD461">
        <v>2112</v>
      </c>
      <c r="AE461" t="str">
        <f t="shared" si="112"/>
        <v>$2,094-$8,000</v>
      </c>
      <c r="AF461">
        <v>2</v>
      </c>
      <c r="AG461" t="str">
        <f t="shared" si="113"/>
        <v>2-3</v>
      </c>
      <c r="AH461" t="s">
        <v>67</v>
      </c>
      <c r="AI461" t="s">
        <v>56</v>
      </c>
      <c r="AJ461">
        <v>17</v>
      </c>
      <c r="AK461" t="str">
        <f t="shared" si="114"/>
        <v>16-17%</v>
      </c>
      <c r="AL461">
        <v>3</v>
      </c>
      <c r="AM461" t="s">
        <v>68</v>
      </c>
      <c r="AN461">
        <v>1</v>
      </c>
      <c r="AO461" t="s">
        <v>69</v>
      </c>
      <c r="AP461">
        <v>80</v>
      </c>
      <c r="AQ461">
        <v>0</v>
      </c>
      <c r="AR461">
        <v>10</v>
      </c>
      <c r="AS461" t="str">
        <f t="shared" si="115"/>
        <v>6-10</v>
      </c>
      <c r="AT461">
        <v>3</v>
      </c>
      <c r="AU461" t="str">
        <f t="shared" si="116"/>
        <v>3-4</v>
      </c>
      <c r="AV461">
        <v>3</v>
      </c>
      <c r="AW461" t="s">
        <v>79</v>
      </c>
      <c r="AX461">
        <v>8</v>
      </c>
      <c r="AY461" t="str">
        <f t="shared" si="105"/>
        <v>6-10</v>
      </c>
      <c r="AZ461">
        <v>7</v>
      </c>
      <c r="BA461" t="str">
        <f t="shared" si="117"/>
        <v>6-10</v>
      </c>
      <c r="BB461">
        <v>0</v>
      </c>
      <c r="BC461" t="str">
        <f t="shared" si="118"/>
        <v>0-1</v>
      </c>
      <c r="BD461">
        <v>7</v>
      </c>
      <c r="BE461" t="str">
        <f t="shared" si="119"/>
        <v>6-10</v>
      </c>
    </row>
    <row r="462" spans="1:57" x14ac:dyDescent="0.3">
      <c r="A462">
        <v>618</v>
      </c>
      <c r="B462">
        <v>26</v>
      </c>
      <c r="C462" t="str">
        <f t="shared" si="106"/>
        <v>26-35</v>
      </c>
      <c r="D462" t="s">
        <v>71</v>
      </c>
      <c r="E462">
        <f t="shared" si="107"/>
        <v>0</v>
      </c>
      <c r="F462" t="s">
        <v>57</v>
      </c>
      <c r="G462">
        <v>775</v>
      </c>
      <c r="H462" t="str">
        <f t="shared" si="108"/>
        <v>501-1000</v>
      </c>
      <c r="I462" t="s">
        <v>58</v>
      </c>
      <c r="J462">
        <v>29</v>
      </c>
      <c r="K462" t="str">
        <f t="shared" si="109"/>
        <v>21-29</v>
      </c>
      <c r="L462">
        <v>2</v>
      </c>
      <c r="M462" t="s">
        <v>59</v>
      </c>
      <c r="N462" t="s">
        <v>83</v>
      </c>
      <c r="O462">
        <v>1</v>
      </c>
      <c r="P462">
        <v>1</v>
      </c>
      <c r="Q462" t="s">
        <v>69</v>
      </c>
      <c r="R462" t="s">
        <v>75</v>
      </c>
      <c r="S462">
        <v>45</v>
      </c>
      <c r="T462" t="str">
        <f t="shared" si="110"/>
        <v>30-50</v>
      </c>
      <c r="U462">
        <v>3</v>
      </c>
      <c r="V462" t="s">
        <v>63</v>
      </c>
      <c r="W462">
        <v>2</v>
      </c>
      <c r="X462" t="s">
        <v>64</v>
      </c>
      <c r="Y462">
        <v>3</v>
      </c>
      <c r="Z462" t="s">
        <v>63</v>
      </c>
      <c r="AA462" t="s">
        <v>86</v>
      </c>
      <c r="AB462" s="4">
        <v>4306</v>
      </c>
      <c r="AC462" s="4" t="str">
        <f t="shared" si="111"/>
        <v>$4,000-$5,500</v>
      </c>
      <c r="AD462">
        <v>4267</v>
      </c>
      <c r="AE462" t="str">
        <f t="shared" si="112"/>
        <v>$2,094-$8,000</v>
      </c>
      <c r="AF462">
        <v>5</v>
      </c>
      <c r="AG462" t="str">
        <f t="shared" si="113"/>
        <v>4-6</v>
      </c>
      <c r="AH462" t="s">
        <v>67</v>
      </c>
      <c r="AI462" t="s">
        <v>71</v>
      </c>
      <c r="AJ462">
        <v>12</v>
      </c>
      <c r="AK462" t="str">
        <f t="shared" si="114"/>
        <v>11-12%</v>
      </c>
      <c r="AL462">
        <v>3</v>
      </c>
      <c r="AM462" t="s">
        <v>68</v>
      </c>
      <c r="AN462">
        <v>1</v>
      </c>
      <c r="AO462" t="s">
        <v>69</v>
      </c>
      <c r="AP462">
        <v>80</v>
      </c>
      <c r="AQ462">
        <v>2</v>
      </c>
      <c r="AR462">
        <v>8</v>
      </c>
      <c r="AS462" t="str">
        <f t="shared" si="115"/>
        <v>6-10</v>
      </c>
      <c r="AT462">
        <v>5</v>
      </c>
      <c r="AU462" t="str">
        <f t="shared" si="116"/>
        <v>5-6</v>
      </c>
      <c r="AV462">
        <v>3</v>
      </c>
      <c r="AW462" t="s">
        <v>79</v>
      </c>
      <c r="AX462">
        <v>0</v>
      </c>
      <c r="AY462" t="str">
        <f t="shared" si="105"/>
        <v>0-1</v>
      </c>
      <c r="AZ462">
        <v>0</v>
      </c>
      <c r="BA462" t="str">
        <f t="shared" si="117"/>
        <v>0-1</v>
      </c>
      <c r="BB462">
        <v>0</v>
      </c>
      <c r="BC462" t="str">
        <f t="shared" si="118"/>
        <v>0-1</v>
      </c>
      <c r="BD462">
        <v>0</v>
      </c>
      <c r="BE462" t="str">
        <f t="shared" si="119"/>
        <v>0-1</v>
      </c>
    </row>
    <row r="463" spans="1:57" x14ac:dyDescent="0.3">
      <c r="A463">
        <v>620</v>
      </c>
      <c r="B463">
        <v>35</v>
      </c>
      <c r="C463" t="str">
        <f t="shared" si="106"/>
        <v>26-35</v>
      </c>
      <c r="D463" t="s">
        <v>71</v>
      </c>
      <c r="E463">
        <f t="shared" si="107"/>
        <v>0</v>
      </c>
      <c r="F463" t="s">
        <v>57</v>
      </c>
      <c r="G463">
        <v>195</v>
      </c>
      <c r="H463" t="str">
        <f t="shared" si="108"/>
        <v>102-500</v>
      </c>
      <c r="I463" t="s">
        <v>58</v>
      </c>
      <c r="J463">
        <v>1</v>
      </c>
      <c r="K463" t="str">
        <f t="shared" si="109"/>
        <v>1-5</v>
      </c>
      <c r="L463">
        <v>3</v>
      </c>
      <c r="M463" t="s">
        <v>85</v>
      </c>
      <c r="N463" t="s">
        <v>83</v>
      </c>
      <c r="O463">
        <v>1</v>
      </c>
      <c r="P463">
        <v>1</v>
      </c>
      <c r="Q463" t="s">
        <v>69</v>
      </c>
      <c r="R463" t="s">
        <v>62</v>
      </c>
      <c r="S463">
        <v>80</v>
      </c>
      <c r="T463" t="str">
        <f t="shared" si="110"/>
        <v>76-100</v>
      </c>
      <c r="U463">
        <v>3</v>
      </c>
      <c r="V463" t="s">
        <v>63</v>
      </c>
      <c r="W463">
        <v>2</v>
      </c>
      <c r="X463" t="s">
        <v>64</v>
      </c>
      <c r="Y463">
        <v>3</v>
      </c>
      <c r="Z463" t="s">
        <v>63</v>
      </c>
      <c r="AA463" t="s">
        <v>66</v>
      </c>
      <c r="AB463" s="4">
        <v>4859</v>
      </c>
      <c r="AC463" s="4" t="str">
        <f t="shared" si="111"/>
        <v>$4,000-$5,500</v>
      </c>
      <c r="AD463">
        <v>6698</v>
      </c>
      <c r="AE463" t="str">
        <f t="shared" si="112"/>
        <v>$2,094-$8,000</v>
      </c>
      <c r="AF463">
        <v>1</v>
      </c>
      <c r="AG463" t="str">
        <f t="shared" si="113"/>
        <v>0-1</v>
      </c>
      <c r="AH463" t="s">
        <v>67</v>
      </c>
      <c r="AI463" t="s">
        <v>71</v>
      </c>
      <c r="AJ463">
        <v>16</v>
      </c>
      <c r="AK463" t="str">
        <f t="shared" si="114"/>
        <v>16-17%</v>
      </c>
      <c r="AL463">
        <v>3</v>
      </c>
      <c r="AM463" t="s">
        <v>68</v>
      </c>
      <c r="AN463">
        <v>4</v>
      </c>
      <c r="AO463" t="s">
        <v>65</v>
      </c>
      <c r="AP463">
        <v>80</v>
      </c>
      <c r="AQ463">
        <v>0</v>
      </c>
      <c r="AR463">
        <v>5</v>
      </c>
      <c r="AS463" t="str">
        <f t="shared" si="115"/>
        <v>3-5</v>
      </c>
      <c r="AT463">
        <v>3</v>
      </c>
      <c r="AU463" t="str">
        <f t="shared" si="116"/>
        <v>3-4</v>
      </c>
      <c r="AV463">
        <v>3</v>
      </c>
      <c r="AW463" t="s">
        <v>79</v>
      </c>
      <c r="AX463">
        <v>5</v>
      </c>
      <c r="AY463" t="str">
        <f t="shared" si="105"/>
        <v>2-5</v>
      </c>
      <c r="AZ463">
        <v>4</v>
      </c>
      <c r="BA463" t="str">
        <f t="shared" si="117"/>
        <v>2-5</v>
      </c>
      <c r="BB463">
        <v>0</v>
      </c>
      <c r="BC463" t="str">
        <f t="shared" si="118"/>
        <v>0-1</v>
      </c>
      <c r="BD463">
        <v>3</v>
      </c>
      <c r="BE463" t="str">
        <f t="shared" si="119"/>
        <v>2-5</v>
      </c>
    </row>
    <row r="464" spans="1:57" x14ac:dyDescent="0.3">
      <c r="A464">
        <v>621</v>
      </c>
      <c r="B464">
        <v>34</v>
      </c>
      <c r="C464" t="str">
        <f t="shared" si="106"/>
        <v>26-35</v>
      </c>
      <c r="D464" t="s">
        <v>71</v>
      </c>
      <c r="E464">
        <f t="shared" si="107"/>
        <v>0</v>
      </c>
      <c r="F464" t="s">
        <v>57</v>
      </c>
      <c r="G464">
        <v>258</v>
      </c>
      <c r="H464" t="str">
        <f t="shared" si="108"/>
        <v>102-500</v>
      </c>
      <c r="I464" t="s">
        <v>58</v>
      </c>
      <c r="J464">
        <v>21</v>
      </c>
      <c r="K464" t="str">
        <f t="shared" si="109"/>
        <v>21-29</v>
      </c>
      <c r="L464">
        <v>4</v>
      </c>
      <c r="M464" t="s">
        <v>82</v>
      </c>
      <c r="N464" t="s">
        <v>60</v>
      </c>
      <c r="O464">
        <v>1</v>
      </c>
      <c r="P464">
        <v>4</v>
      </c>
      <c r="Q464" t="s">
        <v>65</v>
      </c>
      <c r="R464" t="s">
        <v>75</v>
      </c>
      <c r="S464">
        <v>74</v>
      </c>
      <c r="T464" t="str">
        <f t="shared" si="110"/>
        <v>51-75</v>
      </c>
      <c r="U464">
        <v>4</v>
      </c>
      <c r="V464" t="s">
        <v>65</v>
      </c>
      <c r="W464">
        <v>2</v>
      </c>
      <c r="X464" t="s">
        <v>64</v>
      </c>
      <c r="Y464">
        <v>4</v>
      </c>
      <c r="Z464" t="s">
        <v>65</v>
      </c>
      <c r="AA464" t="s">
        <v>66</v>
      </c>
      <c r="AB464" s="4">
        <v>5337</v>
      </c>
      <c r="AC464" s="4" t="str">
        <f t="shared" si="111"/>
        <v>$4,000-$5,500</v>
      </c>
      <c r="AD464">
        <v>19921</v>
      </c>
      <c r="AE464" t="str">
        <f t="shared" si="112"/>
        <v>$16,001-$22,000</v>
      </c>
      <c r="AF464">
        <v>1</v>
      </c>
      <c r="AG464" t="str">
        <f t="shared" si="113"/>
        <v>0-1</v>
      </c>
      <c r="AH464" t="s">
        <v>67</v>
      </c>
      <c r="AI464" t="s">
        <v>71</v>
      </c>
      <c r="AJ464">
        <v>12</v>
      </c>
      <c r="AK464" t="str">
        <f t="shared" si="114"/>
        <v>11-12%</v>
      </c>
      <c r="AL464">
        <v>3</v>
      </c>
      <c r="AM464" t="s">
        <v>68</v>
      </c>
      <c r="AN464">
        <v>4</v>
      </c>
      <c r="AO464" t="s">
        <v>65</v>
      </c>
      <c r="AP464">
        <v>80</v>
      </c>
      <c r="AQ464">
        <v>0</v>
      </c>
      <c r="AR464">
        <v>10</v>
      </c>
      <c r="AS464" t="str">
        <f t="shared" si="115"/>
        <v>6-10</v>
      </c>
      <c r="AT464">
        <v>3</v>
      </c>
      <c r="AU464" t="str">
        <f t="shared" si="116"/>
        <v>3-4</v>
      </c>
      <c r="AV464">
        <v>3</v>
      </c>
      <c r="AW464" t="s">
        <v>79</v>
      </c>
      <c r="AX464">
        <v>10</v>
      </c>
      <c r="AY464" t="str">
        <f t="shared" si="105"/>
        <v>6-10</v>
      </c>
      <c r="AZ464">
        <v>7</v>
      </c>
      <c r="BA464" t="str">
        <f t="shared" si="117"/>
        <v>6-10</v>
      </c>
      <c r="BB464">
        <v>5</v>
      </c>
      <c r="BC464" t="str">
        <f t="shared" si="118"/>
        <v>2-5</v>
      </c>
      <c r="BD464">
        <v>7</v>
      </c>
      <c r="BE464" t="str">
        <f t="shared" si="119"/>
        <v>6-10</v>
      </c>
    </row>
    <row r="465" spans="1:57" x14ac:dyDescent="0.3">
      <c r="A465">
        <v>622</v>
      </c>
      <c r="B465">
        <v>26</v>
      </c>
      <c r="C465" t="str">
        <f t="shared" si="106"/>
        <v>26-35</v>
      </c>
      <c r="D465" t="s">
        <v>56</v>
      </c>
      <c r="E465">
        <f t="shared" si="107"/>
        <v>1</v>
      </c>
      <c r="F465" t="s">
        <v>57</v>
      </c>
      <c r="G465">
        <v>471</v>
      </c>
      <c r="H465" t="str">
        <f t="shared" si="108"/>
        <v>102-500</v>
      </c>
      <c r="I465" t="s">
        <v>73</v>
      </c>
      <c r="J465">
        <v>24</v>
      </c>
      <c r="K465" t="str">
        <f t="shared" si="109"/>
        <v>21-29</v>
      </c>
      <c r="L465">
        <v>3</v>
      </c>
      <c r="M465" t="s">
        <v>85</v>
      </c>
      <c r="N465" t="s">
        <v>95</v>
      </c>
      <c r="O465">
        <v>1</v>
      </c>
      <c r="P465">
        <v>3</v>
      </c>
      <c r="Q465" t="s">
        <v>63</v>
      </c>
      <c r="R465" t="s">
        <v>75</v>
      </c>
      <c r="S465">
        <v>66</v>
      </c>
      <c r="T465" t="str">
        <f t="shared" si="110"/>
        <v>51-75</v>
      </c>
      <c r="U465">
        <v>1</v>
      </c>
      <c r="V465" t="s">
        <v>69</v>
      </c>
      <c r="W465">
        <v>1</v>
      </c>
      <c r="X465" t="s">
        <v>81</v>
      </c>
      <c r="Y465">
        <v>4</v>
      </c>
      <c r="Z465" t="s">
        <v>65</v>
      </c>
      <c r="AA465" t="s">
        <v>66</v>
      </c>
      <c r="AB465" s="4">
        <v>2340</v>
      </c>
      <c r="AC465" s="4" t="str">
        <f t="shared" si="111"/>
        <v>$1,000-$2,500</v>
      </c>
      <c r="AD465">
        <v>23213</v>
      </c>
      <c r="AE465" t="str">
        <f t="shared" si="112"/>
        <v>$22,001-$26,999</v>
      </c>
      <c r="AF465">
        <v>1</v>
      </c>
      <c r="AG465" t="str">
        <f t="shared" si="113"/>
        <v>0-1</v>
      </c>
      <c r="AH465" t="s">
        <v>67</v>
      </c>
      <c r="AI465" t="s">
        <v>56</v>
      </c>
      <c r="AJ465">
        <v>18</v>
      </c>
      <c r="AK465" t="str">
        <f t="shared" si="114"/>
        <v>18-19%</v>
      </c>
      <c r="AL465">
        <v>3</v>
      </c>
      <c r="AM465" t="s">
        <v>68</v>
      </c>
      <c r="AN465">
        <v>2</v>
      </c>
      <c r="AO465" t="s">
        <v>61</v>
      </c>
      <c r="AP465">
        <v>80</v>
      </c>
      <c r="AQ465">
        <v>0</v>
      </c>
      <c r="AR465">
        <v>1</v>
      </c>
      <c r="AS465" t="str">
        <f t="shared" si="115"/>
        <v>0-2</v>
      </c>
      <c r="AT465">
        <v>3</v>
      </c>
      <c r="AU465" t="str">
        <f t="shared" si="116"/>
        <v>3-4</v>
      </c>
      <c r="AV465">
        <v>1</v>
      </c>
      <c r="AW465" t="s">
        <v>70</v>
      </c>
      <c r="AX465">
        <v>1</v>
      </c>
      <c r="AY465" t="str">
        <f t="shared" si="105"/>
        <v>0-1</v>
      </c>
      <c r="AZ465">
        <v>0</v>
      </c>
      <c r="BA465" t="str">
        <f t="shared" si="117"/>
        <v>0-1</v>
      </c>
      <c r="BB465">
        <v>0</v>
      </c>
      <c r="BC465" t="str">
        <f t="shared" si="118"/>
        <v>0-1</v>
      </c>
      <c r="BD465">
        <v>0</v>
      </c>
      <c r="BE465" t="str">
        <f t="shared" si="119"/>
        <v>0-1</v>
      </c>
    </row>
    <row r="466" spans="1:57" x14ac:dyDescent="0.3">
      <c r="A466">
        <v>623</v>
      </c>
      <c r="B466">
        <v>37</v>
      </c>
      <c r="C466" t="str">
        <f t="shared" si="106"/>
        <v>36-45</v>
      </c>
      <c r="D466" t="s">
        <v>71</v>
      </c>
      <c r="E466">
        <f t="shared" si="107"/>
        <v>0</v>
      </c>
      <c r="F466" t="s">
        <v>57</v>
      </c>
      <c r="G466">
        <v>799</v>
      </c>
      <c r="H466" t="str">
        <f t="shared" si="108"/>
        <v>501-1000</v>
      </c>
      <c r="I466" t="s">
        <v>73</v>
      </c>
      <c r="J466">
        <v>1</v>
      </c>
      <c r="K466" t="str">
        <f t="shared" si="109"/>
        <v>1-5</v>
      </c>
      <c r="L466">
        <v>3</v>
      </c>
      <c r="M466" t="s">
        <v>85</v>
      </c>
      <c r="N466" t="s">
        <v>95</v>
      </c>
      <c r="O466">
        <v>1</v>
      </c>
      <c r="P466">
        <v>2</v>
      </c>
      <c r="Q466" t="s">
        <v>61</v>
      </c>
      <c r="R466" t="s">
        <v>62</v>
      </c>
      <c r="S466">
        <v>59</v>
      </c>
      <c r="T466" t="str">
        <f t="shared" si="110"/>
        <v>51-75</v>
      </c>
      <c r="U466">
        <v>3</v>
      </c>
      <c r="V466" t="s">
        <v>63</v>
      </c>
      <c r="W466">
        <v>3</v>
      </c>
      <c r="X466" t="s">
        <v>87</v>
      </c>
      <c r="Y466">
        <v>4</v>
      </c>
      <c r="Z466" t="s">
        <v>65</v>
      </c>
      <c r="AA466" t="s">
        <v>66</v>
      </c>
      <c r="AB466" s="4">
        <v>7491</v>
      </c>
      <c r="AC466" s="4" t="str">
        <f t="shared" si="111"/>
        <v>$7,000-$8,500</v>
      </c>
      <c r="AD466">
        <v>23848</v>
      </c>
      <c r="AE466" t="str">
        <f t="shared" si="112"/>
        <v>$22,001-$26,999</v>
      </c>
      <c r="AF466">
        <v>4</v>
      </c>
      <c r="AG466" t="str">
        <f t="shared" si="113"/>
        <v>4-6</v>
      </c>
      <c r="AH466" t="s">
        <v>67</v>
      </c>
      <c r="AI466" t="s">
        <v>71</v>
      </c>
      <c r="AJ466">
        <v>17</v>
      </c>
      <c r="AK466" t="str">
        <f t="shared" si="114"/>
        <v>16-17%</v>
      </c>
      <c r="AL466">
        <v>3</v>
      </c>
      <c r="AM466" t="s">
        <v>68</v>
      </c>
      <c r="AN466">
        <v>4</v>
      </c>
      <c r="AO466" t="s">
        <v>65</v>
      </c>
      <c r="AP466">
        <v>80</v>
      </c>
      <c r="AQ466">
        <v>0</v>
      </c>
      <c r="AR466">
        <v>12</v>
      </c>
      <c r="AS466" t="str">
        <f t="shared" si="115"/>
        <v>11-20</v>
      </c>
      <c r="AT466">
        <v>3</v>
      </c>
      <c r="AU466" t="str">
        <f t="shared" si="116"/>
        <v>3-4</v>
      </c>
      <c r="AV466">
        <v>4</v>
      </c>
      <c r="AW466" t="s">
        <v>94</v>
      </c>
      <c r="AX466">
        <v>6</v>
      </c>
      <c r="AY466" t="str">
        <f t="shared" si="105"/>
        <v>6-10</v>
      </c>
      <c r="AZ466">
        <v>5</v>
      </c>
      <c r="BA466" t="str">
        <f t="shared" si="117"/>
        <v>2-5</v>
      </c>
      <c r="BB466">
        <v>1</v>
      </c>
      <c r="BC466" t="str">
        <f t="shared" si="118"/>
        <v>0-1</v>
      </c>
      <c r="BD466">
        <v>2</v>
      </c>
      <c r="BE466" t="str">
        <f t="shared" si="119"/>
        <v>2-5</v>
      </c>
    </row>
    <row r="467" spans="1:57" x14ac:dyDescent="0.3">
      <c r="A467">
        <v>624</v>
      </c>
      <c r="B467">
        <v>46</v>
      </c>
      <c r="C467" t="str">
        <f t="shared" si="106"/>
        <v>46-55</v>
      </c>
      <c r="D467" t="s">
        <v>71</v>
      </c>
      <c r="E467">
        <f t="shared" si="107"/>
        <v>0</v>
      </c>
      <c r="F467" t="s">
        <v>72</v>
      </c>
      <c r="G467">
        <v>1034</v>
      </c>
      <c r="H467" t="str">
        <f t="shared" si="108"/>
        <v>1001-1499</v>
      </c>
      <c r="I467" t="s">
        <v>73</v>
      </c>
      <c r="J467">
        <v>18</v>
      </c>
      <c r="K467" t="str">
        <f t="shared" si="109"/>
        <v>11-20</v>
      </c>
      <c r="L467">
        <v>1</v>
      </c>
      <c r="M467" t="s">
        <v>74</v>
      </c>
      <c r="N467" t="s">
        <v>83</v>
      </c>
      <c r="O467">
        <v>1</v>
      </c>
      <c r="P467">
        <v>1</v>
      </c>
      <c r="Q467" t="s">
        <v>69</v>
      </c>
      <c r="R467" t="s">
        <v>62</v>
      </c>
      <c r="S467">
        <v>86</v>
      </c>
      <c r="T467" t="str">
        <f t="shared" si="110"/>
        <v>76-100</v>
      </c>
      <c r="U467">
        <v>3</v>
      </c>
      <c r="V467" t="s">
        <v>63</v>
      </c>
      <c r="W467">
        <v>3</v>
      </c>
      <c r="X467" t="s">
        <v>88</v>
      </c>
      <c r="Y467">
        <v>3</v>
      </c>
      <c r="Z467" t="s">
        <v>63</v>
      </c>
      <c r="AA467" t="s">
        <v>77</v>
      </c>
      <c r="AB467" s="4">
        <v>10527</v>
      </c>
      <c r="AC467" s="4" t="str">
        <f t="shared" si="111"/>
        <v>$10,000-$11,500</v>
      </c>
      <c r="AD467">
        <v>8984</v>
      </c>
      <c r="AE467" t="str">
        <f t="shared" si="112"/>
        <v>$8,001-$16,000</v>
      </c>
      <c r="AF467">
        <v>5</v>
      </c>
      <c r="AG467" t="str">
        <f t="shared" si="113"/>
        <v>4-6</v>
      </c>
      <c r="AH467" t="s">
        <v>67</v>
      </c>
      <c r="AI467" t="s">
        <v>71</v>
      </c>
      <c r="AJ467">
        <v>11</v>
      </c>
      <c r="AK467" t="str">
        <f t="shared" si="114"/>
        <v>11-12%</v>
      </c>
      <c r="AL467">
        <v>3</v>
      </c>
      <c r="AM467" t="s">
        <v>68</v>
      </c>
      <c r="AN467">
        <v>4</v>
      </c>
      <c r="AO467" t="s">
        <v>65</v>
      </c>
      <c r="AP467">
        <v>80</v>
      </c>
      <c r="AQ467">
        <v>0</v>
      </c>
      <c r="AR467">
        <v>28</v>
      </c>
      <c r="AS467" t="str">
        <f t="shared" si="115"/>
        <v>21-40</v>
      </c>
      <c r="AT467">
        <v>3</v>
      </c>
      <c r="AU467" t="str">
        <f t="shared" si="116"/>
        <v>3-4</v>
      </c>
      <c r="AV467">
        <v>2</v>
      </c>
      <c r="AW467" t="s">
        <v>84</v>
      </c>
      <c r="AX467">
        <v>2</v>
      </c>
      <c r="AY467" t="str">
        <f t="shared" si="105"/>
        <v>2-5</v>
      </c>
      <c r="AZ467">
        <v>2</v>
      </c>
      <c r="BA467" t="str">
        <f t="shared" si="117"/>
        <v>2-5</v>
      </c>
      <c r="BB467">
        <v>1</v>
      </c>
      <c r="BC467" t="str">
        <f t="shared" si="118"/>
        <v>0-1</v>
      </c>
      <c r="BD467">
        <v>2</v>
      </c>
      <c r="BE467" t="str">
        <f t="shared" si="119"/>
        <v>2-5</v>
      </c>
    </row>
    <row r="468" spans="1:57" x14ac:dyDescent="0.3">
      <c r="A468">
        <v>625</v>
      </c>
      <c r="B468">
        <v>41</v>
      </c>
      <c r="C468" t="str">
        <f t="shared" si="106"/>
        <v>36-45</v>
      </c>
      <c r="D468" t="s">
        <v>71</v>
      </c>
      <c r="E468">
        <f t="shared" si="107"/>
        <v>0</v>
      </c>
      <c r="F468" t="s">
        <v>57</v>
      </c>
      <c r="G468">
        <v>1276</v>
      </c>
      <c r="H468" t="str">
        <f t="shared" si="108"/>
        <v>1001-1499</v>
      </c>
      <c r="I468" t="s">
        <v>58</v>
      </c>
      <c r="J468">
        <v>2</v>
      </c>
      <c r="K468" t="str">
        <f t="shared" si="109"/>
        <v>1-5</v>
      </c>
      <c r="L468">
        <v>5</v>
      </c>
      <c r="M468" t="s">
        <v>96</v>
      </c>
      <c r="N468" t="s">
        <v>60</v>
      </c>
      <c r="O468">
        <v>1</v>
      </c>
      <c r="P468">
        <v>2</v>
      </c>
      <c r="Q468" t="s">
        <v>61</v>
      </c>
      <c r="R468" t="s">
        <v>62</v>
      </c>
      <c r="S468">
        <v>91</v>
      </c>
      <c r="T468" t="str">
        <f t="shared" si="110"/>
        <v>76-100</v>
      </c>
      <c r="U468">
        <v>3</v>
      </c>
      <c r="V468" t="s">
        <v>63</v>
      </c>
      <c r="W468">
        <v>4</v>
      </c>
      <c r="X468" t="s">
        <v>90</v>
      </c>
      <c r="Y468">
        <v>1</v>
      </c>
      <c r="Z468" t="s">
        <v>69</v>
      </c>
      <c r="AA468" t="s">
        <v>77</v>
      </c>
      <c r="AB468" s="4">
        <v>16595</v>
      </c>
      <c r="AC468" s="4" t="str">
        <f t="shared" si="111"/>
        <v>$16,000-$17,500</v>
      </c>
      <c r="AD468">
        <v>5626</v>
      </c>
      <c r="AE468" t="str">
        <f t="shared" si="112"/>
        <v>$2,094-$8,000</v>
      </c>
      <c r="AF468">
        <v>7</v>
      </c>
      <c r="AG468" t="str">
        <f t="shared" si="113"/>
        <v>7-9</v>
      </c>
      <c r="AH468" t="s">
        <v>67</v>
      </c>
      <c r="AI468" t="s">
        <v>71</v>
      </c>
      <c r="AJ468">
        <v>16</v>
      </c>
      <c r="AK468" t="str">
        <f t="shared" si="114"/>
        <v>16-17%</v>
      </c>
      <c r="AL468">
        <v>3</v>
      </c>
      <c r="AM468" t="s">
        <v>68</v>
      </c>
      <c r="AN468">
        <v>2</v>
      </c>
      <c r="AO468" t="s">
        <v>61</v>
      </c>
      <c r="AP468">
        <v>80</v>
      </c>
      <c r="AQ468">
        <v>1</v>
      </c>
      <c r="AR468">
        <v>22</v>
      </c>
      <c r="AS468" t="str">
        <f t="shared" si="115"/>
        <v>21-40</v>
      </c>
      <c r="AT468">
        <v>2</v>
      </c>
      <c r="AU468" t="str">
        <f t="shared" si="116"/>
        <v>0-2</v>
      </c>
      <c r="AV468">
        <v>3</v>
      </c>
      <c r="AW468" t="s">
        <v>79</v>
      </c>
      <c r="AX468">
        <v>18</v>
      </c>
      <c r="AY468" t="str">
        <f t="shared" si="105"/>
        <v>11-20</v>
      </c>
      <c r="AZ468">
        <v>16</v>
      </c>
      <c r="BA468" t="str">
        <f t="shared" si="117"/>
        <v>11-18</v>
      </c>
      <c r="BB468">
        <v>11</v>
      </c>
      <c r="BC468" t="str">
        <f t="shared" si="118"/>
        <v>11-15</v>
      </c>
      <c r="BD468">
        <v>8</v>
      </c>
      <c r="BE468" t="str">
        <f t="shared" si="119"/>
        <v>6-10</v>
      </c>
    </row>
    <row r="469" spans="1:57" x14ac:dyDescent="0.3">
      <c r="A469">
        <v>626</v>
      </c>
      <c r="B469">
        <v>37</v>
      </c>
      <c r="C469" t="str">
        <f t="shared" si="106"/>
        <v>36-45</v>
      </c>
      <c r="D469" t="s">
        <v>71</v>
      </c>
      <c r="E469">
        <f t="shared" si="107"/>
        <v>0</v>
      </c>
      <c r="F469" t="s">
        <v>89</v>
      </c>
      <c r="G469">
        <v>142</v>
      </c>
      <c r="H469" t="str">
        <f t="shared" si="108"/>
        <v>102-500</v>
      </c>
      <c r="I469" t="s">
        <v>58</v>
      </c>
      <c r="J469">
        <v>9</v>
      </c>
      <c r="K469" t="str">
        <f t="shared" si="109"/>
        <v>6-10</v>
      </c>
      <c r="L469">
        <v>4</v>
      </c>
      <c r="M469" t="s">
        <v>82</v>
      </c>
      <c r="N469" t="s">
        <v>83</v>
      </c>
      <c r="O469">
        <v>1</v>
      </c>
      <c r="P469">
        <v>1</v>
      </c>
      <c r="Q469" t="s">
        <v>69</v>
      </c>
      <c r="R469" t="s">
        <v>75</v>
      </c>
      <c r="S469">
        <v>69</v>
      </c>
      <c r="T469" t="str">
        <f t="shared" si="110"/>
        <v>51-75</v>
      </c>
      <c r="U469">
        <v>3</v>
      </c>
      <c r="V469" t="s">
        <v>63</v>
      </c>
      <c r="W469">
        <v>3</v>
      </c>
      <c r="X469" t="s">
        <v>64</v>
      </c>
      <c r="Y469">
        <v>2</v>
      </c>
      <c r="Z469" t="s">
        <v>61</v>
      </c>
      <c r="AA469" t="s">
        <v>86</v>
      </c>
      <c r="AB469" s="4">
        <v>8834</v>
      </c>
      <c r="AC469" s="4" t="str">
        <f t="shared" si="111"/>
        <v>$8,500-$10,000</v>
      </c>
      <c r="AD469">
        <v>24666</v>
      </c>
      <c r="AE469" t="str">
        <f t="shared" si="112"/>
        <v>$22,001-$26,999</v>
      </c>
      <c r="AF469">
        <v>1</v>
      </c>
      <c r="AG469" t="str">
        <f t="shared" si="113"/>
        <v>0-1</v>
      </c>
      <c r="AH469" t="s">
        <v>67</v>
      </c>
      <c r="AI469" t="s">
        <v>71</v>
      </c>
      <c r="AJ469">
        <v>13</v>
      </c>
      <c r="AK469" t="str">
        <f t="shared" si="114"/>
        <v>13-15%</v>
      </c>
      <c r="AL469">
        <v>3</v>
      </c>
      <c r="AM469" t="s">
        <v>68</v>
      </c>
      <c r="AN469">
        <v>4</v>
      </c>
      <c r="AO469" t="s">
        <v>65</v>
      </c>
      <c r="AP469">
        <v>80</v>
      </c>
      <c r="AQ469">
        <v>1</v>
      </c>
      <c r="AR469">
        <v>9</v>
      </c>
      <c r="AS469" t="str">
        <f t="shared" si="115"/>
        <v>6-10</v>
      </c>
      <c r="AT469">
        <v>6</v>
      </c>
      <c r="AU469" t="str">
        <f t="shared" si="116"/>
        <v>5-6</v>
      </c>
      <c r="AV469">
        <v>3</v>
      </c>
      <c r="AW469" t="s">
        <v>79</v>
      </c>
      <c r="AX469">
        <v>9</v>
      </c>
      <c r="AY469" t="str">
        <f t="shared" si="105"/>
        <v>6-10</v>
      </c>
      <c r="AZ469">
        <v>5</v>
      </c>
      <c r="BA469" t="str">
        <f t="shared" si="117"/>
        <v>2-5</v>
      </c>
      <c r="BB469">
        <v>7</v>
      </c>
      <c r="BC469" t="str">
        <f t="shared" si="118"/>
        <v>6-10</v>
      </c>
      <c r="BD469">
        <v>7</v>
      </c>
      <c r="BE469" t="str">
        <f t="shared" si="119"/>
        <v>6-10</v>
      </c>
    </row>
    <row r="470" spans="1:57" x14ac:dyDescent="0.3">
      <c r="A470">
        <v>630</v>
      </c>
      <c r="B470">
        <v>52</v>
      </c>
      <c r="C470" t="str">
        <f t="shared" si="106"/>
        <v>46-55</v>
      </c>
      <c r="D470" t="s">
        <v>71</v>
      </c>
      <c r="E470">
        <f t="shared" si="107"/>
        <v>0</v>
      </c>
      <c r="F470" t="s">
        <v>57</v>
      </c>
      <c r="G470">
        <v>956</v>
      </c>
      <c r="H470" t="str">
        <f t="shared" si="108"/>
        <v>501-1000</v>
      </c>
      <c r="I470" t="s">
        <v>73</v>
      </c>
      <c r="J470">
        <v>6</v>
      </c>
      <c r="K470" t="str">
        <f t="shared" si="109"/>
        <v>6-10</v>
      </c>
      <c r="L470">
        <v>2</v>
      </c>
      <c r="M470" t="s">
        <v>59</v>
      </c>
      <c r="N470" t="s">
        <v>95</v>
      </c>
      <c r="O470">
        <v>1</v>
      </c>
      <c r="P470">
        <v>4</v>
      </c>
      <c r="Q470" t="s">
        <v>65</v>
      </c>
      <c r="R470" t="s">
        <v>75</v>
      </c>
      <c r="S470">
        <v>78</v>
      </c>
      <c r="T470" t="str">
        <f t="shared" si="110"/>
        <v>76-100</v>
      </c>
      <c r="U470">
        <v>3</v>
      </c>
      <c r="V470" t="s">
        <v>63</v>
      </c>
      <c r="W470">
        <v>2</v>
      </c>
      <c r="X470" t="s">
        <v>76</v>
      </c>
      <c r="Y470">
        <v>1</v>
      </c>
      <c r="Z470" t="s">
        <v>69</v>
      </c>
      <c r="AA470" t="s">
        <v>86</v>
      </c>
      <c r="AB470" s="4">
        <v>5577</v>
      </c>
      <c r="AC470" s="4" t="str">
        <f t="shared" si="111"/>
        <v>$5,500-$7,000</v>
      </c>
      <c r="AD470">
        <v>22087</v>
      </c>
      <c r="AE470" t="str">
        <f t="shared" si="112"/>
        <v>$22,001-$26,999</v>
      </c>
      <c r="AF470">
        <v>3</v>
      </c>
      <c r="AG470" t="str">
        <f t="shared" si="113"/>
        <v>2-3</v>
      </c>
      <c r="AH470" t="s">
        <v>67</v>
      </c>
      <c r="AI470" t="s">
        <v>56</v>
      </c>
      <c r="AJ470">
        <v>12</v>
      </c>
      <c r="AK470" t="str">
        <f t="shared" si="114"/>
        <v>11-12%</v>
      </c>
      <c r="AL470">
        <v>3</v>
      </c>
      <c r="AM470" t="s">
        <v>68</v>
      </c>
      <c r="AN470">
        <v>2</v>
      </c>
      <c r="AO470" t="s">
        <v>61</v>
      </c>
      <c r="AP470">
        <v>80</v>
      </c>
      <c r="AQ470">
        <v>2</v>
      </c>
      <c r="AR470">
        <v>18</v>
      </c>
      <c r="AS470" t="str">
        <f t="shared" si="115"/>
        <v>11-20</v>
      </c>
      <c r="AT470">
        <v>3</v>
      </c>
      <c r="AU470" t="str">
        <f t="shared" si="116"/>
        <v>3-4</v>
      </c>
      <c r="AV470">
        <v>3</v>
      </c>
      <c r="AW470" t="s">
        <v>79</v>
      </c>
      <c r="AX470">
        <v>10</v>
      </c>
      <c r="AY470" t="str">
        <f t="shared" si="105"/>
        <v>6-10</v>
      </c>
      <c r="AZ470">
        <v>9</v>
      </c>
      <c r="BA470" t="str">
        <f t="shared" si="117"/>
        <v>6-10</v>
      </c>
      <c r="BB470">
        <v>6</v>
      </c>
      <c r="BC470" t="str">
        <f t="shared" si="118"/>
        <v>6-10</v>
      </c>
      <c r="BD470">
        <v>9</v>
      </c>
      <c r="BE470" t="str">
        <f t="shared" si="119"/>
        <v>6-10</v>
      </c>
    </row>
    <row r="471" spans="1:57" x14ac:dyDescent="0.3">
      <c r="A471">
        <v>631</v>
      </c>
      <c r="B471">
        <v>32</v>
      </c>
      <c r="C471" t="str">
        <f t="shared" si="106"/>
        <v>26-35</v>
      </c>
      <c r="D471" t="s">
        <v>56</v>
      </c>
      <c r="E471">
        <f t="shared" si="107"/>
        <v>1</v>
      </c>
      <c r="F471" t="s">
        <v>89</v>
      </c>
      <c r="G471">
        <v>1474</v>
      </c>
      <c r="H471" t="str">
        <f t="shared" si="108"/>
        <v>1001-1499</v>
      </c>
      <c r="I471" t="s">
        <v>58</v>
      </c>
      <c r="J471">
        <v>11</v>
      </c>
      <c r="K471" t="str">
        <f t="shared" si="109"/>
        <v>11-20</v>
      </c>
      <c r="L471">
        <v>4</v>
      </c>
      <c r="M471" t="s">
        <v>82</v>
      </c>
      <c r="N471" t="s">
        <v>80</v>
      </c>
      <c r="O471">
        <v>1</v>
      </c>
      <c r="P471">
        <v>4</v>
      </c>
      <c r="Q471" t="s">
        <v>65</v>
      </c>
      <c r="R471" t="s">
        <v>75</v>
      </c>
      <c r="S471">
        <v>60</v>
      </c>
      <c r="T471" t="str">
        <f t="shared" si="110"/>
        <v>51-75</v>
      </c>
      <c r="U471">
        <v>4</v>
      </c>
      <c r="V471" t="s">
        <v>65</v>
      </c>
      <c r="W471">
        <v>2</v>
      </c>
      <c r="X471" t="s">
        <v>64</v>
      </c>
      <c r="Y471">
        <v>3</v>
      </c>
      <c r="Z471" t="s">
        <v>63</v>
      </c>
      <c r="AA471" t="s">
        <v>77</v>
      </c>
      <c r="AB471" s="4">
        <v>4707</v>
      </c>
      <c r="AC471" s="4" t="str">
        <f t="shared" si="111"/>
        <v>$4,000-$5,500</v>
      </c>
      <c r="AD471">
        <v>23914</v>
      </c>
      <c r="AE471" t="str">
        <f t="shared" si="112"/>
        <v>$22,001-$26,999</v>
      </c>
      <c r="AF471">
        <v>8</v>
      </c>
      <c r="AG471" t="str">
        <f t="shared" si="113"/>
        <v>7-9</v>
      </c>
      <c r="AH471" t="s">
        <v>67</v>
      </c>
      <c r="AI471" t="s">
        <v>71</v>
      </c>
      <c r="AJ471">
        <v>12</v>
      </c>
      <c r="AK471" t="str">
        <f t="shared" si="114"/>
        <v>11-12%</v>
      </c>
      <c r="AL471">
        <v>3</v>
      </c>
      <c r="AM471" t="s">
        <v>68</v>
      </c>
      <c r="AN471">
        <v>4</v>
      </c>
      <c r="AO471" t="s">
        <v>65</v>
      </c>
      <c r="AP471">
        <v>80</v>
      </c>
      <c r="AQ471">
        <v>0</v>
      </c>
      <c r="AR471">
        <v>6</v>
      </c>
      <c r="AS471" t="str">
        <f t="shared" si="115"/>
        <v>6-10</v>
      </c>
      <c r="AT471">
        <v>2</v>
      </c>
      <c r="AU471" t="str">
        <f t="shared" si="116"/>
        <v>0-2</v>
      </c>
      <c r="AV471">
        <v>3</v>
      </c>
      <c r="AW471" t="s">
        <v>79</v>
      </c>
      <c r="AX471">
        <v>4</v>
      </c>
      <c r="AY471" t="str">
        <f t="shared" si="105"/>
        <v>2-5</v>
      </c>
      <c r="AZ471">
        <v>2</v>
      </c>
      <c r="BA471" t="str">
        <f t="shared" si="117"/>
        <v>2-5</v>
      </c>
      <c r="BB471">
        <v>1</v>
      </c>
      <c r="BC471" t="str">
        <f t="shared" si="118"/>
        <v>0-1</v>
      </c>
      <c r="BD471">
        <v>2</v>
      </c>
      <c r="BE471" t="str">
        <f t="shared" si="119"/>
        <v>2-5</v>
      </c>
    </row>
    <row r="472" spans="1:57" x14ac:dyDescent="0.3">
      <c r="A472">
        <v>632</v>
      </c>
      <c r="B472">
        <v>24</v>
      </c>
      <c r="C472" t="str">
        <f t="shared" si="106"/>
        <v>18-25</v>
      </c>
      <c r="D472" t="s">
        <v>71</v>
      </c>
      <c r="E472">
        <f t="shared" si="107"/>
        <v>0</v>
      </c>
      <c r="F472" t="s">
        <v>72</v>
      </c>
      <c r="G472">
        <v>535</v>
      </c>
      <c r="H472" t="str">
        <f t="shared" si="108"/>
        <v>501-1000</v>
      </c>
      <c r="I472" t="s">
        <v>58</v>
      </c>
      <c r="J472">
        <v>24</v>
      </c>
      <c r="K472" t="str">
        <f t="shared" si="109"/>
        <v>21-29</v>
      </c>
      <c r="L472">
        <v>3</v>
      </c>
      <c r="M472" t="s">
        <v>85</v>
      </c>
      <c r="N472" t="s">
        <v>83</v>
      </c>
      <c r="O472">
        <v>1</v>
      </c>
      <c r="P472">
        <v>4</v>
      </c>
      <c r="Q472" t="s">
        <v>65</v>
      </c>
      <c r="R472" t="s">
        <v>75</v>
      </c>
      <c r="S472">
        <v>38</v>
      </c>
      <c r="T472" t="str">
        <f t="shared" si="110"/>
        <v>30-50</v>
      </c>
      <c r="U472">
        <v>3</v>
      </c>
      <c r="V472" t="s">
        <v>63</v>
      </c>
      <c r="W472">
        <v>1</v>
      </c>
      <c r="X472" t="s">
        <v>91</v>
      </c>
      <c r="Y472">
        <v>4</v>
      </c>
      <c r="Z472" t="s">
        <v>65</v>
      </c>
      <c r="AA472" t="s">
        <v>77</v>
      </c>
      <c r="AB472" s="4">
        <v>2400</v>
      </c>
      <c r="AC472" s="4" t="str">
        <f t="shared" si="111"/>
        <v>$1,000-$2,500</v>
      </c>
      <c r="AD472">
        <v>5530</v>
      </c>
      <c r="AE472" t="str">
        <f t="shared" si="112"/>
        <v>$2,094-$8,000</v>
      </c>
      <c r="AF472">
        <v>0</v>
      </c>
      <c r="AG472" t="str">
        <f t="shared" si="113"/>
        <v>0-1</v>
      </c>
      <c r="AH472" t="s">
        <v>67</v>
      </c>
      <c r="AI472" t="s">
        <v>71</v>
      </c>
      <c r="AJ472">
        <v>13</v>
      </c>
      <c r="AK472" t="str">
        <f t="shared" si="114"/>
        <v>13-15%</v>
      </c>
      <c r="AL472">
        <v>3</v>
      </c>
      <c r="AM472" t="s">
        <v>68</v>
      </c>
      <c r="AN472">
        <v>3</v>
      </c>
      <c r="AO472" t="s">
        <v>63</v>
      </c>
      <c r="AP472">
        <v>80</v>
      </c>
      <c r="AQ472">
        <v>2</v>
      </c>
      <c r="AR472">
        <v>3</v>
      </c>
      <c r="AS472" t="str">
        <f t="shared" si="115"/>
        <v>3-5</v>
      </c>
      <c r="AT472">
        <v>3</v>
      </c>
      <c r="AU472" t="str">
        <f t="shared" si="116"/>
        <v>3-4</v>
      </c>
      <c r="AV472">
        <v>3</v>
      </c>
      <c r="AW472" t="s">
        <v>79</v>
      </c>
      <c r="AX472">
        <v>2</v>
      </c>
      <c r="AY472" t="str">
        <f t="shared" si="105"/>
        <v>2-5</v>
      </c>
      <c r="AZ472">
        <v>2</v>
      </c>
      <c r="BA472" t="str">
        <f t="shared" si="117"/>
        <v>2-5</v>
      </c>
      <c r="BB472">
        <v>2</v>
      </c>
      <c r="BC472" t="str">
        <f t="shared" si="118"/>
        <v>2-5</v>
      </c>
      <c r="BD472">
        <v>1</v>
      </c>
      <c r="BE472" t="str">
        <f t="shared" si="119"/>
        <v>0-1</v>
      </c>
    </row>
    <row r="473" spans="1:57" x14ac:dyDescent="0.3">
      <c r="A473">
        <v>634</v>
      </c>
      <c r="B473">
        <v>38</v>
      </c>
      <c r="C473" t="str">
        <f t="shared" si="106"/>
        <v>36-45</v>
      </c>
      <c r="D473" t="s">
        <v>71</v>
      </c>
      <c r="E473">
        <f t="shared" si="107"/>
        <v>0</v>
      </c>
      <c r="F473" t="s">
        <v>57</v>
      </c>
      <c r="G473">
        <v>1495</v>
      </c>
      <c r="H473" t="str">
        <f t="shared" si="108"/>
        <v>1001-1499</v>
      </c>
      <c r="I473" t="s">
        <v>73</v>
      </c>
      <c r="J473">
        <v>10</v>
      </c>
      <c r="K473" t="str">
        <f t="shared" si="109"/>
        <v>6-10</v>
      </c>
      <c r="L473">
        <v>3</v>
      </c>
      <c r="M473" t="s">
        <v>85</v>
      </c>
      <c r="N473" t="s">
        <v>83</v>
      </c>
      <c r="O473">
        <v>1</v>
      </c>
      <c r="P473">
        <v>3</v>
      </c>
      <c r="Q473" t="s">
        <v>63</v>
      </c>
      <c r="R473" t="s">
        <v>62</v>
      </c>
      <c r="S473">
        <v>76</v>
      </c>
      <c r="T473" t="str">
        <f t="shared" si="110"/>
        <v>76-100</v>
      </c>
      <c r="U473">
        <v>3</v>
      </c>
      <c r="V473" t="s">
        <v>63</v>
      </c>
      <c r="W473">
        <v>2</v>
      </c>
      <c r="X473" t="s">
        <v>88</v>
      </c>
      <c r="Y473">
        <v>3</v>
      </c>
      <c r="Z473" t="s">
        <v>63</v>
      </c>
      <c r="AA473" t="s">
        <v>77</v>
      </c>
      <c r="AB473" s="4">
        <v>9824</v>
      </c>
      <c r="AC473" s="4" t="str">
        <f t="shared" si="111"/>
        <v>$8,500-$10,000</v>
      </c>
      <c r="AD473">
        <v>22174</v>
      </c>
      <c r="AE473" t="str">
        <f t="shared" si="112"/>
        <v>$22,001-$26,999</v>
      </c>
      <c r="AF473">
        <v>3</v>
      </c>
      <c r="AG473" t="str">
        <f t="shared" si="113"/>
        <v>2-3</v>
      </c>
      <c r="AH473" t="s">
        <v>67</v>
      </c>
      <c r="AI473" t="s">
        <v>71</v>
      </c>
      <c r="AJ473">
        <v>19</v>
      </c>
      <c r="AK473" t="str">
        <f t="shared" si="114"/>
        <v>18-19%</v>
      </c>
      <c r="AL473">
        <v>3</v>
      </c>
      <c r="AM473" t="s">
        <v>68</v>
      </c>
      <c r="AN473">
        <v>3</v>
      </c>
      <c r="AO473" t="s">
        <v>63</v>
      </c>
      <c r="AP473">
        <v>80</v>
      </c>
      <c r="AQ473">
        <v>1</v>
      </c>
      <c r="AR473">
        <v>18</v>
      </c>
      <c r="AS473" t="str">
        <f t="shared" si="115"/>
        <v>11-20</v>
      </c>
      <c r="AT473">
        <v>4</v>
      </c>
      <c r="AU473" t="str">
        <f t="shared" si="116"/>
        <v>3-4</v>
      </c>
      <c r="AV473">
        <v>3</v>
      </c>
      <c r="AW473" t="s">
        <v>79</v>
      </c>
      <c r="AX473">
        <v>1</v>
      </c>
      <c r="AY473" t="str">
        <f t="shared" si="105"/>
        <v>0-1</v>
      </c>
      <c r="AZ473">
        <v>0</v>
      </c>
      <c r="BA473" t="str">
        <f t="shared" si="117"/>
        <v>0-1</v>
      </c>
      <c r="BB473">
        <v>0</v>
      </c>
      <c r="BC473" t="str">
        <f t="shared" si="118"/>
        <v>0-1</v>
      </c>
      <c r="BD473">
        <v>0</v>
      </c>
      <c r="BE473" t="str">
        <f t="shared" si="119"/>
        <v>0-1</v>
      </c>
    </row>
    <row r="474" spans="1:57" x14ac:dyDescent="0.3">
      <c r="A474">
        <v>635</v>
      </c>
      <c r="B474">
        <v>37</v>
      </c>
      <c r="C474" t="str">
        <f t="shared" si="106"/>
        <v>36-45</v>
      </c>
      <c r="D474" t="s">
        <v>71</v>
      </c>
      <c r="E474">
        <f t="shared" si="107"/>
        <v>0</v>
      </c>
      <c r="F474" t="s">
        <v>57</v>
      </c>
      <c r="G474">
        <v>446</v>
      </c>
      <c r="H474" t="str">
        <f t="shared" si="108"/>
        <v>102-500</v>
      </c>
      <c r="I474" t="s">
        <v>73</v>
      </c>
      <c r="J474">
        <v>1</v>
      </c>
      <c r="K474" t="str">
        <f t="shared" si="109"/>
        <v>1-5</v>
      </c>
      <c r="L474">
        <v>4</v>
      </c>
      <c r="M474" t="s">
        <v>82</v>
      </c>
      <c r="N474" t="s">
        <v>60</v>
      </c>
      <c r="O474">
        <v>1</v>
      </c>
      <c r="P474">
        <v>2</v>
      </c>
      <c r="Q474" t="s">
        <v>61</v>
      </c>
      <c r="R474" t="s">
        <v>62</v>
      </c>
      <c r="S474">
        <v>65</v>
      </c>
      <c r="T474" t="str">
        <f t="shared" si="110"/>
        <v>51-75</v>
      </c>
      <c r="U474">
        <v>3</v>
      </c>
      <c r="V474" t="s">
        <v>63</v>
      </c>
      <c r="W474">
        <v>2</v>
      </c>
      <c r="X474" t="s">
        <v>87</v>
      </c>
      <c r="Y474">
        <v>2</v>
      </c>
      <c r="Z474" t="s">
        <v>61</v>
      </c>
      <c r="AA474" t="s">
        <v>77</v>
      </c>
      <c r="AB474" s="4">
        <v>6447</v>
      </c>
      <c r="AC474" s="4" t="str">
        <f t="shared" si="111"/>
        <v>$5,500-$7,000</v>
      </c>
      <c r="AD474">
        <v>15701</v>
      </c>
      <c r="AE474" t="str">
        <f t="shared" si="112"/>
        <v>$8,001-$16,000</v>
      </c>
      <c r="AF474">
        <v>6</v>
      </c>
      <c r="AG474" t="str">
        <f t="shared" si="113"/>
        <v>4-6</v>
      </c>
      <c r="AH474" t="s">
        <v>67</v>
      </c>
      <c r="AI474" t="s">
        <v>71</v>
      </c>
      <c r="AJ474">
        <v>12</v>
      </c>
      <c r="AK474" t="str">
        <f t="shared" si="114"/>
        <v>11-12%</v>
      </c>
      <c r="AL474">
        <v>3</v>
      </c>
      <c r="AM474" t="s">
        <v>68</v>
      </c>
      <c r="AN474">
        <v>2</v>
      </c>
      <c r="AO474" t="s">
        <v>61</v>
      </c>
      <c r="AP474">
        <v>80</v>
      </c>
      <c r="AQ474">
        <v>1</v>
      </c>
      <c r="AR474">
        <v>8</v>
      </c>
      <c r="AS474" t="str">
        <f t="shared" si="115"/>
        <v>6-10</v>
      </c>
      <c r="AT474">
        <v>2</v>
      </c>
      <c r="AU474" t="str">
        <f t="shared" si="116"/>
        <v>0-2</v>
      </c>
      <c r="AV474">
        <v>2</v>
      </c>
      <c r="AW474" t="s">
        <v>84</v>
      </c>
      <c r="AX474">
        <v>6</v>
      </c>
      <c r="AY474" t="str">
        <f t="shared" si="105"/>
        <v>6-10</v>
      </c>
      <c r="AZ474">
        <v>5</v>
      </c>
      <c r="BA474" t="str">
        <f t="shared" si="117"/>
        <v>2-5</v>
      </c>
      <c r="BB474">
        <v>4</v>
      </c>
      <c r="BC474" t="str">
        <f t="shared" si="118"/>
        <v>2-5</v>
      </c>
      <c r="BD474">
        <v>3</v>
      </c>
      <c r="BE474" t="str">
        <f t="shared" si="119"/>
        <v>2-5</v>
      </c>
    </row>
    <row r="475" spans="1:57" x14ac:dyDescent="0.3">
      <c r="A475">
        <v>638</v>
      </c>
      <c r="B475">
        <v>49</v>
      </c>
      <c r="C475" t="str">
        <f t="shared" si="106"/>
        <v>46-55</v>
      </c>
      <c r="D475" t="s">
        <v>71</v>
      </c>
      <c r="E475">
        <f t="shared" si="107"/>
        <v>0</v>
      </c>
      <c r="F475" t="s">
        <v>57</v>
      </c>
      <c r="G475">
        <v>1245</v>
      </c>
      <c r="H475" t="str">
        <f t="shared" si="108"/>
        <v>1001-1499</v>
      </c>
      <c r="I475" t="s">
        <v>73</v>
      </c>
      <c r="J475">
        <v>18</v>
      </c>
      <c r="K475" t="str">
        <f t="shared" si="109"/>
        <v>11-20</v>
      </c>
      <c r="L475">
        <v>4</v>
      </c>
      <c r="M475" t="s">
        <v>82</v>
      </c>
      <c r="N475" t="s">
        <v>60</v>
      </c>
      <c r="O475">
        <v>1</v>
      </c>
      <c r="P475">
        <v>4</v>
      </c>
      <c r="Q475" t="s">
        <v>65</v>
      </c>
      <c r="R475" t="s">
        <v>75</v>
      </c>
      <c r="S475">
        <v>58</v>
      </c>
      <c r="T475" t="str">
        <f t="shared" si="110"/>
        <v>51-75</v>
      </c>
      <c r="U475">
        <v>2</v>
      </c>
      <c r="V475" t="s">
        <v>61</v>
      </c>
      <c r="W475">
        <v>5</v>
      </c>
      <c r="X475" t="s">
        <v>92</v>
      </c>
      <c r="Y475">
        <v>3</v>
      </c>
      <c r="Z475" t="s">
        <v>63</v>
      </c>
      <c r="AA475" t="s">
        <v>86</v>
      </c>
      <c r="AB475" s="4">
        <v>19502</v>
      </c>
      <c r="AC475" s="4" t="str">
        <f t="shared" si="111"/>
        <v>$19,000-$20,500</v>
      </c>
      <c r="AD475">
        <v>2125</v>
      </c>
      <c r="AE475" t="str">
        <f t="shared" si="112"/>
        <v>$2,094-$8,000</v>
      </c>
      <c r="AF475">
        <v>1</v>
      </c>
      <c r="AG475" t="str">
        <f t="shared" si="113"/>
        <v>0-1</v>
      </c>
      <c r="AH475" t="s">
        <v>67</v>
      </c>
      <c r="AI475" t="s">
        <v>56</v>
      </c>
      <c r="AJ475">
        <v>17</v>
      </c>
      <c r="AK475" t="str">
        <f t="shared" si="114"/>
        <v>16-17%</v>
      </c>
      <c r="AL475">
        <v>3</v>
      </c>
      <c r="AM475" t="s">
        <v>68</v>
      </c>
      <c r="AN475">
        <v>3</v>
      </c>
      <c r="AO475" t="s">
        <v>63</v>
      </c>
      <c r="AP475">
        <v>80</v>
      </c>
      <c r="AQ475">
        <v>1</v>
      </c>
      <c r="AR475">
        <v>31</v>
      </c>
      <c r="AS475" t="str">
        <f t="shared" si="115"/>
        <v>21-40</v>
      </c>
      <c r="AT475">
        <v>5</v>
      </c>
      <c r="AU475" t="str">
        <f t="shared" si="116"/>
        <v>5-6</v>
      </c>
      <c r="AV475">
        <v>3</v>
      </c>
      <c r="AW475" t="s">
        <v>79</v>
      </c>
      <c r="AX475">
        <v>31</v>
      </c>
      <c r="AY475" t="str">
        <f t="shared" si="105"/>
        <v>21-40</v>
      </c>
      <c r="AZ475">
        <v>9</v>
      </c>
      <c r="BA475" t="str">
        <f t="shared" si="117"/>
        <v>6-10</v>
      </c>
      <c r="BB475">
        <v>0</v>
      </c>
      <c r="BC475" t="str">
        <f t="shared" si="118"/>
        <v>0-1</v>
      </c>
      <c r="BD475">
        <v>9</v>
      </c>
      <c r="BE475" t="str">
        <f t="shared" si="119"/>
        <v>6-10</v>
      </c>
    </row>
    <row r="476" spans="1:57" x14ac:dyDescent="0.3">
      <c r="A476">
        <v>639</v>
      </c>
      <c r="B476">
        <v>24</v>
      </c>
      <c r="C476" t="str">
        <f t="shared" si="106"/>
        <v>18-25</v>
      </c>
      <c r="D476" t="s">
        <v>71</v>
      </c>
      <c r="E476">
        <f t="shared" si="107"/>
        <v>0</v>
      </c>
      <c r="F476" t="s">
        <v>57</v>
      </c>
      <c r="G476">
        <v>691</v>
      </c>
      <c r="H476" t="str">
        <f t="shared" si="108"/>
        <v>501-1000</v>
      </c>
      <c r="I476" t="s">
        <v>73</v>
      </c>
      <c r="J476">
        <v>23</v>
      </c>
      <c r="K476" t="str">
        <f t="shared" si="109"/>
        <v>21-29</v>
      </c>
      <c r="L476">
        <v>3</v>
      </c>
      <c r="M476" t="s">
        <v>85</v>
      </c>
      <c r="N476" t="s">
        <v>83</v>
      </c>
      <c r="O476">
        <v>1</v>
      </c>
      <c r="P476">
        <v>2</v>
      </c>
      <c r="Q476" t="s">
        <v>61</v>
      </c>
      <c r="R476" t="s">
        <v>75</v>
      </c>
      <c r="S476">
        <v>89</v>
      </c>
      <c r="T476" t="str">
        <f t="shared" si="110"/>
        <v>76-100</v>
      </c>
      <c r="U476">
        <v>4</v>
      </c>
      <c r="V476" t="s">
        <v>65</v>
      </c>
      <c r="W476">
        <v>1</v>
      </c>
      <c r="X476" t="s">
        <v>76</v>
      </c>
      <c r="Y476">
        <v>4</v>
      </c>
      <c r="Z476" t="s">
        <v>65</v>
      </c>
      <c r="AA476" t="s">
        <v>77</v>
      </c>
      <c r="AB476" s="4">
        <v>2725</v>
      </c>
      <c r="AC476" s="4" t="str">
        <f t="shared" si="111"/>
        <v>$2,500-$4,000</v>
      </c>
      <c r="AD476">
        <v>21630</v>
      </c>
      <c r="AE476" t="str">
        <f t="shared" si="112"/>
        <v>$16,001-$22,000</v>
      </c>
      <c r="AF476">
        <v>1</v>
      </c>
      <c r="AG476" t="str">
        <f t="shared" si="113"/>
        <v>0-1</v>
      </c>
      <c r="AH476" t="s">
        <v>67</v>
      </c>
      <c r="AI476" t="s">
        <v>56</v>
      </c>
      <c r="AJ476">
        <v>11</v>
      </c>
      <c r="AK476" t="str">
        <f t="shared" si="114"/>
        <v>11-12%</v>
      </c>
      <c r="AL476">
        <v>3</v>
      </c>
      <c r="AM476" t="s">
        <v>68</v>
      </c>
      <c r="AN476">
        <v>2</v>
      </c>
      <c r="AO476" t="s">
        <v>61</v>
      </c>
      <c r="AP476">
        <v>80</v>
      </c>
      <c r="AQ476">
        <v>2</v>
      </c>
      <c r="AR476">
        <v>6</v>
      </c>
      <c r="AS476" t="str">
        <f t="shared" si="115"/>
        <v>6-10</v>
      </c>
      <c r="AT476">
        <v>3</v>
      </c>
      <c r="AU476" t="str">
        <f t="shared" si="116"/>
        <v>3-4</v>
      </c>
      <c r="AV476">
        <v>3</v>
      </c>
      <c r="AW476" t="s">
        <v>79</v>
      </c>
      <c r="AX476">
        <v>6</v>
      </c>
      <c r="AY476" t="str">
        <f t="shared" si="105"/>
        <v>6-10</v>
      </c>
      <c r="AZ476">
        <v>5</v>
      </c>
      <c r="BA476" t="str">
        <f t="shared" si="117"/>
        <v>2-5</v>
      </c>
      <c r="BB476">
        <v>1</v>
      </c>
      <c r="BC476" t="str">
        <f t="shared" si="118"/>
        <v>0-1</v>
      </c>
      <c r="BD476">
        <v>4</v>
      </c>
      <c r="BE476" t="str">
        <f t="shared" si="119"/>
        <v>2-5</v>
      </c>
    </row>
    <row r="477" spans="1:57" x14ac:dyDescent="0.3">
      <c r="A477">
        <v>641</v>
      </c>
      <c r="B477">
        <v>26</v>
      </c>
      <c r="C477" t="str">
        <f t="shared" si="106"/>
        <v>26-35</v>
      </c>
      <c r="D477" t="s">
        <v>71</v>
      </c>
      <c r="E477">
        <f t="shared" si="107"/>
        <v>0</v>
      </c>
      <c r="F477" t="s">
        <v>57</v>
      </c>
      <c r="G477">
        <v>703</v>
      </c>
      <c r="H477" t="str">
        <f t="shared" si="108"/>
        <v>501-1000</v>
      </c>
      <c r="I477" t="s">
        <v>58</v>
      </c>
      <c r="J477">
        <v>28</v>
      </c>
      <c r="K477" t="str">
        <f t="shared" si="109"/>
        <v>21-29</v>
      </c>
      <c r="L477">
        <v>2</v>
      </c>
      <c r="M477" t="s">
        <v>59</v>
      </c>
      <c r="N477" t="s">
        <v>93</v>
      </c>
      <c r="O477">
        <v>1</v>
      </c>
      <c r="P477">
        <v>1</v>
      </c>
      <c r="Q477" t="s">
        <v>69</v>
      </c>
      <c r="R477" t="s">
        <v>75</v>
      </c>
      <c r="S477">
        <v>66</v>
      </c>
      <c r="T477" t="str">
        <f t="shared" si="110"/>
        <v>51-75</v>
      </c>
      <c r="U477">
        <v>3</v>
      </c>
      <c r="V477" t="s">
        <v>63</v>
      </c>
      <c r="W477">
        <v>2</v>
      </c>
      <c r="X477" t="s">
        <v>64</v>
      </c>
      <c r="Y477">
        <v>2</v>
      </c>
      <c r="Z477" t="s">
        <v>61</v>
      </c>
      <c r="AA477" t="s">
        <v>77</v>
      </c>
      <c r="AB477" s="4">
        <v>6272</v>
      </c>
      <c r="AC477" s="4" t="str">
        <f t="shared" si="111"/>
        <v>$5,500-$7,000</v>
      </c>
      <c r="AD477">
        <v>7428</v>
      </c>
      <c r="AE477" t="str">
        <f t="shared" si="112"/>
        <v>$2,094-$8,000</v>
      </c>
      <c r="AF477">
        <v>1</v>
      </c>
      <c r="AG477" t="str">
        <f t="shared" si="113"/>
        <v>0-1</v>
      </c>
      <c r="AH477" t="s">
        <v>67</v>
      </c>
      <c r="AI477" t="s">
        <v>71</v>
      </c>
      <c r="AJ477">
        <v>20</v>
      </c>
      <c r="AK477" t="str">
        <f t="shared" si="114"/>
        <v>18-19%</v>
      </c>
      <c r="AL477">
        <v>4</v>
      </c>
      <c r="AM477" t="s">
        <v>78</v>
      </c>
      <c r="AN477">
        <v>4</v>
      </c>
      <c r="AO477" t="s">
        <v>65</v>
      </c>
      <c r="AP477">
        <v>80</v>
      </c>
      <c r="AQ477">
        <v>2</v>
      </c>
      <c r="AR477">
        <v>6</v>
      </c>
      <c r="AS477" t="str">
        <f t="shared" si="115"/>
        <v>6-10</v>
      </c>
      <c r="AT477">
        <v>5</v>
      </c>
      <c r="AU477" t="str">
        <f t="shared" si="116"/>
        <v>5-6</v>
      </c>
      <c r="AV477">
        <v>4</v>
      </c>
      <c r="AW477" t="s">
        <v>94</v>
      </c>
      <c r="AX477">
        <v>5</v>
      </c>
      <c r="AY477" t="str">
        <f t="shared" si="105"/>
        <v>2-5</v>
      </c>
      <c r="AZ477">
        <v>3</v>
      </c>
      <c r="BA477" t="str">
        <f t="shared" si="117"/>
        <v>2-5</v>
      </c>
      <c r="BB477">
        <v>1</v>
      </c>
      <c r="BC477" t="str">
        <f t="shared" si="118"/>
        <v>0-1</v>
      </c>
      <c r="BD477">
        <v>4</v>
      </c>
      <c r="BE477" t="str">
        <f t="shared" si="119"/>
        <v>2-5</v>
      </c>
    </row>
    <row r="478" spans="1:57" x14ac:dyDescent="0.3">
      <c r="A478">
        <v>643</v>
      </c>
      <c r="B478">
        <v>24</v>
      </c>
      <c r="C478" t="str">
        <f t="shared" si="106"/>
        <v>18-25</v>
      </c>
      <c r="D478" t="s">
        <v>71</v>
      </c>
      <c r="E478">
        <f t="shared" si="107"/>
        <v>0</v>
      </c>
      <c r="F478" t="s">
        <v>57</v>
      </c>
      <c r="G478">
        <v>823</v>
      </c>
      <c r="H478" t="str">
        <f t="shared" si="108"/>
        <v>501-1000</v>
      </c>
      <c r="I478" t="s">
        <v>73</v>
      </c>
      <c r="J478">
        <v>17</v>
      </c>
      <c r="K478" t="str">
        <f t="shared" si="109"/>
        <v>11-20</v>
      </c>
      <c r="L478">
        <v>2</v>
      </c>
      <c r="M478" t="s">
        <v>59</v>
      </c>
      <c r="N478" t="s">
        <v>80</v>
      </c>
      <c r="O478">
        <v>1</v>
      </c>
      <c r="P478">
        <v>4</v>
      </c>
      <c r="Q478" t="s">
        <v>65</v>
      </c>
      <c r="R478" t="s">
        <v>75</v>
      </c>
      <c r="S478">
        <v>94</v>
      </c>
      <c r="T478" t="str">
        <f t="shared" si="110"/>
        <v>76-100</v>
      </c>
      <c r="U478">
        <v>2</v>
      </c>
      <c r="V478" t="s">
        <v>61</v>
      </c>
      <c r="W478">
        <v>1</v>
      </c>
      <c r="X478" t="s">
        <v>81</v>
      </c>
      <c r="Y478">
        <v>2</v>
      </c>
      <c r="Z478" t="s">
        <v>61</v>
      </c>
      <c r="AA478" t="s">
        <v>77</v>
      </c>
      <c r="AB478" s="4">
        <v>2127</v>
      </c>
      <c r="AC478" s="4" t="str">
        <f t="shared" si="111"/>
        <v>$1,000-$2,500</v>
      </c>
      <c r="AD478">
        <v>9100</v>
      </c>
      <c r="AE478" t="str">
        <f t="shared" si="112"/>
        <v>$8,001-$16,000</v>
      </c>
      <c r="AF478">
        <v>1</v>
      </c>
      <c r="AG478" t="str">
        <f t="shared" si="113"/>
        <v>0-1</v>
      </c>
      <c r="AH478" t="s">
        <v>67</v>
      </c>
      <c r="AI478" t="s">
        <v>71</v>
      </c>
      <c r="AJ478">
        <v>21</v>
      </c>
      <c r="AK478" t="str">
        <f t="shared" si="114"/>
        <v>18-19%</v>
      </c>
      <c r="AL478">
        <v>4</v>
      </c>
      <c r="AM478" t="s">
        <v>78</v>
      </c>
      <c r="AN478">
        <v>4</v>
      </c>
      <c r="AO478" t="s">
        <v>65</v>
      </c>
      <c r="AP478">
        <v>80</v>
      </c>
      <c r="AQ478">
        <v>1</v>
      </c>
      <c r="AR478">
        <v>1</v>
      </c>
      <c r="AS478" t="str">
        <f t="shared" si="115"/>
        <v>0-2</v>
      </c>
      <c r="AT478">
        <v>2</v>
      </c>
      <c r="AU478" t="str">
        <f t="shared" si="116"/>
        <v>0-2</v>
      </c>
      <c r="AV478">
        <v>3</v>
      </c>
      <c r="AW478" t="s">
        <v>79</v>
      </c>
      <c r="AX478">
        <v>1</v>
      </c>
      <c r="AY478" t="str">
        <f t="shared" si="105"/>
        <v>0-1</v>
      </c>
      <c r="AZ478">
        <v>0</v>
      </c>
      <c r="BA478" t="str">
        <f t="shared" si="117"/>
        <v>0-1</v>
      </c>
      <c r="BB478">
        <v>0</v>
      </c>
      <c r="BC478" t="str">
        <f t="shared" si="118"/>
        <v>0-1</v>
      </c>
      <c r="BD478">
        <v>0</v>
      </c>
      <c r="BE478" t="str">
        <f t="shared" si="119"/>
        <v>0-1</v>
      </c>
    </row>
    <row r="479" spans="1:57" x14ac:dyDescent="0.3">
      <c r="A479">
        <v>644</v>
      </c>
      <c r="B479">
        <v>50</v>
      </c>
      <c r="C479" t="str">
        <f t="shared" si="106"/>
        <v>46-55</v>
      </c>
      <c r="D479" t="s">
        <v>71</v>
      </c>
      <c r="E479">
        <f t="shared" si="107"/>
        <v>0</v>
      </c>
      <c r="F479" t="s">
        <v>72</v>
      </c>
      <c r="G479">
        <v>1246</v>
      </c>
      <c r="H479" t="str">
        <f t="shared" si="108"/>
        <v>1001-1499</v>
      </c>
      <c r="I479" t="s">
        <v>97</v>
      </c>
      <c r="J479">
        <v>3</v>
      </c>
      <c r="K479" t="str">
        <f t="shared" si="109"/>
        <v>1-5</v>
      </c>
      <c r="L479">
        <v>3</v>
      </c>
      <c r="M479" t="s">
        <v>85</v>
      </c>
      <c r="N479" t="s">
        <v>83</v>
      </c>
      <c r="O479">
        <v>1</v>
      </c>
      <c r="P479">
        <v>1</v>
      </c>
      <c r="Q479" t="s">
        <v>69</v>
      </c>
      <c r="R479" t="s">
        <v>75</v>
      </c>
      <c r="S479">
        <v>99</v>
      </c>
      <c r="T479" t="str">
        <f t="shared" si="110"/>
        <v>76-100</v>
      </c>
      <c r="U479">
        <v>3</v>
      </c>
      <c r="V479" t="s">
        <v>63</v>
      </c>
      <c r="W479">
        <v>5</v>
      </c>
      <c r="X479" t="s">
        <v>90</v>
      </c>
      <c r="Y479">
        <v>2</v>
      </c>
      <c r="Z479" t="s">
        <v>61</v>
      </c>
      <c r="AA479" t="s">
        <v>77</v>
      </c>
      <c r="AB479" s="4">
        <v>18200</v>
      </c>
      <c r="AC479" s="4" t="str">
        <f t="shared" si="111"/>
        <v>$17,500-$19,000</v>
      </c>
      <c r="AD479">
        <v>7999</v>
      </c>
      <c r="AE479" t="str">
        <f t="shared" si="112"/>
        <v>$2,094-$8,000</v>
      </c>
      <c r="AF479">
        <v>1</v>
      </c>
      <c r="AG479" t="str">
        <f t="shared" si="113"/>
        <v>0-1</v>
      </c>
      <c r="AH479" t="s">
        <v>67</v>
      </c>
      <c r="AI479" t="s">
        <v>71</v>
      </c>
      <c r="AJ479">
        <v>11</v>
      </c>
      <c r="AK479" t="str">
        <f t="shared" si="114"/>
        <v>11-12%</v>
      </c>
      <c r="AL479">
        <v>3</v>
      </c>
      <c r="AM479" t="s">
        <v>68</v>
      </c>
      <c r="AN479">
        <v>3</v>
      </c>
      <c r="AO479" t="s">
        <v>63</v>
      </c>
      <c r="AP479">
        <v>80</v>
      </c>
      <c r="AQ479">
        <v>1</v>
      </c>
      <c r="AR479">
        <v>32</v>
      </c>
      <c r="AS479" t="str">
        <f t="shared" si="115"/>
        <v>21-40</v>
      </c>
      <c r="AT479">
        <v>2</v>
      </c>
      <c r="AU479" t="str">
        <f t="shared" si="116"/>
        <v>0-2</v>
      </c>
      <c r="AV479">
        <v>3</v>
      </c>
      <c r="AW479" t="s">
        <v>79</v>
      </c>
      <c r="AX479">
        <v>32</v>
      </c>
      <c r="AY479" t="str">
        <f t="shared" si="105"/>
        <v>21-40</v>
      </c>
      <c r="AZ479">
        <v>5</v>
      </c>
      <c r="BA479" t="str">
        <f t="shared" si="117"/>
        <v>2-5</v>
      </c>
      <c r="BB479">
        <v>10</v>
      </c>
      <c r="BC479" t="str">
        <f t="shared" si="118"/>
        <v>6-10</v>
      </c>
      <c r="BD479">
        <v>7</v>
      </c>
      <c r="BE479" t="str">
        <f t="shared" si="119"/>
        <v>6-10</v>
      </c>
    </row>
    <row r="480" spans="1:57" x14ac:dyDescent="0.3">
      <c r="A480">
        <v>645</v>
      </c>
      <c r="B480">
        <v>25</v>
      </c>
      <c r="C480" t="str">
        <f t="shared" si="106"/>
        <v>18-25</v>
      </c>
      <c r="D480" t="s">
        <v>71</v>
      </c>
      <c r="E480">
        <f t="shared" si="107"/>
        <v>0</v>
      </c>
      <c r="F480" t="s">
        <v>57</v>
      </c>
      <c r="G480">
        <v>622</v>
      </c>
      <c r="H480" t="str">
        <f t="shared" si="108"/>
        <v>501-1000</v>
      </c>
      <c r="I480" t="s">
        <v>58</v>
      </c>
      <c r="J480">
        <v>13</v>
      </c>
      <c r="K480" t="str">
        <f t="shared" si="109"/>
        <v>11-20</v>
      </c>
      <c r="L480">
        <v>1</v>
      </c>
      <c r="M480" t="s">
        <v>74</v>
      </c>
      <c r="N480" t="s">
        <v>83</v>
      </c>
      <c r="O480">
        <v>1</v>
      </c>
      <c r="P480">
        <v>2</v>
      </c>
      <c r="Q480" t="s">
        <v>61</v>
      </c>
      <c r="R480" t="s">
        <v>75</v>
      </c>
      <c r="S480">
        <v>40</v>
      </c>
      <c r="T480" t="str">
        <f t="shared" si="110"/>
        <v>30-50</v>
      </c>
      <c r="U480">
        <v>3</v>
      </c>
      <c r="V480" t="s">
        <v>63</v>
      </c>
      <c r="W480">
        <v>1</v>
      </c>
      <c r="X480" t="s">
        <v>91</v>
      </c>
      <c r="Y480">
        <v>3</v>
      </c>
      <c r="Z480" t="s">
        <v>63</v>
      </c>
      <c r="AA480" t="s">
        <v>77</v>
      </c>
      <c r="AB480" s="4">
        <v>2096</v>
      </c>
      <c r="AC480" s="4" t="str">
        <f t="shared" si="111"/>
        <v>$1,000-$2,500</v>
      </c>
      <c r="AD480">
        <v>26376</v>
      </c>
      <c r="AE480" t="str">
        <f t="shared" si="112"/>
        <v>$22,001-$26,999</v>
      </c>
      <c r="AF480">
        <v>1</v>
      </c>
      <c r="AG480" t="str">
        <f t="shared" si="113"/>
        <v>0-1</v>
      </c>
      <c r="AH480" t="s">
        <v>67</v>
      </c>
      <c r="AI480" t="s">
        <v>71</v>
      </c>
      <c r="AJ480">
        <v>11</v>
      </c>
      <c r="AK480" t="str">
        <f t="shared" si="114"/>
        <v>11-12%</v>
      </c>
      <c r="AL480">
        <v>3</v>
      </c>
      <c r="AM480" t="s">
        <v>68</v>
      </c>
      <c r="AN480">
        <v>3</v>
      </c>
      <c r="AO480" t="s">
        <v>63</v>
      </c>
      <c r="AP480">
        <v>80</v>
      </c>
      <c r="AQ480">
        <v>0</v>
      </c>
      <c r="AR480">
        <v>7</v>
      </c>
      <c r="AS480" t="str">
        <f t="shared" si="115"/>
        <v>6-10</v>
      </c>
      <c r="AT480">
        <v>1</v>
      </c>
      <c r="AU480" t="str">
        <f t="shared" si="116"/>
        <v>0-2</v>
      </c>
      <c r="AV480">
        <v>3</v>
      </c>
      <c r="AW480" t="s">
        <v>79</v>
      </c>
      <c r="AX480">
        <v>7</v>
      </c>
      <c r="AY480" t="str">
        <f t="shared" si="105"/>
        <v>6-10</v>
      </c>
      <c r="AZ480">
        <v>4</v>
      </c>
      <c r="BA480" t="str">
        <f t="shared" si="117"/>
        <v>2-5</v>
      </c>
      <c r="BB480">
        <v>0</v>
      </c>
      <c r="BC480" t="str">
        <f t="shared" si="118"/>
        <v>0-1</v>
      </c>
      <c r="BD480">
        <v>6</v>
      </c>
      <c r="BE480" t="str">
        <f t="shared" si="119"/>
        <v>6-10</v>
      </c>
    </row>
    <row r="481" spans="1:57" x14ac:dyDescent="0.3">
      <c r="A481">
        <v>647</v>
      </c>
      <c r="B481">
        <v>24</v>
      </c>
      <c r="C481" t="str">
        <f t="shared" si="106"/>
        <v>18-25</v>
      </c>
      <c r="D481" t="s">
        <v>56</v>
      </c>
      <c r="E481">
        <f t="shared" si="107"/>
        <v>1</v>
      </c>
      <c r="F481" t="s">
        <v>72</v>
      </c>
      <c r="G481">
        <v>1287</v>
      </c>
      <c r="H481" t="str">
        <f t="shared" si="108"/>
        <v>1001-1499</v>
      </c>
      <c r="I481" t="s">
        <v>73</v>
      </c>
      <c r="J481">
        <v>7</v>
      </c>
      <c r="K481" t="str">
        <f t="shared" si="109"/>
        <v>6-10</v>
      </c>
      <c r="L481">
        <v>3</v>
      </c>
      <c r="M481" t="s">
        <v>85</v>
      </c>
      <c r="N481" t="s">
        <v>60</v>
      </c>
      <c r="O481">
        <v>1</v>
      </c>
      <c r="P481">
        <v>1</v>
      </c>
      <c r="Q481" t="s">
        <v>69</v>
      </c>
      <c r="R481" t="s">
        <v>62</v>
      </c>
      <c r="S481">
        <v>55</v>
      </c>
      <c r="T481" t="str">
        <f t="shared" si="110"/>
        <v>51-75</v>
      </c>
      <c r="U481">
        <v>3</v>
      </c>
      <c r="V481" t="s">
        <v>63</v>
      </c>
      <c r="W481">
        <v>1</v>
      </c>
      <c r="X481" t="s">
        <v>81</v>
      </c>
      <c r="Y481">
        <v>3</v>
      </c>
      <c r="Z481" t="s">
        <v>63</v>
      </c>
      <c r="AA481" t="s">
        <v>77</v>
      </c>
      <c r="AB481" s="4">
        <v>2886</v>
      </c>
      <c r="AC481" s="4" t="str">
        <f t="shared" si="111"/>
        <v>$2,500-$4,000</v>
      </c>
      <c r="AD481">
        <v>14168</v>
      </c>
      <c r="AE481" t="str">
        <f t="shared" si="112"/>
        <v>$8,001-$16,000</v>
      </c>
      <c r="AF481">
        <v>1</v>
      </c>
      <c r="AG481" t="str">
        <f t="shared" si="113"/>
        <v>0-1</v>
      </c>
      <c r="AH481" t="s">
        <v>67</v>
      </c>
      <c r="AI481" t="s">
        <v>56</v>
      </c>
      <c r="AJ481">
        <v>16</v>
      </c>
      <c r="AK481" t="str">
        <f t="shared" si="114"/>
        <v>16-17%</v>
      </c>
      <c r="AL481">
        <v>3</v>
      </c>
      <c r="AM481" t="s">
        <v>68</v>
      </c>
      <c r="AN481">
        <v>4</v>
      </c>
      <c r="AO481" t="s">
        <v>65</v>
      </c>
      <c r="AP481">
        <v>80</v>
      </c>
      <c r="AQ481">
        <v>1</v>
      </c>
      <c r="AR481">
        <v>6</v>
      </c>
      <c r="AS481" t="str">
        <f t="shared" si="115"/>
        <v>6-10</v>
      </c>
      <c r="AT481">
        <v>4</v>
      </c>
      <c r="AU481" t="str">
        <f t="shared" si="116"/>
        <v>3-4</v>
      </c>
      <c r="AV481">
        <v>3</v>
      </c>
      <c r="AW481" t="s">
        <v>79</v>
      </c>
      <c r="AX481">
        <v>6</v>
      </c>
      <c r="AY481" t="str">
        <f t="shared" si="105"/>
        <v>6-10</v>
      </c>
      <c r="AZ481">
        <v>3</v>
      </c>
      <c r="BA481" t="str">
        <f t="shared" si="117"/>
        <v>2-5</v>
      </c>
      <c r="BB481">
        <v>1</v>
      </c>
      <c r="BC481" t="str">
        <f t="shared" si="118"/>
        <v>0-1</v>
      </c>
      <c r="BD481">
        <v>2</v>
      </c>
      <c r="BE481" t="str">
        <f t="shared" si="119"/>
        <v>2-5</v>
      </c>
    </row>
    <row r="482" spans="1:57" x14ac:dyDescent="0.3">
      <c r="A482">
        <v>648</v>
      </c>
      <c r="B482">
        <v>30</v>
      </c>
      <c r="C482" t="str">
        <f t="shared" si="106"/>
        <v>26-35</v>
      </c>
      <c r="D482" t="s">
        <v>56</v>
      </c>
      <c r="E482">
        <f t="shared" si="107"/>
        <v>1</v>
      </c>
      <c r="F482" t="s">
        <v>72</v>
      </c>
      <c r="G482">
        <v>448</v>
      </c>
      <c r="H482" t="str">
        <f t="shared" si="108"/>
        <v>102-500</v>
      </c>
      <c r="I482" t="s">
        <v>58</v>
      </c>
      <c r="J482">
        <v>12</v>
      </c>
      <c r="K482" t="str">
        <f t="shared" si="109"/>
        <v>11-20</v>
      </c>
      <c r="L482">
        <v>4</v>
      </c>
      <c r="M482" t="s">
        <v>82</v>
      </c>
      <c r="N482" t="s">
        <v>60</v>
      </c>
      <c r="O482">
        <v>1</v>
      </c>
      <c r="P482">
        <v>2</v>
      </c>
      <c r="Q482" t="s">
        <v>61</v>
      </c>
      <c r="R482" t="s">
        <v>75</v>
      </c>
      <c r="S482">
        <v>74</v>
      </c>
      <c r="T482" t="str">
        <f t="shared" si="110"/>
        <v>51-75</v>
      </c>
      <c r="U482">
        <v>2</v>
      </c>
      <c r="V482" t="s">
        <v>61</v>
      </c>
      <c r="W482">
        <v>1</v>
      </c>
      <c r="X482" t="s">
        <v>91</v>
      </c>
      <c r="Y482">
        <v>1</v>
      </c>
      <c r="Z482" t="s">
        <v>69</v>
      </c>
      <c r="AA482" t="s">
        <v>77</v>
      </c>
      <c r="AB482" s="4">
        <v>2033</v>
      </c>
      <c r="AC482" s="4" t="str">
        <f t="shared" si="111"/>
        <v>$1,000-$2,500</v>
      </c>
      <c r="AD482">
        <v>14470</v>
      </c>
      <c r="AE482" t="str">
        <f t="shared" si="112"/>
        <v>$8,001-$16,000</v>
      </c>
      <c r="AF482">
        <v>1</v>
      </c>
      <c r="AG482" t="str">
        <f t="shared" si="113"/>
        <v>0-1</v>
      </c>
      <c r="AH482" t="s">
        <v>67</v>
      </c>
      <c r="AI482" t="s">
        <v>71</v>
      </c>
      <c r="AJ482">
        <v>18</v>
      </c>
      <c r="AK482" t="str">
        <f t="shared" si="114"/>
        <v>18-19%</v>
      </c>
      <c r="AL482">
        <v>3</v>
      </c>
      <c r="AM482" t="s">
        <v>68</v>
      </c>
      <c r="AN482">
        <v>3</v>
      </c>
      <c r="AO482" t="s">
        <v>63</v>
      </c>
      <c r="AP482">
        <v>80</v>
      </c>
      <c r="AQ482">
        <v>1</v>
      </c>
      <c r="AR482">
        <v>1</v>
      </c>
      <c r="AS482" t="str">
        <f t="shared" si="115"/>
        <v>0-2</v>
      </c>
      <c r="AT482">
        <v>2</v>
      </c>
      <c r="AU482" t="str">
        <f t="shared" si="116"/>
        <v>0-2</v>
      </c>
      <c r="AV482">
        <v>4</v>
      </c>
      <c r="AW482" t="s">
        <v>94</v>
      </c>
      <c r="AX482">
        <v>1</v>
      </c>
      <c r="AY482" t="str">
        <f t="shared" si="105"/>
        <v>0-1</v>
      </c>
      <c r="AZ482">
        <v>0</v>
      </c>
      <c r="BA482" t="str">
        <f t="shared" si="117"/>
        <v>0-1</v>
      </c>
      <c r="BB482">
        <v>0</v>
      </c>
      <c r="BC482" t="str">
        <f t="shared" si="118"/>
        <v>0-1</v>
      </c>
      <c r="BD482">
        <v>0</v>
      </c>
      <c r="BE482" t="str">
        <f t="shared" si="119"/>
        <v>0-1</v>
      </c>
    </row>
    <row r="483" spans="1:57" x14ac:dyDescent="0.3">
      <c r="A483">
        <v>649</v>
      </c>
      <c r="B483">
        <v>34</v>
      </c>
      <c r="C483" t="str">
        <f t="shared" si="106"/>
        <v>26-35</v>
      </c>
      <c r="D483" t="s">
        <v>71</v>
      </c>
      <c r="E483">
        <f t="shared" si="107"/>
        <v>0</v>
      </c>
      <c r="F483" t="s">
        <v>57</v>
      </c>
      <c r="G483">
        <v>254</v>
      </c>
      <c r="H483" t="str">
        <f t="shared" si="108"/>
        <v>102-500</v>
      </c>
      <c r="I483" t="s">
        <v>73</v>
      </c>
      <c r="J483">
        <v>1</v>
      </c>
      <c r="K483" t="str">
        <f t="shared" si="109"/>
        <v>1-5</v>
      </c>
      <c r="L483">
        <v>2</v>
      </c>
      <c r="M483" t="s">
        <v>59</v>
      </c>
      <c r="N483" t="s">
        <v>60</v>
      </c>
      <c r="O483">
        <v>1</v>
      </c>
      <c r="P483">
        <v>2</v>
      </c>
      <c r="Q483" t="s">
        <v>61</v>
      </c>
      <c r="R483" t="s">
        <v>75</v>
      </c>
      <c r="S483">
        <v>83</v>
      </c>
      <c r="T483" t="str">
        <f t="shared" si="110"/>
        <v>76-100</v>
      </c>
      <c r="U483">
        <v>2</v>
      </c>
      <c r="V483" t="s">
        <v>61</v>
      </c>
      <c r="W483">
        <v>1</v>
      </c>
      <c r="X483" t="s">
        <v>76</v>
      </c>
      <c r="Y483">
        <v>4</v>
      </c>
      <c r="Z483" t="s">
        <v>65</v>
      </c>
      <c r="AA483" t="s">
        <v>77</v>
      </c>
      <c r="AB483" s="4">
        <v>3622</v>
      </c>
      <c r="AC483" s="4" t="str">
        <f t="shared" si="111"/>
        <v>$2,500-$4,000</v>
      </c>
      <c r="AD483">
        <v>22794</v>
      </c>
      <c r="AE483" t="str">
        <f t="shared" si="112"/>
        <v>$22,001-$26,999</v>
      </c>
      <c r="AF483">
        <v>1</v>
      </c>
      <c r="AG483" t="str">
        <f t="shared" si="113"/>
        <v>0-1</v>
      </c>
      <c r="AH483" t="s">
        <v>67</v>
      </c>
      <c r="AI483" t="s">
        <v>56</v>
      </c>
      <c r="AJ483">
        <v>13</v>
      </c>
      <c r="AK483" t="str">
        <f t="shared" si="114"/>
        <v>13-15%</v>
      </c>
      <c r="AL483">
        <v>3</v>
      </c>
      <c r="AM483" t="s">
        <v>68</v>
      </c>
      <c r="AN483">
        <v>4</v>
      </c>
      <c r="AO483" t="s">
        <v>65</v>
      </c>
      <c r="AP483">
        <v>80</v>
      </c>
      <c r="AQ483">
        <v>1</v>
      </c>
      <c r="AR483">
        <v>6</v>
      </c>
      <c r="AS483" t="str">
        <f t="shared" si="115"/>
        <v>6-10</v>
      </c>
      <c r="AT483">
        <v>3</v>
      </c>
      <c r="AU483" t="str">
        <f t="shared" si="116"/>
        <v>3-4</v>
      </c>
      <c r="AV483">
        <v>3</v>
      </c>
      <c r="AW483" t="s">
        <v>79</v>
      </c>
      <c r="AX483">
        <v>6</v>
      </c>
      <c r="AY483" t="str">
        <f t="shared" si="105"/>
        <v>6-10</v>
      </c>
      <c r="AZ483">
        <v>5</v>
      </c>
      <c r="BA483" t="str">
        <f t="shared" si="117"/>
        <v>2-5</v>
      </c>
      <c r="BB483">
        <v>1</v>
      </c>
      <c r="BC483" t="str">
        <f t="shared" si="118"/>
        <v>0-1</v>
      </c>
      <c r="BD483">
        <v>3</v>
      </c>
      <c r="BE483" t="str">
        <f t="shared" si="119"/>
        <v>2-5</v>
      </c>
    </row>
    <row r="484" spans="1:57" x14ac:dyDescent="0.3">
      <c r="A484">
        <v>650</v>
      </c>
      <c r="B484">
        <v>31</v>
      </c>
      <c r="C484" t="str">
        <f t="shared" si="106"/>
        <v>26-35</v>
      </c>
      <c r="D484" t="s">
        <v>56</v>
      </c>
      <c r="E484">
        <f t="shared" si="107"/>
        <v>1</v>
      </c>
      <c r="F484" t="s">
        <v>57</v>
      </c>
      <c r="G484">
        <v>1365</v>
      </c>
      <c r="H484" t="str">
        <f t="shared" si="108"/>
        <v>1001-1499</v>
      </c>
      <c r="I484" t="s">
        <v>58</v>
      </c>
      <c r="J484">
        <v>13</v>
      </c>
      <c r="K484" t="str">
        <f t="shared" si="109"/>
        <v>11-20</v>
      </c>
      <c r="L484">
        <v>4</v>
      </c>
      <c r="M484" t="s">
        <v>82</v>
      </c>
      <c r="N484" t="s">
        <v>83</v>
      </c>
      <c r="O484">
        <v>1</v>
      </c>
      <c r="P484">
        <v>2</v>
      </c>
      <c r="Q484" t="s">
        <v>61</v>
      </c>
      <c r="R484" t="s">
        <v>75</v>
      </c>
      <c r="S484">
        <v>46</v>
      </c>
      <c r="T484" t="str">
        <f t="shared" si="110"/>
        <v>30-50</v>
      </c>
      <c r="U484">
        <v>3</v>
      </c>
      <c r="V484" t="s">
        <v>63</v>
      </c>
      <c r="W484">
        <v>2</v>
      </c>
      <c r="X484" t="s">
        <v>64</v>
      </c>
      <c r="Y484">
        <v>1</v>
      </c>
      <c r="Z484" t="s">
        <v>69</v>
      </c>
      <c r="AA484" t="s">
        <v>86</v>
      </c>
      <c r="AB484" s="4">
        <v>4233</v>
      </c>
      <c r="AC484" s="4" t="str">
        <f t="shared" si="111"/>
        <v>$4,000-$5,500</v>
      </c>
      <c r="AD484">
        <v>11512</v>
      </c>
      <c r="AE484" t="str">
        <f t="shared" si="112"/>
        <v>$8,001-$16,000</v>
      </c>
      <c r="AF484">
        <v>2</v>
      </c>
      <c r="AG484" t="str">
        <f t="shared" si="113"/>
        <v>2-3</v>
      </c>
      <c r="AH484" t="s">
        <v>67</v>
      </c>
      <c r="AI484" t="s">
        <v>71</v>
      </c>
      <c r="AJ484">
        <v>17</v>
      </c>
      <c r="AK484" t="str">
        <f t="shared" si="114"/>
        <v>16-17%</v>
      </c>
      <c r="AL484">
        <v>3</v>
      </c>
      <c r="AM484" t="s">
        <v>68</v>
      </c>
      <c r="AN484">
        <v>3</v>
      </c>
      <c r="AO484" t="s">
        <v>63</v>
      </c>
      <c r="AP484">
        <v>80</v>
      </c>
      <c r="AQ484">
        <v>0</v>
      </c>
      <c r="AR484">
        <v>9</v>
      </c>
      <c r="AS484" t="str">
        <f t="shared" si="115"/>
        <v>6-10</v>
      </c>
      <c r="AT484">
        <v>2</v>
      </c>
      <c r="AU484" t="str">
        <f t="shared" si="116"/>
        <v>0-2</v>
      </c>
      <c r="AV484">
        <v>1</v>
      </c>
      <c r="AW484" t="s">
        <v>70</v>
      </c>
      <c r="AX484">
        <v>3</v>
      </c>
      <c r="AY484" t="str">
        <f t="shared" si="105"/>
        <v>2-5</v>
      </c>
      <c r="AZ484">
        <v>1</v>
      </c>
      <c r="BA484" t="str">
        <f t="shared" si="117"/>
        <v>0-1</v>
      </c>
      <c r="BB484">
        <v>1</v>
      </c>
      <c r="BC484" t="str">
        <f t="shared" si="118"/>
        <v>0-1</v>
      </c>
      <c r="BD484">
        <v>2</v>
      </c>
      <c r="BE484" t="str">
        <f t="shared" si="119"/>
        <v>2-5</v>
      </c>
    </row>
    <row r="485" spans="1:57" x14ac:dyDescent="0.3">
      <c r="A485">
        <v>652</v>
      </c>
      <c r="B485">
        <v>35</v>
      </c>
      <c r="C485" t="str">
        <f t="shared" si="106"/>
        <v>26-35</v>
      </c>
      <c r="D485" t="s">
        <v>71</v>
      </c>
      <c r="E485">
        <f t="shared" si="107"/>
        <v>0</v>
      </c>
      <c r="F485" t="s">
        <v>57</v>
      </c>
      <c r="G485">
        <v>538</v>
      </c>
      <c r="H485" t="str">
        <f t="shared" si="108"/>
        <v>501-1000</v>
      </c>
      <c r="I485" t="s">
        <v>73</v>
      </c>
      <c r="J485">
        <v>25</v>
      </c>
      <c r="K485" t="str">
        <f t="shared" si="109"/>
        <v>21-29</v>
      </c>
      <c r="L485">
        <v>2</v>
      </c>
      <c r="M485" t="s">
        <v>59</v>
      </c>
      <c r="N485" t="s">
        <v>80</v>
      </c>
      <c r="O485">
        <v>1</v>
      </c>
      <c r="P485">
        <v>1</v>
      </c>
      <c r="Q485" t="s">
        <v>69</v>
      </c>
      <c r="R485" t="s">
        <v>75</v>
      </c>
      <c r="S485">
        <v>54</v>
      </c>
      <c r="T485" t="str">
        <f t="shared" si="110"/>
        <v>51-75</v>
      </c>
      <c r="U485">
        <v>2</v>
      </c>
      <c r="V485" t="s">
        <v>61</v>
      </c>
      <c r="W485">
        <v>2</v>
      </c>
      <c r="X485" t="s">
        <v>81</v>
      </c>
      <c r="Y485">
        <v>4</v>
      </c>
      <c r="Z485" t="s">
        <v>65</v>
      </c>
      <c r="AA485" t="s">
        <v>66</v>
      </c>
      <c r="AB485" s="4">
        <v>3681</v>
      </c>
      <c r="AC485" s="4" t="str">
        <f t="shared" si="111"/>
        <v>$2,500-$4,000</v>
      </c>
      <c r="AD485">
        <v>14004</v>
      </c>
      <c r="AE485" t="str">
        <f t="shared" si="112"/>
        <v>$8,001-$16,000</v>
      </c>
      <c r="AF485">
        <v>4</v>
      </c>
      <c r="AG485" t="str">
        <f t="shared" si="113"/>
        <v>4-6</v>
      </c>
      <c r="AH485" t="s">
        <v>67</v>
      </c>
      <c r="AI485" t="s">
        <v>71</v>
      </c>
      <c r="AJ485">
        <v>14</v>
      </c>
      <c r="AK485" t="str">
        <f t="shared" si="114"/>
        <v>13-15%</v>
      </c>
      <c r="AL485">
        <v>3</v>
      </c>
      <c r="AM485" t="s">
        <v>68</v>
      </c>
      <c r="AN485">
        <v>4</v>
      </c>
      <c r="AO485" t="s">
        <v>65</v>
      </c>
      <c r="AP485">
        <v>80</v>
      </c>
      <c r="AQ485">
        <v>0</v>
      </c>
      <c r="AR485">
        <v>9</v>
      </c>
      <c r="AS485" t="str">
        <f t="shared" si="115"/>
        <v>6-10</v>
      </c>
      <c r="AT485">
        <v>3</v>
      </c>
      <c r="AU485" t="str">
        <f t="shared" si="116"/>
        <v>3-4</v>
      </c>
      <c r="AV485">
        <v>3</v>
      </c>
      <c r="AW485" t="s">
        <v>79</v>
      </c>
      <c r="AX485">
        <v>3</v>
      </c>
      <c r="AY485" t="str">
        <f t="shared" si="105"/>
        <v>2-5</v>
      </c>
      <c r="AZ485">
        <v>2</v>
      </c>
      <c r="BA485" t="str">
        <f t="shared" si="117"/>
        <v>2-5</v>
      </c>
      <c r="BB485">
        <v>0</v>
      </c>
      <c r="BC485" t="str">
        <f t="shared" si="118"/>
        <v>0-1</v>
      </c>
      <c r="BD485">
        <v>2</v>
      </c>
      <c r="BE485" t="str">
        <f t="shared" si="119"/>
        <v>2-5</v>
      </c>
    </row>
    <row r="486" spans="1:57" x14ac:dyDescent="0.3">
      <c r="A486">
        <v>653</v>
      </c>
      <c r="B486">
        <v>31</v>
      </c>
      <c r="C486" t="str">
        <f t="shared" si="106"/>
        <v>26-35</v>
      </c>
      <c r="D486" t="s">
        <v>71</v>
      </c>
      <c r="E486">
        <f t="shared" si="107"/>
        <v>0</v>
      </c>
      <c r="F486" t="s">
        <v>57</v>
      </c>
      <c r="G486">
        <v>525</v>
      </c>
      <c r="H486" t="str">
        <f t="shared" si="108"/>
        <v>501-1000</v>
      </c>
      <c r="I486" t="s">
        <v>58</v>
      </c>
      <c r="J486">
        <v>6</v>
      </c>
      <c r="K486" t="str">
        <f t="shared" si="109"/>
        <v>6-10</v>
      </c>
      <c r="L486">
        <v>4</v>
      </c>
      <c r="M486" t="s">
        <v>82</v>
      </c>
      <c r="N486" t="s">
        <v>83</v>
      </c>
      <c r="O486">
        <v>1</v>
      </c>
      <c r="P486">
        <v>1</v>
      </c>
      <c r="Q486" t="s">
        <v>69</v>
      </c>
      <c r="R486" t="s">
        <v>75</v>
      </c>
      <c r="S486">
        <v>66</v>
      </c>
      <c r="T486" t="str">
        <f t="shared" si="110"/>
        <v>51-75</v>
      </c>
      <c r="U486">
        <v>4</v>
      </c>
      <c r="V486" t="s">
        <v>65</v>
      </c>
      <c r="W486">
        <v>2</v>
      </c>
      <c r="X486" t="s">
        <v>64</v>
      </c>
      <c r="Y486">
        <v>4</v>
      </c>
      <c r="Z486" t="s">
        <v>65</v>
      </c>
      <c r="AA486" t="s">
        <v>86</v>
      </c>
      <c r="AB486" s="4">
        <v>5460</v>
      </c>
      <c r="AC486" s="4" t="str">
        <f t="shared" si="111"/>
        <v>$4,000-$5,500</v>
      </c>
      <c r="AD486">
        <v>6219</v>
      </c>
      <c r="AE486" t="str">
        <f t="shared" si="112"/>
        <v>$2,094-$8,000</v>
      </c>
      <c r="AF486">
        <v>4</v>
      </c>
      <c r="AG486" t="str">
        <f t="shared" si="113"/>
        <v>4-6</v>
      </c>
      <c r="AH486" t="s">
        <v>67</v>
      </c>
      <c r="AI486" t="s">
        <v>71</v>
      </c>
      <c r="AJ486">
        <v>22</v>
      </c>
      <c r="AK486" t="str">
        <f t="shared" si="114"/>
        <v>18-19%</v>
      </c>
      <c r="AL486">
        <v>4</v>
      </c>
      <c r="AM486" t="s">
        <v>78</v>
      </c>
      <c r="AN486">
        <v>4</v>
      </c>
      <c r="AO486" t="s">
        <v>65</v>
      </c>
      <c r="AP486">
        <v>80</v>
      </c>
      <c r="AQ486">
        <v>2</v>
      </c>
      <c r="AR486">
        <v>13</v>
      </c>
      <c r="AS486" t="str">
        <f t="shared" si="115"/>
        <v>11-20</v>
      </c>
      <c r="AT486">
        <v>4</v>
      </c>
      <c r="AU486" t="str">
        <f t="shared" si="116"/>
        <v>3-4</v>
      </c>
      <c r="AV486">
        <v>4</v>
      </c>
      <c r="AW486" t="s">
        <v>94</v>
      </c>
      <c r="AX486">
        <v>7</v>
      </c>
      <c r="AY486" t="str">
        <f t="shared" si="105"/>
        <v>6-10</v>
      </c>
      <c r="AZ486">
        <v>7</v>
      </c>
      <c r="BA486" t="str">
        <f t="shared" si="117"/>
        <v>6-10</v>
      </c>
      <c r="BB486">
        <v>5</v>
      </c>
      <c r="BC486" t="str">
        <f t="shared" si="118"/>
        <v>2-5</v>
      </c>
      <c r="BD486">
        <v>7</v>
      </c>
      <c r="BE486" t="str">
        <f t="shared" si="119"/>
        <v>6-10</v>
      </c>
    </row>
    <row r="487" spans="1:57" x14ac:dyDescent="0.3">
      <c r="A487">
        <v>655</v>
      </c>
      <c r="B487">
        <v>27</v>
      </c>
      <c r="C487" t="str">
        <f t="shared" si="106"/>
        <v>26-35</v>
      </c>
      <c r="D487" t="s">
        <v>71</v>
      </c>
      <c r="E487">
        <f t="shared" si="107"/>
        <v>0</v>
      </c>
      <c r="F487" t="s">
        <v>57</v>
      </c>
      <c r="G487">
        <v>798</v>
      </c>
      <c r="H487" t="str">
        <f t="shared" si="108"/>
        <v>501-1000</v>
      </c>
      <c r="I487" t="s">
        <v>73</v>
      </c>
      <c r="J487">
        <v>6</v>
      </c>
      <c r="K487" t="str">
        <f t="shared" si="109"/>
        <v>6-10</v>
      </c>
      <c r="L487">
        <v>4</v>
      </c>
      <c r="M487" t="s">
        <v>82</v>
      </c>
      <c r="N487" t="s">
        <v>83</v>
      </c>
      <c r="O487">
        <v>1</v>
      </c>
      <c r="P487">
        <v>1</v>
      </c>
      <c r="Q487" t="s">
        <v>69</v>
      </c>
      <c r="R487" t="s">
        <v>62</v>
      </c>
      <c r="S487">
        <v>66</v>
      </c>
      <c r="T487" t="str">
        <f t="shared" si="110"/>
        <v>51-75</v>
      </c>
      <c r="U487">
        <v>2</v>
      </c>
      <c r="V487" t="s">
        <v>61</v>
      </c>
      <c r="W487">
        <v>1</v>
      </c>
      <c r="X487" t="s">
        <v>76</v>
      </c>
      <c r="Y487">
        <v>3</v>
      </c>
      <c r="Z487" t="s">
        <v>63</v>
      </c>
      <c r="AA487" t="s">
        <v>86</v>
      </c>
      <c r="AB487" s="4">
        <v>2187</v>
      </c>
      <c r="AC487" s="4" t="str">
        <f t="shared" si="111"/>
        <v>$1,000-$2,500</v>
      </c>
      <c r="AD487">
        <v>5013</v>
      </c>
      <c r="AE487" t="str">
        <f t="shared" si="112"/>
        <v>$2,094-$8,000</v>
      </c>
      <c r="AF487">
        <v>0</v>
      </c>
      <c r="AG487" t="str">
        <f t="shared" si="113"/>
        <v>0-1</v>
      </c>
      <c r="AH487" t="s">
        <v>67</v>
      </c>
      <c r="AI487" t="s">
        <v>71</v>
      </c>
      <c r="AJ487">
        <v>12</v>
      </c>
      <c r="AK487" t="str">
        <f t="shared" si="114"/>
        <v>11-12%</v>
      </c>
      <c r="AL487">
        <v>3</v>
      </c>
      <c r="AM487" t="s">
        <v>68</v>
      </c>
      <c r="AN487">
        <v>3</v>
      </c>
      <c r="AO487" t="s">
        <v>63</v>
      </c>
      <c r="AP487">
        <v>80</v>
      </c>
      <c r="AQ487">
        <v>2</v>
      </c>
      <c r="AR487">
        <v>6</v>
      </c>
      <c r="AS487" t="str">
        <f t="shared" si="115"/>
        <v>6-10</v>
      </c>
      <c r="AT487">
        <v>5</v>
      </c>
      <c r="AU487" t="str">
        <f t="shared" si="116"/>
        <v>5-6</v>
      </c>
      <c r="AV487">
        <v>2</v>
      </c>
      <c r="AW487" t="s">
        <v>84</v>
      </c>
      <c r="AX487">
        <v>5</v>
      </c>
      <c r="AY487" t="str">
        <f t="shared" si="105"/>
        <v>2-5</v>
      </c>
      <c r="AZ487">
        <v>3</v>
      </c>
      <c r="BA487" t="str">
        <f t="shared" si="117"/>
        <v>2-5</v>
      </c>
      <c r="BB487">
        <v>0</v>
      </c>
      <c r="BC487" t="str">
        <f t="shared" si="118"/>
        <v>0-1</v>
      </c>
      <c r="BD487">
        <v>3</v>
      </c>
      <c r="BE487" t="str">
        <f t="shared" si="119"/>
        <v>2-5</v>
      </c>
    </row>
    <row r="488" spans="1:57" x14ac:dyDescent="0.3">
      <c r="A488">
        <v>656</v>
      </c>
      <c r="B488">
        <v>37</v>
      </c>
      <c r="C488" t="str">
        <f t="shared" si="106"/>
        <v>36-45</v>
      </c>
      <c r="D488" t="s">
        <v>71</v>
      </c>
      <c r="E488">
        <f t="shared" si="107"/>
        <v>0</v>
      </c>
      <c r="F488" t="s">
        <v>57</v>
      </c>
      <c r="G488">
        <v>558</v>
      </c>
      <c r="H488" t="str">
        <f t="shared" si="108"/>
        <v>501-1000</v>
      </c>
      <c r="I488" t="s">
        <v>58</v>
      </c>
      <c r="J488">
        <v>2</v>
      </c>
      <c r="K488" t="str">
        <f t="shared" si="109"/>
        <v>1-5</v>
      </c>
      <c r="L488">
        <v>3</v>
      </c>
      <c r="M488" t="s">
        <v>85</v>
      </c>
      <c r="N488" t="s">
        <v>93</v>
      </c>
      <c r="O488">
        <v>1</v>
      </c>
      <c r="P488">
        <v>4</v>
      </c>
      <c r="Q488" t="s">
        <v>65</v>
      </c>
      <c r="R488" t="s">
        <v>75</v>
      </c>
      <c r="S488">
        <v>75</v>
      </c>
      <c r="T488" t="str">
        <f t="shared" si="110"/>
        <v>51-75</v>
      </c>
      <c r="U488">
        <v>3</v>
      </c>
      <c r="V488" t="s">
        <v>63</v>
      </c>
      <c r="W488">
        <v>2</v>
      </c>
      <c r="X488" t="s">
        <v>64</v>
      </c>
      <c r="Y488">
        <v>3</v>
      </c>
      <c r="Z488" t="s">
        <v>63</v>
      </c>
      <c r="AA488" t="s">
        <v>77</v>
      </c>
      <c r="AB488" s="4">
        <v>9602</v>
      </c>
      <c r="AC488" s="4" t="str">
        <f t="shared" si="111"/>
        <v>$8,500-$10,000</v>
      </c>
      <c r="AD488">
        <v>3010</v>
      </c>
      <c r="AE488" t="str">
        <f t="shared" si="112"/>
        <v>$2,094-$8,000</v>
      </c>
      <c r="AF488">
        <v>4</v>
      </c>
      <c r="AG488" t="str">
        <f t="shared" si="113"/>
        <v>4-6</v>
      </c>
      <c r="AH488" t="s">
        <v>67</v>
      </c>
      <c r="AI488" t="s">
        <v>56</v>
      </c>
      <c r="AJ488">
        <v>11</v>
      </c>
      <c r="AK488" t="str">
        <f t="shared" si="114"/>
        <v>11-12%</v>
      </c>
      <c r="AL488">
        <v>3</v>
      </c>
      <c r="AM488" t="s">
        <v>68</v>
      </c>
      <c r="AN488">
        <v>3</v>
      </c>
      <c r="AO488" t="s">
        <v>63</v>
      </c>
      <c r="AP488">
        <v>80</v>
      </c>
      <c r="AQ488">
        <v>1</v>
      </c>
      <c r="AR488">
        <v>17</v>
      </c>
      <c r="AS488" t="str">
        <f t="shared" si="115"/>
        <v>11-20</v>
      </c>
      <c r="AT488">
        <v>3</v>
      </c>
      <c r="AU488" t="str">
        <f t="shared" si="116"/>
        <v>3-4</v>
      </c>
      <c r="AV488">
        <v>2</v>
      </c>
      <c r="AW488" t="s">
        <v>84</v>
      </c>
      <c r="AX488">
        <v>3</v>
      </c>
      <c r="AY488" t="str">
        <f t="shared" si="105"/>
        <v>2-5</v>
      </c>
      <c r="AZ488">
        <v>0</v>
      </c>
      <c r="BA488" t="str">
        <f t="shared" si="117"/>
        <v>0-1</v>
      </c>
      <c r="BB488">
        <v>1</v>
      </c>
      <c r="BC488" t="str">
        <f t="shared" si="118"/>
        <v>0-1</v>
      </c>
      <c r="BD488">
        <v>0</v>
      </c>
      <c r="BE488" t="str">
        <f t="shared" si="119"/>
        <v>0-1</v>
      </c>
    </row>
    <row r="489" spans="1:57" x14ac:dyDescent="0.3">
      <c r="A489">
        <v>657</v>
      </c>
      <c r="B489">
        <v>20</v>
      </c>
      <c r="C489" t="str">
        <f t="shared" si="106"/>
        <v>18-25</v>
      </c>
      <c r="D489" t="s">
        <v>71</v>
      </c>
      <c r="E489">
        <f t="shared" si="107"/>
        <v>0</v>
      </c>
      <c r="F489" t="s">
        <v>57</v>
      </c>
      <c r="G489">
        <v>959</v>
      </c>
      <c r="H489" t="str">
        <f t="shared" si="108"/>
        <v>501-1000</v>
      </c>
      <c r="I489" t="s">
        <v>73</v>
      </c>
      <c r="J489">
        <v>1</v>
      </c>
      <c r="K489" t="str">
        <f t="shared" si="109"/>
        <v>1-5</v>
      </c>
      <c r="L489">
        <v>3</v>
      </c>
      <c r="M489" t="s">
        <v>85</v>
      </c>
      <c r="N489" t="s">
        <v>60</v>
      </c>
      <c r="O489">
        <v>1</v>
      </c>
      <c r="P489">
        <v>4</v>
      </c>
      <c r="Q489" t="s">
        <v>65</v>
      </c>
      <c r="R489" t="s">
        <v>62</v>
      </c>
      <c r="S489">
        <v>83</v>
      </c>
      <c r="T489" t="str">
        <f t="shared" si="110"/>
        <v>76-100</v>
      </c>
      <c r="U489">
        <v>2</v>
      </c>
      <c r="V489" t="s">
        <v>61</v>
      </c>
      <c r="W489">
        <v>1</v>
      </c>
      <c r="X489" t="s">
        <v>76</v>
      </c>
      <c r="Y489">
        <v>2</v>
      </c>
      <c r="Z489" t="s">
        <v>61</v>
      </c>
      <c r="AA489" t="s">
        <v>66</v>
      </c>
      <c r="AB489" s="4">
        <v>2836</v>
      </c>
      <c r="AC489" s="4" t="str">
        <f t="shared" si="111"/>
        <v>$2,500-$4,000</v>
      </c>
      <c r="AD489">
        <v>11757</v>
      </c>
      <c r="AE489" t="str">
        <f t="shared" si="112"/>
        <v>$8,001-$16,000</v>
      </c>
      <c r="AF489">
        <v>1</v>
      </c>
      <c r="AG489" t="str">
        <f t="shared" si="113"/>
        <v>0-1</v>
      </c>
      <c r="AH489" t="s">
        <v>67</v>
      </c>
      <c r="AI489" t="s">
        <v>71</v>
      </c>
      <c r="AJ489">
        <v>13</v>
      </c>
      <c r="AK489" t="str">
        <f t="shared" si="114"/>
        <v>13-15%</v>
      </c>
      <c r="AL489">
        <v>3</v>
      </c>
      <c r="AM489" t="s">
        <v>68</v>
      </c>
      <c r="AN489">
        <v>4</v>
      </c>
      <c r="AO489" t="s">
        <v>65</v>
      </c>
      <c r="AP489">
        <v>80</v>
      </c>
      <c r="AQ489">
        <v>0</v>
      </c>
      <c r="AR489">
        <v>1</v>
      </c>
      <c r="AS489" t="str">
        <f t="shared" si="115"/>
        <v>0-2</v>
      </c>
      <c r="AT489">
        <v>0</v>
      </c>
      <c r="AU489" t="str">
        <f t="shared" si="116"/>
        <v>0-2</v>
      </c>
      <c r="AV489">
        <v>4</v>
      </c>
      <c r="AW489" t="s">
        <v>94</v>
      </c>
      <c r="AX489">
        <v>1</v>
      </c>
      <c r="AY489" t="str">
        <f t="shared" si="105"/>
        <v>0-1</v>
      </c>
      <c r="AZ489">
        <v>0</v>
      </c>
      <c r="BA489" t="str">
        <f t="shared" si="117"/>
        <v>0-1</v>
      </c>
      <c r="BB489">
        <v>0</v>
      </c>
      <c r="BC489" t="str">
        <f t="shared" si="118"/>
        <v>0-1</v>
      </c>
      <c r="BD489">
        <v>0</v>
      </c>
      <c r="BE489" t="str">
        <f t="shared" si="119"/>
        <v>0-1</v>
      </c>
    </row>
    <row r="490" spans="1:57" x14ac:dyDescent="0.3">
      <c r="A490">
        <v>659</v>
      </c>
      <c r="B490">
        <v>42</v>
      </c>
      <c r="C490" t="str">
        <f t="shared" si="106"/>
        <v>36-45</v>
      </c>
      <c r="D490" t="s">
        <v>71</v>
      </c>
      <c r="E490">
        <f t="shared" si="107"/>
        <v>0</v>
      </c>
      <c r="F490" t="s">
        <v>57</v>
      </c>
      <c r="G490">
        <v>622</v>
      </c>
      <c r="H490" t="str">
        <f t="shared" si="108"/>
        <v>501-1000</v>
      </c>
      <c r="I490" t="s">
        <v>73</v>
      </c>
      <c r="J490">
        <v>2</v>
      </c>
      <c r="K490" t="str">
        <f t="shared" si="109"/>
        <v>1-5</v>
      </c>
      <c r="L490">
        <v>4</v>
      </c>
      <c r="M490" t="s">
        <v>82</v>
      </c>
      <c r="N490" t="s">
        <v>60</v>
      </c>
      <c r="O490">
        <v>1</v>
      </c>
      <c r="P490">
        <v>3</v>
      </c>
      <c r="Q490" t="s">
        <v>63</v>
      </c>
      <c r="R490" t="s">
        <v>62</v>
      </c>
      <c r="S490">
        <v>81</v>
      </c>
      <c r="T490" t="str">
        <f t="shared" si="110"/>
        <v>76-100</v>
      </c>
      <c r="U490">
        <v>3</v>
      </c>
      <c r="V490" t="s">
        <v>63</v>
      </c>
      <c r="W490">
        <v>2</v>
      </c>
      <c r="X490" t="s">
        <v>88</v>
      </c>
      <c r="Y490">
        <v>4</v>
      </c>
      <c r="Z490" t="s">
        <v>65</v>
      </c>
      <c r="AA490" t="s">
        <v>77</v>
      </c>
      <c r="AB490" s="4">
        <v>4089</v>
      </c>
      <c r="AC490" s="4" t="str">
        <f t="shared" si="111"/>
        <v>$4,000-$5,500</v>
      </c>
      <c r="AD490">
        <v>5718</v>
      </c>
      <c r="AE490" t="str">
        <f t="shared" si="112"/>
        <v>$2,094-$8,000</v>
      </c>
      <c r="AF490">
        <v>1</v>
      </c>
      <c r="AG490" t="str">
        <f t="shared" si="113"/>
        <v>0-1</v>
      </c>
      <c r="AH490" t="s">
        <v>67</v>
      </c>
      <c r="AI490" t="s">
        <v>71</v>
      </c>
      <c r="AJ490">
        <v>13</v>
      </c>
      <c r="AK490" t="str">
        <f t="shared" si="114"/>
        <v>13-15%</v>
      </c>
      <c r="AL490">
        <v>3</v>
      </c>
      <c r="AM490" t="s">
        <v>68</v>
      </c>
      <c r="AN490">
        <v>2</v>
      </c>
      <c r="AO490" t="s">
        <v>61</v>
      </c>
      <c r="AP490">
        <v>80</v>
      </c>
      <c r="AQ490">
        <v>2</v>
      </c>
      <c r="AR490">
        <v>10</v>
      </c>
      <c r="AS490" t="str">
        <f t="shared" si="115"/>
        <v>6-10</v>
      </c>
      <c r="AT490">
        <v>4</v>
      </c>
      <c r="AU490" t="str">
        <f t="shared" si="116"/>
        <v>3-4</v>
      </c>
      <c r="AV490">
        <v>3</v>
      </c>
      <c r="AW490" t="s">
        <v>79</v>
      </c>
      <c r="AX490">
        <v>10</v>
      </c>
      <c r="AY490" t="str">
        <f t="shared" si="105"/>
        <v>6-10</v>
      </c>
      <c r="AZ490">
        <v>2</v>
      </c>
      <c r="BA490" t="str">
        <f t="shared" si="117"/>
        <v>2-5</v>
      </c>
      <c r="BB490">
        <v>2</v>
      </c>
      <c r="BC490" t="str">
        <f t="shared" si="118"/>
        <v>2-5</v>
      </c>
      <c r="BD490">
        <v>2</v>
      </c>
      <c r="BE490" t="str">
        <f t="shared" si="119"/>
        <v>2-5</v>
      </c>
    </row>
    <row r="491" spans="1:57" x14ac:dyDescent="0.3">
      <c r="A491">
        <v>661</v>
      </c>
      <c r="B491">
        <v>43</v>
      </c>
      <c r="C491" t="str">
        <f t="shared" si="106"/>
        <v>36-45</v>
      </c>
      <c r="D491" t="s">
        <v>71</v>
      </c>
      <c r="E491">
        <f t="shared" si="107"/>
        <v>0</v>
      </c>
      <c r="F491" t="s">
        <v>57</v>
      </c>
      <c r="G491">
        <v>782</v>
      </c>
      <c r="H491" t="str">
        <f t="shared" si="108"/>
        <v>501-1000</v>
      </c>
      <c r="I491" t="s">
        <v>73</v>
      </c>
      <c r="J491">
        <v>6</v>
      </c>
      <c r="K491" t="str">
        <f t="shared" si="109"/>
        <v>6-10</v>
      </c>
      <c r="L491">
        <v>4</v>
      </c>
      <c r="M491" t="s">
        <v>82</v>
      </c>
      <c r="N491" t="s">
        <v>80</v>
      </c>
      <c r="O491">
        <v>1</v>
      </c>
      <c r="P491">
        <v>2</v>
      </c>
      <c r="Q491" t="s">
        <v>61</v>
      </c>
      <c r="R491" t="s">
        <v>75</v>
      </c>
      <c r="S491">
        <v>50</v>
      </c>
      <c r="T491" t="str">
        <f t="shared" si="110"/>
        <v>30-50</v>
      </c>
      <c r="U491">
        <v>2</v>
      </c>
      <c r="V491" t="s">
        <v>61</v>
      </c>
      <c r="W491">
        <v>4</v>
      </c>
      <c r="X491" t="s">
        <v>92</v>
      </c>
      <c r="Y491">
        <v>4</v>
      </c>
      <c r="Z491" t="s">
        <v>65</v>
      </c>
      <c r="AA491" t="s">
        <v>86</v>
      </c>
      <c r="AB491" s="4">
        <v>16627</v>
      </c>
      <c r="AC491" s="4" t="str">
        <f t="shared" si="111"/>
        <v>$16,000-$17,500</v>
      </c>
      <c r="AD491">
        <v>2671</v>
      </c>
      <c r="AE491" t="str">
        <f t="shared" si="112"/>
        <v>$2,094-$8,000</v>
      </c>
      <c r="AF491">
        <v>4</v>
      </c>
      <c r="AG491" t="str">
        <f t="shared" si="113"/>
        <v>4-6</v>
      </c>
      <c r="AH491" t="s">
        <v>67</v>
      </c>
      <c r="AI491" t="s">
        <v>56</v>
      </c>
      <c r="AJ491">
        <v>14</v>
      </c>
      <c r="AK491" t="str">
        <f t="shared" si="114"/>
        <v>13-15%</v>
      </c>
      <c r="AL491">
        <v>3</v>
      </c>
      <c r="AM491" t="s">
        <v>68</v>
      </c>
      <c r="AN491">
        <v>3</v>
      </c>
      <c r="AO491" t="s">
        <v>63</v>
      </c>
      <c r="AP491">
        <v>80</v>
      </c>
      <c r="AQ491">
        <v>1</v>
      </c>
      <c r="AR491">
        <v>21</v>
      </c>
      <c r="AS491" t="str">
        <f t="shared" si="115"/>
        <v>21-40</v>
      </c>
      <c r="AT491">
        <v>3</v>
      </c>
      <c r="AU491" t="str">
        <f t="shared" si="116"/>
        <v>3-4</v>
      </c>
      <c r="AV491">
        <v>2</v>
      </c>
      <c r="AW491" t="s">
        <v>84</v>
      </c>
      <c r="AX491">
        <v>1</v>
      </c>
      <c r="AY491" t="str">
        <f t="shared" si="105"/>
        <v>0-1</v>
      </c>
      <c r="AZ491">
        <v>0</v>
      </c>
      <c r="BA491" t="str">
        <f t="shared" si="117"/>
        <v>0-1</v>
      </c>
      <c r="BB491">
        <v>0</v>
      </c>
      <c r="BC491" t="str">
        <f t="shared" si="118"/>
        <v>0-1</v>
      </c>
      <c r="BD491">
        <v>0</v>
      </c>
      <c r="BE491" t="str">
        <f t="shared" si="119"/>
        <v>0-1</v>
      </c>
    </row>
    <row r="492" spans="1:57" x14ac:dyDescent="0.3">
      <c r="A492">
        <v>662</v>
      </c>
      <c r="B492">
        <v>38</v>
      </c>
      <c r="C492" t="str">
        <f t="shared" si="106"/>
        <v>36-45</v>
      </c>
      <c r="D492" t="s">
        <v>71</v>
      </c>
      <c r="E492">
        <f t="shared" si="107"/>
        <v>0</v>
      </c>
      <c r="F492" t="s">
        <v>57</v>
      </c>
      <c r="G492">
        <v>362</v>
      </c>
      <c r="H492" t="str">
        <f t="shared" si="108"/>
        <v>102-500</v>
      </c>
      <c r="I492" t="s">
        <v>73</v>
      </c>
      <c r="J492">
        <v>1</v>
      </c>
      <c r="K492" t="str">
        <f t="shared" si="109"/>
        <v>1-5</v>
      </c>
      <c r="L492">
        <v>1</v>
      </c>
      <c r="M492" t="s">
        <v>74</v>
      </c>
      <c r="N492" t="s">
        <v>60</v>
      </c>
      <c r="O492">
        <v>1</v>
      </c>
      <c r="P492">
        <v>3</v>
      </c>
      <c r="Q492" t="s">
        <v>63</v>
      </c>
      <c r="R492" t="s">
        <v>62</v>
      </c>
      <c r="S492">
        <v>43</v>
      </c>
      <c r="T492" t="str">
        <f t="shared" si="110"/>
        <v>30-50</v>
      </c>
      <c r="U492">
        <v>3</v>
      </c>
      <c r="V492" t="s">
        <v>63</v>
      </c>
      <c r="W492">
        <v>1</v>
      </c>
      <c r="X492" t="s">
        <v>76</v>
      </c>
      <c r="Y492">
        <v>1</v>
      </c>
      <c r="Z492" t="s">
        <v>69</v>
      </c>
      <c r="AA492" t="s">
        <v>66</v>
      </c>
      <c r="AB492" s="4">
        <v>2619</v>
      </c>
      <c r="AC492" s="4" t="str">
        <f t="shared" si="111"/>
        <v>$2,500-$4,000</v>
      </c>
      <c r="AD492">
        <v>14561</v>
      </c>
      <c r="AE492" t="str">
        <f t="shared" si="112"/>
        <v>$8,001-$16,000</v>
      </c>
      <c r="AF492">
        <v>3</v>
      </c>
      <c r="AG492" t="str">
        <f t="shared" si="113"/>
        <v>2-3</v>
      </c>
      <c r="AH492" t="s">
        <v>67</v>
      </c>
      <c r="AI492" t="s">
        <v>71</v>
      </c>
      <c r="AJ492">
        <v>17</v>
      </c>
      <c r="AK492" t="str">
        <f t="shared" si="114"/>
        <v>16-17%</v>
      </c>
      <c r="AL492">
        <v>3</v>
      </c>
      <c r="AM492" t="s">
        <v>68</v>
      </c>
      <c r="AN492">
        <v>4</v>
      </c>
      <c r="AO492" t="s">
        <v>65</v>
      </c>
      <c r="AP492">
        <v>80</v>
      </c>
      <c r="AQ492">
        <v>0</v>
      </c>
      <c r="AR492">
        <v>8</v>
      </c>
      <c r="AS492" t="str">
        <f t="shared" si="115"/>
        <v>6-10</v>
      </c>
      <c r="AT492">
        <v>3</v>
      </c>
      <c r="AU492" t="str">
        <f t="shared" si="116"/>
        <v>3-4</v>
      </c>
      <c r="AV492">
        <v>2</v>
      </c>
      <c r="AW492" t="s">
        <v>84</v>
      </c>
      <c r="AX492">
        <v>0</v>
      </c>
      <c r="AY492" t="str">
        <f t="shared" si="105"/>
        <v>0-1</v>
      </c>
      <c r="AZ492">
        <v>0</v>
      </c>
      <c r="BA492" t="str">
        <f t="shared" si="117"/>
        <v>0-1</v>
      </c>
      <c r="BB492">
        <v>0</v>
      </c>
      <c r="BC492" t="str">
        <f t="shared" si="118"/>
        <v>0-1</v>
      </c>
      <c r="BD492">
        <v>0</v>
      </c>
      <c r="BE492" t="str">
        <f t="shared" si="119"/>
        <v>0-1</v>
      </c>
    </row>
    <row r="493" spans="1:57" x14ac:dyDescent="0.3">
      <c r="A493">
        <v>663</v>
      </c>
      <c r="B493">
        <v>43</v>
      </c>
      <c r="C493" t="str">
        <f t="shared" si="106"/>
        <v>36-45</v>
      </c>
      <c r="D493" t="s">
        <v>71</v>
      </c>
      <c r="E493">
        <f t="shared" si="107"/>
        <v>0</v>
      </c>
      <c r="F493" t="s">
        <v>72</v>
      </c>
      <c r="G493">
        <v>1001</v>
      </c>
      <c r="H493" t="str">
        <f t="shared" si="108"/>
        <v>1001-1499</v>
      </c>
      <c r="I493" t="s">
        <v>73</v>
      </c>
      <c r="J493">
        <v>9</v>
      </c>
      <c r="K493" t="str">
        <f t="shared" si="109"/>
        <v>6-10</v>
      </c>
      <c r="L493">
        <v>5</v>
      </c>
      <c r="M493" t="s">
        <v>96</v>
      </c>
      <c r="N493" t="s">
        <v>83</v>
      </c>
      <c r="O493">
        <v>1</v>
      </c>
      <c r="P493">
        <v>4</v>
      </c>
      <c r="Q493" t="s">
        <v>65</v>
      </c>
      <c r="R493" t="s">
        <v>75</v>
      </c>
      <c r="S493">
        <v>72</v>
      </c>
      <c r="T493" t="str">
        <f t="shared" si="110"/>
        <v>51-75</v>
      </c>
      <c r="U493">
        <v>3</v>
      </c>
      <c r="V493" t="s">
        <v>63</v>
      </c>
      <c r="W493">
        <v>2</v>
      </c>
      <c r="X493" t="s">
        <v>81</v>
      </c>
      <c r="Y493">
        <v>3</v>
      </c>
      <c r="Z493" t="s">
        <v>63</v>
      </c>
      <c r="AA493" t="s">
        <v>86</v>
      </c>
      <c r="AB493" s="4">
        <v>5679</v>
      </c>
      <c r="AC493" s="4" t="str">
        <f t="shared" si="111"/>
        <v>$5,500-$7,000</v>
      </c>
      <c r="AD493">
        <v>19627</v>
      </c>
      <c r="AE493" t="str">
        <f t="shared" si="112"/>
        <v>$16,001-$22,000</v>
      </c>
      <c r="AF493">
        <v>3</v>
      </c>
      <c r="AG493" t="str">
        <f t="shared" si="113"/>
        <v>2-3</v>
      </c>
      <c r="AH493" t="s">
        <v>67</v>
      </c>
      <c r="AI493" t="s">
        <v>56</v>
      </c>
      <c r="AJ493">
        <v>13</v>
      </c>
      <c r="AK493" t="str">
        <f t="shared" si="114"/>
        <v>13-15%</v>
      </c>
      <c r="AL493">
        <v>3</v>
      </c>
      <c r="AM493" t="s">
        <v>68</v>
      </c>
      <c r="AN493">
        <v>2</v>
      </c>
      <c r="AO493" t="s">
        <v>61</v>
      </c>
      <c r="AP493">
        <v>80</v>
      </c>
      <c r="AQ493">
        <v>1</v>
      </c>
      <c r="AR493">
        <v>10</v>
      </c>
      <c r="AS493" t="str">
        <f t="shared" si="115"/>
        <v>6-10</v>
      </c>
      <c r="AT493">
        <v>3</v>
      </c>
      <c r="AU493" t="str">
        <f t="shared" si="116"/>
        <v>3-4</v>
      </c>
      <c r="AV493">
        <v>3</v>
      </c>
      <c r="AW493" t="s">
        <v>79</v>
      </c>
      <c r="AX493">
        <v>8</v>
      </c>
      <c r="AY493" t="str">
        <f t="shared" si="105"/>
        <v>6-10</v>
      </c>
      <c r="AZ493">
        <v>7</v>
      </c>
      <c r="BA493" t="str">
        <f t="shared" si="117"/>
        <v>6-10</v>
      </c>
      <c r="BB493">
        <v>4</v>
      </c>
      <c r="BC493" t="str">
        <f t="shared" si="118"/>
        <v>2-5</v>
      </c>
      <c r="BD493">
        <v>7</v>
      </c>
      <c r="BE493" t="str">
        <f t="shared" si="119"/>
        <v>6-10</v>
      </c>
    </row>
    <row r="494" spans="1:57" x14ac:dyDescent="0.3">
      <c r="A494">
        <v>664</v>
      </c>
      <c r="B494">
        <v>48</v>
      </c>
      <c r="C494" t="str">
        <f t="shared" si="106"/>
        <v>46-55</v>
      </c>
      <c r="D494" t="s">
        <v>71</v>
      </c>
      <c r="E494">
        <f t="shared" si="107"/>
        <v>0</v>
      </c>
      <c r="F494" t="s">
        <v>57</v>
      </c>
      <c r="G494">
        <v>1236</v>
      </c>
      <c r="H494" t="str">
        <f t="shared" si="108"/>
        <v>1001-1499</v>
      </c>
      <c r="I494" t="s">
        <v>73</v>
      </c>
      <c r="J494">
        <v>1</v>
      </c>
      <c r="K494" t="str">
        <f t="shared" si="109"/>
        <v>1-5</v>
      </c>
      <c r="L494">
        <v>4</v>
      </c>
      <c r="M494" t="s">
        <v>82</v>
      </c>
      <c r="N494" t="s">
        <v>60</v>
      </c>
      <c r="O494">
        <v>1</v>
      </c>
      <c r="P494">
        <v>4</v>
      </c>
      <c r="Q494" t="s">
        <v>65</v>
      </c>
      <c r="R494" t="s">
        <v>62</v>
      </c>
      <c r="S494">
        <v>40</v>
      </c>
      <c r="T494" t="str">
        <f t="shared" si="110"/>
        <v>30-50</v>
      </c>
      <c r="U494">
        <v>2</v>
      </c>
      <c r="V494" t="s">
        <v>61</v>
      </c>
      <c r="W494">
        <v>4</v>
      </c>
      <c r="X494" t="s">
        <v>90</v>
      </c>
      <c r="Y494">
        <v>1</v>
      </c>
      <c r="Z494" t="s">
        <v>69</v>
      </c>
      <c r="AA494" t="s">
        <v>77</v>
      </c>
      <c r="AB494" s="4">
        <v>15402</v>
      </c>
      <c r="AC494" s="4" t="str">
        <f t="shared" si="111"/>
        <v>$14,500-$16,000</v>
      </c>
      <c r="AD494">
        <v>17997</v>
      </c>
      <c r="AE494" t="str">
        <f t="shared" si="112"/>
        <v>$16,001-$22,000</v>
      </c>
      <c r="AF494">
        <v>7</v>
      </c>
      <c r="AG494" t="str">
        <f t="shared" si="113"/>
        <v>7-9</v>
      </c>
      <c r="AH494" t="s">
        <v>67</v>
      </c>
      <c r="AI494" t="s">
        <v>71</v>
      </c>
      <c r="AJ494">
        <v>11</v>
      </c>
      <c r="AK494" t="str">
        <f t="shared" si="114"/>
        <v>11-12%</v>
      </c>
      <c r="AL494">
        <v>3</v>
      </c>
      <c r="AM494" t="s">
        <v>68</v>
      </c>
      <c r="AN494">
        <v>1</v>
      </c>
      <c r="AO494" t="s">
        <v>69</v>
      </c>
      <c r="AP494">
        <v>80</v>
      </c>
      <c r="AQ494">
        <v>1</v>
      </c>
      <c r="AR494">
        <v>21</v>
      </c>
      <c r="AS494" t="str">
        <f t="shared" si="115"/>
        <v>21-40</v>
      </c>
      <c r="AT494">
        <v>3</v>
      </c>
      <c r="AU494" t="str">
        <f t="shared" si="116"/>
        <v>3-4</v>
      </c>
      <c r="AV494">
        <v>1</v>
      </c>
      <c r="AW494" t="s">
        <v>70</v>
      </c>
      <c r="AX494">
        <v>3</v>
      </c>
      <c r="AY494" t="str">
        <f t="shared" si="105"/>
        <v>2-5</v>
      </c>
      <c r="AZ494">
        <v>2</v>
      </c>
      <c r="BA494" t="str">
        <f t="shared" si="117"/>
        <v>2-5</v>
      </c>
      <c r="BB494">
        <v>0</v>
      </c>
      <c r="BC494" t="str">
        <f t="shared" si="118"/>
        <v>0-1</v>
      </c>
      <c r="BD494">
        <v>2</v>
      </c>
      <c r="BE494" t="str">
        <f t="shared" si="119"/>
        <v>2-5</v>
      </c>
    </row>
    <row r="495" spans="1:57" x14ac:dyDescent="0.3">
      <c r="A495">
        <v>665</v>
      </c>
      <c r="B495">
        <v>44</v>
      </c>
      <c r="C495" t="str">
        <f t="shared" si="106"/>
        <v>36-45</v>
      </c>
      <c r="D495" t="s">
        <v>71</v>
      </c>
      <c r="E495">
        <f t="shared" si="107"/>
        <v>0</v>
      </c>
      <c r="F495" t="s">
        <v>57</v>
      </c>
      <c r="G495">
        <v>1112</v>
      </c>
      <c r="H495" t="str">
        <f t="shared" si="108"/>
        <v>1001-1499</v>
      </c>
      <c r="I495" t="s">
        <v>97</v>
      </c>
      <c r="J495">
        <v>1</v>
      </c>
      <c r="K495" t="str">
        <f t="shared" si="109"/>
        <v>1-5</v>
      </c>
      <c r="L495">
        <v>4</v>
      </c>
      <c r="M495" t="s">
        <v>82</v>
      </c>
      <c r="N495" t="s">
        <v>60</v>
      </c>
      <c r="O495">
        <v>1</v>
      </c>
      <c r="P495">
        <v>1</v>
      </c>
      <c r="Q495" t="s">
        <v>69</v>
      </c>
      <c r="R495" t="s">
        <v>62</v>
      </c>
      <c r="S495">
        <v>50</v>
      </c>
      <c r="T495" t="str">
        <f t="shared" si="110"/>
        <v>30-50</v>
      </c>
      <c r="U495">
        <v>2</v>
      </c>
      <c r="V495" t="s">
        <v>61</v>
      </c>
      <c r="W495">
        <v>2</v>
      </c>
      <c r="X495" t="s">
        <v>97</v>
      </c>
      <c r="Y495">
        <v>3</v>
      </c>
      <c r="Z495" t="s">
        <v>63</v>
      </c>
      <c r="AA495" t="s">
        <v>66</v>
      </c>
      <c r="AB495" s="4">
        <v>5985</v>
      </c>
      <c r="AC495" s="4" t="str">
        <f t="shared" si="111"/>
        <v>$5,500-$7,000</v>
      </c>
      <c r="AD495">
        <v>26894</v>
      </c>
      <c r="AE495" t="str">
        <f t="shared" si="112"/>
        <v>$22,001-$26,999</v>
      </c>
      <c r="AF495">
        <v>4</v>
      </c>
      <c r="AG495" t="str">
        <f t="shared" si="113"/>
        <v>4-6</v>
      </c>
      <c r="AH495" t="s">
        <v>67</v>
      </c>
      <c r="AI495" t="s">
        <v>71</v>
      </c>
      <c r="AJ495">
        <v>11</v>
      </c>
      <c r="AK495" t="str">
        <f t="shared" si="114"/>
        <v>11-12%</v>
      </c>
      <c r="AL495">
        <v>3</v>
      </c>
      <c r="AM495" t="s">
        <v>68</v>
      </c>
      <c r="AN495">
        <v>2</v>
      </c>
      <c r="AO495" t="s">
        <v>61</v>
      </c>
      <c r="AP495">
        <v>80</v>
      </c>
      <c r="AQ495">
        <v>0</v>
      </c>
      <c r="AR495">
        <v>10</v>
      </c>
      <c r="AS495" t="str">
        <f t="shared" si="115"/>
        <v>6-10</v>
      </c>
      <c r="AT495">
        <v>1</v>
      </c>
      <c r="AU495" t="str">
        <f t="shared" si="116"/>
        <v>0-2</v>
      </c>
      <c r="AV495">
        <v>4</v>
      </c>
      <c r="AW495" t="s">
        <v>94</v>
      </c>
      <c r="AX495">
        <v>2</v>
      </c>
      <c r="AY495" t="str">
        <f t="shared" si="105"/>
        <v>2-5</v>
      </c>
      <c r="AZ495">
        <v>2</v>
      </c>
      <c r="BA495" t="str">
        <f t="shared" si="117"/>
        <v>2-5</v>
      </c>
      <c r="BB495">
        <v>0</v>
      </c>
      <c r="BC495" t="str">
        <f t="shared" si="118"/>
        <v>0-1</v>
      </c>
      <c r="BD495">
        <v>2</v>
      </c>
      <c r="BE495" t="str">
        <f t="shared" si="119"/>
        <v>2-5</v>
      </c>
    </row>
    <row r="496" spans="1:57" x14ac:dyDescent="0.3">
      <c r="A496">
        <v>666</v>
      </c>
      <c r="B496">
        <v>34</v>
      </c>
      <c r="C496" t="str">
        <f t="shared" si="106"/>
        <v>26-35</v>
      </c>
      <c r="D496" t="s">
        <v>71</v>
      </c>
      <c r="E496">
        <f t="shared" si="107"/>
        <v>0</v>
      </c>
      <c r="F496" t="s">
        <v>57</v>
      </c>
      <c r="G496">
        <v>204</v>
      </c>
      <c r="H496" t="str">
        <f t="shared" si="108"/>
        <v>102-500</v>
      </c>
      <c r="I496" t="s">
        <v>58</v>
      </c>
      <c r="J496">
        <v>14</v>
      </c>
      <c r="K496" t="str">
        <f t="shared" si="109"/>
        <v>11-20</v>
      </c>
      <c r="L496">
        <v>3</v>
      </c>
      <c r="M496" t="s">
        <v>85</v>
      </c>
      <c r="N496" t="s">
        <v>95</v>
      </c>
      <c r="O496">
        <v>1</v>
      </c>
      <c r="P496">
        <v>3</v>
      </c>
      <c r="Q496" t="s">
        <v>63</v>
      </c>
      <c r="R496" t="s">
        <v>62</v>
      </c>
      <c r="S496">
        <v>31</v>
      </c>
      <c r="T496" t="str">
        <f t="shared" si="110"/>
        <v>30-50</v>
      </c>
      <c r="U496">
        <v>3</v>
      </c>
      <c r="V496" t="s">
        <v>63</v>
      </c>
      <c r="W496">
        <v>1</v>
      </c>
      <c r="X496" t="s">
        <v>91</v>
      </c>
      <c r="Y496">
        <v>3</v>
      </c>
      <c r="Z496" t="s">
        <v>63</v>
      </c>
      <c r="AA496" t="s">
        <v>86</v>
      </c>
      <c r="AB496" s="4">
        <v>2579</v>
      </c>
      <c r="AC496" s="4" t="str">
        <f t="shared" si="111"/>
        <v>$2,500-$4,000</v>
      </c>
      <c r="AD496">
        <v>2912</v>
      </c>
      <c r="AE496" t="str">
        <f t="shared" si="112"/>
        <v>$2,094-$8,000</v>
      </c>
      <c r="AF496">
        <v>1</v>
      </c>
      <c r="AG496" t="str">
        <f t="shared" si="113"/>
        <v>0-1</v>
      </c>
      <c r="AH496" t="s">
        <v>67</v>
      </c>
      <c r="AI496" t="s">
        <v>56</v>
      </c>
      <c r="AJ496">
        <v>18</v>
      </c>
      <c r="AK496" t="str">
        <f t="shared" si="114"/>
        <v>18-19%</v>
      </c>
      <c r="AL496">
        <v>3</v>
      </c>
      <c r="AM496" t="s">
        <v>68</v>
      </c>
      <c r="AN496">
        <v>4</v>
      </c>
      <c r="AO496" t="s">
        <v>65</v>
      </c>
      <c r="AP496">
        <v>80</v>
      </c>
      <c r="AQ496">
        <v>2</v>
      </c>
      <c r="AR496">
        <v>8</v>
      </c>
      <c r="AS496" t="str">
        <f t="shared" si="115"/>
        <v>6-10</v>
      </c>
      <c r="AT496">
        <v>3</v>
      </c>
      <c r="AU496" t="str">
        <f t="shared" si="116"/>
        <v>3-4</v>
      </c>
      <c r="AV496">
        <v>3</v>
      </c>
      <c r="AW496" t="s">
        <v>79</v>
      </c>
      <c r="AX496">
        <v>8</v>
      </c>
      <c r="AY496" t="str">
        <f t="shared" si="105"/>
        <v>6-10</v>
      </c>
      <c r="AZ496">
        <v>2</v>
      </c>
      <c r="BA496" t="str">
        <f t="shared" si="117"/>
        <v>2-5</v>
      </c>
      <c r="BB496">
        <v>0</v>
      </c>
      <c r="BC496" t="str">
        <f t="shared" si="118"/>
        <v>0-1</v>
      </c>
      <c r="BD496">
        <v>6</v>
      </c>
      <c r="BE496" t="str">
        <f t="shared" si="119"/>
        <v>6-10</v>
      </c>
    </row>
    <row r="497" spans="1:57" x14ac:dyDescent="0.3">
      <c r="A497">
        <v>667</v>
      </c>
      <c r="B497">
        <v>27</v>
      </c>
      <c r="C497" t="str">
        <f t="shared" si="106"/>
        <v>26-35</v>
      </c>
      <c r="D497" t="s">
        <v>56</v>
      </c>
      <c r="E497">
        <f t="shared" si="107"/>
        <v>1</v>
      </c>
      <c r="F497" t="s">
        <v>57</v>
      </c>
      <c r="G497">
        <v>1420</v>
      </c>
      <c r="H497" t="str">
        <f t="shared" si="108"/>
        <v>1001-1499</v>
      </c>
      <c r="I497" t="s">
        <v>58</v>
      </c>
      <c r="J497">
        <v>2</v>
      </c>
      <c r="K497" t="str">
        <f t="shared" si="109"/>
        <v>1-5</v>
      </c>
      <c r="L497">
        <v>1</v>
      </c>
      <c r="M497" t="s">
        <v>74</v>
      </c>
      <c r="N497" t="s">
        <v>93</v>
      </c>
      <c r="O497">
        <v>1</v>
      </c>
      <c r="P497">
        <v>3</v>
      </c>
      <c r="Q497" t="s">
        <v>63</v>
      </c>
      <c r="R497" t="s">
        <v>75</v>
      </c>
      <c r="S497">
        <v>85</v>
      </c>
      <c r="T497" t="str">
        <f t="shared" si="110"/>
        <v>76-100</v>
      </c>
      <c r="U497">
        <v>3</v>
      </c>
      <c r="V497" t="s">
        <v>63</v>
      </c>
      <c r="W497">
        <v>1</v>
      </c>
      <c r="X497" t="s">
        <v>91</v>
      </c>
      <c r="Y497">
        <v>1</v>
      </c>
      <c r="Z497" t="s">
        <v>69</v>
      </c>
      <c r="AA497" t="s">
        <v>86</v>
      </c>
      <c r="AB497" s="4">
        <v>3041</v>
      </c>
      <c r="AC497" s="4" t="str">
        <f t="shared" si="111"/>
        <v>$2,500-$4,000</v>
      </c>
      <c r="AD497">
        <v>16346</v>
      </c>
      <c r="AE497" t="str">
        <f t="shared" si="112"/>
        <v>$16,001-$22,000</v>
      </c>
      <c r="AF497">
        <v>0</v>
      </c>
      <c r="AG497" t="str">
        <f t="shared" si="113"/>
        <v>0-1</v>
      </c>
      <c r="AH497" t="s">
        <v>67</v>
      </c>
      <c r="AI497" t="s">
        <v>71</v>
      </c>
      <c r="AJ497">
        <v>11</v>
      </c>
      <c r="AK497" t="str">
        <f t="shared" si="114"/>
        <v>11-12%</v>
      </c>
      <c r="AL497">
        <v>3</v>
      </c>
      <c r="AM497" t="s">
        <v>68</v>
      </c>
      <c r="AN497">
        <v>2</v>
      </c>
      <c r="AO497" t="s">
        <v>61</v>
      </c>
      <c r="AP497">
        <v>80</v>
      </c>
      <c r="AQ497">
        <v>1</v>
      </c>
      <c r="AR497">
        <v>5</v>
      </c>
      <c r="AS497" t="str">
        <f t="shared" si="115"/>
        <v>3-5</v>
      </c>
      <c r="AT497">
        <v>3</v>
      </c>
      <c r="AU497" t="str">
        <f t="shared" si="116"/>
        <v>3-4</v>
      </c>
      <c r="AV497">
        <v>3</v>
      </c>
      <c r="AW497" t="s">
        <v>79</v>
      </c>
      <c r="AX497">
        <v>4</v>
      </c>
      <c r="AY497" t="str">
        <f t="shared" si="105"/>
        <v>2-5</v>
      </c>
      <c r="AZ497">
        <v>3</v>
      </c>
      <c r="BA497" t="str">
        <f t="shared" si="117"/>
        <v>2-5</v>
      </c>
      <c r="BB497">
        <v>0</v>
      </c>
      <c r="BC497" t="str">
        <f t="shared" si="118"/>
        <v>0-1</v>
      </c>
      <c r="BD497">
        <v>2</v>
      </c>
      <c r="BE497" t="str">
        <f t="shared" si="119"/>
        <v>2-5</v>
      </c>
    </row>
    <row r="498" spans="1:57" x14ac:dyDescent="0.3">
      <c r="A498">
        <v>669</v>
      </c>
      <c r="B498">
        <v>21</v>
      </c>
      <c r="C498" t="str">
        <f t="shared" si="106"/>
        <v>18-25</v>
      </c>
      <c r="D498" t="s">
        <v>71</v>
      </c>
      <c r="E498">
        <f t="shared" si="107"/>
        <v>0</v>
      </c>
      <c r="F498" t="s">
        <v>57</v>
      </c>
      <c r="G498">
        <v>1343</v>
      </c>
      <c r="H498" t="str">
        <f t="shared" si="108"/>
        <v>1001-1499</v>
      </c>
      <c r="I498" t="s">
        <v>58</v>
      </c>
      <c r="J498">
        <v>22</v>
      </c>
      <c r="K498" t="str">
        <f t="shared" si="109"/>
        <v>21-29</v>
      </c>
      <c r="L498">
        <v>1</v>
      </c>
      <c r="M498" t="s">
        <v>74</v>
      </c>
      <c r="N498" t="s">
        <v>95</v>
      </c>
      <c r="O498">
        <v>1</v>
      </c>
      <c r="P498">
        <v>3</v>
      </c>
      <c r="Q498" t="s">
        <v>63</v>
      </c>
      <c r="R498" t="s">
        <v>75</v>
      </c>
      <c r="S498">
        <v>49</v>
      </c>
      <c r="T498" t="str">
        <f t="shared" si="110"/>
        <v>30-50</v>
      </c>
      <c r="U498">
        <v>3</v>
      </c>
      <c r="V498" t="s">
        <v>63</v>
      </c>
      <c r="W498">
        <v>1</v>
      </c>
      <c r="X498" t="s">
        <v>91</v>
      </c>
      <c r="Y498">
        <v>3</v>
      </c>
      <c r="Z498" t="s">
        <v>63</v>
      </c>
      <c r="AA498" t="s">
        <v>66</v>
      </c>
      <c r="AB498" s="4">
        <v>3447</v>
      </c>
      <c r="AC498" s="4" t="str">
        <f t="shared" si="111"/>
        <v>$2,500-$4,000</v>
      </c>
      <c r="AD498">
        <v>24444</v>
      </c>
      <c r="AE498" t="str">
        <f t="shared" si="112"/>
        <v>$22,001-$26,999</v>
      </c>
      <c r="AF498">
        <v>1</v>
      </c>
      <c r="AG498" t="str">
        <f t="shared" si="113"/>
        <v>0-1</v>
      </c>
      <c r="AH498" t="s">
        <v>67</v>
      </c>
      <c r="AI498" t="s">
        <v>71</v>
      </c>
      <c r="AJ498">
        <v>11</v>
      </c>
      <c r="AK498" t="str">
        <f t="shared" si="114"/>
        <v>11-12%</v>
      </c>
      <c r="AL498">
        <v>3</v>
      </c>
      <c r="AM498" t="s">
        <v>68</v>
      </c>
      <c r="AN498">
        <v>3</v>
      </c>
      <c r="AO498" t="s">
        <v>63</v>
      </c>
      <c r="AP498">
        <v>80</v>
      </c>
      <c r="AQ498">
        <v>0</v>
      </c>
      <c r="AR498">
        <v>3</v>
      </c>
      <c r="AS498" t="str">
        <f t="shared" si="115"/>
        <v>3-5</v>
      </c>
      <c r="AT498">
        <v>2</v>
      </c>
      <c r="AU498" t="str">
        <f t="shared" si="116"/>
        <v>0-2</v>
      </c>
      <c r="AV498">
        <v>3</v>
      </c>
      <c r="AW498" t="s">
        <v>79</v>
      </c>
      <c r="AX498">
        <v>3</v>
      </c>
      <c r="AY498" t="str">
        <f t="shared" si="105"/>
        <v>2-5</v>
      </c>
      <c r="AZ498">
        <v>2</v>
      </c>
      <c r="BA498" t="str">
        <f t="shared" si="117"/>
        <v>2-5</v>
      </c>
      <c r="BB498">
        <v>1</v>
      </c>
      <c r="BC498" t="str">
        <f t="shared" si="118"/>
        <v>0-1</v>
      </c>
      <c r="BD498">
        <v>2</v>
      </c>
      <c r="BE498" t="str">
        <f t="shared" si="119"/>
        <v>2-5</v>
      </c>
    </row>
    <row r="499" spans="1:57" x14ac:dyDescent="0.3">
      <c r="A499">
        <v>671</v>
      </c>
      <c r="B499">
        <v>44</v>
      </c>
      <c r="C499" t="str">
        <f t="shared" si="106"/>
        <v>36-45</v>
      </c>
      <c r="D499" t="s">
        <v>71</v>
      </c>
      <c r="E499">
        <f t="shared" si="107"/>
        <v>0</v>
      </c>
      <c r="F499" t="s">
        <v>57</v>
      </c>
      <c r="G499">
        <v>1315</v>
      </c>
      <c r="H499" t="str">
        <f t="shared" si="108"/>
        <v>1001-1499</v>
      </c>
      <c r="I499" t="s">
        <v>73</v>
      </c>
      <c r="J499">
        <v>3</v>
      </c>
      <c r="K499" t="str">
        <f t="shared" si="109"/>
        <v>1-5</v>
      </c>
      <c r="L499">
        <v>4</v>
      </c>
      <c r="M499" t="s">
        <v>82</v>
      </c>
      <c r="N499" t="s">
        <v>80</v>
      </c>
      <c r="O499">
        <v>1</v>
      </c>
      <c r="P499">
        <v>4</v>
      </c>
      <c r="Q499" t="s">
        <v>65</v>
      </c>
      <c r="R499" t="s">
        <v>75</v>
      </c>
      <c r="S499">
        <v>35</v>
      </c>
      <c r="T499" t="str">
        <f t="shared" si="110"/>
        <v>30-50</v>
      </c>
      <c r="U499">
        <v>3</v>
      </c>
      <c r="V499" t="s">
        <v>63</v>
      </c>
      <c r="W499">
        <v>5</v>
      </c>
      <c r="X499" t="s">
        <v>90</v>
      </c>
      <c r="Y499">
        <v>4</v>
      </c>
      <c r="Z499" t="s">
        <v>65</v>
      </c>
      <c r="AA499" t="s">
        <v>77</v>
      </c>
      <c r="AB499" s="4">
        <v>19513</v>
      </c>
      <c r="AC499" s="4" t="str">
        <f t="shared" si="111"/>
        <v>$19,000-$20,500</v>
      </c>
      <c r="AD499">
        <v>9358</v>
      </c>
      <c r="AE499" t="str">
        <f t="shared" si="112"/>
        <v>$8,001-$16,000</v>
      </c>
      <c r="AF499">
        <v>4</v>
      </c>
      <c r="AG499" t="str">
        <f t="shared" si="113"/>
        <v>4-6</v>
      </c>
      <c r="AH499" t="s">
        <v>67</v>
      </c>
      <c r="AI499" t="s">
        <v>56</v>
      </c>
      <c r="AJ499">
        <v>12</v>
      </c>
      <c r="AK499" t="str">
        <f t="shared" si="114"/>
        <v>11-12%</v>
      </c>
      <c r="AL499">
        <v>3</v>
      </c>
      <c r="AM499" t="s">
        <v>68</v>
      </c>
      <c r="AN499">
        <v>1</v>
      </c>
      <c r="AO499" t="s">
        <v>69</v>
      </c>
      <c r="AP499">
        <v>80</v>
      </c>
      <c r="AQ499">
        <v>1</v>
      </c>
      <c r="AR499">
        <v>26</v>
      </c>
      <c r="AS499" t="str">
        <f t="shared" si="115"/>
        <v>21-40</v>
      </c>
      <c r="AT499">
        <v>2</v>
      </c>
      <c r="AU499" t="str">
        <f t="shared" si="116"/>
        <v>0-2</v>
      </c>
      <c r="AV499">
        <v>4</v>
      </c>
      <c r="AW499" t="s">
        <v>94</v>
      </c>
      <c r="AX499">
        <v>2</v>
      </c>
      <c r="AY499" t="str">
        <f t="shared" si="105"/>
        <v>2-5</v>
      </c>
      <c r="AZ499">
        <v>2</v>
      </c>
      <c r="BA499" t="str">
        <f t="shared" si="117"/>
        <v>2-5</v>
      </c>
      <c r="BB499">
        <v>0</v>
      </c>
      <c r="BC499" t="str">
        <f t="shared" si="118"/>
        <v>0-1</v>
      </c>
      <c r="BD499">
        <v>1</v>
      </c>
      <c r="BE499" t="str">
        <f t="shared" si="119"/>
        <v>0-1</v>
      </c>
    </row>
    <row r="500" spans="1:57" x14ac:dyDescent="0.3">
      <c r="A500">
        <v>675</v>
      </c>
      <c r="B500">
        <v>22</v>
      </c>
      <c r="C500" t="str">
        <f t="shared" si="106"/>
        <v>18-25</v>
      </c>
      <c r="D500" t="s">
        <v>71</v>
      </c>
      <c r="E500">
        <f t="shared" si="107"/>
        <v>0</v>
      </c>
      <c r="F500" t="s">
        <v>57</v>
      </c>
      <c r="G500">
        <v>604</v>
      </c>
      <c r="H500" t="str">
        <f t="shared" si="108"/>
        <v>501-1000</v>
      </c>
      <c r="I500" t="s">
        <v>73</v>
      </c>
      <c r="J500">
        <v>6</v>
      </c>
      <c r="K500" t="str">
        <f t="shared" si="109"/>
        <v>6-10</v>
      </c>
      <c r="L500">
        <v>1</v>
      </c>
      <c r="M500" t="s">
        <v>74</v>
      </c>
      <c r="N500" t="s">
        <v>83</v>
      </c>
      <c r="O500">
        <v>1</v>
      </c>
      <c r="P500">
        <v>1</v>
      </c>
      <c r="Q500" t="s">
        <v>69</v>
      </c>
      <c r="R500" t="s">
        <v>75</v>
      </c>
      <c r="S500">
        <v>69</v>
      </c>
      <c r="T500" t="str">
        <f t="shared" si="110"/>
        <v>51-75</v>
      </c>
      <c r="U500">
        <v>3</v>
      </c>
      <c r="V500" t="s">
        <v>63</v>
      </c>
      <c r="W500">
        <v>1</v>
      </c>
      <c r="X500" t="s">
        <v>76</v>
      </c>
      <c r="Y500">
        <v>3</v>
      </c>
      <c r="Z500" t="s">
        <v>63</v>
      </c>
      <c r="AA500" t="s">
        <v>77</v>
      </c>
      <c r="AB500" s="4">
        <v>2773</v>
      </c>
      <c r="AC500" s="4" t="str">
        <f t="shared" si="111"/>
        <v>$2,500-$4,000</v>
      </c>
      <c r="AD500">
        <v>12145</v>
      </c>
      <c r="AE500" t="str">
        <f t="shared" si="112"/>
        <v>$8,001-$16,000</v>
      </c>
      <c r="AF500">
        <v>0</v>
      </c>
      <c r="AG500" t="str">
        <f t="shared" si="113"/>
        <v>0-1</v>
      </c>
      <c r="AH500" t="s">
        <v>67</v>
      </c>
      <c r="AI500" t="s">
        <v>71</v>
      </c>
      <c r="AJ500">
        <v>20</v>
      </c>
      <c r="AK500" t="str">
        <f t="shared" si="114"/>
        <v>18-19%</v>
      </c>
      <c r="AL500">
        <v>4</v>
      </c>
      <c r="AM500" t="s">
        <v>78</v>
      </c>
      <c r="AN500">
        <v>4</v>
      </c>
      <c r="AO500" t="s">
        <v>65</v>
      </c>
      <c r="AP500">
        <v>80</v>
      </c>
      <c r="AQ500">
        <v>0</v>
      </c>
      <c r="AR500">
        <v>3</v>
      </c>
      <c r="AS500" t="str">
        <f t="shared" si="115"/>
        <v>3-5</v>
      </c>
      <c r="AT500">
        <v>3</v>
      </c>
      <c r="AU500" t="str">
        <f t="shared" si="116"/>
        <v>3-4</v>
      </c>
      <c r="AV500">
        <v>3</v>
      </c>
      <c r="AW500" t="s">
        <v>79</v>
      </c>
      <c r="AX500">
        <v>2</v>
      </c>
      <c r="AY500" t="str">
        <f t="shared" si="105"/>
        <v>2-5</v>
      </c>
      <c r="AZ500">
        <v>2</v>
      </c>
      <c r="BA500" t="str">
        <f t="shared" si="117"/>
        <v>2-5</v>
      </c>
      <c r="BB500">
        <v>2</v>
      </c>
      <c r="BC500" t="str">
        <f t="shared" si="118"/>
        <v>2-5</v>
      </c>
      <c r="BD500">
        <v>2</v>
      </c>
      <c r="BE500" t="str">
        <f t="shared" si="119"/>
        <v>2-5</v>
      </c>
    </row>
    <row r="501" spans="1:57" x14ac:dyDescent="0.3">
      <c r="A501">
        <v>677</v>
      </c>
      <c r="B501">
        <v>33</v>
      </c>
      <c r="C501" t="str">
        <f t="shared" si="106"/>
        <v>26-35</v>
      </c>
      <c r="D501" t="s">
        <v>71</v>
      </c>
      <c r="E501">
        <f t="shared" si="107"/>
        <v>0</v>
      </c>
      <c r="F501" t="s">
        <v>57</v>
      </c>
      <c r="G501">
        <v>1216</v>
      </c>
      <c r="H501" t="str">
        <f t="shared" si="108"/>
        <v>1001-1499</v>
      </c>
      <c r="I501" t="s">
        <v>58</v>
      </c>
      <c r="J501">
        <v>8</v>
      </c>
      <c r="K501" t="str">
        <f t="shared" si="109"/>
        <v>6-10</v>
      </c>
      <c r="L501">
        <v>4</v>
      </c>
      <c r="M501" t="s">
        <v>82</v>
      </c>
      <c r="N501" t="s">
        <v>93</v>
      </c>
      <c r="O501">
        <v>1</v>
      </c>
      <c r="P501">
        <v>3</v>
      </c>
      <c r="Q501" t="s">
        <v>63</v>
      </c>
      <c r="R501" t="s">
        <v>75</v>
      </c>
      <c r="S501">
        <v>39</v>
      </c>
      <c r="T501" t="str">
        <f t="shared" si="110"/>
        <v>30-50</v>
      </c>
      <c r="U501">
        <v>3</v>
      </c>
      <c r="V501" t="s">
        <v>63</v>
      </c>
      <c r="W501">
        <v>2</v>
      </c>
      <c r="X501" t="s">
        <v>64</v>
      </c>
      <c r="Y501">
        <v>3</v>
      </c>
      <c r="Z501" t="s">
        <v>63</v>
      </c>
      <c r="AA501" t="s">
        <v>86</v>
      </c>
      <c r="AB501" s="4">
        <v>7104</v>
      </c>
      <c r="AC501" s="4" t="str">
        <f t="shared" si="111"/>
        <v>$7,000-$8,500</v>
      </c>
      <c r="AD501">
        <v>20431</v>
      </c>
      <c r="AE501" t="str">
        <f t="shared" si="112"/>
        <v>$16,001-$22,000</v>
      </c>
      <c r="AF501">
        <v>0</v>
      </c>
      <c r="AG501" t="str">
        <f t="shared" si="113"/>
        <v>0-1</v>
      </c>
      <c r="AH501" t="s">
        <v>67</v>
      </c>
      <c r="AI501" t="s">
        <v>71</v>
      </c>
      <c r="AJ501">
        <v>12</v>
      </c>
      <c r="AK501" t="str">
        <f t="shared" si="114"/>
        <v>11-12%</v>
      </c>
      <c r="AL501">
        <v>3</v>
      </c>
      <c r="AM501" t="s">
        <v>68</v>
      </c>
      <c r="AN501">
        <v>4</v>
      </c>
      <c r="AO501" t="s">
        <v>65</v>
      </c>
      <c r="AP501">
        <v>80</v>
      </c>
      <c r="AQ501">
        <v>0</v>
      </c>
      <c r="AR501">
        <v>6</v>
      </c>
      <c r="AS501" t="str">
        <f t="shared" si="115"/>
        <v>6-10</v>
      </c>
      <c r="AT501">
        <v>3</v>
      </c>
      <c r="AU501" t="str">
        <f t="shared" si="116"/>
        <v>3-4</v>
      </c>
      <c r="AV501">
        <v>3</v>
      </c>
      <c r="AW501" t="s">
        <v>79</v>
      </c>
      <c r="AX501">
        <v>5</v>
      </c>
      <c r="AY501" t="str">
        <f t="shared" si="105"/>
        <v>2-5</v>
      </c>
      <c r="AZ501">
        <v>0</v>
      </c>
      <c r="BA501" t="str">
        <f t="shared" si="117"/>
        <v>0-1</v>
      </c>
      <c r="BB501">
        <v>1</v>
      </c>
      <c r="BC501" t="str">
        <f t="shared" si="118"/>
        <v>0-1</v>
      </c>
      <c r="BD501">
        <v>2</v>
      </c>
      <c r="BE501" t="str">
        <f t="shared" si="119"/>
        <v>2-5</v>
      </c>
    </row>
    <row r="502" spans="1:57" x14ac:dyDescent="0.3">
      <c r="A502">
        <v>679</v>
      </c>
      <c r="B502">
        <v>32</v>
      </c>
      <c r="C502" t="str">
        <f t="shared" si="106"/>
        <v>26-35</v>
      </c>
      <c r="D502" t="s">
        <v>71</v>
      </c>
      <c r="E502">
        <f t="shared" si="107"/>
        <v>0</v>
      </c>
      <c r="F502" t="s">
        <v>57</v>
      </c>
      <c r="G502">
        <v>646</v>
      </c>
      <c r="H502" t="str">
        <f t="shared" si="108"/>
        <v>501-1000</v>
      </c>
      <c r="I502" t="s">
        <v>73</v>
      </c>
      <c r="J502">
        <v>9</v>
      </c>
      <c r="K502" t="str">
        <f t="shared" si="109"/>
        <v>6-10</v>
      </c>
      <c r="L502">
        <v>4</v>
      </c>
      <c r="M502" t="s">
        <v>82</v>
      </c>
      <c r="N502" t="s">
        <v>60</v>
      </c>
      <c r="O502">
        <v>1</v>
      </c>
      <c r="P502">
        <v>1</v>
      </c>
      <c r="Q502" t="s">
        <v>69</v>
      </c>
      <c r="R502" t="s">
        <v>62</v>
      </c>
      <c r="S502">
        <v>92</v>
      </c>
      <c r="T502" t="str">
        <f t="shared" si="110"/>
        <v>76-100</v>
      </c>
      <c r="U502">
        <v>3</v>
      </c>
      <c r="V502" t="s">
        <v>63</v>
      </c>
      <c r="W502">
        <v>2</v>
      </c>
      <c r="X502" t="s">
        <v>76</v>
      </c>
      <c r="Y502">
        <v>4</v>
      </c>
      <c r="Z502" t="s">
        <v>65</v>
      </c>
      <c r="AA502" t="s">
        <v>77</v>
      </c>
      <c r="AB502" s="4">
        <v>6322</v>
      </c>
      <c r="AC502" s="4" t="str">
        <f t="shared" si="111"/>
        <v>$5,500-$7,000</v>
      </c>
      <c r="AD502">
        <v>18089</v>
      </c>
      <c r="AE502" t="str">
        <f t="shared" si="112"/>
        <v>$16,001-$22,000</v>
      </c>
      <c r="AF502">
        <v>1</v>
      </c>
      <c r="AG502" t="str">
        <f t="shared" si="113"/>
        <v>0-1</v>
      </c>
      <c r="AH502" t="s">
        <v>67</v>
      </c>
      <c r="AI502" t="s">
        <v>56</v>
      </c>
      <c r="AJ502">
        <v>12</v>
      </c>
      <c r="AK502" t="str">
        <f t="shared" si="114"/>
        <v>11-12%</v>
      </c>
      <c r="AL502">
        <v>3</v>
      </c>
      <c r="AM502" t="s">
        <v>68</v>
      </c>
      <c r="AN502">
        <v>4</v>
      </c>
      <c r="AO502" t="s">
        <v>65</v>
      </c>
      <c r="AP502">
        <v>80</v>
      </c>
      <c r="AQ502">
        <v>1</v>
      </c>
      <c r="AR502">
        <v>6</v>
      </c>
      <c r="AS502" t="str">
        <f t="shared" si="115"/>
        <v>6-10</v>
      </c>
      <c r="AT502">
        <v>2</v>
      </c>
      <c r="AU502" t="str">
        <f t="shared" si="116"/>
        <v>0-2</v>
      </c>
      <c r="AV502">
        <v>2</v>
      </c>
      <c r="AW502" t="s">
        <v>84</v>
      </c>
      <c r="AX502">
        <v>6</v>
      </c>
      <c r="AY502" t="str">
        <f t="shared" si="105"/>
        <v>6-10</v>
      </c>
      <c r="AZ502">
        <v>4</v>
      </c>
      <c r="BA502" t="str">
        <f t="shared" si="117"/>
        <v>2-5</v>
      </c>
      <c r="BB502">
        <v>0</v>
      </c>
      <c r="BC502" t="str">
        <f t="shared" si="118"/>
        <v>0-1</v>
      </c>
      <c r="BD502">
        <v>5</v>
      </c>
      <c r="BE502" t="str">
        <f t="shared" si="119"/>
        <v>2-5</v>
      </c>
    </row>
    <row r="503" spans="1:57" x14ac:dyDescent="0.3">
      <c r="A503">
        <v>680</v>
      </c>
      <c r="B503">
        <v>30</v>
      </c>
      <c r="C503" t="str">
        <f t="shared" si="106"/>
        <v>26-35</v>
      </c>
      <c r="D503" t="s">
        <v>71</v>
      </c>
      <c r="E503">
        <f t="shared" si="107"/>
        <v>0</v>
      </c>
      <c r="F503" t="s">
        <v>72</v>
      </c>
      <c r="G503">
        <v>160</v>
      </c>
      <c r="H503" t="str">
        <f t="shared" si="108"/>
        <v>102-500</v>
      </c>
      <c r="I503" t="s">
        <v>73</v>
      </c>
      <c r="J503">
        <v>3</v>
      </c>
      <c r="K503" t="str">
        <f t="shared" si="109"/>
        <v>1-5</v>
      </c>
      <c r="L503">
        <v>3</v>
      </c>
      <c r="M503" t="s">
        <v>85</v>
      </c>
      <c r="N503" t="s">
        <v>83</v>
      </c>
      <c r="O503">
        <v>1</v>
      </c>
      <c r="P503">
        <v>3</v>
      </c>
      <c r="Q503" t="s">
        <v>63</v>
      </c>
      <c r="R503" t="s">
        <v>62</v>
      </c>
      <c r="S503">
        <v>71</v>
      </c>
      <c r="T503" t="str">
        <f t="shared" si="110"/>
        <v>51-75</v>
      </c>
      <c r="U503">
        <v>3</v>
      </c>
      <c r="V503" t="s">
        <v>63</v>
      </c>
      <c r="W503">
        <v>1</v>
      </c>
      <c r="X503" t="s">
        <v>76</v>
      </c>
      <c r="Y503">
        <v>3</v>
      </c>
      <c r="Z503" t="s">
        <v>63</v>
      </c>
      <c r="AA503" t="s">
        <v>86</v>
      </c>
      <c r="AB503" s="4">
        <v>2083</v>
      </c>
      <c r="AC503" s="4" t="str">
        <f t="shared" si="111"/>
        <v>$1,000-$2,500</v>
      </c>
      <c r="AD503">
        <v>22653</v>
      </c>
      <c r="AE503" t="str">
        <f t="shared" si="112"/>
        <v>$22,001-$26,999</v>
      </c>
      <c r="AF503">
        <v>1</v>
      </c>
      <c r="AG503" t="str">
        <f t="shared" si="113"/>
        <v>0-1</v>
      </c>
      <c r="AH503" t="s">
        <v>67</v>
      </c>
      <c r="AI503" t="s">
        <v>71</v>
      </c>
      <c r="AJ503">
        <v>20</v>
      </c>
      <c r="AK503" t="str">
        <f t="shared" si="114"/>
        <v>18-19%</v>
      </c>
      <c r="AL503">
        <v>4</v>
      </c>
      <c r="AM503" t="s">
        <v>78</v>
      </c>
      <c r="AN503">
        <v>3</v>
      </c>
      <c r="AO503" t="s">
        <v>63</v>
      </c>
      <c r="AP503">
        <v>80</v>
      </c>
      <c r="AQ503">
        <v>1</v>
      </c>
      <c r="AR503">
        <v>1</v>
      </c>
      <c r="AS503" t="str">
        <f t="shared" si="115"/>
        <v>0-2</v>
      </c>
      <c r="AT503">
        <v>2</v>
      </c>
      <c r="AU503" t="str">
        <f t="shared" si="116"/>
        <v>0-2</v>
      </c>
      <c r="AV503">
        <v>3</v>
      </c>
      <c r="AW503" t="s">
        <v>79</v>
      </c>
      <c r="AX503">
        <v>1</v>
      </c>
      <c r="AY503" t="str">
        <f t="shared" si="105"/>
        <v>0-1</v>
      </c>
      <c r="AZ503">
        <v>0</v>
      </c>
      <c r="BA503" t="str">
        <f t="shared" si="117"/>
        <v>0-1</v>
      </c>
      <c r="BB503">
        <v>0</v>
      </c>
      <c r="BC503" t="str">
        <f t="shared" si="118"/>
        <v>0-1</v>
      </c>
      <c r="BD503">
        <v>0</v>
      </c>
      <c r="BE503" t="str">
        <f t="shared" si="119"/>
        <v>0-1</v>
      </c>
    </row>
    <row r="504" spans="1:57" x14ac:dyDescent="0.3">
      <c r="A504">
        <v>682</v>
      </c>
      <c r="B504">
        <v>53</v>
      </c>
      <c r="C504" t="str">
        <f t="shared" si="106"/>
        <v>46-55</v>
      </c>
      <c r="D504" t="s">
        <v>71</v>
      </c>
      <c r="E504">
        <f t="shared" si="107"/>
        <v>0</v>
      </c>
      <c r="F504" t="s">
        <v>57</v>
      </c>
      <c r="G504">
        <v>238</v>
      </c>
      <c r="H504" t="str">
        <f t="shared" si="108"/>
        <v>102-500</v>
      </c>
      <c r="I504" t="s">
        <v>58</v>
      </c>
      <c r="J504">
        <v>1</v>
      </c>
      <c r="K504" t="str">
        <f t="shared" si="109"/>
        <v>1-5</v>
      </c>
      <c r="L504">
        <v>1</v>
      </c>
      <c r="M504" t="s">
        <v>74</v>
      </c>
      <c r="N504" t="s">
        <v>83</v>
      </c>
      <c r="O504">
        <v>1</v>
      </c>
      <c r="P504">
        <v>4</v>
      </c>
      <c r="Q504" t="s">
        <v>65</v>
      </c>
      <c r="R504" t="s">
        <v>62</v>
      </c>
      <c r="S504">
        <v>34</v>
      </c>
      <c r="T504" t="str">
        <f t="shared" si="110"/>
        <v>30-50</v>
      </c>
      <c r="U504">
        <v>3</v>
      </c>
      <c r="V504" t="s">
        <v>63</v>
      </c>
      <c r="W504">
        <v>2</v>
      </c>
      <c r="X504" t="s">
        <v>64</v>
      </c>
      <c r="Y504">
        <v>1</v>
      </c>
      <c r="Z504" t="s">
        <v>69</v>
      </c>
      <c r="AA504" t="s">
        <v>66</v>
      </c>
      <c r="AB504" s="4">
        <v>8381</v>
      </c>
      <c r="AC504" s="4" t="str">
        <f t="shared" si="111"/>
        <v>$7,000-$8,500</v>
      </c>
      <c r="AD504">
        <v>7507</v>
      </c>
      <c r="AE504" t="str">
        <f t="shared" si="112"/>
        <v>$2,094-$8,000</v>
      </c>
      <c r="AF504">
        <v>7</v>
      </c>
      <c r="AG504" t="str">
        <f t="shared" si="113"/>
        <v>7-9</v>
      </c>
      <c r="AH504" t="s">
        <v>67</v>
      </c>
      <c r="AI504" t="s">
        <v>71</v>
      </c>
      <c r="AJ504">
        <v>20</v>
      </c>
      <c r="AK504" t="str">
        <f t="shared" si="114"/>
        <v>18-19%</v>
      </c>
      <c r="AL504">
        <v>4</v>
      </c>
      <c r="AM504" t="s">
        <v>78</v>
      </c>
      <c r="AN504">
        <v>4</v>
      </c>
      <c r="AO504" t="s">
        <v>65</v>
      </c>
      <c r="AP504">
        <v>80</v>
      </c>
      <c r="AQ504">
        <v>0</v>
      </c>
      <c r="AR504">
        <v>18</v>
      </c>
      <c r="AS504" t="str">
        <f t="shared" si="115"/>
        <v>11-20</v>
      </c>
      <c r="AT504">
        <v>2</v>
      </c>
      <c r="AU504" t="str">
        <f t="shared" si="116"/>
        <v>0-2</v>
      </c>
      <c r="AV504">
        <v>4</v>
      </c>
      <c r="AW504" t="s">
        <v>94</v>
      </c>
      <c r="AX504">
        <v>14</v>
      </c>
      <c r="AY504" t="str">
        <f t="shared" si="105"/>
        <v>11-20</v>
      </c>
      <c r="AZ504">
        <v>7</v>
      </c>
      <c r="BA504" t="str">
        <f t="shared" si="117"/>
        <v>6-10</v>
      </c>
      <c r="BB504">
        <v>8</v>
      </c>
      <c r="BC504" t="str">
        <f t="shared" si="118"/>
        <v>6-10</v>
      </c>
      <c r="BD504">
        <v>10</v>
      </c>
      <c r="BE504" t="str">
        <f t="shared" si="119"/>
        <v>6-10</v>
      </c>
    </row>
    <row r="505" spans="1:57" x14ac:dyDescent="0.3">
      <c r="A505">
        <v>683</v>
      </c>
      <c r="B505">
        <v>34</v>
      </c>
      <c r="C505" t="str">
        <f t="shared" si="106"/>
        <v>26-35</v>
      </c>
      <c r="D505" t="s">
        <v>71</v>
      </c>
      <c r="E505">
        <f t="shared" si="107"/>
        <v>0</v>
      </c>
      <c r="F505" t="s">
        <v>57</v>
      </c>
      <c r="G505">
        <v>1397</v>
      </c>
      <c r="H505" t="str">
        <f t="shared" si="108"/>
        <v>1001-1499</v>
      </c>
      <c r="I505" t="s">
        <v>73</v>
      </c>
      <c r="J505">
        <v>1</v>
      </c>
      <c r="K505" t="str">
        <f t="shared" si="109"/>
        <v>1-5</v>
      </c>
      <c r="L505">
        <v>5</v>
      </c>
      <c r="M505" t="s">
        <v>96</v>
      </c>
      <c r="N505" t="s">
        <v>60</v>
      </c>
      <c r="O505">
        <v>1</v>
      </c>
      <c r="P505">
        <v>2</v>
      </c>
      <c r="Q505" t="s">
        <v>61</v>
      </c>
      <c r="R505" t="s">
        <v>75</v>
      </c>
      <c r="S505">
        <v>42</v>
      </c>
      <c r="T505" t="str">
        <f t="shared" si="110"/>
        <v>30-50</v>
      </c>
      <c r="U505">
        <v>3</v>
      </c>
      <c r="V505" t="s">
        <v>63</v>
      </c>
      <c r="W505">
        <v>1</v>
      </c>
      <c r="X505" t="s">
        <v>76</v>
      </c>
      <c r="Y505">
        <v>4</v>
      </c>
      <c r="Z505" t="s">
        <v>65</v>
      </c>
      <c r="AA505" t="s">
        <v>77</v>
      </c>
      <c r="AB505" s="4">
        <v>2691</v>
      </c>
      <c r="AC505" s="4" t="str">
        <f t="shared" si="111"/>
        <v>$2,500-$4,000</v>
      </c>
      <c r="AD505">
        <v>7660</v>
      </c>
      <c r="AE505" t="str">
        <f t="shared" si="112"/>
        <v>$2,094-$8,000</v>
      </c>
      <c r="AF505">
        <v>1</v>
      </c>
      <c r="AG505" t="str">
        <f t="shared" si="113"/>
        <v>0-1</v>
      </c>
      <c r="AH505" t="s">
        <v>67</v>
      </c>
      <c r="AI505" t="s">
        <v>71</v>
      </c>
      <c r="AJ505">
        <v>12</v>
      </c>
      <c r="AK505" t="str">
        <f t="shared" si="114"/>
        <v>11-12%</v>
      </c>
      <c r="AL505">
        <v>3</v>
      </c>
      <c r="AM505" t="s">
        <v>68</v>
      </c>
      <c r="AN505">
        <v>4</v>
      </c>
      <c r="AO505" t="s">
        <v>65</v>
      </c>
      <c r="AP505">
        <v>80</v>
      </c>
      <c r="AQ505">
        <v>1</v>
      </c>
      <c r="AR505">
        <v>10</v>
      </c>
      <c r="AS505" t="str">
        <f t="shared" si="115"/>
        <v>6-10</v>
      </c>
      <c r="AT505">
        <v>4</v>
      </c>
      <c r="AU505" t="str">
        <f t="shared" si="116"/>
        <v>3-4</v>
      </c>
      <c r="AV505">
        <v>2</v>
      </c>
      <c r="AW505" t="s">
        <v>84</v>
      </c>
      <c r="AX505">
        <v>10</v>
      </c>
      <c r="AY505" t="str">
        <f t="shared" si="105"/>
        <v>6-10</v>
      </c>
      <c r="AZ505">
        <v>9</v>
      </c>
      <c r="BA505" t="str">
        <f t="shared" si="117"/>
        <v>6-10</v>
      </c>
      <c r="BB505">
        <v>8</v>
      </c>
      <c r="BC505" t="str">
        <f t="shared" si="118"/>
        <v>6-10</v>
      </c>
      <c r="BD505">
        <v>8</v>
      </c>
      <c r="BE505" t="str">
        <f t="shared" si="119"/>
        <v>6-10</v>
      </c>
    </row>
    <row r="506" spans="1:57" x14ac:dyDescent="0.3">
      <c r="A506">
        <v>684</v>
      </c>
      <c r="B506">
        <v>45</v>
      </c>
      <c r="C506" t="str">
        <f t="shared" si="106"/>
        <v>36-45</v>
      </c>
      <c r="D506" t="s">
        <v>56</v>
      </c>
      <c r="E506">
        <f t="shared" si="107"/>
        <v>1</v>
      </c>
      <c r="F506" t="s">
        <v>72</v>
      </c>
      <c r="G506">
        <v>306</v>
      </c>
      <c r="H506" t="str">
        <f t="shared" si="108"/>
        <v>102-500</v>
      </c>
      <c r="I506" t="s">
        <v>58</v>
      </c>
      <c r="J506">
        <v>26</v>
      </c>
      <c r="K506" t="str">
        <f t="shared" si="109"/>
        <v>21-29</v>
      </c>
      <c r="L506">
        <v>4</v>
      </c>
      <c r="M506" t="s">
        <v>82</v>
      </c>
      <c r="N506" t="s">
        <v>60</v>
      </c>
      <c r="O506">
        <v>1</v>
      </c>
      <c r="P506">
        <v>1</v>
      </c>
      <c r="Q506" t="s">
        <v>69</v>
      </c>
      <c r="R506" t="s">
        <v>62</v>
      </c>
      <c r="S506">
        <v>100</v>
      </c>
      <c r="T506" t="str">
        <f t="shared" si="110"/>
        <v>76-100</v>
      </c>
      <c r="U506">
        <v>3</v>
      </c>
      <c r="V506" t="s">
        <v>63</v>
      </c>
      <c r="W506">
        <v>2</v>
      </c>
      <c r="X506" t="s">
        <v>64</v>
      </c>
      <c r="Y506">
        <v>1</v>
      </c>
      <c r="Z506" t="s">
        <v>69</v>
      </c>
      <c r="AA506" t="s">
        <v>77</v>
      </c>
      <c r="AB506" s="4">
        <v>4286</v>
      </c>
      <c r="AC506" s="4" t="str">
        <f t="shared" si="111"/>
        <v>$4,000-$5,500</v>
      </c>
      <c r="AD506">
        <v>5630</v>
      </c>
      <c r="AE506" t="str">
        <f t="shared" si="112"/>
        <v>$2,094-$8,000</v>
      </c>
      <c r="AF506">
        <v>2</v>
      </c>
      <c r="AG506" t="str">
        <f t="shared" si="113"/>
        <v>2-3</v>
      </c>
      <c r="AH506" t="s">
        <v>67</v>
      </c>
      <c r="AI506" t="s">
        <v>71</v>
      </c>
      <c r="AJ506">
        <v>14</v>
      </c>
      <c r="AK506" t="str">
        <f t="shared" si="114"/>
        <v>13-15%</v>
      </c>
      <c r="AL506">
        <v>3</v>
      </c>
      <c r="AM506" t="s">
        <v>68</v>
      </c>
      <c r="AN506">
        <v>4</v>
      </c>
      <c r="AO506" t="s">
        <v>65</v>
      </c>
      <c r="AP506">
        <v>80</v>
      </c>
      <c r="AQ506">
        <v>2</v>
      </c>
      <c r="AR506">
        <v>5</v>
      </c>
      <c r="AS506" t="str">
        <f t="shared" si="115"/>
        <v>3-5</v>
      </c>
      <c r="AT506">
        <v>4</v>
      </c>
      <c r="AU506" t="str">
        <f t="shared" si="116"/>
        <v>3-4</v>
      </c>
      <c r="AV506">
        <v>3</v>
      </c>
      <c r="AW506" t="s">
        <v>79</v>
      </c>
      <c r="AX506">
        <v>1</v>
      </c>
      <c r="AY506" t="str">
        <f t="shared" si="105"/>
        <v>0-1</v>
      </c>
      <c r="AZ506">
        <v>1</v>
      </c>
      <c r="BA506" t="str">
        <f t="shared" si="117"/>
        <v>0-1</v>
      </c>
      <c r="BB506">
        <v>0</v>
      </c>
      <c r="BC506" t="str">
        <f t="shared" si="118"/>
        <v>0-1</v>
      </c>
      <c r="BD506">
        <v>0</v>
      </c>
      <c r="BE506" t="str">
        <f t="shared" si="119"/>
        <v>0-1</v>
      </c>
    </row>
    <row r="507" spans="1:57" x14ac:dyDescent="0.3">
      <c r="A507">
        <v>686</v>
      </c>
      <c r="B507">
        <v>26</v>
      </c>
      <c r="C507" t="str">
        <f t="shared" si="106"/>
        <v>26-35</v>
      </c>
      <c r="D507" t="s">
        <v>71</v>
      </c>
      <c r="E507">
        <f t="shared" si="107"/>
        <v>0</v>
      </c>
      <c r="F507" t="s">
        <v>57</v>
      </c>
      <c r="G507">
        <v>991</v>
      </c>
      <c r="H507" t="str">
        <f t="shared" si="108"/>
        <v>501-1000</v>
      </c>
      <c r="I507" t="s">
        <v>73</v>
      </c>
      <c r="J507">
        <v>6</v>
      </c>
      <c r="K507" t="str">
        <f t="shared" si="109"/>
        <v>6-10</v>
      </c>
      <c r="L507">
        <v>3</v>
      </c>
      <c r="M507" t="s">
        <v>85</v>
      </c>
      <c r="N507" t="s">
        <v>60</v>
      </c>
      <c r="O507">
        <v>1</v>
      </c>
      <c r="P507">
        <v>3</v>
      </c>
      <c r="Q507" t="s">
        <v>63</v>
      </c>
      <c r="R507" t="s">
        <v>62</v>
      </c>
      <c r="S507">
        <v>71</v>
      </c>
      <c r="T507" t="str">
        <f t="shared" si="110"/>
        <v>51-75</v>
      </c>
      <c r="U507">
        <v>3</v>
      </c>
      <c r="V507" t="s">
        <v>63</v>
      </c>
      <c r="W507">
        <v>1</v>
      </c>
      <c r="X507" t="s">
        <v>81</v>
      </c>
      <c r="Y507">
        <v>4</v>
      </c>
      <c r="Z507" t="s">
        <v>65</v>
      </c>
      <c r="AA507" t="s">
        <v>77</v>
      </c>
      <c r="AB507" s="4">
        <v>2659</v>
      </c>
      <c r="AC507" s="4" t="str">
        <f t="shared" si="111"/>
        <v>$2,500-$4,000</v>
      </c>
      <c r="AD507">
        <v>17759</v>
      </c>
      <c r="AE507" t="str">
        <f t="shared" si="112"/>
        <v>$16,001-$22,000</v>
      </c>
      <c r="AF507">
        <v>1</v>
      </c>
      <c r="AG507" t="str">
        <f t="shared" si="113"/>
        <v>0-1</v>
      </c>
      <c r="AH507" t="s">
        <v>67</v>
      </c>
      <c r="AI507" t="s">
        <v>56</v>
      </c>
      <c r="AJ507">
        <v>13</v>
      </c>
      <c r="AK507" t="str">
        <f t="shared" si="114"/>
        <v>13-15%</v>
      </c>
      <c r="AL507">
        <v>3</v>
      </c>
      <c r="AM507" t="s">
        <v>68</v>
      </c>
      <c r="AN507">
        <v>3</v>
      </c>
      <c r="AO507" t="s">
        <v>63</v>
      </c>
      <c r="AP507">
        <v>80</v>
      </c>
      <c r="AQ507">
        <v>1</v>
      </c>
      <c r="AR507">
        <v>3</v>
      </c>
      <c r="AS507" t="str">
        <f t="shared" si="115"/>
        <v>3-5</v>
      </c>
      <c r="AT507">
        <v>2</v>
      </c>
      <c r="AU507" t="str">
        <f t="shared" si="116"/>
        <v>0-2</v>
      </c>
      <c r="AV507">
        <v>3</v>
      </c>
      <c r="AW507" t="s">
        <v>79</v>
      </c>
      <c r="AX507">
        <v>3</v>
      </c>
      <c r="AY507" t="str">
        <f t="shared" si="105"/>
        <v>2-5</v>
      </c>
      <c r="AZ507">
        <v>2</v>
      </c>
      <c r="BA507" t="str">
        <f t="shared" si="117"/>
        <v>2-5</v>
      </c>
      <c r="BB507">
        <v>0</v>
      </c>
      <c r="BC507" t="str">
        <f t="shared" si="118"/>
        <v>0-1</v>
      </c>
      <c r="BD507">
        <v>2</v>
      </c>
      <c r="BE507" t="str">
        <f t="shared" si="119"/>
        <v>2-5</v>
      </c>
    </row>
    <row r="508" spans="1:57" x14ac:dyDescent="0.3">
      <c r="A508">
        <v>689</v>
      </c>
      <c r="B508">
        <v>37</v>
      </c>
      <c r="C508" t="str">
        <f t="shared" si="106"/>
        <v>36-45</v>
      </c>
      <c r="D508" t="s">
        <v>71</v>
      </c>
      <c r="E508">
        <f t="shared" si="107"/>
        <v>0</v>
      </c>
      <c r="F508" t="s">
        <v>57</v>
      </c>
      <c r="G508">
        <v>482</v>
      </c>
      <c r="H508" t="str">
        <f t="shared" si="108"/>
        <v>102-500</v>
      </c>
      <c r="I508" t="s">
        <v>73</v>
      </c>
      <c r="J508">
        <v>3</v>
      </c>
      <c r="K508" t="str">
        <f t="shared" si="109"/>
        <v>1-5</v>
      </c>
      <c r="L508">
        <v>3</v>
      </c>
      <c r="M508" t="s">
        <v>85</v>
      </c>
      <c r="N508" t="s">
        <v>80</v>
      </c>
      <c r="O508">
        <v>1</v>
      </c>
      <c r="P508">
        <v>3</v>
      </c>
      <c r="Q508" t="s">
        <v>63</v>
      </c>
      <c r="R508" t="s">
        <v>75</v>
      </c>
      <c r="S508">
        <v>36</v>
      </c>
      <c r="T508" t="str">
        <f t="shared" si="110"/>
        <v>30-50</v>
      </c>
      <c r="U508">
        <v>3</v>
      </c>
      <c r="V508" t="s">
        <v>63</v>
      </c>
      <c r="W508">
        <v>3</v>
      </c>
      <c r="X508" t="s">
        <v>87</v>
      </c>
      <c r="Y508">
        <v>3</v>
      </c>
      <c r="Z508" t="s">
        <v>63</v>
      </c>
      <c r="AA508" t="s">
        <v>77</v>
      </c>
      <c r="AB508" s="4">
        <v>9434</v>
      </c>
      <c r="AC508" s="4" t="str">
        <f t="shared" si="111"/>
        <v>$8,500-$10,000</v>
      </c>
      <c r="AD508">
        <v>9606</v>
      </c>
      <c r="AE508" t="str">
        <f t="shared" si="112"/>
        <v>$8,001-$16,000</v>
      </c>
      <c r="AF508">
        <v>1</v>
      </c>
      <c r="AG508" t="str">
        <f t="shared" si="113"/>
        <v>0-1</v>
      </c>
      <c r="AH508" t="s">
        <v>67</v>
      </c>
      <c r="AI508" t="s">
        <v>71</v>
      </c>
      <c r="AJ508">
        <v>15</v>
      </c>
      <c r="AK508" t="str">
        <f t="shared" si="114"/>
        <v>13-15%</v>
      </c>
      <c r="AL508">
        <v>3</v>
      </c>
      <c r="AM508" t="s">
        <v>68</v>
      </c>
      <c r="AN508">
        <v>3</v>
      </c>
      <c r="AO508" t="s">
        <v>63</v>
      </c>
      <c r="AP508">
        <v>80</v>
      </c>
      <c r="AQ508">
        <v>1</v>
      </c>
      <c r="AR508">
        <v>10</v>
      </c>
      <c r="AS508" t="str">
        <f t="shared" si="115"/>
        <v>6-10</v>
      </c>
      <c r="AT508">
        <v>2</v>
      </c>
      <c r="AU508" t="str">
        <f t="shared" si="116"/>
        <v>0-2</v>
      </c>
      <c r="AV508">
        <v>3</v>
      </c>
      <c r="AW508" t="s">
        <v>79</v>
      </c>
      <c r="AX508">
        <v>10</v>
      </c>
      <c r="AY508" t="str">
        <f t="shared" si="105"/>
        <v>6-10</v>
      </c>
      <c r="AZ508">
        <v>7</v>
      </c>
      <c r="BA508" t="str">
        <f t="shared" si="117"/>
        <v>6-10</v>
      </c>
      <c r="BB508">
        <v>7</v>
      </c>
      <c r="BC508" t="str">
        <f t="shared" si="118"/>
        <v>6-10</v>
      </c>
      <c r="BD508">
        <v>8</v>
      </c>
      <c r="BE508" t="str">
        <f t="shared" si="119"/>
        <v>6-10</v>
      </c>
    </row>
    <row r="509" spans="1:57" x14ac:dyDescent="0.3">
      <c r="A509">
        <v>690</v>
      </c>
      <c r="B509">
        <v>29</v>
      </c>
      <c r="C509" t="str">
        <f t="shared" si="106"/>
        <v>26-35</v>
      </c>
      <c r="D509" t="s">
        <v>71</v>
      </c>
      <c r="E509">
        <f t="shared" si="107"/>
        <v>0</v>
      </c>
      <c r="F509" t="s">
        <v>57</v>
      </c>
      <c r="G509">
        <v>1176</v>
      </c>
      <c r="H509" t="str">
        <f t="shared" si="108"/>
        <v>1001-1499</v>
      </c>
      <c r="I509" t="s">
        <v>58</v>
      </c>
      <c r="J509">
        <v>3</v>
      </c>
      <c r="K509" t="str">
        <f t="shared" si="109"/>
        <v>1-5</v>
      </c>
      <c r="L509">
        <v>2</v>
      </c>
      <c r="M509" t="s">
        <v>59</v>
      </c>
      <c r="N509" t="s">
        <v>83</v>
      </c>
      <c r="O509">
        <v>1</v>
      </c>
      <c r="P509">
        <v>2</v>
      </c>
      <c r="Q509" t="s">
        <v>61</v>
      </c>
      <c r="R509" t="s">
        <v>62</v>
      </c>
      <c r="S509">
        <v>62</v>
      </c>
      <c r="T509" t="str">
        <f t="shared" si="110"/>
        <v>51-75</v>
      </c>
      <c r="U509">
        <v>3</v>
      </c>
      <c r="V509" t="s">
        <v>63</v>
      </c>
      <c r="W509">
        <v>2</v>
      </c>
      <c r="X509" t="s">
        <v>64</v>
      </c>
      <c r="Y509">
        <v>3</v>
      </c>
      <c r="Z509" t="s">
        <v>63</v>
      </c>
      <c r="AA509" t="s">
        <v>77</v>
      </c>
      <c r="AB509" s="4">
        <v>5561</v>
      </c>
      <c r="AC509" s="4" t="str">
        <f t="shared" si="111"/>
        <v>$5,500-$7,000</v>
      </c>
      <c r="AD509">
        <v>3487</v>
      </c>
      <c r="AE509" t="str">
        <f t="shared" si="112"/>
        <v>$2,094-$8,000</v>
      </c>
      <c r="AF509">
        <v>1</v>
      </c>
      <c r="AG509" t="str">
        <f t="shared" si="113"/>
        <v>0-1</v>
      </c>
      <c r="AH509" t="s">
        <v>67</v>
      </c>
      <c r="AI509" t="s">
        <v>71</v>
      </c>
      <c r="AJ509">
        <v>14</v>
      </c>
      <c r="AK509" t="str">
        <f t="shared" si="114"/>
        <v>13-15%</v>
      </c>
      <c r="AL509">
        <v>3</v>
      </c>
      <c r="AM509" t="s">
        <v>68</v>
      </c>
      <c r="AN509">
        <v>1</v>
      </c>
      <c r="AO509" t="s">
        <v>69</v>
      </c>
      <c r="AP509">
        <v>80</v>
      </c>
      <c r="AQ509">
        <v>1</v>
      </c>
      <c r="AR509">
        <v>6</v>
      </c>
      <c r="AS509" t="str">
        <f t="shared" si="115"/>
        <v>6-10</v>
      </c>
      <c r="AT509">
        <v>5</v>
      </c>
      <c r="AU509" t="str">
        <f t="shared" si="116"/>
        <v>5-6</v>
      </c>
      <c r="AV509">
        <v>2</v>
      </c>
      <c r="AW509" t="s">
        <v>84</v>
      </c>
      <c r="AX509">
        <v>6</v>
      </c>
      <c r="AY509" t="str">
        <f t="shared" si="105"/>
        <v>6-10</v>
      </c>
      <c r="AZ509">
        <v>0</v>
      </c>
      <c r="BA509" t="str">
        <f t="shared" si="117"/>
        <v>0-1</v>
      </c>
      <c r="BB509">
        <v>1</v>
      </c>
      <c r="BC509" t="str">
        <f t="shared" si="118"/>
        <v>0-1</v>
      </c>
      <c r="BD509">
        <v>2</v>
      </c>
      <c r="BE509" t="str">
        <f t="shared" si="119"/>
        <v>2-5</v>
      </c>
    </row>
    <row r="510" spans="1:57" x14ac:dyDescent="0.3">
      <c r="A510">
        <v>691</v>
      </c>
      <c r="B510">
        <v>35</v>
      </c>
      <c r="C510" t="str">
        <f t="shared" si="106"/>
        <v>26-35</v>
      </c>
      <c r="D510" t="s">
        <v>71</v>
      </c>
      <c r="E510">
        <f t="shared" si="107"/>
        <v>0</v>
      </c>
      <c r="F510" t="s">
        <v>57</v>
      </c>
      <c r="G510">
        <v>1017</v>
      </c>
      <c r="H510" t="str">
        <f t="shared" si="108"/>
        <v>1001-1499</v>
      </c>
      <c r="I510" t="s">
        <v>73</v>
      </c>
      <c r="J510">
        <v>6</v>
      </c>
      <c r="K510" t="str">
        <f t="shared" si="109"/>
        <v>6-10</v>
      </c>
      <c r="L510">
        <v>4</v>
      </c>
      <c r="M510" t="s">
        <v>82</v>
      </c>
      <c r="N510" t="s">
        <v>60</v>
      </c>
      <c r="O510">
        <v>1</v>
      </c>
      <c r="P510">
        <v>2</v>
      </c>
      <c r="Q510" t="s">
        <v>61</v>
      </c>
      <c r="R510" t="s">
        <v>75</v>
      </c>
      <c r="S510">
        <v>82</v>
      </c>
      <c r="T510" t="str">
        <f t="shared" si="110"/>
        <v>76-100</v>
      </c>
      <c r="U510">
        <v>1</v>
      </c>
      <c r="V510" t="s">
        <v>69</v>
      </c>
      <c r="W510">
        <v>2</v>
      </c>
      <c r="X510" t="s">
        <v>76</v>
      </c>
      <c r="Y510">
        <v>4</v>
      </c>
      <c r="Z510" t="s">
        <v>65</v>
      </c>
      <c r="AA510" t="s">
        <v>66</v>
      </c>
      <c r="AB510" s="4">
        <v>6646</v>
      </c>
      <c r="AC510" s="4" t="str">
        <f t="shared" si="111"/>
        <v>$5,500-$7,000</v>
      </c>
      <c r="AD510">
        <v>19368</v>
      </c>
      <c r="AE510" t="str">
        <f t="shared" si="112"/>
        <v>$16,001-$22,000</v>
      </c>
      <c r="AF510">
        <v>1</v>
      </c>
      <c r="AG510" t="str">
        <f t="shared" si="113"/>
        <v>0-1</v>
      </c>
      <c r="AH510" t="s">
        <v>67</v>
      </c>
      <c r="AI510" t="s">
        <v>71</v>
      </c>
      <c r="AJ510">
        <v>13</v>
      </c>
      <c r="AK510" t="str">
        <f t="shared" si="114"/>
        <v>13-15%</v>
      </c>
      <c r="AL510">
        <v>3</v>
      </c>
      <c r="AM510" t="s">
        <v>68</v>
      </c>
      <c r="AN510">
        <v>2</v>
      </c>
      <c r="AO510" t="s">
        <v>61</v>
      </c>
      <c r="AP510">
        <v>80</v>
      </c>
      <c r="AQ510">
        <v>0</v>
      </c>
      <c r="AR510">
        <v>17</v>
      </c>
      <c r="AS510" t="str">
        <f t="shared" si="115"/>
        <v>11-20</v>
      </c>
      <c r="AT510">
        <v>3</v>
      </c>
      <c r="AU510" t="str">
        <f t="shared" si="116"/>
        <v>3-4</v>
      </c>
      <c r="AV510">
        <v>3</v>
      </c>
      <c r="AW510" t="s">
        <v>79</v>
      </c>
      <c r="AX510">
        <v>17</v>
      </c>
      <c r="AY510" t="str">
        <f t="shared" si="105"/>
        <v>11-20</v>
      </c>
      <c r="AZ510">
        <v>11</v>
      </c>
      <c r="BA510" t="str">
        <f t="shared" si="117"/>
        <v>11-18</v>
      </c>
      <c r="BB510">
        <v>11</v>
      </c>
      <c r="BC510" t="str">
        <f t="shared" si="118"/>
        <v>11-15</v>
      </c>
      <c r="BD510">
        <v>8</v>
      </c>
      <c r="BE510" t="str">
        <f t="shared" si="119"/>
        <v>6-10</v>
      </c>
    </row>
    <row r="511" spans="1:57" x14ac:dyDescent="0.3">
      <c r="A511">
        <v>692</v>
      </c>
      <c r="B511">
        <v>33</v>
      </c>
      <c r="C511" t="str">
        <f t="shared" si="106"/>
        <v>26-35</v>
      </c>
      <c r="D511" t="s">
        <v>71</v>
      </c>
      <c r="E511">
        <f t="shared" si="107"/>
        <v>0</v>
      </c>
      <c r="F511" t="s">
        <v>72</v>
      </c>
      <c r="G511">
        <v>1296</v>
      </c>
      <c r="H511" t="str">
        <f t="shared" si="108"/>
        <v>1001-1499</v>
      </c>
      <c r="I511" t="s">
        <v>73</v>
      </c>
      <c r="J511">
        <v>6</v>
      </c>
      <c r="K511" t="str">
        <f t="shared" si="109"/>
        <v>6-10</v>
      </c>
      <c r="L511">
        <v>3</v>
      </c>
      <c r="M511" t="s">
        <v>85</v>
      </c>
      <c r="N511" t="s">
        <v>60</v>
      </c>
      <c r="O511">
        <v>1</v>
      </c>
      <c r="P511">
        <v>3</v>
      </c>
      <c r="Q511" t="s">
        <v>63</v>
      </c>
      <c r="R511" t="s">
        <v>75</v>
      </c>
      <c r="S511">
        <v>30</v>
      </c>
      <c r="T511" t="str">
        <f t="shared" si="110"/>
        <v>30-50</v>
      </c>
      <c r="U511">
        <v>3</v>
      </c>
      <c r="V511" t="s">
        <v>63</v>
      </c>
      <c r="W511">
        <v>2</v>
      </c>
      <c r="X511" t="s">
        <v>88</v>
      </c>
      <c r="Y511">
        <v>4</v>
      </c>
      <c r="Z511" t="s">
        <v>65</v>
      </c>
      <c r="AA511" t="s">
        <v>86</v>
      </c>
      <c r="AB511" s="4">
        <v>7725</v>
      </c>
      <c r="AC511" s="4" t="str">
        <f t="shared" si="111"/>
        <v>$7,000-$8,500</v>
      </c>
      <c r="AD511">
        <v>5335</v>
      </c>
      <c r="AE511" t="str">
        <f t="shared" si="112"/>
        <v>$2,094-$8,000</v>
      </c>
      <c r="AF511">
        <v>3</v>
      </c>
      <c r="AG511" t="str">
        <f t="shared" si="113"/>
        <v>2-3</v>
      </c>
      <c r="AH511" t="s">
        <v>67</v>
      </c>
      <c r="AI511" t="s">
        <v>71</v>
      </c>
      <c r="AJ511">
        <v>23</v>
      </c>
      <c r="AK511" t="str">
        <f t="shared" si="114"/>
        <v>18-19%</v>
      </c>
      <c r="AL511">
        <v>4</v>
      </c>
      <c r="AM511" t="s">
        <v>78</v>
      </c>
      <c r="AN511">
        <v>3</v>
      </c>
      <c r="AO511" t="s">
        <v>63</v>
      </c>
      <c r="AP511">
        <v>80</v>
      </c>
      <c r="AQ511">
        <v>1</v>
      </c>
      <c r="AR511">
        <v>15</v>
      </c>
      <c r="AS511" t="str">
        <f t="shared" si="115"/>
        <v>11-20</v>
      </c>
      <c r="AT511">
        <v>2</v>
      </c>
      <c r="AU511" t="str">
        <f t="shared" si="116"/>
        <v>0-2</v>
      </c>
      <c r="AV511">
        <v>1</v>
      </c>
      <c r="AW511" t="s">
        <v>70</v>
      </c>
      <c r="AX511">
        <v>13</v>
      </c>
      <c r="AY511" t="str">
        <f t="shared" si="105"/>
        <v>11-20</v>
      </c>
      <c r="AZ511">
        <v>11</v>
      </c>
      <c r="BA511" t="str">
        <f t="shared" si="117"/>
        <v>11-18</v>
      </c>
      <c r="BB511">
        <v>4</v>
      </c>
      <c r="BC511" t="str">
        <f t="shared" si="118"/>
        <v>2-5</v>
      </c>
      <c r="BD511">
        <v>7</v>
      </c>
      <c r="BE511" t="str">
        <f t="shared" si="119"/>
        <v>6-10</v>
      </c>
    </row>
    <row r="512" spans="1:57" x14ac:dyDescent="0.3">
      <c r="A512">
        <v>698</v>
      </c>
      <c r="B512">
        <v>54</v>
      </c>
      <c r="C512" t="str">
        <f t="shared" si="106"/>
        <v>46-55</v>
      </c>
      <c r="D512" t="s">
        <v>71</v>
      </c>
      <c r="E512">
        <f t="shared" si="107"/>
        <v>0</v>
      </c>
      <c r="F512" t="s">
        <v>57</v>
      </c>
      <c r="G512">
        <v>397</v>
      </c>
      <c r="H512" t="str">
        <f t="shared" si="108"/>
        <v>102-500</v>
      </c>
      <c r="I512" t="s">
        <v>97</v>
      </c>
      <c r="J512">
        <v>19</v>
      </c>
      <c r="K512" t="str">
        <f t="shared" si="109"/>
        <v>11-20</v>
      </c>
      <c r="L512">
        <v>4</v>
      </c>
      <c r="M512" t="s">
        <v>82</v>
      </c>
      <c r="N512" t="s">
        <v>83</v>
      </c>
      <c r="O512">
        <v>1</v>
      </c>
      <c r="P512">
        <v>3</v>
      </c>
      <c r="Q512" t="s">
        <v>63</v>
      </c>
      <c r="R512" t="s">
        <v>75</v>
      </c>
      <c r="S512">
        <v>88</v>
      </c>
      <c r="T512" t="str">
        <f t="shared" si="110"/>
        <v>76-100</v>
      </c>
      <c r="U512">
        <v>3</v>
      </c>
      <c r="V512" t="s">
        <v>63</v>
      </c>
      <c r="W512">
        <v>3</v>
      </c>
      <c r="X512" t="s">
        <v>97</v>
      </c>
      <c r="Y512">
        <v>2</v>
      </c>
      <c r="Z512" t="s">
        <v>61</v>
      </c>
      <c r="AA512" t="s">
        <v>77</v>
      </c>
      <c r="AB512" s="4">
        <v>10725</v>
      </c>
      <c r="AC512" s="4" t="str">
        <f t="shared" si="111"/>
        <v>$10,000-$11,500</v>
      </c>
      <c r="AD512">
        <v>6729</v>
      </c>
      <c r="AE512" t="str">
        <f t="shared" si="112"/>
        <v>$2,094-$8,000</v>
      </c>
      <c r="AF512">
        <v>2</v>
      </c>
      <c r="AG512" t="str">
        <f t="shared" si="113"/>
        <v>2-3</v>
      </c>
      <c r="AH512" t="s">
        <v>67</v>
      </c>
      <c r="AI512" t="s">
        <v>71</v>
      </c>
      <c r="AJ512">
        <v>15</v>
      </c>
      <c r="AK512" t="str">
        <f t="shared" si="114"/>
        <v>13-15%</v>
      </c>
      <c r="AL512">
        <v>3</v>
      </c>
      <c r="AM512" t="s">
        <v>68</v>
      </c>
      <c r="AN512">
        <v>3</v>
      </c>
      <c r="AO512" t="s">
        <v>63</v>
      </c>
      <c r="AP512">
        <v>80</v>
      </c>
      <c r="AQ512">
        <v>1</v>
      </c>
      <c r="AR512">
        <v>16</v>
      </c>
      <c r="AS512" t="str">
        <f t="shared" si="115"/>
        <v>11-20</v>
      </c>
      <c r="AT512">
        <v>1</v>
      </c>
      <c r="AU512" t="str">
        <f t="shared" si="116"/>
        <v>0-2</v>
      </c>
      <c r="AV512">
        <v>4</v>
      </c>
      <c r="AW512" t="s">
        <v>94</v>
      </c>
      <c r="AX512">
        <v>9</v>
      </c>
      <c r="AY512" t="str">
        <f t="shared" si="105"/>
        <v>6-10</v>
      </c>
      <c r="AZ512">
        <v>7</v>
      </c>
      <c r="BA512" t="str">
        <f t="shared" si="117"/>
        <v>6-10</v>
      </c>
      <c r="BB512">
        <v>7</v>
      </c>
      <c r="BC512" t="str">
        <f t="shared" si="118"/>
        <v>6-10</v>
      </c>
      <c r="BD512">
        <v>1</v>
      </c>
      <c r="BE512" t="str">
        <f t="shared" si="119"/>
        <v>0-1</v>
      </c>
    </row>
    <row r="513" spans="1:57" x14ac:dyDescent="0.3">
      <c r="A513">
        <v>699</v>
      </c>
      <c r="B513">
        <v>36</v>
      </c>
      <c r="C513" t="str">
        <f t="shared" si="106"/>
        <v>36-45</v>
      </c>
      <c r="D513" t="s">
        <v>71</v>
      </c>
      <c r="E513">
        <f t="shared" si="107"/>
        <v>0</v>
      </c>
      <c r="F513" t="s">
        <v>57</v>
      </c>
      <c r="G513">
        <v>913</v>
      </c>
      <c r="H513" t="str">
        <f t="shared" si="108"/>
        <v>501-1000</v>
      </c>
      <c r="I513" t="s">
        <v>73</v>
      </c>
      <c r="J513">
        <v>9</v>
      </c>
      <c r="K513" t="str">
        <f t="shared" si="109"/>
        <v>6-10</v>
      </c>
      <c r="L513">
        <v>2</v>
      </c>
      <c r="M513" t="s">
        <v>59</v>
      </c>
      <c r="N513" t="s">
        <v>83</v>
      </c>
      <c r="O513">
        <v>1</v>
      </c>
      <c r="P513">
        <v>2</v>
      </c>
      <c r="Q513" t="s">
        <v>61</v>
      </c>
      <c r="R513" t="s">
        <v>75</v>
      </c>
      <c r="S513">
        <v>48</v>
      </c>
      <c r="T513" t="str">
        <f t="shared" si="110"/>
        <v>30-50</v>
      </c>
      <c r="U513">
        <v>2</v>
      </c>
      <c r="V513" t="s">
        <v>61</v>
      </c>
      <c r="W513">
        <v>2</v>
      </c>
      <c r="X513" t="s">
        <v>87</v>
      </c>
      <c r="Y513">
        <v>2</v>
      </c>
      <c r="Z513" t="s">
        <v>61</v>
      </c>
      <c r="AA513" t="s">
        <v>86</v>
      </c>
      <c r="AB513" s="4">
        <v>8847</v>
      </c>
      <c r="AC513" s="4" t="str">
        <f t="shared" si="111"/>
        <v>$8,500-$10,000</v>
      </c>
      <c r="AD513">
        <v>13934</v>
      </c>
      <c r="AE513" t="str">
        <f t="shared" si="112"/>
        <v>$8,001-$16,000</v>
      </c>
      <c r="AF513">
        <v>2</v>
      </c>
      <c r="AG513" t="str">
        <f t="shared" si="113"/>
        <v>2-3</v>
      </c>
      <c r="AH513" t="s">
        <v>67</v>
      </c>
      <c r="AI513" t="s">
        <v>56</v>
      </c>
      <c r="AJ513">
        <v>11</v>
      </c>
      <c r="AK513" t="str">
        <f t="shared" si="114"/>
        <v>11-12%</v>
      </c>
      <c r="AL513">
        <v>3</v>
      </c>
      <c r="AM513" t="s">
        <v>68</v>
      </c>
      <c r="AN513">
        <v>3</v>
      </c>
      <c r="AO513" t="s">
        <v>63</v>
      </c>
      <c r="AP513">
        <v>80</v>
      </c>
      <c r="AQ513">
        <v>1</v>
      </c>
      <c r="AR513">
        <v>13</v>
      </c>
      <c r="AS513" t="str">
        <f t="shared" si="115"/>
        <v>11-20</v>
      </c>
      <c r="AT513">
        <v>2</v>
      </c>
      <c r="AU513" t="str">
        <f t="shared" si="116"/>
        <v>0-2</v>
      </c>
      <c r="AV513">
        <v>3</v>
      </c>
      <c r="AW513" t="s">
        <v>79</v>
      </c>
      <c r="AX513">
        <v>3</v>
      </c>
      <c r="AY513" t="str">
        <f t="shared" si="105"/>
        <v>2-5</v>
      </c>
      <c r="AZ513">
        <v>2</v>
      </c>
      <c r="BA513" t="str">
        <f t="shared" si="117"/>
        <v>2-5</v>
      </c>
      <c r="BB513">
        <v>0</v>
      </c>
      <c r="BC513" t="str">
        <f t="shared" si="118"/>
        <v>0-1</v>
      </c>
      <c r="BD513">
        <v>2</v>
      </c>
      <c r="BE513" t="str">
        <f t="shared" si="119"/>
        <v>2-5</v>
      </c>
    </row>
    <row r="514" spans="1:57" x14ac:dyDescent="0.3">
      <c r="A514">
        <v>700</v>
      </c>
      <c r="B514">
        <v>27</v>
      </c>
      <c r="C514" t="str">
        <f t="shared" si="106"/>
        <v>26-35</v>
      </c>
      <c r="D514" t="s">
        <v>71</v>
      </c>
      <c r="E514">
        <f t="shared" si="107"/>
        <v>0</v>
      </c>
      <c r="F514" t="s">
        <v>57</v>
      </c>
      <c r="G514">
        <v>1115</v>
      </c>
      <c r="H514" t="str">
        <f t="shared" si="108"/>
        <v>1001-1499</v>
      </c>
      <c r="I514" t="s">
        <v>73</v>
      </c>
      <c r="J514">
        <v>3</v>
      </c>
      <c r="K514" t="str">
        <f t="shared" si="109"/>
        <v>1-5</v>
      </c>
      <c r="L514">
        <v>4</v>
      </c>
      <c r="M514" t="s">
        <v>82</v>
      </c>
      <c r="N514" t="s">
        <v>83</v>
      </c>
      <c r="O514">
        <v>1</v>
      </c>
      <c r="P514">
        <v>1</v>
      </c>
      <c r="Q514" t="s">
        <v>69</v>
      </c>
      <c r="R514" t="s">
        <v>75</v>
      </c>
      <c r="S514">
        <v>54</v>
      </c>
      <c r="T514" t="str">
        <f t="shared" si="110"/>
        <v>51-75</v>
      </c>
      <c r="U514">
        <v>2</v>
      </c>
      <c r="V514" t="s">
        <v>61</v>
      </c>
      <c r="W514">
        <v>1</v>
      </c>
      <c r="X514" t="s">
        <v>76</v>
      </c>
      <c r="Y514">
        <v>4</v>
      </c>
      <c r="Z514" t="s">
        <v>65</v>
      </c>
      <c r="AA514" t="s">
        <v>66</v>
      </c>
      <c r="AB514" s="4">
        <v>2045</v>
      </c>
      <c r="AC514" s="4" t="str">
        <f t="shared" si="111"/>
        <v>$1,000-$2,500</v>
      </c>
      <c r="AD514">
        <v>15174</v>
      </c>
      <c r="AE514" t="str">
        <f t="shared" si="112"/>
        <v>$8,001-$16,000</v>
      </c>
      <c r="AF514">
        <v>0</v>
      </c>
      <c r="AG514" t="str">
        <f t="shared" si="113"/>
        <v>0-1</v>
      </c>
      <c r="AH514" t="s">
        <v>67</v>
      </c>
      <c r="AI514" t="s">
        <v>71</v>
      </c>
      <c r="AJ514">
        <v>13</v>
      </c>
      <c r="AK514" t="str">
        <f t="shared" si="114"/>
        <v>13-15%</v>
      </c>
      <c r="AL514">
        <v>3</v>
      </c>
      <c r="AM514" t="s">
        <v>68</v>
      </c>
      <c r="AN514">
        <v>4</v>
      </c>
      <c r="AO514" t="s">
        <v>65</v>
      </c>
      <c r="AP514">
        <v>80</v>
      </c>
      <c r="AQ514">
        <v>0</v>
      </c>
      <c r="AR514">
        <v>5</v>
      </c>
      <c r="AS514" t="str">
        <f t="shared" si="115"/>
        <v>3-5</v>
      </c>
      <c r="AT514">
        <v>0</v>
      </c>
      <c r="AU514" t="str">
        <f t="shared" si="116"/>
        <v>0-2</v>
      </c>
      <c r="AV514">
        <v>3</v>
      </c>
      <c r="AW514" t="s">
        <v>79</v>
      </c>
      <c r="AX514">
        <v>4</v>
      </c>
      <c r="AY514" t="str">
        <f t="shared" ref="AY514:AY577" si="120">IF(AX514&lt;=1,"0-1",IF(AX514&lt;=5,"2-5",IF(AX514&lt;=10,"6-10",IF(AX514&lt;=20,"11-20","21-40"))))</f>
        <v>2-5</v>
      </c>
      <c r="AZ514">
        <v>2</v>
      </c>
      <c r="BA514" t="str">
        <f t="shared" si="117"/>
        <v>2-5</v>
      </c>
      <c r="BB514">
        <v>1</v>
      </c>
      <c r="BC514" t="str">
        <f t="shared" si="118"/>
        <v>0-1</v>
      </c>
      <c r="BD514">
        <v>1</v>
      </c>
      <c r="BE514" t="str">
        <f t="shared" si="119"/>
        <v>0-1</v>
      </c>
    </row>
    <row r="515" spans="1:57" x14ac:dyDescent="0.3">
      <c r="A515">
        <v>701</v>
      </c>
      <c r="B515">
        <v>20</v>
      </c>
      <c r="C515" t="str">
        <f t="shared" ref="C515:C578" si="121">IF(B515&lt;=25, "18-25", IF(B515&lt;=35, "26-35", IF(B515&lt;=45, "36-45", IF(B515&lt;=55, "46-55", "56+"))))</f>
        <v>18-25</v>
      </c>
      <c r="D515" t="s">
        <v>56</v>
      </c>
      <c r="E515">
        <f t="shared" ref="E515:E578" si="122">IF(D515="Yes",1,0)</f>
        <v>1</v>
      </c>
      <c r="F515" t="s">
        <v>57</v>
      </c>
      <c r="G515">
        <v>1362</v>
      </c>
      <c r="H515" t="str">
        <f t="shared" ref="H515:H578" si="123">IF(G515&lt;=500,"102-500",IF(G515&lt;=1000,"501-1000","1001-1499"))</f>
        <v>1001-1499</v>
      </c>
      <c r="I515" t="s">
        <v>73</v>
      </c>
      <c r="J515">
        <v>10</v>
      </c>
      <c r="K515" t="str">
        <f t="shared" ref="K515:K578" si="124">IF(J515&lt;=5,"1-5",IF(J515&lt;=10,"6-10",IF(J515&lt;=20,"11-20","21-29")))</f>
        <v>6-10</v>
      </c>
      <c r="L515">
        <v>1</v>
      </c>
      <c r="M515" t="s">
        <v>74</v>
      </c>
      <c r="N515" t="s">
        <v>83</v>
      </c>
      <c r="O515">
        <v>1</v>
      </c>
      <c r="P515">
        <v>4</v>
      </c>
      <c r="Q515" t="s">
        <v>65</v>
      </c>
      <c r="R515" t="s">
        <v>75</v>
      </c>
      <c r="S515">
        <v>32</v>
      </c>
      <c r="T515" t="str">
        <f t="shared" ref="T515:T578" si="125">IF(S515&lt;=50,"30-50",IF(S515&lt;=75,"51-75","76-100"))</f>
        <v>30-50</v>
      </c>
      <c r="U515">
        <v>3</v>
      </c>
      <c r="V515" t="s">
        <v>63</v>
      </c>
      <c r="W515">
        <v>1</v>
      </c>
      <c r="X515" t="s">
        <v>76</v>
      </c>
      <c r="Y515">
        <v>3</v>
      </c>
      <c r="Z515" t="s">
        <v>63</v>
      </c>
      <c r="AA515" t="s">
        <v>66</v>
      </c>
      <c r="AB515" s="4">
        <v>1009</v>
      </c>
      <c r="AC515" s="4" t="str">
        <f t="shared" ref="AC515:AC578" si="126">IF(AB515&lt;2500,"$1,000-$2,500",IF(AB515&lt;4000,"$2,500-$4,000",IF(AB515&lt;5500,"$4,000-$5,500",IF(AB515&lt;7000,"$5,500-$7,000",IF(AB515&lt;8500,"$7,000-$8,500",IF(AB515&lt;10000,"$8,500-$10,000",IF(AB515&lt;11500,"$10,000-$11,500",IF(AB515&lt;13000,"$11,500-$13,000",IF(AB515&lt;14500,"$13,000-$14,500",IF(AB515&lt;16000,"$14,500-$16,000",IF(AB515&lt;17500,"$16,000-$17,500",IF(AB515&lt;19000,"$17,500-$19,000",IF(AB515&lt;20500,"$19,000-$20,500",IF(AB515&lt;22000,"$20,500-$22,000",IF(AB515&lt;23500,"$22,000-$23,500",IF(AB515&lt;25000,"$23,500-$25,000",IF(AB515&lt;26500,"$25,000-$26,500",IF(AB515&lt;28000,"$26,500-$28,000",IF(AB515&lt;29500,"$28,000-$29,500","$29,500+")))))))))))))))))))</f>
        <v>$1,000-$2,500</v>
      </c>
      <c r="AD515">
        <v>26999</v>
      </c>
      <c r="AE515" t="str">
        <f t="shared" ref="AE515:AE578" si="127">IF(AD515&lt;=8000,"$2,094-$8,000",IF(AD515&lt;=16000,"$8,001-$16,000",IF(AD515&lt;=22000,"$16,001-$22,000","$22,001-$26,999")))</f>
        <v>$22,001-$26,999</v>
      </c>
      <c r="AF515">
        <v>1</v>
      </c>
      <c r="AG515" t="str">
        <f t="shared" ref="AG515:AG578" si="128">IF(AF515&lt;=1,"0-1",IF(AF515&lt;=3,"2-3",IF(AF515&lt;=6,"4-6","7-9")))</f>
        <v>0-1</v>
      </c>
      <c r="AH515" t="s">
        <v>67</v>
      </c>
      <c r="AI515" t="s">
        <v>56</v>
      </c>
      <c r="AJ515">
        <v>11</v>
      </c>
      <c r="AK515" t="str">
        <f t="shared" ref="AK515:AK578" si="129">IF(AJ515&lt;=12,"11-12%",IF(AJ515&lt;=15,"13-15%",IF(AJ515&lt;=17,"16-17%","18-19%")))</f>
        <v>11-12%</v>
      </c>
      <c r="AL515">
        <v>3</v>
      </c>
      <c r="AM515" t="s">
        <v>68</v>
      </c>
      <c r="AN515">
        <v>4</v>
      </c>
      <c r="AO515" t="s">
        <v>65</v>
      </c>
      <c r="AP515">
        <v>80</v>
      </c>
      <c r="AQ515">
        <v>0</v>
      </c>
      <c r="AR515">
        <v>1</v>
      </c>
      <c r="AS515" t="str">
        <f t="shared" ref="AS515:AS578" si="130">IF(AR515&lt;=2,"0-2",IF(AR515&lt;=5,"3-5",IF(AR515&lt;=10,"6-10",IF(AR515&lt;=20,"11-20","21-40"))))</f>
        <v>0-2</v>
      </c>
      <c r="AT515">
        <v>5</v>
      </c>
      <c r="AU515" t="str">
        <f t="shared" ref="AU515:AU578" si="131">IF(AT515&lt;=2,"0-2",IF(AT515&lt;=4,"3-4","5-6"))</f>
        <v>5-6</v>
      </c>
      <c r="AV515">
        <v>3</v>
      </c>
      <c r="AW515" t="s">
        <v>79</v>
      </c>
      <c r="AX515">
        <v>1</v>
      </c>
      <c r="AY515" t="str">
        <f t="shared" si="120"/>
        <v>0-1</v>
      </c>
      <c r="AZ515">
        <v>0</v>
      </c>
      <c r="BA515" t="str">
        <f t="shared" ref="BA515:BA578" si="132">IF(AZ515&lt;=1,"0-1",IF(AZ515&lt;=5,"2-5",IF(AZ515&lt;=10,"6-10","11-18")))</f>
        <v>0-1</v>
      </c>
      <c r="BB515">
        <v>1</v>
      </c>
      <c r="BC515" t="str">
        <f t="shared" ref="BC515:BC578" si="133">IF(BB515&lt;=1,"0-1",IF(BB515&lt;=5,"2-5",IF(BB515&lt;=10,"6-10","11-15")))</f>
        <v>0-1</v>
      </c>
      <c r="BD515">
        <v>1</v>
      </c>
      <c r="BE515" t="str">
        <f t="shared" ref="BE515:BE578" si="134">IF(BD515&lt;=1,"0-1",IF(BD515&lt;=5,"2-5",IF(BD515&lt;=10,"6-10","11-17")))</f>
        <v>0-1</v>
      </c>
    </row>
    <row r="516" spans="1:57" x14ac:dyDescent="0.3">
      <c r="A516">
        <v>702</v>
      </c>
      <c r="B516">
        <v>33</v>
      </c>
      <c r="C516" t="str">
        <f t="shared" si="121"/>
        <v>26-35</v>
      </c>
      <c r="D516" t="s">
        <v>56</v>
      </c>
      <c r="E516">
        <f t="shared" si="122"/>
        <v>1</v>
      </c>
      <c r="F516" t="s">
        <v>72</v>
      </c>
      <c r="G516">
        <v>1076</v>
      </c>
      <c r="H516" t="str">
        <f t="shared" si="123"/>
        <v>1001-1499</v>
      </c>
      <c r="I516" t="s">
        <v>73</v>
      </c>
      <c r="J516">
        <v>3</v>
      </c>
      <c r="K516" t="str">
        <f t="shared" si="124"/>
        <v>1-5</v>
      </c>
      <c r="L516">
        <v>3</v>
      </c>
      <c r="M516" t="s">
        <v>85</v>
      </c>
      <c r="N516" t="s">
        <v>60</v>
      </c>
      <c r="O516">
        <v>1</v>
      </c>
      <c r="P516">
        <v>1</v>
      </c>
      <c r="Q516" t="s">
        <v>69</v>
      </c>
      <c r="R516" t="s">
        <v>75</v>
      </c>
      <c r="S516">
        <v>70</v>
      </c>
      <c r="T516" t="str">
        <f t="shared" si="125"/>
        <v>51-75</v>
      </c>
      <c r="U516">
        <v>3</v>
      </c>
      <c r="V516" t="s">
        <v>63</v>
      </c>
      <c r="W516">
        <v>1</v>
      </c>
      <c r="X516" t="s">
        <v>76</v>
      </c>
      <c r="Y516">
        <v>1</v>
      </c>
      <c r="Z516" t="s">
        <v>69</v>
      </c>
      <c r="AA516" t="s">
        <v>66</v>
      </c>
      <c r="AB516" s="4">
        <v>3348</v>
      </c>
      <c r="AC516" s="4" t="str">
        <f t="shared" si="126"/>
        <v>$2,500-$4,000</v>
      </c>
      <c r="AD516">
        <v>3164</v>
      </c>
      <c r="AE516" t="str">
        <f t="shared" si="127"/>
        <v>$2,094-$8,000</v>
      </c>
      <c r="AF516">
        <v>1</v>
      </c>
      <c r="AG516" t="str">
        <f t="shared" si="128"/>
        <v>0-1</v>
      </c>
      <c r="AH516" t="s">
        <v>67</v>
      </c>
      <c r="AI516" t="s">
        <v>56</v>
      </c>
      <c r="AJ516">
        <v>11</v>
      </c>
      <c r="AK516" t="str">
        <f t="shared" si="129"/>
        <v>11-12%</v>
      </c>
      <c r="AL516">
        <v>3</v>
      </c>
      <c r="AM516" t="s">
        <v>68</v>
      </c>
      <c r="AN516">
        <v>1</v>
      </c>
      <c r="AO516" t="s">
        <v>69</v>
      </c>
      <c r="AP516">
        <v>80</v>
      </c>
      <c r="AQ516">
        <v>0</v>
      </c>
      <c r="AR516">
        <v>10</v>
      </c>
      <c r="AS516" t="str">
        <f t="shared" si="130"/>
        <v>6-10</v>
      </c>
      <c r="AT516">
        <v>3</v>
      </c>
      <c r="AU516" t="str">
        <f t="shared" si="131"/>
        <v>3-4</v>
      </c>
      <c r="AV516">
        <v>3</v>
      </c>
      <c r="AW516" t="s">
        <v>79</v>
      </c>
      <c r="AX516">
        <v>10</v>
      </c>
      <c r="AY516" t="str">
        <f t="shared" si="120"/>
        <v>6-10</v>
      </c>
      <c r="AZ516">
        <v>8</v>
      </c>
      <c r="BA516" t="str">
        <f t="shared" si="132"/>
        <v>6-10</v>
      </c>
      <c r="BB516">
        <v>9</v>
      </c>
      <c r="BC516" t="str">
        <f t="shared" si="133"/>
        <v>6-10</v>
      </c>
      <c r="BD516">
        <v>7</v>
      </c>
      <c r="BE516" t="str">
        <f t="shared" si="134"/>
        <v>6-10</v>
      </c>
    </row>
    <row r="517" spans="1:57" x14ac:dyDescent="0.3">
      <c r="A517">
        <v>704</v>
      </c>
      <c r="B517">
        <v>35</v>
      </c>
      <c r="C517" t="str">
        <f t="shared" si="121"/>
        <v>26-35</v>
      </c>
      <c r="D517" t="s">
        <v>71</v>
      </c>
      <c r="E517">
        <f t="shared" si="122"/>
        <v>0</v>
      </c>
      <c r="F517" t="s">
        <v>89</v>
      </c>
      <c r="G517">
        <v>727</v>
      </c>
      <c r="H517" t="str">
        <f t="shared" si="123"/>
        <v>501-1000</v>
      </c>
      <c r="I517" t="s">
        <v>73</v>
      </c>
      <c r="J517">
        <v>3</v>
      </c>
      <c r="K517" t="str">
        <f t="shared" si="124"/>
        <v>1-5</v>
      </c>
      <c r="L517">
        <v>3</v>
      </c>
      <c r="M517" t="s">
        <v>85</v>
      </c>
      <c r="N517" t="s">
        <v>60</v>
      </c>
      <c r="O517">
        <v>1</v>
      </c>
      <c r="P517">
        <v>3</v>
      </c>
      <c r="Q517" t="s">
        <v>63</v>
      </c>
      <c r="R517" t="s">
        <v>75</v>
      </c>
      <c r="S517">
        <v>41</v>
      </c>
      <c r="T517" t="str">
        <f t="shared" si="125"/>
        <v>30-50</v>
      </c>
      <c r="U517">
        <v>2</v>
      </c>
      <c r="V517" t="s">
        <v>61</v>
      </c>
      <c r="W517">
        <v>1</v>
      </c>
      <c r="X517" t="s">
        <v>81</v>
      </c>
      <c r="Y517">
        <v>3</v>
      </c>
      <c r="Z517" t="s">
        <v>63</v>
      </c>
      <c r="AA517" t="s">
        <v>77</v>
      </c>
      <c r="AB517" s="4">
        <v>1281</v>
      </c>
      <c r="AC517" s="4" t="str">
        <f t="shared" si="126"/>
        <v>$1,000-$2,500</v>
      </c>
      <c r="AD517">
        <v>16900</v>
      </c>
      <c r="AE517" t="str">
        <f t="shared" si="127"/>
        <v>$16,001-$22,000</v>
      </c>
      <c r="AF517">
        <v>1</v>
      </c>
      <c r="AG517" t="str">
        <f t="shared" si="128"/>
        <v>0-1</v>
      </c>
      <c r="AH517" t="s">
        <v>67</v>
      </c>
      <c r="AI517" t="s">
        <v>71</v>
      </c>
      <c r="AJ517">
        <v>18</v>
      </c>
      <c r="AK517" t="str">
        <f t="shared" si="129"/>
        <v>18-19%</v>
      </c>
      <c r="AL517">
        <v>3</v>
      </c>
      <c r="AM517" t="s">
        <v>68</v>
      </c>
      <c r="AN517">
        <v>3</v>
      </c>
      <c r="AO517" t="s">
        <v>63</v>
      </c>
      <c r="AP517">
        <v>80</v>
      </c>
      <c r="AQ517">
        <v>2</v>
      </c>
      <c r="AR517">
        <v>1</v>
      </c>
      <c r="AS517" t="str">
        <f t="shared" si="130"/>
        <v>0-2</v>
      </c>
      <c r="AT517">
        <v>3</v>
      </c>
      <c r="AU517" t="str">
        <f t="shared" si="131"/>
        <v>3-4</v>
      </c>
      <c r="AV517">
        <v>3</v>
      </c>
      <c r="AW517" t="s">
        <v>79</v>
      </c>
      <c r="AX517">
        <v>1</v>
      </c>
      <c r="AY517" t="str">
        <f t="shared" si="120"/>
        <v>0-1</v>
      </c>
      <c r="AZ517">
        <v>0</v>
      </c>
      <c r="BA517" t="str">
        <f t="shared" si="132"/>
        <v>0-1</v>
      </c>
      <c r="BB517">
        <v>0</v>
      </c>
      <c r="BC517" t="str">
        <f t="shared" si="133"/>
        <v>0-1</v>
      </c>
      <c r="BD517">
        <v>0</v>
      </c>
      <c r="BE517" t="str">
        <f t="shared" si="134"/>
        <v>0-1</v>
      </c>
    </row>
    <row r="518" spans="1:57" x14ac:dyDescent="0.3">
      <c r="A518">
        <v>705</v>
      </c>
      <c r="B518">
        <v>23</v>
      </c>
      <c r="C518" t="str">
        <f t="shared" si="121"/>
        <v>18-25</v>
      </c>
      <c r="D518" t="s">
        <v>71</v>
      </c>
      <c r="E518">
        <f t="shared" si="122"/>
        <v>0</v>
      </c>
      <c r="F518" t="s">
        <v>57</v>
      </c>
      <c r="G518">
        <v>885</v>
      </c>
      <c r="H518" t="str">
        <f t="shared" si="123"/>
        <v>501-1000</v>
      </c>
      <c r="I518" t="s">
        <v>73</v>
      </c>
      <c r="J518">
        <v>4</v>
      </c>
      <c r="K518" t="str">
        <f t="shared" si="124"/>
        <v>1-5</v>
      </c>
      <c r="L518">
        <v>3</v>
      </c>
      <c r="M518" t="s">
        <v>85</v>
      </c>
      <c r="N518" t="s">
        <v>83</v>
      </c>
      <c r="O518">
        <v>1</v>
      </c>
      <c r="P518">
        <v>1</v>
      </c>
      <c r="Q518" t="s">
        <v>69</v>
      </c>
      <c r="R518" t="s">
        <v>75</v>
      </c>
      <c r="S518">
        <v>58</v>
      </c>
      <c r="T518" t="str">
        <f t="shared" si="125"/>
        <v>51-75</v>
      </c>
      <c r="U518">
        <v>4</v>
      </c>
      <c r="V518" t="s">
        <v>65</v>
      </c>
      <c r="W518">
        <v>1</v>
      </c>
      <c r="X518" t="s">
        <v>76</v>
      </c>
      <c r="Y518">
        <v>1</v>
      </c>
      <c r="Z518" t="s">
        <v>69</v>
      </c>
      <c r="AA518" t="s">
        <v>77</v>
      </c>
      <c r="AB518" s="4">
        <v>2819</v>
      </c>
      <c r="AC518" s="4" t="str">
        <f t="shared" si="126"/>
        <v>$2,500-$4,000</v>
      </c>
      <c r="AD518">
        <v>8544</v>
      </c>
      <c r="AE518" t="str">
        <f t="shared" si="127"/>
        <v>$8,001-$16,000</v>
      </c>
      <c r="AF518">
        <v>2</v>
      </c>
      <c r="AG518" t="str">
        <f t="shared" si="128"/>
        <v>2-3</v>
      </c>
      <c r="AH518" t="s">
        <v>67</v>
      </c>
      <c r="AI518" t="s">
        <v>71</v>
      </c>
      <c r="AJ518">
        <v>16</v>
      </c>
      <c r="AK518" t="str">
        <f t="shared" si="129"/>
        <v>16-17%</v>
      </c>
      <c r="AL518">
        <v>3</v>
      </c>
      <c r="AM518" t="s">
        <v>68</v>
      </c>
      <c r="AN518">
        <v>1</v>
      </c>
      <c r="AO518" t="s">
        <v>69</v>
      </c>
      <c r="AP518">
        <v>80</v>
      </c>
      <c r="AQ518">
        <v>1</v>
      </c>
      <c r="AR518">
        <v>5</v>
      </c>
      <c r="AS518" t="str">
        <f t="shared" si="130"/>
        <v>3-5</v>
      </c>
      <c r="AT518">
        <v>3</v>
      </c>
      <c r="AU518" t="str">
        <f t="shared" si="131"/>
        <v>3-4</v>
      </c>
      <c r="AV518">
        <v>4</v>
      </c>
      <c r="AW518" t="s">
        <v>94</v>
      </c>
      <c r="AX518">
        <v>3</v>
      </c>
      <c r="AY518" t="str">
        <f t="shared" si="120"/>
        <v>2-5</v>
      </c>
      <c r="AZ518">
        <v>2</v>
      </c>
      <c r="BA518" t="str">
        <f t="shared" si="132"/>
        <v>2-5</v>
      </c>
      <c r="BB518">
        <v>0</v>
      </c>
      <c r="BC518" t="str">
        <f t="shared" si="133"/>
        <v>0-1</v>
      </c>
      <c r="BD518">
        <v>2</v>
      </c>
      <c r="BE518" t="str">
        <f t="shared" si="134"/>
        <v>2-5</v>
      </c>
    </row>
    <row r="519" spans="1:57" x14ac:dyDescent="0.3">
      <c r="A519">
        <v>707</v>
      </c>
      <c r="B519">
        <v>25</v>
      </c>
      <c r="C519" t="str">
        <f t="shared" si="121"/>
        <v>18-25</v>
      </c>
      <c r="D519" t="s">
        <v>71</v>
      </c>
      <c r="E519">
        <f t="shared" si="122"/>
        <v>0</v>
      </c>
      <c r="F519" t="s">
        <v>57</v>
      </c>
      <c r="G519">
        <v>810</v>
      </c>
      <c r="H519" t="str">
        <f t="shared" si="123"/>
        <v>501-1000</v>
      </c>
      <c r="I519" t="s">
        <v>58</v>
      </c>
      <c r="J519">
        <v>8</v>
      </c>
      <c r="K519" t="str">
        <f t="shared" si="124"/>
        <v>6-10</v>
      </c>
      <c r="L519">
        <v>3</v>
      </c>
      <c r="M519" t="s">
        <v>85</v>
      </c>
      <c r="N519" t="s">
        <v>60</v>
      </c>
      <c r="O519">
        <v>1</v>
      </c>
      <c r="P519">
        <v>4</v>
      </c>
      <c r="Q519" t="s">
        <v>65</v>
      </c>
      <c r="R519" t="s">
        <v>75</v>
      </c>
      <c r="S519">
        <v>57</v>
      </c>
      <c r="T519" t="str">
        <f t="shared" si="125"/>
        <v>51-75</v>
      </c>
      <c r="U519">
        <v>4</v>
      </c>
      <c r="V519" t="s">
        <v>65</v>
      </c>
      <c r="W519">
        <v>2</v>
      </c>
      <c r="X519" t="s">
        <v>64</v>
      </c>
      <c r="Y519">
        <v>2</v>
      </c>
      <c r="Z519" t="s">
        <v>61</v>
      </c>
      <c r="AA519" t="s">
        <v>77</v>
      </c>
      <c r="AB519" s="4">
        <v>4851</v>
      </c>
      <c r="AC519" s="4" t="str">
        <f t="shared" si="126"/>
        <v>$4,000-$5,500</v>
      </c>
      <c r="AD519">
        <v>15678</v>
      </c>
      <c r="AE519" t="str">
        <f t="shared" si="127"/>
        <v>$8,001-$16,000</v>
      </c>
      <c r="AF519">
        <v>0</v>
      </c>
      <c r="AG519" t="str">
        <f t="shared" si="128"/>
        <v>0-1</v>
      </c>
      <c r="AH519" t="s">
        <v>67</v>
      </c>
      <c r="AI519" t="s">
        <v>71</v>
      </c>
      <c r="AJ519">
        <v>22</v>
      </c>
      <c r="AK519" t="str">
        <f t="shared" si="129"/>
        <v>18-19%</v>
      </c>
      <c r="AL519">
        <v>4</v>
      </c>
      <c r="AM519" t="s">
        <v>78</v>
      </c>
      <c r="AN519">
        <v>3</v>
      </c>
      <c r="AO519" t="s">
        <v>63</v>
      </c>
      <c r="AP519">
        <v>80</v>
      </c>
      <c r="AQ519">
        <v>1</v>
      </c>
      <c r="AR519">
        <v>4</v>
      </c>
      <c r="AS519" t="str">
        <f t="shared" si="130"/>
        <v>3-5</v>
      </c>
      <c r="AT519">
        <v>4</v>
      </c>
      <c r="AU519" t="str">
        <f t="shared" si="131"/>
        <v>3-4</v>
      </c>
      <c r="AV519">
        <v>3</v>
      </c>
      <c r="AW519" t="s">
        <v>79</v>
      </c>
      <c r="AX519">
        <v>3</v>
      </c>
      <c r="AY519" t="str">
        <f t="shared" si="120"/>
        <v>2-5</v>
      </c>
      <c r="AZ519">
        <v>2</v>
      </c>
      <c r="BA519" t="str">
        <f t="shared" si="132"/>
        <v>2-5</v>
      </c>
      <c r="BB519">
        <v>1</v>
      </c>
      <c r="BC519" t="str">
        <f t="shared" si="133"/>
        <v>0-1</v>
      </c>
      <c r="BD519">
        <v>2</v>
      </c>
      <c r="BE519" t="str">
        <f t="shared" si="134"/>
        <v>2-5</v>
      </c>
    </row>
    <row r="520" spans="1:57" x14ac:dyDescent="0.3">
      <c r="A520">
        <v>709</v>
      </c>
      <c r="B520">
        <v>38</v>
      </c>
      <c r="C520" t="str">
        <f t="shared" si="121"/>
        <v>36-45</v>
      </c>
      <c r="D520" t="s">
        <v>71</v>
      </c>
      <c r="E520">
        <f t="shared" si="122"/>
        <v>0</v>
      </c>
      <c r="F520" t="s">
        <v>57</v>
      </c>
      <c r="G520">
        <v>243</v>
      </c>
      <c r="H520" t="str">
        <f t="shared" si="123"/>
        <v>102-500</v>
      </c>
      <c r="I520" t="s">
        <v>58</v>
      </c>
      <c r="J520">
        <v>7</v>
      </c>
      <c r="K520" t="str">
        <f t="shared" si="124"/>
        <v>6-10</v>
      </c>
      <c r="L520">
        <v>4</v>
      </c>
      <c r="M520" t="s">
        <v>82</v>
      </c>
      <c r="N520" t="s">
        <v>93</v>
      </c>
      <c r="O520">
        <v>1</v>
      </c>
      <c r="P520">
        <v>4</v>
      </c>
      <c r="Q520" t="s">
        <v>65</v>
      </c>
      <c r="R520" t="s">
        <v>62</v>
      </c>
      <c r="S520">
        <v>46</v>
      </c>
      <c r="T520" t="str">
        <f t="shared" si="125"/>
        <v>30-50</v>
      </c>
      <c r="U520">
        <v>2</v>
      </c>
      <c r="V520" t="s">
        <v>61</v>
      </c>
      <c r="W520">
        <v>2</v>
      </c>
      <c r="X520" t="s">
        <v>64</v>
      </c>
      <c r="Y520">
        <v>4</v>
      </c>
      <c r="Z520" t="s">
        <v>65</v>
      </c>
      <c r="AA520" t="s">
        <v>66</v>
      </c>
      <c r="AB520" s="4">
        <v>4028</v>
      </c>
      <c r="AC520" s="4" t="str">
        <f t="shared" si="126"/>
        <v>$4,000-$5,500</v>
      </c>
      <c r="AD520">
        <v>7791</v>
      </c>
      <c r="AE520" t="str">
        <f t="shared" si="127"/>
        <v>$2,094-$8,000</v>
      </c>
      <c r="AF520">
        <v>0</v>
      </c>
      <c r="AG520" t="str">
        <f t="shared" si="128"/>
        <v>0-1</v>
      </c>
      <c r="AH520" t="s">
        <v>67</v>
      </c>
      <c r="AI520" t="s">
        <v>71</v>
      </c>
      <c r="AJ520">
        <v>20</v>
      </c>
      <c r="AK520" t="str">
        <f t="shared" si="129"/>
        <v>18-19%</v>
      </c>
      <c r="AL520">
        <v>4</v>
      </c>
      <c r="AM520" t="s">
        <v>78</v>
      </c>
      <c r="AN520">
        <v>1</v>
      </c>
      <c r="AO520" t="s">
        <v>69</v>
      </c>
      <c r="AP520">
        <v>80</v>
      </c>
      <c r="AQ520">
        <v>0</v>
      </c>
      <c r="AR520">
        <v>8</v>
      </c>
      <c r="AS520" t="str">
        <f t="shared" si="130"/>
        <v>6-10</v>
      </c>
      <c r="AT520">
        <v>2</v>
      </c>
      <c r="AU520" t="str">
        <f t="shared" si="131"/>
        <v>0-2</v>
      </c>
      <c r="AV520">
        <v>3</v>
      </c>
      <c r="AW520" t="s">
        <v>79</v>
      </c>
      <c r="AX520">
        <v>7</v>
      </c>
      <c r="AY520" t="str">
        <f t="shared" si="120"/>
        <v>6-10</v>
      </c>
      <c r="AZ520">
        <v>7</v>
      </c>
      <c r="BA520" t="str">
        <f t="shared" si="132"/>
        <v>6-10</v>
      </c>
      <c r="BB520">
        <v>0</v>
      </c>
      <c r="BC520" t="str">
        <f t="shared" si="133"/>
        <v>0-1</v>
      </c>
      <c r="BD520">
        <v>5</v>
      </c>
      <c r="BE520" t="str">
        <f t="shared" si="134"/>
        <v>2-5</v>
      </c>
    </row>
    <row r="521" spans="1:57" x14ac:dyDescent="0.3">
      <c r="A521">
        <v>710</v>
      </c>
      <c r="B521">
        <v>29</v>
      </c>
      <c r="C521" t="str">
        <f t="shared" si="121"/>
        <v>26-35</v>
      </c>
      <c r="D521" t="s">
        <v>71</v>
      </c>
      <c r="E521">
        <f t="shared" si="122"/>
        <v>0</v>
      </c>
      <c r="F521" t="s">
        <v>72</v>
      </c>
      <c r="G521">
        <v>806</v>
      </c>
      <c r="H521" t="str">
        <f t="shared" si="123"/>
        <v>501-1000</v>
      </c>
      <c r="I521" t="s">
        <v>73</v>
      </c>
      <c r="J521">
        <v>1</v>
      </c>
      <c r="K521" t="str">
        <f t="shared" si="124"/>
        <v>1-5</v>
      </c>
      <c r="L521">
        <v>4</v>
      </c>
      <c r="M521" t="s">
        <v>82</v>
      </c>
      <c r="N521" t="s">
        <v>60</v>
      </c>
      <c r="O521">
        <v>1</v>
      </c>
      <c r="P521">
        <v>2</v>
      </c>
      <c r="Q521" t="s">
        <v>61</v>
      </c>
      <c r="R521" t="s">
        <v>75</v>
      </c>
      <c r="S521">
        <v>76</v>
      </c>
      <c r="T521" t="str">
        <f t="shared" si="125"/>
        <v>76-100</v>
      </c>
      <c r="U521">
        <v>1</v>
      </c>
      <c r="V521" t="s">
        <v>69</v>
      </c>
      <c r="W521">
        <v>1</v>
      </c>
      <c r="X521" t="s">
        <v>76</v>
      </c>
      <c r="Y521">
        <v>4</v>
      </c>
      <c r="Z521" t="s">
        <v>65</v>
      </c>
      <c r="AA521" t="s">
        <v>86</v>
      </c>
      <c r="AB521" s="4">
        <v>2720</v>
      </c>
      <c r="AC521" s="4" t="str">
        <f t="shared" si="126"/>
        <v>$2,500-$4,000</v>
      </c>
      <c r="AD521">
        <v>18959</v>
      </c>
      <c r="AE521" t="str">
        <f t="shared" si="127"/>
        <v>$16,001-$22,000</v>
      </c>
      <c r="AF521">
        <v>1</v>
      </c>
      <c r="AG521" t="str">
        <f t="shared" si="128"/>
        <v>0-1</v>
      </c>
      <c r="AH521" t="s">
        <v>67</v>
      </c>
      <c r="AI521" t="s">
        <v>71</v>
      </c>
      <c r="AJ521">
        <v>18</v>
      </c>
      <c r="AK521" t="str">
        <f t="shared" si="129"/>
        <v>18-19%</v>
      </c>
      <c r="AL521">
        <v>3</v>
      </c>
      <c r="AM521" t="s">
        <v>68</v>
      </c>
      <c r="AN521">
        <v>4</v>
      </c>
      <c r="AO521" t="s">
        <v>65</v>
      </c>
      <c r="AP521">
        <v>80</v>
      </c>
      <c r="AQ521">
        <v>1</v>
      </c>
      <c r="AR521">
        <v>10</v>
      </c>
      <c r="AS521" t="str">
        <f t="shared" si="130"/>
        <v>6-10</v>
      </c>
      <c r="AT521">
        <v>5</v>
      </c>
      <c r="AU521" t="str">
        <f t="shared" si="131"/>
        <v>5-6</v>
      </c>
      <c r="AV521">
        <v>3</v>
      </c>
      <c r="AW521" t="s">
        <v>79</v>
      </c>
      <c r="AX521">
        <v>10</v>
      </c>
      <c r="AY521" t="str">
        <f t="shared" si="120"/>
        <v>6-10</v>
      </c>
      <c r="AZ521">
        <v>7</v>
      </c>
      <c r="BA521" t="str">
        <f t="shared" si="132"/>
        <v>6-10</v>
      </c>
      <c r="BB521">
        <v>2</v>
      </c>
      <c r="BC521" t="str">
        <f t="shared" si="133"/>
        <v>2-5</v>
      </c>
      <c r="BD521">
        <v>8</v>
      </c>
      <c r="BE521" t="str">
        <f t="shared" si="134"/>
        <v>6-10</v>
      </c>
    </row>
    <row r="522" spans="1:57" x14ac:dyDescent="0.3">
      <c r="A522">
        <v>712</v>
      </c>
      <c r="B522">
        <v>48</v>
      </c>
      <c r="C522" t="str">
        <f t="shared" si="121"/>
        <v>46-55</v>
      </c>
      <c r="D522" t="s">
        <v>71</v>
      </c>
      <c r="E522">
        <f t="shared" si="122"/>
        <v>0</v>
      </c>
      <c r="F522" t="s">
        <v>57</v>
      </c>
      <c r="G522">
        <v>817</v>
      </c>
      <c r="H522" t="str">
        <f t="shared" si="123"/>
        <v>501-1000</v>
      </c>
      <c r="I522" t="s">
        <v>58</v>
      </c>
      <c r="J522">
        <v>2</v>
      </c>
      <c r="K522" t="str">
        <f t="shared" si="124"/>
        <v>1-5</v>
      </c>
      <c r="L522">
        <v>1</v>
      </c>
      <c r="M522" t="s">
        <v>74</v>
      </c>
      <c r="N522" t="s">
        <v>93</v>
      </c>
      <c r="O522">
        <v>1</v>
      </c>
      <c r="P522">
        <v>2</v>
      </c>
      <c r="Q522" t="s">
        <v>61</v>
      </c>
      <c r="R522" t="s">
        <v>75</v>
      </c>
      <c r="S522">
        <v>56</v>
      </c>
      <c r="T522" t="str">
        <f t="shared" si="125"/>
        <v>51-75</v>
      </c>
      <c r="U522">
        <v>4</v>
      </c>
      <c r="V522" t="s">
        <v>65</v>
      </c>
      <c r="W522">
        <v>2</v>
      </c>
      <c r="X522" t="s">
        <v>64</v>
      </c>
      <c r="Y522">
        <v>2</v>
      </c>
      <c r="Z522" t="s">
        <v>61</v>
      </c>
      <c r="AA522" t="s">
        <v>77</v>
      </c>
      <c r="AB522" s="4">
        <v>8120</v>
      </c>
      <c r="AC522" s="4" t="str">
        <f t="shared" si="126"/>
        <v>$7,000-$8,500</v>
      </c>
      <c r="AD522">
        <v>18597</v>
      </c>
      <c r="AE522" t="str">
        <f t="shared" si="127"/>
        <v>$16,001-$22,000</v>
      </c>
      <c r="AF522">
        <v>3</v>
      </c>
      <c r="AG522" t="str">
        <f t="shared" si="128"/>
        <v>2-3</v>
      </c>
      <c r="AH522" t="s">
        <v>67</v>
      </c>
      <c r="AI522" t="s">
        <v>71</v>
      </c>
      <c r="AJ522">
        <v>12</v>
      </c>
      <c r="AK522" t="str">
        <f t="shared" si="129"/>
        <v>11-12%</v>
      </c>
      <c r="AL522">
        <v>3</v>
      </c>
      <c r="AM522" t="s">
        <v>68</v>
      </c>
      <c r="AN522">
        <v>4</v>
      </c>
      <c r="AO522" t="s">
        <v>65</v>
      </c>
      <c r="AP522">
        <v>80</v>
      </c>
      <c r="AQ522">
        <v>0</v>
      </c>
      <c r="AR522">
        <v>12</v>
      </c>
      <c r="AS522" t="str">
        <f t="shared" si="130"/>
        <v>11-20</v>
      </c>
      <c r="AT522">
        <v>3</v>
      </c>
      <c r="AU522" t="str">
        <f t="shared" si="131"/>
        <v>3-4</v>
      </c>
      <c r="AV522">
        <v>3</v>
      </c>
      <c r="AW522" t="s">
        <v>79</v>
      </c>
      <c r="AX522">
        <v>2</v>
      </c>
      <c r="AY522" t="str">
        <f t="shared" si="120"/>
        <v>2-5</v>
      </c>
      <c r="AZ522">
        <v>2</v>
      </c>
      <c r="BA522" t="str">
        <f t="shared" si="132"/>
        <v>2-5</v>
      </c>
      <c r="BB522">
        <v>2</v>
      </c>
      <c r="BC522" t="str">
        <f t="shared" si="133"/>
        <v>2-5</v>
      </c>
      <c r="BD522">
        <v>2</v>
      </c>
      <c r="BE522" t="str">
        <f t="shared" si="134"/>
        <v>2-5</v>
      </c>
    </row>
    <row r="523" spans="1:57" x14ac:dyDescent="0.3">
      <c r="A523">
        <v>714</v>
      </c>
      <c r="B523">
        <v>27</v>
      </c>
      <c r="C523" t="str">
        <f t="shared" si="121"/>
        <v>26-35</v>
      </c>
      <c r="D523" t="s">
        <v>71</v>
      </c>
      <c r="E523">
        <f t="shared" si="122"/>
        <v>0</v>
      </c>
      <c r="F523" t="s">
        <v>72</v>
      </c>
      <c r="G523">
        <v>1410</v>
      </c>
      <c r="H523" t="str">
        <f t="shared" si="123"/>
        <v>1001-1499</v>
      </c>
      <c r="I523" t="s">
        <v>58</v>
      </c>
      <c r="J523">
        <v>3</v>
      </c>
      <c r="K523" t="str">
        <f t="shared" si="124"/>
        <v>1-5</v>
      </c>
      <c r="L523">
        <v>1</v>
      </c>
      <c r="M523" t="s">
        <v>74</v>
      </c>
      <c r="N523" t="s">
        <v>83</v>
      </c>
      <c r="O523">
        <v>1</v>
      </c>
      <c r="P523">
        <v>4</v>
      </c>
      <c r="Q523" t="s">
        <v>65</v>
      </c>
      <c r="R523" t="s">
        <v>62</v>
      </c>
      <c r="S523">
        <v>71</v>
      </c>
      <c r="T523" t="str">
        <f t="shared" si="125"/>
        <v>51-75</v>
      </c>
      <c r="U523">
        <v>4</v>
      </c>
      <c r="V523" t="s">
        <v>65</v>
      </c>
      <c r="W523">
        <v>2</v>
      </c>
      <c r="X523" t="s">
        <v>64</v>
      </c>
      <c r="Y523">
        <v>4</v>
      </c>
      <c r="Z523" t="s">
        <v>65</v>
      </c>
      <c r="AA523" t="s">
        <v>86</v>
      </c>
      <c r="AB523" s="4">
        <v>4647</v>
      </c>
      <c r="AC523" s="4" t="str">
        <f t="shared" si="126"/>
        <v>$4,000-$5,500</v>
      </c>
      <c r="AD523">
        <v>16673</v>
      </c>
      <c r="AE523" t="str">
        <f t="shared" si="127"/>
        <v>$16,001-$22,000</v>
      </c>
      <c r="AF523">
        <v>1</v>
      </c>
      <c r="AG523" t="str">
        <f t="shared" si="128"/>
        <v>0-1</v>
      </c>
      <c r="AH523" t="s">
        <v>67</v>
      </c>
      <c r="AI523" t="s">
        <v>56</v>
      </c>
      <c r="AJ523">
        <v>20</v>
      </c>
      <c r="AK523" t="str">
        <f t="shared" si="129"/>
        <v>18-19%</v>
      </c>
      <c r="AL523">
        <v>4</v>
      </c>
      <c r="AM523" t="s">
        <v>78</v>
      </c>
      <c r="AN523">
        <v>2</v>
      </c>
      <c r="AO523" t="s">
        <v>61</v>
      </c>
      <c r="AP523">
        <v>80</v>
      </c>
      <c r="AQ523">
        <v>2</v>
      </c>
      <c r="AR523">
        <v>6</v>
      </c>
      <c r="AS523" t="str">
        <f t="shared" si="130"/>
        <v>6-10</v>
      </c>
      <c r="AT523">
        <v>3</v>
      </c>
      <c r="AU523" t="str">
        <f t="shared" si="131"/>
        <v>3-4</v>
      </c>
      <c r="AV523">
        <v>3</v>
      </c>
      <c r="AW523" t="s">
        <v>79</v>
      </c>
      <c r="AX523">
        <v>6</v>
      </c>
      <c r="AY523" t="str">
        <f t="shared" si="120"/>
        <v>6-10</v>
      </c>
      <c r="AZ523">
        <v>5</v>
      </c>
      <c r="BA523" t="str">
        <f t="shared" si="132"/>
        <v>2-5</v>
      </c>
      <c r="BB523">
        <v>0</v>
      </c>
      <c r="BC523" t="str">
        <f t="shared" si="133"/>
        <v>0-1</v>
      </c>
      <c r="BD523">
        <v>4</v>
      </c>
      <c r="BE523" t="str">
        <f t="shared" si="134"/>
        <v>2-5</v>
      </c>
    </row>
    <row r="524" spans="1:57" x14ac:dyDescent="0.3">
      <c r="A524">
        <v>715</v>
      </c>
      <c r="B524">
        <v>37</v>
      </c>
      <c r="C524" t="str">
        <f t="shared" si="121"/>
        <v>36-45</v>
      </c>
      <c r="D524" t="s">
        <v>71</v>
      </c>
      <c r="E524">
        <f t="shared" si="122"/>
        <v>0</v>
      </c>
      <c r="F524" t="s">
        <v>57</v>
      </c>
      <c r="G524">
        <v>1225</v>
      </c>
      <c r="H524" t="str">
        <f t="shared" si="123"/>
        <v>1001-1499</v>
      </c>
      <c r="I524" t="s">
        <v>73</v>
      </c>
      <c r="J524">
        <v>10</v>
      </c>
      <c r="K524" t="str">
        <f t="shared" si="124"/>
        <v>6-10</v>
      </c>
      <c r="L524">
        <v>2</v>
      </c>
      <c r="M524" t="s">
        <v>59</v>
      </c>
      <c r="N524" t="s">
        <v>60</v>
      </c>
      <c r="O524">
        <v>1</v>
      </c>
      <c r="P524">
        <v>4</v>
      </c>
      <c r="Q524" t="s">
        <v>65</v>
      </c>
      <c r="R524" t="s">
        <v>75</v>
      </c>
      <c r="S524">
        <v>80</v>
      </c>
      <c r="T524" t="str">
        <f t="shared" si="125"/>
        <v>76-100</v>
      </c>
      <c r="U524">
        <v>4</v>
      </c>
      <c r="V524" t="s">
        <v>65</v>
      </c>
      <c r="W524">
        <v>1</v>
      </c>
      <c r="X524" t="s">
        <v>76</v>
      </c>
      <c r="Y524">
        <v>4</v>
      </c>
      <c r="Z524" t="s">
        <v>65</v>
      </c>
      <c r="AA524" t="s">
        <v>66</v>
      </c>
      <c r="AB524" s="4">
        <v>4680</v>
      </c>
      <c r="AC524" s="4" t="str">
        <f t="shared" si="126"/>
        <v>$4,000-$5,500</v>
      </c>
      <c r="AD524">
        <v>15232</v>
      </c>
      <c r="AE524" t="str">
        <f t="shared" si="127"/>
        <v>$8,001-$16,000</v>
      </c>
      <c r="AF524">
        <v>3</v>
      </c>
      <c r="AG524" t="str">
        <f t="shared" si="128"/>
        <v>2-3</v>
      </c>
      <c r="AH524" t="s">
        <v>67</v>
      </c>
      <c r="AI524" t="s">
        <v>71</v>
      </c>
      <c r="AJ524">
        <v>17</v>
      </c>
      <c r="AK524" t="str">
        <f t="shared" si="129"/>
        <v>16-17%</v>
      </c>
      <c r="AL524">
        <v>3</v>
      </c>
      <c r="AM524" t="s">
        <v>68</v>
      </c>
      <c r="AN524">
        <v>1</v>
      </c>
      <c r="AO524" t="s">
        <v>69</v>
      </c>
      <c r="AP524">
        <v>80</v>
      </c>
      <c r="AQ524">
        <v>0</v>
      </c>
      <c r="AR524">
        <v>4</v>
      </c>
      <c r="AS524" t="str">
        <f t="shared" si="130"/>
        <v>3-5</v>
      </c>
      <c r="AT524">
        <v>2</v>
      </c>
      <c r="AU524" t="str">
        <f t="shared" si="131"/>
        <v>0-2</v>
      </c>
      <c r="AV524">
        <v>3</v>
      </c>
      <c r="AW524" t="s">
        <v>79</v>
      </c>
      <c r="AX524">
        <v>1</v>
      </c>
      <c r="AY524" t="str">
        <f t="shared" si="120"/>
        <v>0-1</v>
      </c>
      <c r="AZ524">
        <v>0</v>
      </c>
      <c r="BA524" t="str">
        <f t="shared" si="132"/>
        <v>0-1</v>
      </c>
      <c r="BB524">
        <v>0</v>
      </c>
      <c r="BC524" t="str">
        <f t="shared" si="133"/>
        <v>0-1</v>
      </c>
      <c r="BD524">
        <v>0</v>
      </c>
      <c r="BE524" t="str">
        <f t="shared" si="134"/>
        <v>0-1</v>
      </c>
    </row>
    <row r="525" spans="1:57" x14ac:dyDescent="0.3">
      <c r="A525">
        <v>716</v>
      </c>
      <c r="B525">
        <v>50</v>
      </c>
      <c r="C525" t="str">
        <f t="shared" si="121"/>
        <v>46-55</v>
      </c>
      <c r="D525" t="s">
        <v>71</v>
      </c>
      <c r="E525">
        <f t="shared" si="122"/>
        <v>0</v>
      </c>
      <c r="F525" t="s">
        <v>57</v>
      </c>
      <c r="G525">
        <v>1207</v>
      </c>
      <c r="H525" t="str">
        <f t="shared" si="123"/>
        <v>1001-1499</v>
      </c>
      <c r="I525" t="s">
        <v>73</v>
      </c>
      <c r="J525">
        <v>28</v>
      </c>
      <c r="K525" t="str">
        <f t="shared" si="124"/>
        <v>21-29</v>
      </c>
      <c r="L525">
        <v>1</v>
      </c>
      <c r="M525" t="s">
        <v>74</v>
      </c>
      <c r="N525" t="s">
        <v>83</v>
      </c>
      <c r="O525">
        <v>1</v>
      </c>
      <c r="P525">
        <v>4</v>
      </c>
      <c r="Q525" t="s">
        <v>65</v>
      </c>
      <c r="R525" t="s">
        <v>75</v>
      </c>
      <c r="S525">
        <v>74</v>
      </c>
      <c r="T525" t="str">
        <f t="shared" si="125"/>
        <v>51-75</v>
      </c>
      <c r="U525">
        <v>4</v>
      </c>
      <c r="V525" t="s">
        <v>65</v>
      </c>
      <c r="W525">
        <v>1</v>
      </c>
      <c r="X525" t="s">
        <v>81</v>
      </c>
      <c r="Y525">
        <v>3</v>
      </c>
      <c r="Z525" t="s">
        <v>63</v>
      </c>
      <c r="AA525" t="s">
        <v>77</v>
      </c>
      <c r="AB525" s="4">
        <v>3221</v>
      </c>
      <c r="AC525" s="4" t="str">
        <f t="shared" si="126"/>
        <v>$2,500-$4,000</v>
      </c>
      <c r="AD525">
        <v>3297</v>
      </c>
      <c r="AE525" t="str">
        <f t="shared" si="127"/>
        <v>$2,094-$8,000</v>
      </c>
      <c r="AF525">
        <v>1</v>
      </c>
      <c r="AG525" t="str">
        <f t="shared" si="128"/>
        <v>0-1</v>
      </c>
      <c r="AH525" t="s">
        <v>67</v>
      </c>
      <c r="AI525" t="s">
        <v>56</v>
      </c>
      <c r="AJ525">
        <v>11</v>
      </c>
      <c r="AK525" t="str">
        <f t="shared" si="129"/>
        <v>11-12%</v>
      </c>
      <c r="AL525">
        <v>3</v>
      </c>
      <c r="AM525" t="s">
        <v>68</v>
      </c>
      <c r="AN525">
        <v>3</v>
      </c>
      <c r="AO525" t="s">
        <v>63</v>
      </c>
      <c r="AP525">
        <v>80</v>
      </c>
      <c r="AQ525">
        <v>3</v>
      </c>
      <c r="AR525">
        <v>20</v>
      </c>
      <c r="AS525" t="str">
        <f t="shared" si="130"/>
        <v>11-20</v>
      </c>
      <c r="AT525">
        <v>3</v>
      </c>
      <c r="AU525" t="str">
        <f t="shared" si="131"/>
        <v>3-4</v>
      </c>
      <c r="AV525">
        <v>3</v>
      </c>
      <c r="AW525" t="s">
        <v>79</v>
      </c>
      <c r="AX525">
        <v>20</v>
      </c>
      <c r="AY525" t="str">
        <f t="shared" si="120"/>
        <v>11-20</v>
      </c>
      <c r="AZ525">
        <v>8</v>
      </c>
      <c r="BA525" t="str">
        <f t="shared" si="132"/>
        <v>6-10</v>
      </c>
      <c r="BB525">
        <v>3</v>
      </c>
      <c r="BC525" t="str">
        <f t="shared" si="133"/>
        <v>2-5</v>
      </c>
      <c r="BD525">
        <v>8</v>
      </c>
      <c r="BE525" t="str">
        <f t="shared" si="134"/>
        <v>6-10</v>
      </c>
    </row>
    <row r="526" spans="1:57" x14ac:dyDescent="0.3">
      <c r="A526">
        <v>717</v>
      </c>
      <c r="B526">
        <v>34</v>
      </c>
      <c r="C526" t="str">
        <f t="shared" si="121"/>
        <v>26-35</v>
      </c>
      <c r="D526" t="s">
        <v>71</v>
      </c>
      <c r="E526">
        <f t="shared" si="122"/>
        <v>0</v>
      </c>
      <c r="F526" t="s">
        <v>57</v>
      </c>
      <c r="G526">
        <v>1442</v>
      </c>
      <c r="H526" t="str">
        <f t="shared" si="123"/>
        <v>1001-1499</v>
      </c>
      <c r="I526" t="s">
        <v>73</v>
      </c>
      <c r="J526">
        <v>9</v>
      </c>
      <c r="K526" t="str">
        <f t="shared" si="124"/>
        <v>6-10</v>
      </c>
      <c r="L526">
        <v>3</v>
      </c>
      <c r="M526" t="s">
        <v>85</v>
      </c>
      <c r="N526" t="s">
        <v>83</v>
      </c>
      <c r="O526">
        <v>1</v>
      </c>
      <c r="P526">
        <v>4</v>
      </c>
      <c r="Q526" t="s">
        <v>65</v>
      </c>
      <c r="R526" t="s">
        <v>62</v>
      </c>
      <c r="S526">
        <v>46</v>
      </c>
      <c r="T526" t="str">
        <f t="shared" si="125"/>
        <v>30-50</v>
      </c>
      <c r="U526">
        <v>2</v>
      </c>
      <c r="V526" t="s">
        <v>61</v>
      </c>
      <c r="W526">
        <v>3</v>
      </c>
      <c r="X526" t="s">
        <v>88</v>
      </c>
      <c r="Y526">
        <v>2</v>
      </c>
      <c r="Z526" t="s">
        <v>61</v>
      </c>
      <c r="AA526" t="s">
        <v>66</v>
      </c>
      <c r="AB526" s="4">
        <v>8621</v>
      </c>
      <c r="AC526" s="4" t="str">
        <f t="shared" si="126"/>
        <v>$8,500-$10,000</v>
      </c>
      <c r="AD526">
        <v>17654</v>
      </c>
      <c r="AE526" t="str">
        <f t="shared" si="127"/>
        <v>$16,001-$22,000</v>
      </c>
      <c r="AF526">
        <v>1</v>
      </c>
      <c r="AG526" t="str">
        <f t="shared" si="128"/>
        <v>0-1</v>
      </c>
      <c r="AH526" t="s">
        <v>67</v>
      </c>
      <c r="AI526" t="s">
        <v>71</v>
      </c>
      <c r="AJ526">
        <v>14</v>
      </c>
      <c r="AK526" t="str">
        <f t="shared" si="129"/>
        <v>13-15%</v>
      </c>
      <c r="AL526">
        <v>3</v>
      </c>
      <c r="AM526" t="s">
        <v>68</v>
      </c>
      <c r="AN526">
        <v>2</v>
      </c>
      <c r="AO526" t="s">
        <v>61</v>
      </c>
      <c r="AP526">
        <v>80</v>
      </c>
      <c r="AQ526">
        <v>0</v>
      </c>
      <c r="AR526">
        <v>9</v>
      </c>
      <c r="AS526" t="str">
        <f t="shared" si="130"/>
        <v>6-10</v>
      </c>
      <c r="AT526">
        <v>3</v>
      </c>
      <c r="AU526" t="str">
        <f t="shared" si="131"/>
        <v>3-4</v>
      </c>
      <c r="AV526">
        <v>4</v>
      </c>
      <c r="AW526" t="s">
        <v>94</v>
      </c>
      <c r="AX526">
        <v>8</v>
      </c>
      <c r="AY526" t="str">
        <f t="shared" si="120"/>
        <v>6-10</v>
      </c>
      <c r="AZ526">
        <v>7</v>
      </c>
      <c r="BA526" t="str">
        <f t="shared" si="132"/>
        <v>6-10</v>
      </c>
      <c r="BB526">
        <v>7</v>
      </c>
      <c r="BC526" t="str">
        <f t="shared" si="133"/>
        <v>6-10</v>
      </c>
      <c r="BD526">
        <v>7</v>
      </c>
      <c r="BE526" t="str">
        <f t="shared" si="134"/>
        <v>6-10</v>
      </c>
    </row>
    <row r="527" spans="1:57" x14ac:dyDescent="0.3">
      <c r="A527">
        <v>720</v>
      </c>
      <c r="B527">
        <v>24</v>
      </c>
      <c r="C527" t="str">
        <f t="shared" si="121"/>
        <v>18-25</v>
      </c>
      <c r="D527" t="s">
        <v>56</v>
      </c>
      <c r="E527">
        <f t="shared" si="122"/>
        <v>1</v>
      </c>
      <c r="F527" t="s">
        <v>57</v>
      </c>
      <c r="G527">
        <v>693</v>
      </c>
      <c r="H527" t="str">
        <f t="shared" si="123"/>
        <v>501-1000</v>
      </c>
      <c r="I527" t="s">
        <v>58</v>
      </c>
      <c r="J527">
        <v>3</v>
      </c>
      <c r="K527" t="str">
        <f t="shared" si="124"/>
        <v>1-5</v>
      </c>
      <c r="L527">
        <v>2</v>
      </c>
      <c r="M527" t="s">
        <v>59</v>
      </c>
      <c r="N527" t="s">
        <v>60</v>
      </c>
      <c r="O527">
        <v>1</v>
      </c>
      <c r="P527">
        <v>1</v>
      </c>
      <c r="Q527" t="s">
        <v>69</v>
      </c>
      <c r="R527" t="s">
        <v>62</v>
      </c>
      <c r="S527">
        <v>65</v>
      </c>
      <c r="T527" t="str">
        <f t="shared" si="125"/>
        <v>51-75</v>
      </c>
      <c r="U527">
        <v>3</v>
      </c>
      <c r="V527" t="s">
        <v>63</v>
      </c>
      <c r="W527">
        <v>2</v>
      </c>
      <c r="X527" t="s">
        <v>64</v>
      </c>
      <c r="Y527">
        <v>3</v>
      </c>
      <c r="Z527" t="s">
        <v>63</v>
      </c>
      <c r="AA527" t="s">
        <v>66</v>
      </c>
      <c r="AB527" s="4">
        <v>4577</v>
      </c>
      <c r="AC527" s="4" t="str">
        <f t="shared" si="126"/>
        <v>$4,000-$5,500</v>
      </c>
      <c r="AD527">
        <v>24785</v>
      </c>
      <c r="AE527" t="str">
        <f t="shared" si="127"/>
        <v>$22,001-$26,999</v>
      </c>
      <c r="AF527">
        <v>9</v>
      </c>
      <c r="AG527" t="str">
        <f t="shared" si="128"/>
        <v>7-9</v>
      </c>
      <c r="AH527" t="s">
        <v>67</v>
      </c>
      <c r="AI527" t="s">
        <v>71</v>
      </c>
      <c r="AJ527">
        <v>14</v>
      </c>
      <c r="AK527" t="str">
        <f t="shared" si="129"/>
        <v>13-15%</v>
      </c>
      <c r="AL527">
        <v>3</v>
      </c>
      <c r="AM527" t="s">
        <v>68</v>
      </c>
      <c r="AN527">
        <v>1</v>
      </c>
      <c r="AO527" t="s">
        <v>69</v>
      </c>
      <c r="AP527">
        <v>80</v>
      </c>
      <c r="AQ527">
        <v>0</v>
      </c>
      <c r="AR527">
        <v>4</v>
      </c>
      <c r="AS527" t="str">
        <f t="shared" si="130"/>
        <v>3-5</v>
      </c>
      <c r="AT527">
        <v>3</v>
      </c>
      <c r="AU527" t="str">
        <f t="shared" si="131"/>
        <v>3-4</v>
      </c>
      <c r="AV527">
        <v>3</v>
      </c>
      <c r="AW527" t="s">
        <v>79</v>
      </c>
      <c r="AX527">
        <v>2</v>
      </c>
      <c r="AY527" t="str">
        <f t="shared" si="120"/>
        <v>2-5</v>
      </c>
      <c r="AZ527">
        <v>2</v>
      </c>
      <c r="BA527" t="str">
        <f t="shared" si="132"/>
        <v>2-5</v>
      </c>
      <c r="BB527">
        <v>2</v>
      </c>
      <c r="BC527" t="str">
        <f t="shared" si="133"/>
        <v>2-5</v>
      </c>
      <c r="BD527">
        <v>0</v>
      </c>
      <c r="BE527" t="str">
        <f t="shared" si="134"/>
        <v>0-1</v>
      </c>
    </row>
    <row r="528" spans="1:57" x14ac:dyDescent="0.3">
      <c r="A528">
        <v>721</v>
      </c>
      <c r="B528">
        <v>39</v>
      </c>
      <c r="C528" t="str">
        <f t="shared" si="121"/>
        <v>36-45</v>
      </c>
      <c r="D528" t="s">
        <v>71</v>
      </c>
      <c r="E528">
        <f t="shared" si="122"/>
        <v>0</v>
      </c>
      <c r="F528" t="s">
        <v>57</v>
      </c>
      <c r="G528">
        <v>408</v>
      </c>
      <c r="H528" t="str">
        <f t="shared" si="123"/>
        <v>102-500</v>
      </c>
      <c r="I528" t="s">
        <v>73</v>
      </c>
      <c r="J528">
        <v>2</v>
      </c>
      <c r="K528" t="str">
        <f t="shared" si="124"/>
        <v>1-5</v>
      </c>
      <c r="L528">
        <v>4</v>
      </c>
      <c r="M528" t="s">
        <v>82</v>
      </c>
      <c r="N528" t="s">
        <v>95</v>
      </c>
      <c r="O528">
        <v>1</v>
      </c>
      <c r="P528">
        <v>4</v>
      </c>
      <c r="Q528" t="s">
        <v>65</v>
      </c>
      <c r="R528" t="s">
        <v>62</v>
      </c>
      <c r="S528">
        <v>80</v>
      </c>
      <c r="T528" t="str">
        <f t="shared" si="125"/>
        <v>76-100</v>
      </c>
      <c r="U528">
        <v>2</v>
      </c>
      <c r="V528" t="s">
        <v>61</v>
      </c>
      <c r="W528">
        <v>2</v>
      </c>
      <c r="X528" t="s">
        <v>88</v>
      </c>
      <c r="Y528">
        <v>3</v>
      </c>
      <c r="Z528" t="s">
        <v>63</v>
      </c>
      <c r="AA528" t="s">
        <v>66</v>
      </c>
      <c r="AB528" s="4">
        <v>4553</v>
      </c>
      <c r="AC528" s="4" t="str">
        <f t="shared" si="126"/>
        <v>$4,000-$5,500</v>
      </c>
      <c r="AD528">
        <v>20978</v>
      </c>
      <c r="AE528" t="str">
        <f t="shared" si="127"/>
        <v>$16,001-$22,000</v>
      </c>
      <c r="AF528">
        <v>1</v>
      </c>
      <c r="AG528" t="str">
        <f t="shared" si="128"/>
        <v>0-1</v>
      </c>
      <c r="AH528" t="s">
        <v>67</v>
      </c>
      <c r="AI528" t="s">
        <v>71</v>
      </c>
      <c r="AJ528">
        <v>11</v>
      </c>
      <c r="AK528" t="str">
        <f t="shared" si="129"/>
        <v>11-12%</v>
      </c>
      <c r="AL528">
        <v>3</v>
      </c>
      <c r="AM528" t="s">
        <v>68</v>
      </c>
      <c r="AN528">
        <v>1</v>
      </c>
      <c r="AO528" t="s">
        <v>69</v>
      </c>
      <c r="AP528">
        <v>80</v>
      </c>
      <c r="AQ528">
        <v>0</v>
      </c>
      <c r="AR528">
        <v>20</v>
      </c>
      <c r="AS528" t="str">
        <f t="shared" si="130"/>
        <v>11-20</v>
      </c>
      <c r="AT528">
        <v>4</v>
      </c>
      <c r="AU528" t="str">
        <f t="shared" si="131"/>
        <v>3-4</v>
      </c>
      <c r="AV528">
        <v>3</v>
      </c>
      <c r="AW528" t="s">
        <v>79</v>
      </c>
      <c r="AX528">
        <v>20</v>
      </c>
      <c r="AY528" t="str">
        <f t="shared" si="120"/>
        <v>11-20</v>
      </c>
      <c r="AZ528">
        <v>7</v>
      </c>
      <c r="BA528" t="str">
        <f t="shared" si="132"/>
        <v>6-10</v>
      </c>
      <c r="BB528">
        <v>11</v>
      </c>
      <c r="BC528" t="str">
        <f t="shared" si="133"/>
        <v>11-15</v>
      </c>
      <c r="BD528">
        <v>10</v>
      </c>
      <c r="BE528" t="str">
        <f t="shared" si="134"/>
        <v>6-10</v>
      </c>
    </row>
    <row r="529" spans="1:57" x14ac:dyDescent="0.3">
      <c r="A529">
        <v>722</v>
      </c>
      <c r="B529">
        <v>32</v>
      </c>
      <c r="C529" t="str">
        <f t="shared" si="121"/>
        <v>26-35</v>
      </c>
      <c r="D529" t="s">
        <v>71</v>
      </c>
      <c r="E529">
        <f t="shared" si="122"/>
        <v>0</v>
      </c>
      <c r="F529" t="s">
        <v>57</v>
      </c>
      <c r="G529">
        <v>929</v>
      </c>
      <c r="H529" t="str">
        <f t="shared" si="123"/>
        <v>501-1000</v>
      </c>
      <c r="I529" t="s">
        <v>58</v>
      </c>
      <c r="J529">
        <v>10</v>
      </c>
      <c r="K529" t="str">
        <f t="shared" si="124"/>
        <v>6-10</v>
      </c>
      <c r="L529">
        <v>3</v>
      </c>
      <c r="M529" t="s">
        <v>85</v>
      </c>
      <c r="N529" t="s">
        <v>93</v>
      </c>
      <c r="O529">
        <v>1</v>
      </c>
      <c r="P529">
        <v>4</v>
      </c>
      <c r="Q529" t="s">
        <v>65</v>
      </c>
      <c r="R529" t="s">
        <v>75</v>
      </c>
      <c r="S529">
        <v>55</v>
      </c>
      <c r="T529" t="str">
        <f t="shared" si="125"/>
        <v>51-75</v>
      </c>
      <c r="U529">
        <v>3</v>
      </c>
      <c r="V529" t="s">
        <v>63</v>
      </c>
      <c r="W529">
        <v>2</v>
      </c>
      <c r="X529" t="s">
        <v>64</v>
      </c>
      <c r="Y529">
        <v>4</v>
      </c>
      <c r="Z529" t="s">
        <v>65</v>
      </c>
      <c r="AA529" t="s">
        <v>66</v>
      </c>
      <c r="AB529" s="4">
        <v>5396</v>
      </c>
      <c r="AC529" s="4" t="str">
        <f t="shared" si="126"/>
        <v>$4,000-$5,500</v>
      </c>
      <c r="AD529">
        <v>21703</v>
      </c>
      <c r="AE529" t="str">
        <f t="shared" si="127"/>
        <v>$16,001-$22,000</v>
      </c>
      <c r="AF529">
        <v>1</v>
      </c>
      <c r="AG529" t="str">
        <f t="shared" si="128"/>
        <v>0-1</v>
      </c>
      <c r="AH529" t="s">
        <v>67</v>
      </c>
      <c r="AI529" t="s">
        <v>71</v>
      </c>
      <c r="AJ529">
        <v>12</v>
      </c>
      <c r="AK529" t="str">
        <f t="shared" si="129"/>
        <v>11-12%</v>
      </c>
      <c r="AL529">
        <v>3</v>
      </c>
      <c r="AM529" t="s">
        <v>68</v>
      </c>
      <c r="AN529">
        <v>4</v>
      </c>
      <c r="AO529" t="s">
        <v>65</v>
      </c>
      <c r="AP529">
        <v>80</v>
      </c>
      <c r="AQ529">
        <v>0</v>
      </c>
      <c r="AR529">
        <v>10</v>
      </c>
      <c r="AS529" t="str">
        <f t="shared" si="130"/>
        <v>6-10</v>
      </c>
      <c r="AT529">
        <v>2</v>
      </c>
      <c r="AU529" t="str">
        <f t="shared" si="131"/>
        <v>0-2</v>
      </c>
      <c r="AV529">
        <v>2</v>
      </c>
      <c r="AW529" t="s">
        <v>84</v>
      </c>
      <c r="AX529">
        <v>10</v>
      </c>
      <c r="AY529" t="str">
        <f t="shared" si="120"/>
        <v>6-10</v>
      </c>
      <c r="AZ529">
        <v>7</v>
      </c>
      <c r="BA529" t="str">
        <f t="shared" si="132"/>
        <v>6-10</v>
      </c>
      <c r="BB529">
        <v>0</v>
      </c>
      <c r="BC529" t="str">
        <f t="shared" si="133"/>
        <v>0-1</v>
      </c>
      <c r="BD529">
        <v>8</v>
      </c>
      <c r="BE529" t="str">
        <f t="shared" si="134"/>
        <v>6-10</v>
      </c>
    </row>
    <row r="530" spans="1:57" x14ac:dyDescent="0.3">
      <c r="A530">
        <v>723</v>
      </c>
      <c r="B530">
        <v>50</v>
      </c>
      <c r="C530" t="str">
        <f t="shared" si="121"/>
        <v>46-55</v>
      </c>
      <c r="D530" t="s">
        <v>56</v>
      </c>
      <c r="E530">
        <f t="shared" si="122"/>
        <v>1</v>
      </c>
      <c r="F530" t="s">
        <v>72</v>
      </c>
      <c r="G530">
        <v>562</v>
      </c>
      <c r="H530" t="str">
        <f t="shared" si="123"/>
        <v>501-1000</v>
      </c>
      <c r="I530" t="s">
        <v>58</v>
      </c>
      <c r="J530">
        <v>8</v>
      </c>
      <c r="K530" t="str">
        <f t="shared" si="124"/>
        <v>6-10</v>
      </c>
      <c r="L530">
        <v>2</v>
      </c>
      <c r="M530" t="s">
        <v>59</v>
      </c>
      <c r="N530" t="s">
        <v>95</v>
      </c>
      <c r="O530">
        <v>1</v>
      </c>
      <c r="P530">
        <v>2</v>
      </c>
      <c r="Q530" t="s">
        <v>61</v>
      </c>
      <c r="R530" t="s">
        <v>75</v>
      </c>
      <c r="S530">
        <v>50</v>
      </c>
      <c r="T530" t="str">
        <f t="shared" si="125"/>
        <v>30-50</v>
      </c>
      <c r="U530">
        <v>3</v>
      </c>
      <c r="V530" t="s">
        <v>63</v>
      </c>
      <c r="W530">
        <v>2</v>
      </c>
      <c r="X530" t="s">
        <v>64</v>
      </c>
      <c r="Y530">
        <v>3</v>
      </c>
      <c r="Z530" t="s">
        <v>63</v>
      </c>
      <c r="AA530" t="s">
        <v>77</v>
      </c>
      <c r="AB530" s="4">
        <v>6796</v>
      </c>
      <c r="AC530" s="4" t="str">
        <f t="shared" si="126"/>
        <v>$5,500-$7,000</v>
      </c>
      <c r="AD530">
        <v>23452</v>
      </c>
      <c r="AE530" t="str">
        <f t="shared" si="127"/>
        <v>$22,001-$26,999</v>
      </c>
      <c r="AF530">
        <v>3</v>
      </c>
      <c r="AG530" t="str">
        <f t="shared" si="128"/>
        <v>2-3</v>
      </c>
      <c r="AH530" t="s">
        <v>67</v>
      </c>
      <c r="AI530" t="s">
        <v>56</v>
      </c>
      <c r="AJ530">
        <v>14</v>
      </c>
      <c r="AK530" t="str">
        <f t="shared" si="129"/>
        <v>13-15%</v>
      </c>
      <c r="AL530">
        <v>3</v>
      </c>
      <c r="AM530" t="s">
        <v>68</v>
      </c>
      <c r="AN530">
        <v>1</v>
      </c>
      <c r="AO530" t="s">
        <v>69</v>
      </c>
      <c r="AP530">
        <v>80</v>
      </c>
      <c r="AQ530">
        <v>1</v>
      </c>
      <c r="AR530">
        <v>18</v>
      </c>
      <c r="AS530" t="str">
        <f t="shared" si="130"/>
        <v>11-20</v>
      </c>
      <c r="AT530">
        <v>4</v>
      </c>
      <c r="AU530" t="str">
        <f t="shared" si="131"/>
        <v>3-4</v>
      </c>
      <c r="AV530">
        <v>3</v>
      </c>
      <c r="AW530" t="s">
        <v>79</v>
      </c>
      <c r="AX530">
        <v>4</v>
      </c>
      <c r="AY530" t="str">
        <f t="shared" si="120"/>
        <v>2-5</v>
      </c>
      <c r="AZ530">
        <v>3</v>
      </c>
      <c r="BA530" t="str">
        <f t="shared" si="132"/>
        <v>2-5</v>
      </c>
      <c r="BB530">
        <v>1</v>
      </c>
      <c r="BC530" t="str">
        <f t="shared" si="133"/>
        <v>0-1</v>
      </c>
      <c r="BD530">
        <v>3</v>
      </c>
      <c r="BE530" t="str">
        <f t="shared" si="134"/>
        <v>2-5</v>
      </c>
    </row>
    <row r="531" spans="1:57" x14ac:dyDescent="0.3">
      <c r="A531">
        <v>724</v>
      </c>
      <c r="B531">
        <v>38</v>
      </c>
      <c r="C531" t="str">
        <f t="shared" si="121"/>
        <v>36-45</v>
      </c>
      <c r="D531" t="s">
        <v>71</v>
      </c>
      <c r="E531">
        <f t="shared" si="122"/>
        <v>0</v>
      </c>
      <c r="F531" t="s">
        <v>57</v>
      </c>
      <c r="G531">
        <v>827</v>
      </c>
      <c r="H531" t="str">
        <f t="shared" si="123"/>
        <v>501-1000</v>
      </c>
      <c r="I531" t="s">
        <v>73</v>
      </c>
      <c r="J531">
        <v>1</v>
      </c>
      <c r="K531" t="str">
        <f t="shared" si="124"/>
        <v>1-5</v>
      </c>
      <c r="L531">
        <v>4</v>
      </c>
      <c r="M531" t="s">
        <v>82</v>
      </c>
      <c r="N531" t="s">
        <v>60</v>
      </c>
      <c r="O531">
        <v>1</v>
      </c>
      <c r="P531">
        <v>2</v>
      </c>
      <c r="Q531" t="s">
        <v>61</v>
      </c>
      <c r="R531" t="s">
        <v>62</v>
      </c>
      <c r="S531">
        <v>33</v>
      </c>
      <c r="T531" t="str">
        <f t="shared" si="125"/>
        <v>30-50</v>
      </c>
      <c r="U531">
        <v>4</v>
      </c>
      <c r="V531" t="s">
        <v>65</v>
      </c>
      <c r="W531">
        <v>2</v>
      </c>
      <c r="X531" t="s">
        <v>88</v>
      </c>
      <c r="Y531">
        <v>4</v>
      </c>
      <c r="Z531" t="s">
        <v>65</v>
      </c>
      <c r="AA531" t="s">
        <v>66</v>
      </c>
      <c r="AB531" s="4">
        <v>7625</v>
      </c>
      <c r="AC531" s="4" t="str">
        <f t="shared" si="126"/>
        <v>$7,000-$8,500</v>
      </c>
      <c r="AD531">
        <v>19383</v>
      </c>
      <c r="AE531" t="str">
        <f t="shared" si="127"/>
        <v>$16,001-$22,000</v>
      </c>
      <c r="AF531">
        <v>0</v>
      </c>
      <c r="AG531" t="str">
        <f t="shared" si="128"/>
        <v>0-1</v>
      </c>
      <c r="AH531" t="s">
        <v>67</v>
      </c>
      <c r="AI531" t="s">
        <v>71</v>
      </c>
      <c r="AJ531">
        <v>13</v>
      </c>
      <c r="AK531" t="str">
        <f t="shared" si="129"/>
        <v>13-15%</v>
      </c>
      <c r="AL531">
        <v>3</v>
      </c>
      <c r="AM531" t="s">
        <v>68</v>
      </c>
      <c r="AN531">
        <v>3</v>
      </c>
      <c r="AO531" t="s">
        <v>63</v>
      </c>
      <c r="AP531">
        <v>80</v>
      </c>
      <c r="AQ531">
        <v>0</v>
      </c>
      <c r="AR531">
        <v>10</v>
      </c>
      <c r="AS531" t="str">
        <f t="shared" si="130"/>
        <v>6-10</v>
      </c>
      <c r="AT531">
        <v>4</v>
      </c>
      <c r="AU531" t="str">
        <f t="shared" si="131"/>
        <v>3-4</v>
      </c>
      <c r="AV531">
        <v>2</v>
      </c>
      <c r="AW531" t="s">
        <v>84</v>
      </c>
      <c r="AX531">
        <v>9</v>
      </c>
      <c r="AY531" t="str">
        <f t="shared" si="120"/>
        <v>6-10</v>
      </c>
      <c r="AZ531">
        <v>7</v>
      </c>
      <c r="BA531" t="str">
        <f t="shared" si="132"/>
        <v>6-10</v>
      </c>
      <c r="BB531">
        <v>1</v>
      </c>
      <c r="BC531" t="str">
        <f t="shared" si="133"/>
        <v>0-1</v>
      </c>
      <c r="BD531">
        <v>8</v>
      </c>
      <c r="BE531" t="str">
        <f t="shared" si="134"/>
        <v>6-10</v>
      </c>
    </row>
    <row r="532" spans="1:57" x14ac:dyDescent="0.3">
      <c r="A532">
        <v>725</v>
      </c>
      <c r="B532">
        <v>27</v>
      </c>
      <c r="C532" t="str">
        <f t="shared" si="121"/>
        <v>26-35</v>
      </c>
      <c r="D532" t="s">
        <v>71</v>
      </c>
      <c r="E532">
        <f t="shared" si="122"/>
        <v>0</v>
      </c>
      <c r="F532" t="s">
        <v>57</v>
      </c>
      <c r="G532">
        <v>608</v>
      </c>
      <c r="H532" t="str">
        <f t="shared" si="123"/>
        <v>501-1000</v>
      </c>
      <c r="I532" t="s">
        <v>73</v>
      </c>
      <c r="J532">
        <v>1</v>
      </c>
      <c r="K532" t="str">
        <f t="shared" si="124"/>
        <v>1-5</v>
      </c>
      <c r="L532">
        <v>2</v>
      </c>
      <c r="M532" t="s">
        <v>59</v>
      </c>
      <c r="N532" t="s">
        <v>60</v>
      </c>
      <c r="O532">
        <v>1</v>
      </c>
      <c r="P532">
        <v>3</v>
      </c>
      <c r="Q532" t="s">
        <v>63</v>
      </c>
      <c r="R532" t="s">
        <v>62</v>
      </c>
      <c r="S532">
        <v>68</v>
      </c>
      <c r="T532" t="str">
        <f t="shared" si="125"/>
        <v>51-75</v>
      </c>
      <c r="U532">
        <v>3</v>
      </c>
      <c r="V532" t="s">
        <v>63</v>
      </c>
      <c r="W532">
        <v>3</v>
      </c>
      <c r="X532" t="s">
        <v>87</v>
      </c>
      <c r="Y532">
        <v>1</v>
      </c>
      <c r="Z532" t="s">
        <v>69</v>
      </c>
      <c r="AA532" t="s">
        <v>77</v>
      </c>
      <c r="AB532" s="4">
        <v>7412</v>
      </c>
      <c r="AC532" s="4" t="str">
        <f t="shared" si="126"/>
        <v>$7,000-$8,500</v>
      </c>
      <c r="AD532">
        <v>6009</v>
      </c>
      <c r="AE532" t="str">
        <f t="shared" si="127"/>
        <v>$2,094-$8,000</v>
      </c>
      <c r="AF532">
        <v>1</v>
      </c>
      <c r="AG532" t="str">
        <f t="shared" si="128"/>
        <v>0-1</v>
      </c>
      <c r="AH532" t="s">
        <v>67</v>
      </c>
      <c r="AI532" t="s">
        <v>71</v>
      </c>
      <c r="AJ532">
        <v>11</v>
      </c>
      <c r="AK532" t="str">
        <f t="shared" si="129"/>
        <v>11-12%</v>
      </c>
      <c r="AL532">
        <v>3</v>
      </c>
      <c r="AM532" t="s">
        <v>68</v>
      </c>
      <c r="AN532">
        <v>4</v>
      </c>
      <c r="AO532" t="s">
        <v>65</v>
      </c>
      <c r="AP532">
        <v>80</v>
      </c>
      <c r="AQ532">
        <v>0</v>
      </c>
      <c r="AR532">
        <v>9</v>
      </c>
      <c r="AS532" t="str">
        <f t="shared" si="130"/>
        <v>6-10</v>
      </c>
      <c r="AT532">
        <v>3</v>
      </c>
      <c r="AU532" t="str">
        <f t="shared" si="131"/>
        <v>3-4</v>
      </c>
      <c r="AV532">
        <v>3</v>
      </c>
      <c r="AW532" t="s">
        <v>79</v>
      </c>
      <c r="AX532">
        <v>9</v>
      </c>
      <c r="AY532" t="str">
        <f t="shared" si="120"/>
        <v>6-10</v>
      </c>
      <c r="AZ532">
        <v>7</v>
      </c>
      <c r="BA532" t="str">
        <f t="shared" si="132"/>
        <v>6-10</v>
      </c>
      <c r="BB532">
        <v>0</v>
      </c>
      <c r="BC532" t="str">
        <f t="shared" si="133"/>
        <v>0-1</v>
      </c>
      <c r="BD532">
        <v>7</v>
      </c>
      <c r="BE532" t="str">
        <f t="shared" si="134"/>
        <v>6-10</v>
      </c>
    </row>
    <row r="533" spans="1:57" x14ac:dyDescent="0.3">
      <c r="A533">
        <v>727</v>
      </c>
      <c r="B533">
        <v>32</v>
      </c>
      <c r="C533" t="str">
        <f t="shared" si="121"/>
        <v>26-35</v>
      </c>
      <c r="D533" t="s">
        <v>71</v>
      </c>
      <c r="E533">
        <f t="shared" si="122"/>
        <v>0</v>
      </c>
      <c r="F533" t="s">
        <v>57</v>
      </c>
      <c r="G533">
        <v>1018</v>
      </c>
      <c r="H533" t="str">
        <f t="shared" si="123"/>
        <v>1001-1499</v>
      </c>
      <c r="I533" t="s">
        <v>73</v>
      </c>
      <c r="J533">
        <v>3</v>
      </c>
      <c r="K533" t="str">
        <f t="shared" si="124"/>
        <v>1-5</v>
      </c>
      <c r="L533">
        <v>2</v>
      </c>
      <c r="M533" t="s">
        <v>59</v>
      </c>
      <c r="N533" t="s">
        <v>60</v>
      </c>
      <c r="O533">
        <v>1</v>
      </c>
      <c r="P533">
        <v>3</v>
      </c>
      <c r="Q533" t="s">
        <v>63</v>
      </c>
      <c r="R533" t="s">
        <v>62</v>
      </c>
      <c r="S533">
        <v>39</v>
      </c>
      <c r="T533" t="str">
        <f t="shared" si="125"/>
        <v>30-50</v>
      </c>
      <c r="U533">
        <v>3</v>
      </c>
      <c r="V533" t="s">
        <v>63</v>
      </c>
      <c r="W533">
        <v>3</v>
      </c>
      <c r="X533" t="s">
        <v>92</v>
      </c>
      <c r="Y533">
        <v>4</v>
      </c>
      <c r="Z533" t="s">
        <v>65</v>
      </c>
      <c r="AA533" t="s">
        <v>66</v>
      </c>
      <c r="AB533" s="4">
        <v>11159</v>
      </c>
      <c r="AC533" s="4" t="str">
        <f t="shared" si="126"/>
        <v>$10,000-$11,500</v>
      </c>
      <c r="AD533">
        <v>19373</v>
      </c>
      <c r="AE533" t="str">
        <f t="shared" si="127"/>
        <v>$16,001-$22,000</v>
      </c>
      <c r="AF533">
        <v>3</v>
      </c>
      <c r="AG533" t="str">
        <f t="shared" si="128"/>
        <v>2-3</v>
      </c>
      <c r="AH533" t="s">
        <v>67</v>
      </c>
      <c r="AI533" t="s">
        <v>71</v>
      </c>
      <c r="AJ533">
        <v>15</v>
      </c>
      <c r="AK533" t="str">
        <f t="shared" si="129"/>
        <v>13-15%</v>
      </c>
      <c r="AL533">
        <v>3</v>
      </c>
      <c r="AM533" t="s">
        <v>68</v>
      </c>
      <c r="AN533">
        <v>4</v>
      </c>
      <c r="AO533" t="s">
        <v>65</v>
      </c>
      <c r="AP533">
        <v>80</v>
      </c>
      <c r="AQ533">
        <v>0</v>
      </c>
      <c r="AR533">
        <v>10</v>
      </c>
      <c r="AS533" t="str">
        <f t="shared" si="130"/>
        <v>6-10</v>
      </c>
      <c r="AT533">
        <v>6</v>
      </c>
      <c r="AU533" t="str">
        <f t="shared" si="131"/>
        <v>5-6</v>
      </c>
      <c r="AV533">
        <v>3</v>
      </c>
      <c r="AW533" t="s">
        <v>79</v>
      </c>
      <c r="AX533">
        <v>7</v>
      </c>
      <c r="AY533" t="str">
        <f t="shared" si="120"/>
        <v>6-10</v>
      </c>
      <c r="AZ533">
        <v>7</v>
      </c>
      <c r="BA533" t="str">
        <f t="shared" si="132"/>
        <v>6-10</v>
      </c>
      <c r="BB533">
        <v>7</v>
      </c>
      <c r="BC533" t="str">
        <f t="shared" si="133"/>
        <v>6-10</v>
      </c>
      <c r="BD533">
        <v>7</v>
      </c>
      <c r="BE533" t="str">
        <f t="shared" si="134"/>
        <v>6-10</v>
      </c>
    </row>
    <row r="534" spans="1:57" x14ac:dyDescent="0.3">
      <c r="A534">
        <v>728</v>
      </c>
      <c r="B534">
        <v>47</v>
      </c>
      <c r="C534" t="str">
        <f t="shared" si="121"/>
        <v>46-55</v>
      </c>
      <c r="D534" t="s">
        <v>71</v>
      </c>
      <c r="E534">
        <f t="shared" si="122"/>
        <v>0</v>
      </c>
      <c r="F534" t="s">
        <v>57</v>
      </c>
      <c r="G534">
        <v>703</v>
      </c>
      <c r="H534" t="str">
        <f t="shared" si="123"/>
        <v>501-1000</v>
      </c>
      <c r="I534" t="s">
        <v>58</v>
      </c>
      <c r="J534">
        <v>14</v>
      </c>
      <c r="K534" t="str">
        <f t="shared" si="124"/>
        <v>11-20</v>
      </c>
      <c r="L534">
        <v>4</v>
      </c>
      <c r="M534" t="s">
        <v>82</v>
      </c>
      <c r="N534" t="s">
        <v>93</v>
      </c>
      <c r="O534">
        <v>1</v>
      </c>
      <c r="P534">
        <v>4</v>
      </c>
      <c r="Q534" t="s">
        <v>65</v>
      </c>
      <c r="R534" t="s">
        <v>75</v>
      </c>
      <c r="S534">
        <v>42</v>
      </c>
      <c r="T534" t="str">
        <f t="shared" si="125"/>
        <v>30-50</v>
      </c>
      <c r="U534">
        <v>3</v>
      </c>
      <c r="V534" t="s">
        <v>63</v>
      </c>
      <c r="W534">
        <v>2</v>
      </c>
      <c r="X534" t="s">
        <v>64</v>
      </c>
      <c r="Y534">
        <v>1</v>
      </c>
      <c r="Z534" t="s">
        <v>69</v>
      </c>
      <c r="AA534" t="s">
        <v>66</v>
      </c>
      <c r="AB534" s="4">
        <v>4960</v>
      </c>
      <c r="AC534" s="4" t="str">
        <f t="shared" si="126"/>
        <v>$4,000-$5,500</v>
      </c>
      <c r="AD534">
        <v>11825</v>
      </c>
      <c r="AE534" t="str">
        <f t="shared" si="127"/>
        <v>$8,001-$16,000</v>
      </c>
      <c r="AF534">
        <v>2</v>
      </c>
      <c r="AG534" t="str">
        <f t="shared" si="128"/>
        <v>2-3</v>
      </c>
      <c r="AH534" t="s">
        <v>67</v>
      </c>
      <c r="AI534" t="s">
        <v>71</v>
      </c>
      <c r="AJ534">
        <v>12</v>
      </c>
      <c r="AK534" t="str">
        <f t="shared" si="129"/>
        <v>11-12%</v>
      </c>
      <c r="AL534">
        <v>3</v>
      </c>
      <c r="AM534" t="s">
        <v>68</v>
      </c>
      <c r="AN534">
        <v>4</v>
      </c>
      <c r="AO534" t="s">
        <v>65</v>
      </c>
      <c r="AP534">
        <v>80</v>
      </c>
      <c r="AQ534">
        <v>0</v>
      </c>
      <c r="AR534">
        <v>20</v>
      </c>
      <c r="AS534" t="str">
        <f t="shared" si="130"/>
        <v>11-20</v>
      </c>
      <c r="AT534">
        <v>2</v>
      </c>
      <c r="AU534" t="str">
        <f t="shared" si="131"/>
        <v>0-2</v>
      </c>
      <c r="AV534">
        <v>3</v>
      </c>
      <c r="AW534" t="s">
        <v>79</v>
      </c>
      <c r="AX534">
        <v>7</v>
      </c>
      <c r="AY534" t="str">
        <f t="shared" si="120"/>
        <v>6-10</v>
      </c>
      <c r="AZ534">
        <v>7</v>
      </c>
      <c r="BA534" t="str">
        <f t="shared" si="132"/>
        <v>6-10</v>
      </c>
      <c r="BB534">
        <v>1</v>
      </c>
      <c r="BC534" t="str">
        <f t="shared" si="133"/>
        <v>0-1</v>
      </c>
      <c r="BD534">
        <v>7</v>
      </c>
      <c r="BE534" t="str">
        <f t="shared" si="134"/>
        <v>6-10</v>
      </c>
    </row>
    <row r="535" spans="1:57" x14ac:dyDescent="0.3">
      <c r="A535">
        <v>729</v>
      </c>
      <c r="B535">
        <v>40</v>
      </c>
      <c r="C535" t="str">
        <f t="shared" si="121"/>
        <v>36-45</v>
      </c>
      <c r="D535" t="s">
        <v>71</v>
      </c>
      <c r="E535">
        <f t="shared" si="122"/>
        <v>0</v>
      </c>
      <c r="F535" t="s">
        <v>72</v>
      </c>
      <c r="G535">
        <v>580</v>
      </c>
      <c r="H535" t="str">
        <f t="shared" si="123"/>
        <v>501-1000</v>
      </c>
      <c r="I535" t="s">
        <v>58</v>
      </c>
      <c r="J535">
        <v>5</v>
      </c>
      <c r="K535" t="str">
        <f t="shared" si="124"/>
        <v>1-5</v>
      </c>
      <c r="L535">
        <v>4</v>
      </c>
      <c r="M535" t="s">
        <v>82</v>
      </c>
      <c r="N535" t="s">
        <v>60</v>
      </c>
      <c r="O535">
        <v>1</v>
      </c>
      <c r="P535">
        <v>4</v>
      </c>
      <c r="Q535" t="s">
        <v>65</v>
      </c>
      <c r="R535" t="s">
        <v>75</v>
      </c>
      <c r="S535">
        <v>48</v>
      </c>
      <c r="T535" t="str">
        <f t="shared" si="125"/>
        <v>30-50</v>
      </c>
      <c r="U535">
        <v>2</v>
      </c>
      <c r="V535" t="s">
        <v>61</v>
      </c>
      <c r="W535">
        <v>3</v>
      </c>
      <c r="X535" t="s">
        <v>64</v>
      </c>
      <c r="Y535">
        <v>1</v>
      </c>
      <c r="Z535" t="s">
        <v>69</v>
      </c>
      <c r="AA535" t="s">
        <v>77</v>
      </c>
      <c r="AB535" s="4">
        <v>10475</v>
      </c>
      <c r="AC535" s="4" t="str">
        <f t="shared" si="126"/>
        <v>$10,000-$11,500</v>
      </c>
      <c r="AD535">
        <v>23772</v>
      </c>
      <c r="AE535" t="str">
        <f t="shared" si="127"/>
        <v>$22,001-$26,999</v>
      </c>
      <c r="AF535">
        <v>5</v>
      </c>
      <c r="AG535" t="str">
        <f t="shared" si="128"/>
        <v>4-6</v>
      </c>
      <c r="AH535" t="s">
        <v>67</v>
      </c>
      <c r="AI535" t="s">
        <v>56</v>
      </c>
      <c r="AJ535">
        <v>21</v>
      </c>
      <c r="AK535" t="str">
        <f t="shared" si="129"/>
        <v>18-19%</v>
      </c>
      <c r="AL535">
        <v>4</v>
      </c>
      <c r="AM535" t="s">
        <v>78</v>
      </c>
      <c r="AN535">
        <v>3</v>
      </c>
      <c r="AO535" t="s">
        <v>63</v>
      </c>
      <c r="AP535">
        <v>80</v>
      </c>
      <c r="AQ535">
        <v>1</v>
      </c>
      <c r="AR535">
        <v>20</v>
      </c>
      <c r="AS535" t="str">
        <f t="shared" si="130"/>
        <v>11-20</v>
      </c>
      <c r="AT535">
        <v>2</v>
      </c>
      <c r="AU535" t="str">
        <f t="shared" si="131"/>
        <v>0-2</v>
      </c>
      <c r="AV535">
        <v>3</v>
      </c>
      <c r="AW535" t="s">
        <v>79</v>
      </c>
      <c r="AX535">
        <v>18</v>
      </c>
      <c r="AY535" t="str">
        <f t="shared" si="120"/>
        <v>11-20</v>
      </c>
      <c r="AZ535">
        <v>13</v>
      </c>
      <c r="BA535" t="str">
        <f t="shared" si="132"/>
        <v>11-18</v>
      </c>
      <c r="BB535">
        <v>1</v>
      </c>
      <c r="BC535" t="str">
        <f t="shared" si="133"/>
        <v>0-1</v>
      </c>
      <c r="BD535">
        <v>12</v>
      </c>
      <c r="BE535" t="str">
        <f t="shared" si="134"/>
        <v>11-17</v>
      </c>
    </row>
    <row r="536" spans="1:57" x14ac:dyDescent="0.3">
      <c r="A536">
        <v>730</v>
      </c>
      <c r="B536">
        <v>53</v>
      </c>
      <c r="C536" t="str">
        <f t="shared" si="121"/>
        <v>46-55</v>
      </c>
      <c r="D536" t="s">
        <v>71</v>
      </c>
      <c r="E536">
        <f t="shared" si="122"/>
        <v>0</v>
      </c>
      <c r="F536" t="s">
        <v>57</v>
      </c>
      <c r="G536">
        <v>970</v>
      </c>
      <c r="H536" t="str">
        <f t="shared" si="123"/>
        <v>501-1000</v>
      </c>
      <c r="I536" t="s">
        <v>73</v>
      </c>
      <c r="J536">
        <v>7</v>
      </c>
      <c r="K536" t="str">
        <f t="shared" si="124"/>
        <v>6-10</v>
      </c>
      <c r="L536">
        <v>3</v>
      </c>
      <c r="M536" t="s">
        <v>85</v>
      </c>
      <c r="N536" t="s">
        <v>60</v>
      </c>
      <c r="O536">
        <v>1</v>
      </c>
      <c r="P536">
        <v>3</v>
      </c>
      <c r="Q536" t="s">
        <v>63</v>
      </c>
      <c r="R536" t="s">
        <v>75</v>
      </c>
      <c r="S536">
        <v>59</v>
      </c>
      <c r="T536" t="str">
        <f t="shared" si="125"/>
        <v>51-75</v>
      </c>
      <c r="U536">
        <v>4</v>
      </c>
      <c r="V536" t="s">
        <v>65</v>
      </c>
      <c r="W536">
        <v>4</v>
      </c>
      <c r="X536" t="s">
        <v>92</v>
      </c>
      <c r="Y536">
        <v>3</v>
      </c>
      <c r="Z536" t="s">
        <v>63</v>
      </c>
      <c r="AA536" t="s">
        <v>77</v>
      </c>
      <c r="AB536" s="4">
        <v>14814</v>
      </c>
      <c r="AC536" s="4" t="str">
        <f t="shared" si="126"/>
        <v>$14,500-$16,000</v>
      </c>
      <c r="AD536">
        <v>13514</v>
      </c>
      <c r="AE536" t="str">
        <f t="shared" si="127"/>
        <v>$8,001-$16,000</v>
      </c>
      <c r="AF536">
        <v>3</v>
      </c>
      <c r="AG536" t="str">
        <f t="shared" si="128"/>
        <v>2-3</v>
      </c>
      <c r="AH536" t="s">
        <v>67</v>
      </c>
      <c r="AI536" t="s">
        <v>71</v>
      </c>
      <c r="AJ536">
        <v>19</v>
      </c>
      <c r="AK536" t="str">
        <f t="shared" si="129"/>
        <v>18-19%</v>
      </c>
      <c r="AL536">
        <v>3</v>
      </c>
      <c r="AM536" t="s">
        <v>68</v>
      </c>
      <c r="AN536">
        <v>3</v>
      </c>
      <c r="AO536" t="s">
        <v>63</v>
      </c>
      <c r="AP536">
        <v>80</v>
      </c>
      <c r="AQ536">
        <v>0</v>
      </c>
      <c r="AR536">
        <v>32</v>
      </c>
      <c r="AS536" t="str">
        <f t="shared" si="130"/>
        <v>21-40</v>
      </c>
      <c r="AT536">
        <v>3</v>
      </c>
      <c r="AU536" t="str">
        <f t="shared" si="131"/>
        <v>3-4</v>
      </c>
      <c r="AV536">
        <v>3</v>
      </c>
      <c r="AW536" t="s">
        <v>79</v>
      </c>
      <c r="AX536">
        <v>5</v>
      </c>
      <c r="AY536" t="str">
        <f t="shared" si="120"/>
        <v>2-5</v>
      </c>
      <c r="AZ536">
        <v>1</v>
      </c>
      <c r="BA536" t="str">
        <f t="shared" si="132"/>
        <v>0-1</v>
      </c>
      <c r="BB536">
        <v>1</v>
      </c>
      <c r="BC536" t="str">
        <f t="shared" si="133"/>
        <v>0-1</v>
      </c>
      <c r="BD536">
        <v>3</v>
      </c>
      <c r="BE536" t="str">
        <f t="shared" si="134"/>
        <v>2-5</v>
      </c>
    </row>
    <row r="537" spans="1:57" x14ac:dyDescent="0.3">
      <c r="A537">
        <v>731</v>
      </c>
      <c r="B537">
        <v>41</v>
      </c>
      <c r="C537" t="str">
        <f t="shared" si="121"/>
        <v>36-45</v>
      </c>
      <c r="D537" t="s">
        <v>71</v>
      </c>
      <c r="E537">
        <f t="shared" si="122"/>
        <v>0</v>
      </c>
      <c r="F537" t="s">
        <v>57</v>
      </c>
      <c r="G537">
        <v>427</v>
      </c>
      <c r="H537" t="str">
        <f t="shared" si="123"/>
        <v>102-500</v>
      </c>
      <c r="I537" t="s">
        <v>97</v>
      </c>
      <c r="J537">
        <v>10</v>
      </c>
      <c r="K537" t="str">
        <f t="shared" si="124"/>
        <v>6-10</v>
      </c>
      <c r="L537">
        <v>4</v>
      </c>
      <c r="M537" t="s">
        <v>82</v>
      </c>
      <c r="N537" t="s">
        <v>97</v>
      </c>
      <c r="O537">
        <v>1</v>
      </c>
      <c r="P537">
        <v>2</v>
      </c>
      <c r="Q537" t="s">
        <v>61</v>
      </c>
      <c r="R537" t="s">
        <v>75</v>
      </c>
      <c r="S537">
        <v>73</v>
      </c>
      <c r="T537" t="str">
        <f t="shared" si="125"/>
        <v>51-75</v>
      </c>
      <c r="U537">
        <v>2</v>
      </c>
      <c r="V537" t="s">
        <v>61</v>
      </c>
      <c r="W537">
        <v>5</v>
      </c>
      <c r="X537" t="s">
        <v>90</v>
      </c>
      <c r="Y537">
        <v>4</v>
      </c>
      <c r="Z537" t="s">
        <v>65</v>
      </c>
      <c r="AA537" t="s">
        <v>86</v>
      </c>
      <c r="AB537" s="4">
        <v>19141</v>
      </c>
      <c r="AC537" s="4" t="str">
        <f t="shared" si="126"/>
        <v>$19,000-$20,500</v>
      </c>
      <c r="AD537">
        <v>8861</v>
      </c>
      <c r="AE537" t="str">
        <f t="shared" si="127"/>
        <v>$8,001-$16,000</v>
      </c>
      <c r="AF537">
        <v>3</v>
      </c>
      <c r="AG537" t="str">
        <f t="shared" si="128"/>
        <v>2-3</v>
      </c>
      <c r="AH537" t="s">
        <v>67</v>
      </c>
      <c r="AI537" t="s">
        <v>71</v>
      </c>
      <c r="AJ537">
        <v>15</v>
      </c>
      <c r="AK537" t="str">
        <f t="shared" si="129"/>
        <v>13-15%</v>
      </c>
      <c r="AL537">
        <v>3</v>
      </c>
      <c r="AM537" t="s">
        <v>68</v>
      </c>
      <c r="AN537">
        <v>2</v>
      </c>
      <c r="AO537" t="s">
        <v>61</v>
      </c>
      <c r="AP537">
        <v>80</v>
      </c>
      <c r="AQ537">
        <v>3</v>
      </c>
      <c r="AR537">
        <v>23</v>
      </c>
      <c r="AS537" t="str">
        <f t="shared" si="130"/>
        <v>21-40</v>
      </c>
      <c r="AT537">
        <v>2</v>
      </c>
      <c r="AU537" t="str">
        <f t="shared" si="131"/>
        <v>0-2</v>
      </c>
      <c r="AV537">
        <v>2</v>
      </c>
      <c r="AW537" t="s">
        <v>84</v>
      </c>
      <c r="AX537">
        <v>21</v>
      </c>
      <c r="AY537" t="str">
        <f t="shared" si="120"/>
        <v>21-40</v>
      </c>
      <c r="AZ537">
        <v>6</v>
      </c>
      <c r="BA537" t="str">
        <f t="shared" si="132"/>
        <v>6-10</v>
      </c>
      <c r="BB537">
        <v>12</v>
      </c>
      <c r="BC537" t="str">
        <f t="shared" si="133"/>
        <v>11-15</v>
      </c>
      <c r="BD537">
        <v>6</v>
      </c>
      <c r="BE537" t="str">
        <f t="shared" si="134"/>
        <v>6-10</v>
      </c>
    </row>
    <row r="538" spans="1:57" x14ac:dyDescent="0.3">
      <c r="A538">
        <v>732</v>
      </c>
      <c r="B538">
        <v>60</v>
      </c>
      <c r="C538" t="str">
        <f t="shared" si="121"/>
        <v>56+</v>
      </c>
      <c r="D538" t="s">
        <v>71</v>
      </c>
      <c r="E538">
        <f t="shared" si="122"/>
        <v>0</v>
      </c>
      <c r="F538" t="s">
        <v>57</v>
      </c>
      <c r="G538">
        <v>1179</v>
      </c>
      <c r="H538" t="str">
        <f t="shared" si="123"/>
        <v>1001-1499</v>
      </c>
      <c r="I538" t="s">
        <v>58</v>
      </c>
      <c r="J538">
        <v>16</v>
      </c>
      <c r="K538" t="str">
        <f t="shared" si="124"/>
        <v>11-20</v>
      </c>
      <c r="L538">
        <v>4</v>
      </c>
      <c r="M538" t="s">
        <v>82</v>
      </c>
      <c r="N538" t="s">
        <v>93</v>
      </c>
      <c r="O538">
        <v>1</v>
      </c>
      <c r="P538">
        <v>1</v>
      </c>
      <c r="Q538" t="s">
        <v>69</v>
      </c>
      <c r="R538" t="s">
        <v>75</v>
      </c>
      <c r="S538">
        <v>84</v>
      </c>
      <c r="T538" t="str">
        <f t="shared" si="125"/>
        <v>76-100</v>
      </c>
      <c r="U538">
        <v>3</v>
      </c>
      <c r="V538" t="s">
        <v>63</v>
      </c>
      <c r="W538">
        <v>2</v>
      </c>
      <c r="X538" t="s">
        <v>64</v>
      </c>
      <c r="Y538">
        <v>1</v>
      </c>
      <c r="Z538" t="s">
        <v>69</v>
      </c>
      <c r="AA538" t="s">
        <v>66</v>
      </c>
      <c r="AB538" s="4">
        <v>5405</v>
      </c>
      <c r="AC538" s="4" t="str">
        <f t="shared" si="126"/>
        <v>$4,000-$5,500</v>
      </c>
      <c r="AD538">
        <v>11924</v>
      </c>
      <c r="AE538" t="str">
        <f t="shared" si="127"/>
        <v>$8,001-$16,000</v>
      </c>
      <c r="AF538">
        <v>8</v>
      </c>
      <c r="AG538" t="str">
        <f t="shared" si="128"/>
        <v>7-9</v>
      </c>
      <c r="AH538" t="s">
        <v>67</v>
      </c>
      <c r="AI538" t="s">
        <v>71</v>
      </c>
      <c r="AJ538">
        <v>14</v>
      </c>
      <c r="AK538" t="str">
        <f t="shared" si="129"/>
        <v>13-15%</v>
      </c>
      <c r="AL538">
        <v>3</v>
      </c>
      <c r="AM538" t="s">
        <v>68</v>
      </c>
      <c r="AN538">
        <v>4</v>
      </c>
      <c r="AO538" t="s">
        <v>65</v>
      </c>
      <c r="AP538">
        <v>80</v>
      </c>
      <c r="AQ538">
        <v>0</v>
      </c>
      <c r="AR538">
        <v>10</v>
      </c>
      <c r="AS538" t="str">
        <f t="shared" si="130"/>
        <v>6-10</v>
      </c>
      <c r="AT538">
        <v>1</v>
      </c>
      <c r="AU538" t="str">
        <f t="shared" si="131"/>
        <v>0-2</v>
      </c>
      <c r="AV538">
        <v>3</v>
      </c>
      <c r="AW538" t="s">
        <v>79</v>
      </c>
      <c r="AX538">
        <v>2</v>
      </c>
      <c r="AY538" t="str">
        <f t="shared" si="120"/>
        <v>2-5</v>
      </c>
      <c r="AZ538">
        <v>2</v>
      </c>
      <c r="BA538" t="str">
        <f t="shared" si="132"/>
        <v>2-5</v>
      </c>
      <c r="BB538">
        <v>2</v>
      </c>
      <c r="BC538" t="str">
        <f t="shared" si="133"/>
        <v>2-5</v>
      </c>
      <c r="BD538">
        <v>2</v>
      </c>
      <c r="BE538" t="str">
        <f t="shared" si="134"/>
        <v>2-5</v>
      </c>
    </row>
    <row r="539" spans="1:57" x14ac:dyDescent="0.3">
      <c r="A539">
        <v>733</v>
      </c>
      <c r="B539">
        <v>27</v>
      </c>
      <c r="C539" t="str">
        <f t="shared" si="121"/>
        <v>26-35</v>
      </c>
      <c r="D539" t="s">
        <v>71</v>
      </c>
      <c r="E539">
        <f t="shared" si="122"/>
        <v>0</v>
      </c>
      <c r="F539" t="s">
        <v>72</v>
      </c>
      <c r="G539">
        <v>294</v>
      </c>
      <c r="H539" t="str">
        <f t="shared" si="123"/>
        <v>102-500</v>
      </c>
      <c r="I539" t="s">
        <v>73</v>
      </c>
      <c r="J539">
        <v>10</v>
      </c>
      <c r="K539" t="str">
        <f t="shared" si="124"/>
        <v>6-10</v>
      </c>
      <c r="L539">
        <v>2</v>
      </c>
      <c r="M539" t="s">
        <v>59</v>
      </c>
      <c r="N539" t="s">
        <v>60</v>
      </c>
      <c r="O539">
        <v>1</v>
      </c>
      <c r="P539">
        <v>4</v>
      </c>
      <c r="Q539" t="s">
        <v>65</v>
      </c>
      <c r="R539" t="s">
        <v>75</v>
      </c>
      <c r="S539">
        <v>32</v>
      </c>
      <c r="T539" t="str">
        <f t="shared" si="125"/>
        <v>30-50</v>
      </c>
      <c r="U539">
        <v>3</v>
      </c>
      <c r="V539" t="s">
        <v>63</v>
      </c>
      <c r="W539">
        <v>3</v>
      </c>
      <c r="X539" t="s">
        <v>87</v>
      </c>
      <c r="Y539">
        <v>1</v>
      </c>
      <c r="Z539" t="s">
        <v>69</v>
      </c>
      <c r="AA539" t="s">
        <v>86</v>
      </c>
      <c r="AB539" s="4">
        <v>8793</v>
      </c>
      <c r="AC539" s="4" t="str">
        <f t="shared" si="126"/>
        <v>$8,500-$10,000</v>
      </c>
      <c r="AD539">
        <v>4809</v>
      </c>
      <c r="AE539" t="str">
        <f t="shared" si="127"/>
        <v>$2,094-$8,000</v>
      </c>
      <c r="AF539">
        <v>1</v>
      </c>
      <c r="AG539" t="str">
        <f t="shared" si="128"/>
        <v>0-1</v>
      </c>
      <c r="AH539" t="s">
        <v>67</v>
      </c>
      <c r="AI539" t="s">
        <v>71</v>
      </c>
      <c r="AJ539">
        <v>21</v>
      </c>
      <c r="AK539" t="str">
        <f t="shared" si="129"/>
        <v>18-19%</v>
      </c>
      <c r="AL539">
        <v>4</v>
      </c>
      <c r="AM539" t="s">
        <v>78</v>
      </c>
      <c r="AN539">
        <v>3</v>
      </c>
      <c r="AO539" t="s">
        <v>63</v>
      </c>
      <c r="AP539">
        <v>80</v>
      </c>
      <c r="AQ539">
        <v>2</v>
      </c>
      <c r="AR539">
        <v>9</v>
      </c>
      <c r="AS539" t="str">
        <f t="shared" si="130"/>
        <v>6-10</v>
      </c>
      <c r="AT539">
        <v>4</v>
      </c>
      <c r="AU539" t="str">
        <f t="shared" si="131"/>
        <v>3-4</v>
      </c>
      <c r="AV539">
        <v>2</v>
      </c>
      <c r="AW539" t="s">
        <v>84</v>
      </c>
      <c r="AX539">
        <v>9</v>
      </c>
      <c r="AY539" t="str">
        <f t="shared" si="120"/>
        <v>6-10</v>
      </c>
      <c r="AZ539">
        <v>7</v>
      </c>
      <c r="BA539" t="str">
        <f t="shared" si="132"/>
        <v>6-10</v>
      </c>
      <c r="BB539">
        <v>1</v>
      </c>
      <c r="BC539" t="str">
        <f t="shared" si="133"/>
        <v>0-1</v>
      </c>
      <c r="BD539">
        <v>7</v>
      </c>
      <c r="BE539" t="str">
        <f t="shared" si="134"/>
        <v>6-10</v>
      </c>
    </row>
    <row r="540" spans="1:57" x14ac:dyDescent="0.3">
      <c r="A540">
        <v>734</v>
      </c>
      <c r="B540">
        <v>41</v>
      </c>
      <c r="C540" t="str">
        <f t="shared" si="121"/>
        <v>36-45</v>
      </c>
      <c r="D540" t="s">
        <v>71</v>
      </c>
      <c r="E540">
        <f t="shared" si="122"/>
        <v>0</v>
      </c>
      <c r="F540" t="s">
        <v>57</v>
      </c>
      <c r="G540">
        <v>314</v>
      </c>
      <c r="H540" t="str">
        <f t="shared" si="123"/>
        <v>102-500</v>
      </c>
      <c r="I540" t="s">
        <v>97</v>
      </c>
      <c r="J540">
        <v>1</v>
      </c>
      <c r="K540" t="str">
        <f t="shared" si="124"/>
        <v>1-5</v>
      </c>
      <c r="L540">
        <v>3</v>
      </c>
      <c r="M540" t="s">
        <v>85</v>
      </c>
      <c r="N540" t="s">
        <v>97</v>
      </c>
      <c r="O540">
        <v>1</v>
      </c>
      <c r="P540">
        <v>4</v>
      </c>
      <c r="Q540" t="s">
        <v>65</v>
      </c>
      <c r="R540" t="s">
        <v>75</v>
      </c>
      <c r="S540">
        <v>59</v>
      </c>
      <c r="T540" t="str">
        <f t="shared" si="125"/>
        <v>51-75</v>
      </c>
      <c r="U540">
        <v>2</v>
      </c>
      <c r="V540" t="s">
        <v>61</v>
      </c>
      <c r="W540">
        <v>5</v>
      </c>
      <c r="X540" t="s">
        <v>90</v>
      </c>
      <c r="Y540">
        <v>3</v>
      </c>
      <c r="Z540" t="s">
        <v>63</v>
      </c>
      <c r="AA540" t="s">
        <v>77</v>
      </c>
      <c r="AB540" s="4">
        <v>19189</v>
      </c>
      <c r="AC540" s="4" t="str">
        <f t="shared" si="126"/>
        <v>$19,000-$20,500</v>
      </c>
      <c r="AD540">
        <v>19562</v>
      </c>
      <c r="AE540" t="str">
        <f t="shared" si="127"/>
        <v>$16,001-$22,000</v>
      </c>
      <c r="AF540">
        <v>1</v>
      </c>
      <c r="AG540" t="str">
        <f t="shared" si="128"/>
        <v>0-1</v>
      </c>
      <c r="AH540" t="s">
        <v>67</v>
      </c>
      <c r="AI540" t="s">
        <v>71</v>
      </c>
      <c r="AJ540">
        <v>12</v>
      </c>
      <c r="AK540" t="str">
        <f t="shared" si="129"/>
        <v>11-12%</v>
      </c>
      <c r="AL540">
        <v>3</v>
      </c>
      <c r="AM540" t="s">
        <v>68</v>
      </c>
      <c r="AN540">
        <v>2</v>
      </c>
      <c r="AO540" t="s">
        <v>61</v>
      </c>
      <c r="AP540">
        <v>80</v>
      </c>
      <c r="AQ540">
        <v>1</v>
      </c>
      <c r="AR540">
        <v>22</v>
      </c>
      <c r="AS540" t="str">
        <f t="shared" si="130"/>
        <v>21-40</v>
      </c>
      <c r="AT540">
        <v>3</v>
      </c>
      <c r="AU540" t="str">
        <f t="shared" si="131"/>
        <v>3-4</v>
      </c>
      <c r="AV540">
        <v>3</v>
      </c>
      <c r="AW540" t="s">
        <v>79</v>
      </c>
      <c r="AX540">
        <v>22</v>
      </c>
      <c r="AY540" t="str">
        <f t="shared" si="120"/>
        <v>21-40</v>
      </c>
      <c r="AZ540">
        <v>7</v>
      </c>
      <c r="BA540" t="str">
        <f t="shared" si="132"/>
        <v>6-10</v>
      </c>
      <c r="BB540">
        <v>2</v>
      </c>
      <c r="BC540" t="str">
        <f t="shared" si="133"/>
        <v>2-5</v>
      </c>
      <c r="BD540">
        <v>10</v>
      </c>
      <c r="BE540" t="str">
        <f t="shared" si="134"/>
        <v>6-10</v>
      </c>
    </row>
    <row r="541" spans="1:57" x14ac:dyDescent="0.3">
      <c r="A541">
        <v>738</v>
      </c>
      <c r="B541">
        <v>50</v>
      </c>
      <c r="C541" t="str">
        <f t="shared" si="121"/>
        <v>46-55</v>
      </c>
      <c r="D541" t="s">
        <v>71</v>
      </c>
      <c r="E541">
        <f t="shared" si="122"/>
        <v>0</v>
      </c>
      <c r="F541" t="s">
        <v>57</v>
      </c>
      <c r="G541">
        <v>316</v>
      </c>
      <c r="H541" t="str">
        <f t="shared" si="123"/>
        <v>102-500</v>
      </c>
      <c r="I541" t="s">
        <v>58</v>
      </c>
      <c r="J541">
        <v>8</v>
      </c>
      <c r="K541" t="str">
        <f t="shared" si="124"/>
        <v>6-10</v>
      </c>
      <c r="L541">
        <v>4</v>
      </c>
      <c r="M541" t="s">
        <v>82</v>
      </c>
      <c r="N541" t="s">
        <v>93</v>
      </c>
      <c r="O541">
        <v>1</v>
      </c>
      <c r="P541">
        <v>4</v>
      </c>
      <c r="Q541" t="s">
        <v>65</v>
      </c>
      <c r="R541" t="s">
        <v>75</v>
      </c>
      <c r="S541">
        <v>54</v>
      </c>
      <c r="T541" t="str">
        <f t="shared" si="125"/>
        <v>51-75</v>
      </c>
      <c r="U541">
        <v>3</v>
      </c>
      <c r="V541" t="s">
        <v>63</v>
      </c>
      <c r="W541">
        <v>1</v>
      </c>
      <c r="X541" t="s">
        <v>91</v>
      </c>
      <c r="Y541">
        <v>2</v>
      </c>
      <c r="Z541" t="s">
        <v>61</v>
      </c>
      <c r="AA541" t="s">
        <v>77</v>
      </c>
      <c r="AB541" s="4">
        <v>3875</v>
      </c>
      <c r="AC541" s="4" t="str">
        <f t="shared" si="126"/>
        <v>$2,500-$4,000</v>
      </c>
      <c r="AD541">
        <v>9983</v>
      </c>
      <c r="AE541" t="str">
        <f t="shared" si="127"/>
        <v>$8,001-$16,000</v>
      </c>
      <c r="AF541">
        <v>7</v>
      </c>
      <c r="AG541" t="str">
        <f t="shared" si="128"/>
        <v>7-9</v>
      </c>
      <c r="AH541" t="s">
        <v>67</v>
      </c>
      <c r="AI541" t="s">
        <v>71</v>
      </c>
      <c r="AJ541">
        <v>15</v>
      </c>
      <c r="AK541" t="str">
        <f t="shared" si="129"/>
        <v>13-15%</v>
      </c>
      <c r="AL541">
        <v>3</v>
      </c>
      <c r="AM541" t="s">
        <v>68</v>
      </c>
      <c r="AN541">
        <v>4</v>
      </c>
      <c r="AO541" t="s">
        <v>65</v>
      </c>
      <c r="AP541">
        <v>80</v>
      </c>
      <c r="AQ541">
        <v>1</v>
      </c>
      <c r="AR541">
        <v>4</v>
      </c>
      <c r="AS541" t="str">
        <f t="shared" si="130"/>
        <v>3-5</v>
      </c>
      <c r="AT541">
        <v>2</v>
      </c>
      <c r="AU541" t="str">
        <f t="shared" si="131"/>
        <v>0-2</v>
      </c>
      <c r="AV541">
        <v>3</v>
      </c>
      <c r="AW541" t="s">
        <v>79</v>
      </c>
      <c r="AX541">
        <v>2</v>
      </c>
      <c r="AY541" t="str">
        <f t="shared" si="120"/>
        <v>2-5</v>
      </c>
      <c r="AZ541">
        <v>2</v>
      </c>
      <c r="BA541" t="str">
        <f t="shared" si="132"/>
        <v>2-5</v>
      </c>
      <c r="BB541">
        <v>2</v>
      </c>
      <c r="BC541" t="str">
        <f t="shared" si="133"/>
        <v>2-5</v>
      </c>
      <c r="BD541">
        <v>2</v>
      </c>
      <c r="BE541" t="str">
        <f t="shared" si="134"/>
        <v>2-5</v>
      </c>
    </row>
    <row r="542" spans="1:57" x14ac:dyDescent="0.3">
      <c r="A542">
        <v>741</v>
      </c>
      <c r="B542">
        <v>28</v>
      </c>
      <c r="C542" t="str">
        <f t="shared" si="121"/>
        <v>26-35</v>
      </c>
      <c r="D542" t="s">
        <v>56</v>
      </c>
      <c r="E542">
        <f t="shared" si="122"/>
        <v>1</v>
      </c>
      <c r="F542" t="s">
        <v>57</v>
      </c>
      <c r="G542">
        <v>654</v>
      </c>
      <c r="H542" t="str">
        <f t="shared" si="123"/>
        <v>501-1000</v>
      </c>
      <c r="I542" t="s">
        <v>73</v>
      </c>
      <c r="J542">
        <v>1</v>
      </c>
      <c r="K542" t="str">
        <f t="shared" si="124"/>
        <v>1-5</v>
      </c>
      <c r="L542">
        <v>2</v>
      </c>
      <c r="M542" t="s">
        <v>59</v>
      </c>
      <c r="N542" t="s">
        <v>60</v>
      </c>
      <c r="O542">
        <v>1</v>
      </c>
      <c r="P542">
        <v>1</v>
      </c>
      <c r="Q542" t="s">
        <v>69</v>
      </c>
      <c r="R542" t="s">
        <v>62</v>
      </c>
      <c r="S542">
        <v>67</v>
      </c>
      <c r="T542" t="str">
        <f t="shared" si="125"/>
        <v>51-75</v>
      </c>
      <c r="U542">
        <v>1</v>
      </c>
      <c r="V542" t="s">
        <v>69</v>
      </c>
      <c r="W542">
        <v>1</v>
      </c>
      <c r="X542" t="s">
        <v>76</v>
      </c>
      <c r="Y542">
        <v>2</v>
      </c>
      <c r="Z542" t="s">
        <v>61</v>
      </c>
      <c r="AA542" t="s">
        <v>66</v>
      </c>
      <c r="AB542" s="4">
        <v>2216</v>
      </c>
      <c r="AC542" s="4" t="str">
        <f t="shared" si="126"/>
        <v>$1,000-$2,500</v>
      </c>
      <c r="AD542">
        <v>3872</v>
      </c>
      <c r="AE542" t="str">
        <f t="shared" si="127"/>
        <v>$2,094-$8,000</v>
      </c>
      <c r="AF542">
        <v>7</v>
      </c>
      <c r="AG542" t="str">
        <f t="shared" si="128"/>
        <v>7-9</v>
      </c>
      <c r="AH542" t="s">
        <v>67</v>
      </c>
      <c r="AI542" t="s">
        <v>56</v>
      </c>
      <c r="AJ542">
        <v>13</v>
      </c>
      <c r="AK542" t="str">
        <f t="shared" si="129"/>
        <v>13-15%</v>
      </c>
      <c r="AL542">
        <v>3</v>
      </c>
      <c r="AM542" t="s">
        <v>68</v>
      </c>
      <c r="AN542">
        <v>4</v>
      </c>
      <c r="AO542" t="s">
        <v>65</v>
      </c>
      <c r="AP542">
        <v>80</v>
      </c>
      <c r="AQ542">
        <v>0</v>
      </c>
      <c r="AR542">
        <v>10</v>
      </c>
      <c r="AS542" t="str">
        <f t="shared" si="130"/>
        <v>6-10</v>
      </c>
      <c r="AT542">
        <v>4</v>
      </c>
      <c r="AU542" t="str">
        <f t="shared" si="131"/>
        <v>3-4</v>
      </c>
      <c r="AV542">
        <v>3</v>
      </c>
      <c r="AW542" t="s">
        <v>79</v>
      </c>
      <c r="AX542">
        <v>7</v>
      </c>
      <c r="AY542" t="str">
        <f t="shared" si="120"/>
        <v>6-10</v>
      </c>
      <c r="AZ542">
        <v>7</v>
      </c>
      <c r="BA542" t="str">
        <f t="shared" si="132"/>
        <v>6-10</v>
      </c>
      <c r="BB542">
        <v>3</v>
      </c>
      <c r="BC542" t="str">
        <f t="shared" si="133"/>
        <v>2-5</v>
      </c>
      <c r="BD542">
        <v>7</v>
      </c>
      <c r="BE542" t="str">
        <f t="shared" si="134"/>
        <v>6-10</v>
      </c>
    </row>
    <row r="543" spans="1:57" x14ac:dyDescent="0.3">
      <c r="A543">
        <v>742</v>
      </c>
      <c r="B543">
        <v>36</v>
      </c>
      <c r="C543" t="str">
        <f t="shared" si="121"/>
        <v>36-45</v>
      </c>
      <c r="D543" t="s">
        <v>71</v>
      </c>
      <c r="E543">
        <f t="shared" si="122"/>
        <v>0</v>
      </c>
      <c r="F543" t="s">
        <v>89</v>
      </c>
      <c r="G543">
        <v>427</v>
      </c>
      <c r="H543" t="str">
        <f t="shared" si="123"/>
        <v>102-500</v>
      </c>
      <c r="I543" t="s">
        <v>73</v>
      </c>
      <c r="J543">
        <v>8</v>
      </c>
      <c r="K543" t="str">
        <f t="shared" si="124"/>
        <v>6-10</v>
      </c>
      <c r="L543">
        <v>3</v>
      </c>
      <c r="M543" t="s">
        <v>85</v>
      </c>
      <c r="N543" t="s">
        <v>60</v>
      </c>
      <c r="O543">
        <v>1</v>
      </c>
      <c r="P543">
        <v>1</v>
      </c>
      <c r="Q543" t="s">
        <v>69</v>
      </c>
      <c r="R543" t="s">
        <v>62</v>
      </c>
      <c r="S543">
        <v>63</v>
      </c>
      <c r="T543" t="str">
        <f t="shared" si="125"/>
        <v>51-75</v>
      </c>
      <c r="U543">
        <v>4</v>
      </c>
      <c r="V543" t="s">
        <v>65</v>
      </c>
      <c r="W543">
        <v>3</v>
      </c>
      <c r="X543" t="s">
        <v>92</v>
      </c>
      <c r="Y543">
        <v>1</v>
      </c>
      <c r="Z543" t="s">
        <v>69</v>
      </c>
      <c r="AA543" t="s">
        <v>77</v>
      </c>
      <c r="AB543" s="4">
        <v>11713</v>
      </c>
      <c r="AC543" s="4" t="str">
        <f t="shared" si="126"/>
        <v>$11,500-$13,000</v>
      </c>
      <c r="AD543">
        <v>20335</v>
      </c>
      <c r="AE543" t="str">
        <f t="shared" si="127"/>
        <v>$16,001-$22,000</v>
      </c>
      <c r="AF543">
        <v>9</v>
      </c>
      <c r="AG543" t="str">
        <f t="shared" si="128"/>
        <v>7-9</v>
      </c>
      <c r="AH543" t="s">
        <v>67</v>
      </c>
      <c r="AI543" t="s">
        <v>71</v>
      </c>
      <c r="AJ543">
        <v>14</v>
      </c>
      <c r="AK543" t="str">
        <f t="shared" si="129"/>
        <v>13-15%</v>
      </c>
      <c r="AL543">
        <v>3</v>
      </c>
      <c r="AM543" t="s">
        <v>68</v>
      </c>
      <c r="AN543">
        <v>1</v>
      </c>
      <c r="AO543" t="s">
        <v>69</v>
      </c>
      <c r="AP543">
        <v>80</v>
      </c>
      <c r="AQ543">
        <v>1</v>
      </c>
      <c r="AR543">
        <v>10</v>
      </c>
      <c r="AS543" t="str">
        <f t="shared" si="130"/>
        <v>6-10</v>
      </c>
      <c r="AT543">
        <v>2</v>
      </c>
      <c r="AU543" t="str">
        <f t="shared" si="131"/>
        <v>0-2</v>
      </c>
      <c r="AV543">
        <v>3</v>
      </c>
      <c r="AW543" t="s">
        <v>79</v>
      </c>
      <c r="AX543">
        <v>8</v>
      </c>
      <c r="AY543" t="str">
        <f t="shared" si="120"/>
        <v>6-10</v>
      </c>
      <c r="AZ543">
        <v>7</v>
      </c>
      <c r="BA543" t="str">
        <f t="shared" si="132"/>
        <v>6-10</v>
      </c>
      <c r="BB543">
        <v>0</v>
      </c>
      <c r="BC543" t="str">
        <f t="shared" si="133"/>
        <v>0-1</v>
      </c>
      <c r="BD543">
        <v>5</v>
      </c>
      <c r="BE543" t="str">
        <f t="shared" si="134"/>
        <v>2-5</v>
      </c>
    </row>
    <row r="544" spans="1:57" x14ac:dyDescent="0.3">
      <c r="A544">
        <v>743</v>
      </c>
      <c r="B544">
        <v>38</v>
      </c>
      <c r="C544" t="str">
        <f t="shared" si="121"/>
        <v>36-45</v>
      </c>
      <c r="D544" t="s">
        <v>71</v>
      </c>
      <c r="E544">
        <f t="shared" si="122"/>
        <v>0</v>
      </c>
      <c r="F544" t="s">
        <v>57</v>
      </c>
      <c r="G544">
        <v>168</v>
      </c>
      <c r="H544" t="str">
        <f t="shared" si="123"/>
        <v>102-500</v>
      </c>
      <c r="I544" t="s">
        <v>73</v>
      </c>
      <c r="J544">
        <v>1</v>
      </c>
      <c r="K544" t="str">
        <f t="shared" si="124"/>
        <v>1-5</v>
      </c>
      <c r="L544">
        <v>3</v>
      </c>
      <c r="M544" t="s">
        <v>85</v>
      </c>
      <c r="N544" t="s">
        <v>60</v>
      </c>
      <c r="O544">
        <v>1</v>
      </c>
      <c r="P544">
        <v>3</v>
      </c>
      <c r="Q544" t="s">
        <v>63</v>
      </c>
      <c r="R544" t="s">
        <v>62</v>
      </c>
      <c r="S544">
        <v>81</v>
      </c>
      <c r="T544" t="str">
        <f t="shared" si="125"/>
        <v>76-100</v>
      </c>
      <c r="U544">
        <v>3</v>
      </c>
      <c r="V544" t="s">
        <v>63</v>
      </c>
      <c r="W544">
        <v>3</v>
      </c>
      <c r="X544" t="s">
        <v>87</v>
      </c>
      <c r="Y544">
        <v>3</v>
      </c>
      <c r="Z544" t="s">
        <v>63</v>
      </c>
      <c r="AA544" t="s">
        <v>66</v>
      </c>
      <c r="AB544" s="4">
        <v>7861</v>
      </c>
      <c r="AC544" s="4" t="str">
        <f t="shared" si="126"/>
        <v>$7,000-$8,500</v>
      </c>
      <c r="AD544">
        <v>15397</v>
      </c>
      <c r="AE544" t="str">
        <f t="shared" si="127"/>
        <v>$8,001-$16,000</v>
      </c>
      <c r="AF544">
        <v>4</v>
      </c>
      <c r="AG544" t="str">
        <f t="shared" si="128"/>
        <v>4-6</v>
      </c>
      <c r="AH544" t="s">
        <v>67</v>
      </c>
      <c r="AI544" t="s">
        <v>56</v>
      </c>
      <c r="AJ544">
        <v>14</v>
      </c>
      <c r="AK544" t="str">
        <f t="shared" si="129"/>
        <v>13-15%</v>
      </c>
      <c r="AL544">
        <v>3</v>
      </c>
      <c r="AM544" t="s">
        <v>68</v>
      </c>
      <c r="AN544">
        <v>4</v>
      </c>
      <c r="AO544" t="s">
        <v>65</v>
      </c>
      <c r="AP544">
        <v>80</v>
      </c>
      <c r="AQ544">
        <v>0</v>
      </c>
      <c r="AR544">
        <v>10</v>
      </c>
      <c r="AS544" t="str">
        <f t="shared" si="130"/>
        <v>6-10</v>
      </c>
      <c r="AT544">
        <v>4</v>
      </c>
      <c r="AU544" t="str">
        <f t="shared" si="131"/>
        <v>3-4</v>
      </c>
      <c r="AV544">
        <v>4</v>
      </c>
      <c r="AW544" t="s">
        <v>94</v>
      </c>
      <c r="AX544">
        <v>1</v>
      </c>
      <c r="AY544" t="str">
        <f t="shared" si="120"/>
        <v>0-1</v>
      </c>
      <c r="AZ544">
        <v>0</v>
      </c>
      <c r="BA544" t="str">
        <f t="shared" si="132"/>
        <v>0-1</v>
      </c>
      <c r="BB544">
        <v>0</v>
      </c>
      <c r="BC544" t="str">
        <f t="shared" si="133"/>
        <v>0-1</v>
      </c>
      <c r="BD544">
        <v>0</v>
      </c>
      <c r="BE544" t="str">
        <f t="shared" si="134"/>
        <v>0-1</v>
      </c>
    </row>
    <row r="545" spans="1:57" x14ac:dyDescent="0.3">
      <c r="A545">
        <v>744</v>
      </c>
      <c r="B545">
        <v>44</v>
      </c>
      <c r="C545" t="str">
        <f t="shared" si="121"/>
        <v>36-45</v>
      </c>
      <c r="D545" t="s">
        <v>71</v>
      </c>
      <c r="E545">
        <f t="shared" si="122"/>
        <v>0</v>
      </c>
      <c r="F545" t="s">
        <v>89</v>
      </c>
      <c r="G545">
        <v>381</v>
      </c>
      <c r="H545" t="str">
        <f t="shared" si="123"/>
        <v>102-500</v>
      </c>
      <c r="I545" t="s">
        <v>73</v>
      </c>
      <c r="J545">
        <v>24</v>
      </c>
      <c r="K545" t="str">
        <f t="shared" si="124"/>
        <v>21-29</v>
      </c>
      <c r="L545">
        <v>3</v>
      </c>
      <c r="M545" t="s">
        <v>85</v>
      </c>
      <c r="N545" t="s">
        <v>83</v>
      </c>
      <c r="O545">
        <v>1</v>
      </c>
      <c r="P545">
        <v>1</v>
      </c>
      <c r="Q545" t="s">
        <v>69</v>
      </c>
      <c r="R545" t="s">
        <v>75</v>
      </c>
      <c r="S545">
        <v>49</v>
      </c>
      <c r="T545" t="str">
        <f t="shared" si="125"/>
        <v>30-50</v>
      </c>
      <c r="U545">
        <v>1</v>
      </c>
      <c r="V545" t="s">
        <v>69</v>
      </c>
      <c r="W545">
        <v>1</v>
      </c>
      <c r="X545" t="s">
        <v>81</v>
      </c>
      <c r="Y545">
        <v>3</v>
      </c>
      <c r="Z545" t="s">
        <v>63</v>
      </c>
      <c r="AA545" t="s">
        <v>66</v>
      </c>
      <c r="AB545" s="4">
        <v>3708</v>
      </c>
      <c r="AC545" s="4" t="str">
        <f t="shared" si="126"/>
        <v>$2,500-$4,000</v>
      </c>
      <c r="AD545">
        <v>2104</v>
      </c>
      <c r="AE545" t="str">
        <f t="shared" si="127"/>
        <v>$2,094-$8,000</v>
      </c>
      <c r="AF545">
        <v>2</v>
      </c>
      <c r="AG545" t="str">
        <f t="shared" si="128"/>
        <v>2-3</v>
      </c>
      <c r="AH545" t="s">
        <v>67</v>
      </c>
      <c r="AI545" t="s">
        <v>71</v>
      </c>
      <c r="AJ545">
        <v>14</v>
      </c>
      <c r="AK545" t="str">
        <f t="shared" si="129"/>
        <v>13-15%</v>
      </c>
      <c r="AL545">
        <v>3</v>
      </c>
      <c r="AM545" t="s">
        <v>68</v>
      </c>
      <c r="AN545">
        <v>3</v>
      </c>
      <c r="AO545" t="s">
        <v>63</v>
      </c>
      <c r="AP545">
        <v>80</v>
      </c>
      <c r="AQ545">
        <v>0</v>
      </c>
      <c r="AR545">
        <v>9</v>
      </c>
      <c r="AS545" t="str">
        <f t="shared" si="130"/>
        <v>6-10</v>
      </c>
      <c r="AT545">
        <v>5</v>
      </c>
      <c r="AU545" t="str">
        <f t="shared" si="131"/>
        <v>5-6</v>
      </c>
      <c r="AV545">
        <v>3</v>
      </c>
      <c r="AW545" t="s">
        <v>79</v>
      </c>
      <c r="AX545">
        <v>5</v>
      </c>
      <c r="AY545" t="str">
        <f t="shared" si="120"/>
        <v>2-5</v>
      </c>
      <c r="AZ545">
        <v>2</v>
      </c>
      <c r="BA545" t="str">
        <f t="shared" si="132"/>
        <v>2-5</v>
      </c>
      <c r="BB545">
        <v>1</v>
      </c>
      <c r="BC545" t="str">
        <f t="shared" si="133"/>
        <v>0-1</v>
      </c>
      <c r="BD545">
        <v>4</v>
      </c>
      <c r="BE545" t="str">
        <f t="shared" si="134"/>
        <v>2-5</v>
      </c>
    </row>
    <row r="546" spans="1:57" x14ac:dyDescent="0.3">
      <c r="A546">
        <v>746</v>
      </c>
      <c r="B546">
        <v>47</v>
      </c>
      <c r="C546" t="str">
        <f t="shared" si="121"/>
        <v>46-55</v>
      </c>
      <c r="D546" t="s">
        <v>71</v>
      </c>
      <c r="E546">
        <f t="shared" si="122"/>
        <v>0</v>
      </c>
      <c r="F546" t="s">
        <v>72</v>
      </c>
      <c r="G546">
        <v>217</v>
      </c>
      <c r="H546" t="str">
        <f t="shared" si="123"/>
        <v>102-500</v>
      </c>
      <c r="I546" t="s">
        <v>58</v>
      </c>
      <c r="J546">
        <v>3</v>
      </c>
      <c r="K546" t="str">
        <f t="shared" si="124"/>
        <v>1-5</v>
      </c>
      <c r="L546">
        <v>3</v>
      </c>
      <c r="M546" t="s">
        <v>85</v>
      </c>
      <c r="N546" t="s">
        <v>83</v>
      </c>
      <c r="O546">
        <v>1</v>
      </c>
      <c r="P546">
        <v>4</v>
      </c>
      <c r="Q546" t="s">
        <v>65</v>
      </c>
      <c r="R546" t="s">
        <v>62</v>
      </c>
      <c r="S546">
        <v>49</v>
      </c>
      <c r="T546" t="str">
        <f t="shared" si="125"/>
        <v>30-50</v>
      </c>
      <c r="U546">
        <v>3</v>
      </c>
      <c r="V546" t="s">
        <v>63</v>
      </c>
      <c r="W546">
        <v>4</v>
      </c>
      <c r="X546" t="s">
        <v>64</v>
      </c>
      <c r="Y546">
        <v>3</v>
      </c>
      <c r="Z546" t="s">
        <v>63</v>
      </c>
      <c r="AA546" t="s">
        <v>86</v>
      </c>
      <c r="AB546" s="4">
        <v>13770</v>
      </c>
      <c r="AC546" s="4" t="str">
        <f t="shared" si="126"/>
        <v>$13,000-$14,500</v>
      </c>
      <c r="AD546">
        <v>10225</v>
      </c>
      <c r="AE546" t="str">
        <f t="shared" si="127"/>
        <v>$8,001-$16,000</v>
      </c>
      <c r="AF546">
        <v>9</v>
      </c>
      <c r="AG546" t="str">
        <f t="shared" si="128"/>
        <v>7-9</v>
      </c>
      <c r="AH546" t="s">
        <v>67</v>
      </c>
      <c r="AI546" t="s">
        <v>56</v>
      </c>
      <c r="AJ546">
        <v>12</v>
      </c>
      <c r="AK546" t="str">
        <f t="shared" si="129"/>
        <v>11-12%</v>
      </c>
      <c r="AL546">
        <v>3</v>
      </c>
      <c r="AM546" t="s">
        <v>68</v>
      </c>
      <c r="AN546">
        <v>4</v>
      </c>
      <c r="AO546" t="s">
        <v>65</v>
      </c>
      <c r="AP546">
        <v>80</v>
      </c>
      <c r="AQ546">
        <v>2</v>
      </c>
      <c r="AR546">
        <v>28</v>
      </c>
      <c r="AS546" t="str">
        <f t="shared" si="130"/>
        <v>21-40</v>
      </c>
      <c r="AT546">
        <v>2</v>
      </c>
      <c r="AU546" t="str">
        <f t="shared" si="131"/>
        <v>0-2</v>
      </c>
      <c r="AV546">
        <v>2</v>
      </c>
      <c r="AW546" t="s">
        <v>84</v>
      </c>
      <c r="AX546">
        <v>22</v>
      </c>
      <c r="AY546" t="str">
        <f t="shared" si="120"/>
        <v>21-40</v>
      </c>
      <c r="AZ546">
        <v>2</v>
      </c>
      <c r="BA546" t="str">
        <f t="shared" si="132"/>
        <v>2-5</v>
      </c>
      <c r="BB546">
        <v>11</v>
      </c>
      <c r="BC546" t="str">
        <f t="shared" si="133"/>
        <v>11-15</v>
      </c>
      <c r="BD546">
        <v>13</v>
      </c>
      <c r="BE546" t="str">
        <f t="shared" si="134"/>
        <v>11-17</v>
      </c>
    </row>
    <row r="547" spans="1:57" x14ac:dyDescent="0.3">
      <c r="A547">
        <v>747</v>
      </c>
      <c r="B547">
        <v>30</v>
      </c>
      <c r="C547" t="str">
        <f t="shared" si="121"/>
        <v>26-35</v>
      </c>
      <c r="D547" t="s">
        <v>71</v>
      </c>
      <c r="E547">
        <f t="shared" si="122"/>
        <v>0</v>
      </c>
      <c r="F547" t="s">
        <v>57</v>
      </c>
      <c r="G547">
        <v>501</v>
      </c>
      <c r="H547" t="str">
        <f t="shared" si="123"/>
        <v>501-1000</v>
      </c>
      <c r="I547" t="s">
        <v>58</v>
      </c>
      <c r="J547">
        <v>27</v>
      </c>
      <c r="K547" t="str">
        <f t="shared" si="124"/>
        <v>21-29</v>
      </c>
      <c r="L547">
        <v>5</v>
      </c>
      <c r="M547" t="s">
        <v>96</v>
      </c>
      <c r="N547" t="s">
        <v>93</v>
      </c>
      <c r="O547">
        <v>1</v>
      </c>
      <c r="P547">
        <v>3</v>
      </c>
      <c r="Q547" t="s">
        <v>63</v>
      </c>
      <c r="R547" t="s">
        <v>75</v>
      </c>
      <c r="S547">
        <v>99</v>
      </c>
      <c r="T547" t="str">
        <f t="shared" si="125"/>
        <v>76-100</v>
      </c>
      <c r="U547">
        <v>3</v>
      </c>
      <c r="V547" t="s">
        <v>63</v>
      </c>
      <c r="W547">
        <v>2</v>
      </c>
      <c r="X547" t="s">
        <v>64</v>
      </c>
      <c r="Y547">
        <v>4</v>
      </c>
      <c r="Z547" t="s">
        <v>65</v>
      </c>
      <c r="AA547" t="s">
        <v>86</v>
      </c>
      <c r="AB547" s="4">
        <v>5304</v>
      </c>
      <c r="AC547" s="4" t="str">
        <f t="shared" si="126"/>
        <v>$4,000-$5,500</v>
      </c>
      <c r="AD547">
        <v>25275</v>
      </c>
      <c r="AE547" t="str">
        <f t="shared" si="127"/>
        <v>$22,001-$26,999</v>
      </c>
      <c r="AF547">
        <v>7</v>
      </c>
      <c r="AG547" t="str">
        <f t="shared" si="128"/>
        <v>7-9</v>
      </c>
      <c r="AH547" t="s">
        <v>67</v>
      </c>
      <c r="AI547" t="s">
        <v>71</v>
      </c>
      <c r="AJ547">
        <v>23</v>
      </c>
      <c r="AK547" t="str">
        <f t="shared" si="129"/>
        <v>18-19%</v>
      </c>
      <c r="AL547">
        <v>4</v>
      </c>
      <c r="AM547" t="s">
        <v>78</v>
      </c>
      <c r="AN547">
        <v>4</v>
      </c>
      <c r="AO547" t="s">
        <v>65</v>
      </c>
      <c r="AP547">
        <v>80</v>
      </c>
      <c r="AQ547">
        <v>1</v>
      </c>
      <c r="AR547">
        <v>10</v>
      </c>
      <c r="AS547" t="str">
        <f t="shared" si="130"/>
        <v>6-10</v>
      </c>
      <c r="AT547">
        <v>2</v>
      </c>
      <c r="AU547" t="str">
        <f t="shared" si="131"/>
        <v>0-2</v>
      </c>
      <c r="AV547">
        <v>2</v>
      </c>
      <c r="AW547" t="s">
        <v>84</v>
      </c>
      <c r="AX547">
        <v>8</v>
      </c>
      <c r="AY547" t="str">
        <f t="shared" si="120"/>
        <v>6-10</v>
      </c>
      <c r="AZ547">
        <v>7</v>
      </c>
      <c r="BA547" t="str">
        <f t="shared" si="132"/>
        <v>6-10</v>
      </c>
      <c r="BB547">
        <v>7</v>
      </c>
      <c r="BC547" t="str">
        <f t="shared" si="133"/>
        <v>6-10</v>
      </c>
      <c r="BD547">
        <v>7</v>
      </c>
      <c r="BE547" t="str">
        <f t="shared" si="134"/>
        <v>6-10</v>
      </c>
    </row>
    <row r="548" spans="1:57" x14ac:dyDescent="0.3">
      <c r="A548">
        <v>749</v>
      </c>
      <c r="B548">
        <v>29</v>
      </c>
      <c r="C548" t="str">
        <f t="shared" si="121"/>
        <v>26-35</v>
      </c>
      <c r="D548" t="s">
        <v>71</v>
      </c>
      <c r="E548">
        <f t="shared" si="122"/>
        <v>0</v>
      </c>
      <c r="F548" t="s">
        <v>57</v>
      </c>
      <c r="G548">
        <v>1396</v>
      </c>
      <c r="H548" t="str">
        <f t="shared" si="123"/>
        <v>1001-1499</v>
      </c>
      <c r="I548" t="s">
        <v>58</v>
      </c>
      <c r="J548">
        <v>10</v>
      </c>
      <c r="K548" t="str">
        <f t="shared" si="124"/>
        <v>6-10</v>
      </c>
      <c r="L548">
        <v>3</v>
      </c>
      <c r="M548" t="s">
        <v>85</v>
      </c>
      <c r="N548" t="s">
        <v>60</v>
      </c>
      <c r="O548">
        <v>1</v>
      </c>
      <c r="P548">
        <v>3</v>
      </c>
      <c r="Q548" t="s">
        <v>63</v>
      </c>
      <c r="R548" t="s">
        <v>75</v>
      </c>
      <c r="S548">
        <v>99</v>
      </c>
      <c r="T548" t="str">
        <f t="shared" si="125"/>
        <v>76-100</v>
      </c>
      <c r="U548">
        <v>3</v>
      </c>
      <c r="V548" t="s">
        <v>63</v>
      </c>
      <c r="W548">
        <v>1</v>
      </c>
      <c r="X548" t="s">
        <v>91</v>
      </c>
      <c r="Y548">
        <v>3</v>
      </c>
      <c r="Z548" t="s">
        <v>63</v>
      </c>
      <c r="AA548" t="s">
        <v>66</v>
      </c>
      <c r="AB548" s="4">
        <v>2642</v>
      </c>
      <c r="AC548" s="4" t="str">
        <f t="shared" si="126"/>
        <v>$2,500-$4,000</v>
      </c>
      <c r="AD548">
        <v>2755</v>
      </c>
      <c r="AE548" t="str">
        <f t="shared" si="127"/>
        <v>$2,094-$8,000</v>
      </c>
      <c r="AF548">
        <v>1</v>
      </c>
      <c r="AG548" t="str">
        <f t="shared" si="128"/>
        <v>0-1</v>
      </c>
      <c r="AH548" t="s">
        <v>67</v>
      </c>
      <c r="AI548" t="s">
        <v>71</v>
      </c>
      <c r="AJ548">
        <v>11</v>
      </c>
      <c r="AK548" t="str">
        <f t="shared" si="129"/>
        <v>11-12%</v>
      </c>
      <c r="AL548">
        <v>3</v>
      </c>
      <c r="AM548" t="s">
        <v>68</v>
      </c>
      <c r="AN548">
        <v>3</v>
      </c>
      <c r="AO548" t="s">
        <v>63</v>
      </c>
      <c r="AP548">
        <v>80</v>
      </c>
      <c r="AQ548">
        <v>0</v>
      </c>
      <c r="AR548">
        <v>1</v>
      </c>
      <c r="AS548" t="str">
        <f t="shared" si="130"/>
        <v>0-2</v>
      </c>
      <c r="AT548">
        <v>6</v>
      </c>
      <c r="AU548" t="str">
        <f t="shared" si="131"/>
        <v>5-6</v>
      </c>
      <c r="AV548">
        <v>3</v>
      </c>
      <c r="AW548" t="s">
        <v>79</v>
      </c>
      <c r="AX548">
        <v>1</v>
      </c>
      <c r="AY548" t="str">
        <f t="shared" si="120"/>
        <v>0-1</v>
      </c>
      <c r="AZ548">
        <v>0</v>
      </c>
      <c r="BA548" t="str">
        <f t="shared" si="132"/>
        <v>0-1</v>
      </c>
      <c r="BB548">
        <v>0</v>
      </c>
      <c r="BC548" t="str">
        <f t="shared" si="133"/>
        <v>0-1</v>
      </c>
      <c r="BD548">
        <v>0</v>
      </c>
      <c r="BE548" t="str">
        <f t="shared" si="134"/>
        <v>0-1</v>
      </c>
    </row>
    <row r="549" spans="1:57" x14ac:dyDescent="0.3">
      <c r="A549">
        <v>752</v>
      </c>
      <c r="B549">
        <v>42</v>
      </c>
      <c r="C549" t="str">
        <f t="shared" si="121"/>
        <v>36-45</v>
      </c>
      <c r="D549" t="s">
        <v>56</v>
      </c>
      <c r="E549">
        <f t="shared" si="122"/>
        <v>1</v>
      </c>
      <c r="F549" t="s">
        <v>72</v>
      </c>
      <c r="G549">
        <v>933</v>
      </c>
      <c r="H549" t="str">
        <f t="shared" si="123"/>
        <v>501-1000</v>
      </c>
      <c r="I549" t="s">
        <v>73</v>
      </c>
      <c r="J549">
        <v>19</v>
      </c>
      <c r="K549" t="str">
        <f t="shared" si="124"/>
        <v>11-20</v>
      </c>
      <c r="L549">
        <v>3</v>
      </c>
      <c r="M549" t="s">
        <v>85</v>
      </c>
      <c r="N549" t="s">
        <v>83</v>
      </c>
      <c r="O549">
        <v>1</v>
      </c>
      <c r="P549">
        <v>3</v>
      </c>
      <c r="Q549" t="s">
        <v>63</v>
      </c>
      <c r="R549" t="s">
        <v>75</v>
      </c>
      <c r="S549">
        <v>57</v>
      </c>
      <c r="T549" t="str">
        <f t="shared" si="125"/>
        <v>51-75</v>
      </c>
      <c r="U549">
        <v>4</v>
      </c>
      <c r="V549" t="s">
        <v>65</v>
      </c>
      <c r="W549">
        <v>1</v>
      </c>
      <c r="X549" t="s">
        <v>76</v>
      </c>
      <c r="Y549">
        <v>3</v>
      </c>
      <c r="Z549" t="s">
        <v>63</v>
      </c>
      <c r="AA549" t="s">
        <v>86</v>
      </c>
      <c r="AB549" s="4">
        <v>2759</v>
      </c>
      <c r="AC549" s="4" t="str">
        <f t="shared" si="126"/>
        <v>$2,500-$4,000</v>
      </c>
      <c r="AD549">
        <v>20366</v>
      </c>
      <c r="AE549" t="str">
        <f t="shared" si="127"/>
        <v>$16,001-$22,000</v>
      </c>
      <c r="AF549">
        <v>6</v>
      </c>
      <c r="AG549" t="str">
        <f t="shared" si="128"/>
        <v>4-6</v>
      </c>
      <c r="AH549" t="s">
        <v>67</v>
      </c>
      <c r="AI549" t="s">
        <v>56</v>
      </c>
      <c r="AJ549">
        <v>12</v>
      </c>
      <c r="AK549" t="str">
        <f t="shared" si="129"/>
        <v>11-12%</v>
      </c>
      <c r="AL549">
        <v>3</v>
      </c>
      <c r="AM549" t="s">
        <v>68</v>
      </c>
      <c r="AN549">
        <v>4</v>
      </c>
      <c r="AO549" t="s">
        <v>65</v>
      </c>
      <c r="AP549">
        <v>80</v>
      </c>
      <c r="AQ549">
        <v>0</v>
      </c>
      <c r="AR549">
        <v>7</v>
      </c>
      <c r="AS549" t="str">
        <f t="shared" si="130"/>
        <v>6-10</v>
      </c>
      <c r="AT549">
        <v>2</v>
      </c>
      <c r="AU549" t="str">
        <f t="shared" si="131"/>
        <v>0-2</v>
      </c>
      <c r="AV549">
        <v>3</v>
      </c>
      <c r="AW549" t="s">
        <v>79</v>
      </c>
      <c r="AX549">
        <v>2</v>
      </c>
      <c r="AY549" t="str">
        <f t="shared" si="120"/>
        <v>2-5</v>
      </c>
      <c r="AZ549">
        <v>2</v>
      </c>
      <c r="BA549" t="str">
        <f t="shared" si="132"/>
        <v>2-5</v>
      </c>
      <c r="BB549">
        <v>2</v>
      </c>
      <c r="BC549" t="str">
        <f t="shared" si="133"/>
        <v>2-5</v>
      </c>
      <c r="BD549">
        <v>2</v>
      </c>
      <c r="BE549" t="str">
        <f t="shared" si="134"/>
        <v>2-5</v>
      </c>
    </row>
    <row r="550" spans="1:57" x14ac:dyDescent="0.3">
      <c r="A550">
        <v>754</v>
      </c>
      <c r="B550">
        <v>43</v>
      </c>
      <c r="C550" t="str">
        <f t="shared" si="121"/>
        <v>36-45</v>
      </c>
      <c r="D550" t="s">
        <v>71</v>
      </c>
      <c r="E550">
        <f t="shared" si="122"/>
        <v>0</v>
      </c>
      <c r="F550" t="s">
        <v>72</v>
      </c>
      <c r="G550">
        <v>775</v>
      </c>
      <c r="H550" t="str">
        <f t="shared" si="123"/>
        <v>501-1000</v>
      </c>
      <c r="I550" t="s">
        <v>58</v>
      </c>
      <c r="J550">
        <v>15</v>
      </c>
      <c r="K550" t="str">
        <f t="shared" si="124"/>
        <v>11-20</v>
      </c>
      <c r="L550">
        <v>3</v>
      </c>
      <c r="M550" t="s">
        <v>85</v>
      </c>
      <c r="N550" t="s">
        <v>60</v>
      </c>
      <c r="O550">
        <v>1</v>
      </c>
      <c r="P550">
        <v>4</v>
      </c>
      <c r="Q550" t="s">
        <v>65</v>
      </c>
      <c r="R550" t="s">
        <v>75</v>
      </c>
      <c r="S550">
        <v>47</v>
      </c>
      <c r="T550" t="str">
        <f t="shared" si="125"/>
        <v>30-50</v>
      </c>
      <c r="U550">
        <v>2</v>
      </c>
      <c r="V550" t="s">
        <v>61</v>
      </c>
      <c r="W550">
        <v>2</v>
      </c>
      <c r="X550" t="s">
        <v>64</v>
      </c>
      <c r="Y550">
        <v>4</v>
      </c>
      <c r="Z550" t="s">
        <v>65</v>
      </c>
      <c r="AA550" t="s">
        <v>77</v>
      </c>
      <c r="AB550" s="4">
        <v>6804</v>
      </c>
      <c r="AC550" s="4" t="str">
        <f t="shared" si="126"/>
        <v>$5,500-$7,000</v>
      </c>
      <c r="AD550">
        <v>23683</v>
      </c>
      <c r="AE550" t="str">
        <f t="shared" si="127"/>
        <v>$22,001-$26,999</v>
      </c>
      <c r="AF550">
        <v>3</v>
      </c>
      <c r="AG550" t="str">
        <f t="shared" si="128"/>
        <v>2-3</v>
      </c>
      <c r="AH550" t="s">
        <v>67</v>
      </c>
      <c r="AI550" t="s">
        <v>71</v>
      </c>
      <c r="AJ550">
        <v>18</v>
      </c>
      <c r="AK550" t="str">
        <f t="shared" si="129"/>
        <v>18-19%</v>
      </c>
      <c r="AL550">
        <v>3</v>
      </c>
      <c r="AM550" t="s">
        <v>68</v>
      </c>
      <c r="AN550">
        <v>3</v>
      </c>
      <c r="AO550" t="s">
        <v>63</v>
      </c>
      <c r="AP550">
        <v>80</v>
      </c>
      <c r="AQ550">
        <v>1</v>
      </c>
      <c r="AR550">
        <v>7</v>
      </c>
      <c r="AS550" t="str">
        <f t="shared" si="130"/>
        <v>6-10</v>
      </c>
      <c r="AT550">
        <v>5</v>
      </c>
      <c r="AU550" t="str">
        <f t="shared" si="131"/>
        <v>5-6</v>
      </c>
      <c r="AV550">
        <v>3</v>
      </c>
      <c r="AW550" t="s">
        <v>79</v>
      </c>
      <c r="AX550">
        <v>2</v>
      </c>
      <c r="AY550" t="str">
        <f t="shared" si="120"/>
        <v>2-5</v>
      </c>
      <c r="AZ550">
        <v>2</v>
      </c>
      <c r="BA550" t="str">
        <f t="shared" si="132"/>
        <v>2-5</v>
      </c>
      <c r="BB550">
        <v>2</v>
      </c>
      <c r="BC550" t="str">
        <f t="shared" si="133"/>
        <v>2-5</v>
      </c>
      <c r="BD550">
        <v>2</v>
      </c>
      <c r="BE550" t="str">
        <f t="shared" si="134"/>
        <v>2-5</v>
      </c>
    </row>
    <row r="551" spans="1:57" x14ac:dyDescent="0.3">
      <c r="A551">
        <v>757</v>
      </c>
      <c r="B551">
        <v>34</v>
      </c>
      <c r="C551" t="str">
        <f t="shared" si="121"/>
        <v>26-35</v>
      </c>
      <c r="D551" t="s">
        <v>71</v>
      </c>
      <c r="E551">
        <f t="shared" si="122"/>
        <v>0</v>
      </c>
      <c r="F551" t="s">
        <v>57</v>
      </c>
      <c r="G551">
        <v>970</v>
      </c>
      <c r="H551" t="str">
        <f t="shared" si="123"/>
        <v>501-1000</v>
      </c>
      <c r="I551" t="s">
        <v>73</v>
      </c>
      <c r="J551">
        <v>8</v>
      </c>
      <c r="K551" t="str">
        <f t="shared" si="124"/>
        <v>6-10</v>
      </c>
      <c r="L551">
        <v>2</v>
      </c>
      <c r="M551" t="s">
        <v>59</v>
      </c>
      <c r="N551" t="s">
        <v>83</v>
      </c>
      <c r="O551">
        <v>1</v>
      </c>
      <c r="P551">
        <v>2</v>
      </c>
      <c r="Q551" t="s">
        <v>61</v>
      </c>
      <c r="R551" t="s">
        <v>62</v>
      </c>
      <c r="S551">
        <v>96</v>
      </c>
      <c r="T551" t="str">
        <f t="shared" si="125"/>
        <v>76-100</v>
      </c>
      <c r="U551">
        <v>3</v>
      </c>
      <c r="V551" t="s">
        <v>63</v>
      </c>
      <c r="W551">
        <v>2</v>
      </c>
      <c r="X551" t="s">
        <v>88</v>
      </c>
      <c r="Y551">
        <v>3</v>
      </c>
      <c r="Z551" t="s">
        <v>63</v>
      </c>
      <c r="AA551" t="s">
        <v>66</v>
      </c>
      <c r="AB551" s="4">
        <v>6142</v>
      </c>
      <c r="AC551" s="4" t="str">
        <f t="shared" si="126"/>
        <v>$5,500-$7,000</v>
      </c>
      <c r="AD551">
        <v>7360</v>
      </c>
      <c r="AE551" t="str">
        <f t="shared" si="127"/>
        <v>$2,094-$8,000</v>
      </c>
      <c r="AF551">
        <v>3</v>
      </c>
      <c r="AG551" t="str">
        <f t="shared" si="128"/>
        <v>2-3</v>
      </c>
      <c r="AH551" t="s">
        <v>67</v>
      </c>
      <c r="AI551" t="s">
        <v>71</v>
      </c>
      <c r="AJ551">
        <v>11</v>
      </c>
      <c r="AK551" t="str">
        <f t="shared" si="129"/>
        <v>11-12%</v>
      </c>
      <c r="AL551">
        <v>3</v>
      </c>
      <c r="AM551" t="s">
        <v>68</v>
      </c>
      <c r="AN551">
        <v>4</v>
      </c>
      <c r="AO551" t="s">
        <v>65</v>
      </c>
      <c r="AP551">
        <v>80</v>
      </c>
      <c r="AQ551">
        <v>0</v>
      </c>
      <c r="AR551">
        <v>10</v>
      </c>
      <c r="AS551" t="str">
        <f t="shared" si="130"/>
        <v>6-10</v>
      </c>
      <c r="AT551">
        <v>2</v>
      </c>
      <c r="AU551" t="str">
        <f t="shared" si="131"/>
        <v>0-2</v>
      </c>
      <c r="AV551">
        <v>3</v>
      </c>
      <c r="AW551" t="s">
        <v>79</v>
      </c>
      <c r="AX551">
        <v>5</v>
      </c>
      <c r="AY551" t="str">
        <f t="shared" si="120"/>
        <v>2-5</v>
      </c>
      <c r="AZ551">
        <v>1</v>
      </c>
      <c r="BA551" t="str">
        <f t="shared" si="132"/>
        <v>0-1</v>
      </c>
      <c r="BB551">
        <v>4</v>
      </c>
      <c r="BC551" t="str">
        <f t="shared" si="133"/>
        <v>2-5</v>
      </c>
      <c r="BD551">
        <v>3</v>
      </c>
      <c r="BE551" t="str">
        <f t="shared" si="134"/>
        <v>2-5</v>
      </c>
    </row>
    <row r="552" spans="1:57" x14ac:dyDescent="0.3">
      <c r="A552">
        <v>758</v>
      </c>
      <c r="B552">
        <v>23</v>
      </c>
      <c r="C552" t="str">
        <f t="shared" si="121"/>
        <v>18-25</v>
      </c>
      <c r="D552" t="s">
        <v>71</v>
      </c>
      <c r="E552">
        <f t="shared" si="122"/>
        <v>0</v>
      </c>
      <c r="F552" t="s">
        <v>57</v>
      </c>
      <c r="G552">
        <v>650</v>
      </c>
      <c r="H552" t="str">
        <f t="shared" si="123"/>
        <v>501-1000</v>
      </c>
      <c r="I552" t="s">
        <v>73</v>
      </c>
      <c r="J552">
        <v>9</v>
      </c>
      <c r="K552" t="str">
        <f t="shared" si="124"/>
        <v>6-10</v>
      </c>
      <c r="L552">
        <v>1</v>
      </c>
      <c r="M552" t="s">
        <v>74</v>
      </c>
      <c r="N552" t="s">
        <v>83</v>
      </c>
      <c r="O552">
        <v>1</v>
      </c>
      <c r="P552">
        <v>2</v>
      </c>
      <c r="Q552" t="s">
        <v>61</v>
      </c>
      <c r="R552" t="s">
        <v>75</v>
      </c>
      <c r="S552">
        <v>37</v>
      </c>
      <c r="T552" t="str">
        <f t="shared" si="125"/>
        <v>30-50</v>
      </c>
      <c r="U552">
        <v>3</v>
      </c>
      <c r="V552" t="s">
        <v>63</v>
      </c>
      <c r="W552">
        <v>1</v>
      </c>
      <c r="X552" t="s">
        <v>81</v>
      </c>
      <c r="Y552">
        <v>1</v>
      </c>
      <c r="Z552" t="s">
        <v>69</v>
      </c>
      <c r="AA552" t="s">
        <v>77</v>
      </c>
      <c r="AB552" s="4">
        <v>2500</v>
      </c>
      <c r="AC552" s="4" t="str">
        <f t="shared" si="126"/>
        <v>$2,500-$4,000</v>
      </c>
      <c r="AD552">
        <v>4344</v>
      </c>
      <c r="AE552" t="str">
        <f t="shared" si="127"/>
        <v>$2,094-$8,000</v>
      </c>
      <c r="AF552">
        <v>1</v>
      </c>
      <c r="AG552" t="str">
        <f t="shared" si="128"/>
        <v>0-1</v>
      </c>
      <c r="AH552" t="s">
        <v>67</v>
      </c>
      <c r="AI552" t="s">
        <v>71</v>
      </c>
      <c r="AJ552">
        <v>14</v>
      </c>
      <c r="AK552" t="str">
        <f t="shared" si="129"/>
        <v>13-15%</v>
      </c>
      <c r="AL552">
        <v>3</v>
      </c>
      <c r="AM552" t="s">
        <v>68</v>
      </c>
      <c r="AN552">
        <v>4</v>
      </c>
      <c r="AO552" t="s">
        <v>65</v>
      </c>
      <c r="AP552">
        <v>80</v>
      </c>
      <c r="AQ552">
        <v>1</v>
      </c>
      <c r="AR552">
        <v>5</v>
      </c>
      <c r="AS552" t="str">
        <f t="shared" si="130"/>
        <v>3-5</v>
      </c>
      <c r="AT552">
        <v>2</v>
      </c>
      <c r="AU552" t="str">
        <f t="shared" si="131"/>
        <v>0-2</v>
      </c>
      <c r="AV552">
        <v>4</v>
      </c>
      <c r="AW552" t="s">
        <v>94</v>
      </c>
      <c r="AX552">
        <v>4</v>
      </c>
      <c r="AY552" t="str">
        <f t="shared" si="120"/>
        <v>2-5</v>
      </c>
      <c r="AZ552">
        <v>3</v>
      </c>
      <c r="BA552" t="str">
        <f t="shared" si="132"/>
        <v>2-5</v>
      </c>
      <c r="BB552">
        <v>0</v>
      </c>
      <c r="BC552" t="str">
        <f t="shared" si="133"/>
        <v>0-1</v>
      </c>
      <c r="BD552">
        <v>2</v>
      </c>
      <c r="BE552" t="str">
        <f t="shared" si="134"/>
        <v>2-5</v>
      </c>
    </row>
    <row r="553" spans="1:57" x14ac:dyDescent="0.3">
      <c r="A553">
        <v>760</v>
      </c>
      <c r="B553">
        <v>39</v>
      </c>
      <c r="C553" t="str">
        <f t="shared" si="121"/>
        <v>36-45</v>
      </c>
      <c r="D553" t="s">
        <v>71</v>
      </c>
      <c r="E553">
        <f t="shared" si="122"/>
        <v>0</v>
      </c>
      <c r="F553" t="s">
        <v>57</v>
      </c>
      <c r="G553">
        <v>141</v>
      </c>
      <c r="H553" t="str">
        <f t="shared" si="123"/>
        <v>102-500</v>
      </c>
      <c r="I553" t="s">
        <v>97</v>
      </c>
      <c r="J553">
        <v>3</v>
      </c>
      <c r="K553" t="str">
        <f t="shared" si="124"/>
        <v>1-5</v>
      </c>
      <c r="L553">
        <v>3</v>
      </c>
      <c r="M553" t="s">
        <v>85</v>
      </c>
      <c r="N553" t="s">
        <v>97</v>
      </c>
      <c r="O553">
        <v>1</v>
      </c>
      <c r="P553">
        <v>3</v>
      </c>
      <c r="Q553" t="s">
        <v>63</v>
      </c>
      <c r="R553" t="s">
        <v>62</v>
      </c>
      <c r="S553">
        <v>44</v>
      </c>
      <c r="T553" t="str">
        <f t="shared" si="125"/>
        <v>30-50</v>
      </c>
      <c r="U553">
        <v>4</v>
      </c>
      <c r="V553" t="s">
        <v>65</v>
      </c>
      <c r="W553">
        <v>2</v>
      </c>
      <c r="X553" t="s">
        <v>97</v>
      </c>
      <c r="Y553">
        <v>2</v>
      </c>
      <c r="Z553" t="s">
        <v>61</v>
      </c>
      <c r="AA553" t="s">
        <v>77</v>
      </c>
      <c r="AB553" s="4">
        <v>6389</v>
      </c>
      <c r="AC553" s="4" t="str">
        <f t="shared" si="126"/>
        <v>$5,500-$7,000</v>
      </c>
      <c r="AD553">
        <v>18767</v>
      </c>
      <c r="AE553" t="str">
        <f t="shared" si="127"/>
        <v>$16,001-$22,000</v>
      </c>
      <c r="AF553">
        <v>9</v>
      </c>
      <c r="AG553" t="str">
        <f t="shared" si="128"/>
        <v>7-9</v>
      </c>
      <c r="AH553" t="s">
        <v>67</v>
      </c>
      <c r="AI553" t="s">
        <v>71</v>
      </c>
      <c r="AJ553">
        <v>15</v>
      </c>
      <c r="AK553" t="str">
        <f t="shared" si="129"/>
        <v>13-15%</v>
      </c>
      <c r="AL553">
        <v>3</v>
      </c>
      <c r="AM553" t="s">
        <v>68</v>
      </c>
      <c r="AN553">
        <v>3</v>
      </c>
      <c r="AO553" t="s">
        <v>63</v>
      </c>
      <c r="AP553">
        <v>80</v>
      </c>
      <c r="AQ553">
        <v>1</v>
      </c>
      <c r="AR553">
        <v>12</v>
      </c>
      <c r="AS553" t="str">
        <f t="shared" si="130"/>
        <v>11-20</v>
      </c>
      <c r="AT553">
        <v>3</v>
      </c>
      <c r="AU553" t="str">
        <f t="shared" si="131"/>
        <v>3-4</v>
      </c>
      <c r="AV553">
        <v>1</v>
      </c>
      <c r="AW553" t="s">
        <v>70</v>
      </c>
      <c r="AX553">
        <v>8</v>
      </c>
      <c r="AY553" t="str">
        <f t="shared" si="120"/>
        <v>6-10</v>
      </c>
      <c r="AZ553">
        <v>3</v>
      </c>
      <c r="BA553" t="str">
        <f t="shared" si="132"/>
        <v>2-5</v>
      </c>
      <c r="BB553">
        <v>3</v>
      </c>
      <c r="BC553" t="str">
        <f t="shared" si="133"/>
        <v>2-5</v>
      </c>
      <c r="BD553">
        <v>6</v>
      </c>
      <c r="BE553" t="str">
        <f t="shared" si="134"/>
        <v>6-10</v>
      </c>
    </row>
    <row r="554" spans="1:57" x14ac:dyDescent="0.3">
      <c r="A554">
        <v>762</v>
      </c>
      <c r="B554">
        <v>56</v>
      </c>
      <c r="C554" t="str">
        <f t="shared" si="121"/>
        <v>56+</v>
      </c>
      <c r="D554" t="s">
        <v>71</v>
      </c>
      <c r="E554">
        <f t="shared" si="122"/>
        <v>0</v>
      </c>
      <c r="F554" t="s">
        <v>57</v>
      </c>
      <c r="G554">
        <v>832</v>
      </c>
      <c r="H554" t="str">
        <f t="shared" si="123"/>
        <v>501-1000</v>
      </c>
      <c r="I554" t="s">
        <v>73</v>
      </c>
      <c r="J554">
        <v>9</v>
      </c>
      <c r="K554" t="str">
        <f t="shared" si="124"/>
        <v>6-10</v>
      </c>
      <c r="L554">
        <v>3</v>
      </c>
      <c r="M554" t="s">
        <v>85</v>
      </c>
      <c r="N554" t="s">
        <v>83</v>
      </c>
      <c r="O554">
        <v>1</v>
      </c>
      <c r="P554">
        <v>3</v>
      </c>
      <c r="Q554" t="s">
        <v>63</v>
      </c>
      <c r="R554" t="s">
        <v>75</v>
      </c>
      <c r="S554">
        <v>81</v>
      </c>
      <c r="T554" t="str">
        <f t="shared" si="125"/>
        <v>76-100</v>
      </c>
      <c r="U554">
        <v>3</v>
      </c>
      <c r="V554" t="s">
        <v>63</v>
      </c>
      <c r="W554">
        <v>4</v>
      </c>
      <c r="X554" t="s">
        <v>88</v>
      </c>
      <c r="Y554">
        <v>4</v>
      </c>
      <c r="Z554" t="s">
        <v>65</v>
      </c>
      <c r="AA554" t="s">
        <v>77</v>
      </c>
      <c r="AB554" s="4">
        <v>11103</v>
      </c>
      <c r="AC554" s="4" t="str">
        <f t="shared" si="126"/>
        <v>$10,000-$11,500</v>
      </c>
      <c r="AD554">
        <v>20420</v>
      </c>
      <c r="AE554" t="str">
        <f t="shared" si="127"/>
        <v>$16,001-$22,000</v>
      </c>
      <c r="AF554">
        <v>7</v>
      </c>
      <c r="AG554" t="str">
        <f t="shared" si="128"/>
        <v>7-9</v>
      </c>
      <c r="AH554" t="s">
        <v>67</v>
      </c>
      <c r="AI554" t="s">
        <v>71</v>
      </c>
      <c r="AJ554">
        <v>11</v>
      </c>
      <c r="AK554" t="str">
        <f t="shared" si="129"/>
        <v>11-12%</v>
      </c>
      <c r="AL554">
        <v>3</v>
      </c>
      <c r="AM554" t="s">
        <v>68</v>
      </c>
      <c r="AN554">
        <v>3</v>
      </c>
      <c r="AO554" t="s">
        <v>63</v>
      </c>
      <c r="AP554">
        <v>80</v>
      </c>
      <c r="AQ554">
        <v>0</v>
      </c>
      <c r="AR554">
        <v>30</v>
      </c>
      <c r="AS554" t="str">
        <f t="shared" si="130"/>
        <v>21-40</v>
      </c>
      <c r="AT554">
        <v>1</v>
      </c>
      <c r="AU554" t="str">
        <f t="shared" si="131"/>
        <v>0-2</v>
      </c>
      <c r="AV554">
        <v>2</v>
      </c>
      <c r="AW554" t="s">
        <v>84</v>
      </c>
      <c r="AX554">
        <v>10</v>
      </c>
      <c r="AY554" t="str">
        <f t="shared" si="120"/>
        <v>6-10</v>
      </c>
      <c r="AZ554">
        <v>7</v>
      </c>
      <c r="BA554" t="str">
        <f t="shared" si="132"/>
        <v>6-10</v>
      </c>
      <c r="BB554">
        <v>1</v>
      </c>
      <c r="BC554" t="str">
        <f t="shared" si="133"/>
        <v>0-1</v>
      </c>
      <c r="BD554">
        <v>1</v>
      </c>
      <c r="BE554" t="str">
        <f t="shared" si="134"/>
        <v>0-1</v>
      </c>
    </row>
    <row r="555" spans="1:57" x14ac:dyDescent="0.3">
      <c r="A555">
        <v>763</v>
      </c>
      <c r="B555">
        <v>40</v>
      </c>
      <c r="C555" t="str">
        <f t="shared" si="121"/>
        <v>36-45</v>
      </c>
      <c r="D555" t="s">
        <v>71</v>
      </c>
      <c r="E555">
        <f t="shared" si="122"/>
        <v>0</v>
      </c>
      <c r="F555" t="s">
        <v>57</v>
      </c>
      <c r="G555">
        <v>804</v>
      </c>
      <c r="H555" t="str">
        <f t="shared" si="123"/>
        <v>501-1000</v>
      </c>
      <c r="I555" t="s">
        <v>73</v>
      </c>
      <c r="J555">
        <v>2</v>
      </c>
      <c r="K555" t="str">
        <f t="shared" si="124"/>
        <v>1-5</v>
      </c>
      <c r="L555">
        <v>1</v>
      </c>
      <c r="M555" t="s">
        <v>74</v>
      </c>
      <c r="N555" t="s">
        <v>83</v>
      </c>
      <c r="O555">
        <v>1</v>
      </c>
      <c r="P555">
        <v>4</v>
      </c>
      <c r="Q555" t="s">
        <v>65</v>
      </c>
      <c r="R555" t="s">
        <v>62</v>
      </c>
      <c r="S555">
        <v>86</v>
      </c>
      <c r="T555" t="str">
        <f t="shared" si="125"/>
        <v>76-100</v>
      </c>
      <c r="U555">
        <v>2</v>
      </c>
      <c r="V555" t="s">
        <v>61</v>
      </c>
      <c r="W555">
        <v>1</v>
      </c>
      <c r="X555" t="s">
        <v>76</v>
      </c>
      <c r="Y555">
        <v>4</v>
      </c>
      <c r="Z555" t="s">
        <v>65</v>
      </c>
      <c r="AA555" t="s">
        <v>66</v>
      </c>
      <c r="AB555" s="4">
        <v>2342</v>
      </c>
      <c r="AC555" s="4" t="str">
        <f t="shared" si="126"/>
        <v>$1,000-$2,500</v>
      </c>
      <c r="AD555">
        <v>22929</v>
      </c>
      <c r="AE555" t="str">
        <f t="shared" si="127"/>
        <v>$22,001-$26,999</v>
      </c>
      <c r="AF555">
        <v>0</v>
      </c>
      <c r="AG555" t="str">
        <f t="shared" si="128"/>
        <v>0-1</v>
      </c>
      <c r="AH555" t="s">
        <v>67</v>
      </c>
      <c r="AI555" t="s">
        <v>56</v>
      </c>
      <c r="AJ555">
        <v>20</v>
      </c>
      <c r="AK555" t="str">
        <f t="shared" si="129"/>
        <v>18-19%</v>
      </c>
      <c r="AL555">
        <v>4</v>
      </c>
      <c r="AM555" t="s">
        <v>78</v>
      </c>
      <c r="AN555">
        <v>4</v>
      </c>
      <c r="AO555" t="s">
        <v>65</v>
      </c>
      <c r="AP555">
        <v>80</v>
      </c>
      <c r="AQ555">
        <v>0</v>
      </c>
      <c r="AR555">
        <v>5</v>
      </c>
      <c r="AS555" t="str">
        <f t="shared" si="130"/>
        <v>3-5</v>
      </c>
      <c r="AT555">
        <v>2</v>
      </c>
      <c r="AU555" t="str">
        <f t="shared" si="131"/>
        <v>0-2</v>
      </c>
      <c r="AV555">
        <v>2</v>
      </c>
      <c r="AW555" t="s">
        <v>84</v>
      </c>
      <c r="AX555">
        <v>4</v>
      </c>
      <c r="AY555" t="str">
        <f t="shared" si="120"/>
        <v>2-5</v>
      </c>
      <c r="AZ555">
        <v>2</v>
      </c>
      <c r="BA555" t="str">
        <f t="shared" si="132"/>
        <v>2-5</v>
      </c>
      <c r="BB555">
        <v>2</v>
      </c>
      <c r="BC555" t="str">
        <f t="shared" si="133"/>
        <v>2-5</v>
      </c>
      <c r="BD555">
        <v>3</v>
      </c>
      <c r="BE555" t="str">
        <f t="shared" si="134"/>
        <v>2-5</v>
      </c>
    </row>
    <row r="556" spans="1:57" x14ac:dyDescent="0.3">
      <c r="A556">
        <v>764</v>
      </c>
      <c r="B556">
        <v>27</v>
      </c>
      <c r="C556" t="str">
        <f t="shared" si="121"/>
        <v>26-35</v>
      </c>
      <c r="D556" t="s">
        <v>71</v>
      </c>
      <c r="E556">
        <f t="shared" si="122"/>
        <v>0</v>
      </c>
      <c r="F556" t="s">
        <v>57</v>
      </c>
      <c r="G556">
        <v>975</v>
      </c>
      <c r="H556" t="str">
        <f t="shared" si="123"/>
        <v>501-1000</v>
      </c>
      <c r="I556" t="s">
        <v>73</v>
      </c>
      <c r="J556">
        <v>7</v>
      </c>
      <c r="K556" t="str">
        <f t="shared" si="124"/>
        <v>6-10</v>
      </c>
      <c r="L556">
        <v>3</v>
      </c>
      <c r="M556" t="s">
        <v>85</v>
      </c>
      <c r="N556" t="s">
        <v>83</v>
      </c>
      <c r="O556">
        <v>1</v>
      </c>
      <c r="P556">
        <v>4</v>
      </c>
      <c r="Q556" t="s">
        <v>65</v>
      </c>
      <c r="R556" t="s">
        <v>62</v>
      </c>
      <c r="S556">
        <v>55</v>
      </c>
      <c r="T556" t="str">
        <f t="shared" si="125"/>
        <v>51-75</v>
      </c>
      <c r="U556">
        <v>2</v>
      </c>
      <c r="V556" t="s">
        <v>61</v>
      </c>
      <c r="W556">
        <v>2</v>
      </c>
      <c r="X556" t="s">
        <v>88</v>
      </c>
      <c r="Y556">
        <v>1</v>
      </c>
      <c r="Z556" t="s">
        <v>69</v>
      </c>
      <c r="AA556" t="s">
        <v>66</v>
      </c>
      <c r="AB556" s="4">
        <v>6811</v>
      </c>
      <c r="AC556" s="4" t="str">
        <f t="shared" si="126"/>
        <v>$5,500-$7,000</v>
      </c>
      <c r="AD556">
        <v>23398</v>
      </c>
      <c r="AE556" t="str">
        <f t="shared" si="127"/>
        <v>$22,001-$26,999</v>
      </c>
      <c r="AF556">
        <v>8</v>
      </c>
      <c r="AG556" t="str">
        <f t="shared" si="128"/>
        <v>7-9</v>
      </c>
      <c r="AH556" t="s">
        <v>67</v>
      </c>
      <c r="AI556" t="s">
        <v>71</v>
      </c>
      <c r="AJ556">
        <v>19</v>
      </c>
      <c r="AK556" t="str">
        <f t="shared" si="129"/>
        <v>18-19%</v>
      </c>
      <c r="AL556">
        <v>3</v>
      </c>
      <c r="AM556" t="s">
        <v>68</v>
      </c>
      <c r="AN556">
        <v>1</v>
      </c>
      <c r="AO556" t="s">
        <v>69</v>
      </c>
      <c r="AP556">
        <v>80</v>
      </c>
      <c r="AQ556">
        <v>0</v>
      </c>
      <c r="AR556">
        <v>9</v>
      </c>
      <c r="AS556" t="str">
        <f t="shared" si="130"/>
        <v>6-10</v>
      </c>
      <c r="AT556">
        <v>2</v>
      </c>
      <c r="AU556" t="str">
        <f t="shared" si="131"/>
        <v>0-2</v>
      </c>
      <c r="AV556">
        <v>1</v>
      </c>
      <c r="AW556" t="s">
        <v>70</v>
      </c>
      <c r="AX556">
        <v>7</v>
      </c>
      <c r="AY556" t="str">
        <f t="shared" si="120"/>
        <v>6-10</v>
      </c>
      <c r="AZ556">
        <v>6</v>
      </c>
      <c r="BA556" t="str">
        <f t="shared" si="132"/>
        <v>6-10</v>
      </c>
      <c r="BB556">
        <v>0</v>
      </c>
      <c r="BC556" t="str">
        <f t="shared" si="133"/>
        <v>0-1</v>
      </c>
      <c r="BD556">
        <v>7</v>
      </c>
      <c r="BE556" t="str">
        <f t="shared" si="134"/>
        <v>6-10</v>
      </c>
    </row>
    <row r="557" spans="1:57" x14ac:dyDescent="0.3">
      <c r="A557">
        <v>766</v>
      </c>
      <c r="B557">
        <v>29</v>
      </c>
      <c r="C557" t="str">
        <f t="shared" si="121"/>
        <v>26-35</v>
      </c>
      <c r="D557" t="s">
        <v>71</v>
      </c>
      <c r="E557">
        <f t="shared" si="122"/>
        <v>0</v>
      </c>
      <c r="F557" t="s">
        <v>57</v>
      </c>
      <c r="G557">
        <v>1090</v>
      </c>
      <c r="H557" t="str">
        <f t="shared" si="123"/>
        <v>1001-1499</v>
      </c>
      <c r="I557" t="s">
        <v>58</v>
      </c>
      <c r="J557">
        <v>10</v>
      </c>
      <c r="K557" t="str">
        <f t="shared" si="124"/>
        <v>6-10</v>
      </c>
      <c r="L557">
        <v>3</v>
      </c>
      <c r="M557" t="s">
        <v>85</v>
      </c>
      <c r="N557" t="s">
        <v>93</v>
      </c>
      <c r="O557">
        <v>1</v>
      </c>
      <c r="P557">
        <v>4</v>
      </c>
      <c r="Q557" t="s">
        <v>65</v>
      </c>
      <c r="R557" t="s">
        <v>75</v>
      </c>
      <c r="S557">
        <v>83</v>
      </c>
      <c r="T557" t="str">
        <f t="shared" si="125"/>
        <v>76-100</v>
      </c>
      <c r="U557">
        <v>3</v>
      </c>
      <c r="V557" t="s">
        <v>63</v>
      </c>
      <c r="W557">
        <v>1</v>
      </c>
      <c r="X557" t="s">
        <v>91</v>
      </c>
      <c r="Y557">
        <v>2</v>
      </c>
      <c r="Z557" t="s">
        <v>61</v>
      </c>
      <c r="AA557" t="s">
        <v>86</v>
      </c>
      <c r="AB557" s="4">
        <v>2297</v>
      </c>
      <c r="AC557" s="4" t="str">
        <f t="shared" si="126"/>
        <v>$1,000-$2,500</v>
      </c>
      <c r="AD557">
        <v>17967</v>
      </c>
      <c r="AE557" t="str">
        <f t="shared" si="127"/>
        <v>$16,001-$22,000</v>
      </c>
      <c r="AF557">
        <v>1</v>
      </c>
      <c r="AG557" t="str">
        <f t="shared" si="128"/>
        <v>0-1</v>
      </c>
      <c r="AH557" t="s">
        <v>67</v>
      </c>
      <c r="AI557" t="s">
        <v>71</v>
      </c>
      <c r="AJ557">
        <v>14</v>
      </c>
      <c r="AK557" t="str">
        <f t="shared" si="129"/>
        <v>13-15%</v>
      </c>
      <c r="AL557">
        <v>3</v>
      </c>
      <c r="AM557" t="s">
        <v>68</v>
      </c>
      <c r="AN557">
        <v>4</v>
      </c>
      <c r="AO557" t="s">
        <v>65</v>
      </c>
      <c r="AP557">
        <v>80</v>
      </c>
      <c r="AQ557">
        <v>2</v>
      </c>
      <c r="AR557">
        <v>2</v>
      </c>
      <c r="AS557" t="str">
        <f t="shared" si="130"/>
        <v>0-2</v>
      </c>
      <c r="AT557">
        <v>2</v>
      </c>
      <c r="AU557" t="str">
        <f t="shared" si="131"/>
        <v>0-2</v>
      </c>
      <c r="AV557">
        <v>3</v>
      </c>
      <c r="AW557" t="s">
        <v>79</v>
      </c>
      <c r="AX557">
        <v>2</v>
      </c>
      <c r="AY557" t="str">
        <f t="shared" si="120"/>
        <v>2-5</v>
      </c>
      <c r="AZ557">
        <v>2</v>
      </c>
      <c r="BA557" t="str">
        <f t="shared" si="132"/>
        <v>2-5</v>
      </c>
      <c r="BB557">
        <v>2</v>
      </c>
      <c r="BC557" t="str">
        <f t="shared" si="133"/>
        <v>2-5</v>
      </c>
      <c r="BD557">
        <v>2</v>
      </c>
      <c r="BE557" t="str">
        <f t="shared" si="134"/>
        <v>2-5</v>
      </c>
    </row>
    <row r="558" spans="1:57" x14ac:dyDescent="0.3">
      <c r="A558">
        <v>769</v>
      </c>
      <c r="B558">
        <v>53</v>
      </c>
      <c r="C558" t="str">
        <f t="shared" si="121"/>
        <v>46-55</v>
      </c>
      <c r="D558" t="s">
        <v>71</v>
      </c>
      <c r="E558">
        <f t="shared" si="122"/>
        <v>0</v>
      </c>
      <c r="F558" t="s">
        <v>57</v>
      </c>
      <c r="G558">
        <v>346</v>
      </c>
      <c r="H558" t="str">
        <f t="shared" si="123"/>
        <v>102-500</v>
      </c>
      <c r="I558" t="s">
        <v>73</v>
      </c>
      <c r="J558">
        <v>6</v>
      </c>
      <c r="K558" t="str">
        <f t="shared" si="124"/>
        <v>6-10</v>
      </c>
      <c r="L558">
        <v>3</v>
      </c>
      <c r="M558" t="s">
        <v>85</v>
      </c>
      <c r="N558" t="s">
        <v>60</v>
      </c>
      <c r="O558">
        <v>1</v>
      </c>
      <c r="P558">
        <v>4</v>
      </c>
      <c r="Q558" t="s">
        <v>65</v>
      </c>
      <c r="R558" t="s">
        <v>75</v>
      </c>
      <c r="S558">
        <v>86</v>
      </c>
      <c r="T558" t="str">
        <f t="shared" si="125"/>
        <v>76-100</v>
      </c>
      <c r="U558">
        <v>3</v>
      </c>
      <c r="V558" t="s">
        <v>63</v>
      </c>
      <c r="W558">
        <v>2</v>
      </c>
      <c r="X558" t="s">
        <v>81</v>
      </c>
      <c r="Y558">
        <v>4</v>
      </c>
      <c r="Z558" t="s">
        <v>65</v>
      </c>
      <c r="AA558" t="s">
        <v>66</v>
      </c>
      <c r="AB558" s="4">
        <v>2450</v>
      </c>
      <c r="AC558" s="4" t="str">
        <f t="shared" si="126"/>
        <v>$1,000-$2,500</v>
      </c>
      <c r="AD558">
        <v>10919</v>
      </c>
      <c r="AE558" t="str">
        <f t="shared" si="127"/>
        <v>$8,001-$16,000</v>
      </c>
      <c r="AF558">
        <v>2</v>
      </c>
      <c r="AG558" t="str">
        <f t="shared" si="128"/>
        <v>2-3</v>
      </c>
      <c r="AH558" t="s">
        <v>67</v>
      </c>
      <c r="AI558" t="s">
        <v>71</v>
      </c>
      <c r="AJ558">
        <v>17</v>
      </c>
      <c r="AK558" t="str">
        <f t="shared" si="129"/>
        <v>16-17%</v>
      </c>
      <c r="AL558">
        <v>3</v>
      </c>
      <c r="AM558" t="s">
        <v>68</v>
      </c>
      <c r="AN558">
        <v>4</v>
      </c>
      <c r="AO558" t="s">
        <v>65</v>
      </c>
      <c r="AP558">
        <v>80</v>
      </c>
      <c r="AQ558">
        <v>0</v>
      </c>
      <c r="AR558">
        <v>19</v>
      </c>
      <c r="AS558" t="str">
        <f t="shared" si="130"/>
        <v>11-20</v>
      </c>
      <c r="AT558">
        <v>4</v>
      </c>
      <c r="AU558" t="str">
        <f t="shared" si="131"/>
        <v>3-4</v>
      </c>
      <c r="AV558">
        <v>3</v>
      </c>
      <c r="AW558" t="s">
        <v>79</v>
      </c>
      <c r="AX558">
        <v>2</v>
      </c>
      <c r="AY558" t="str">
        <f t="shared" si="120"/>
        <v>2-5</v>
      </c>
      <c r="AZ558">
        <v>2</v>
      </c>
      <c r="BA558" t="str">
        <f t="shared" si="132"/>
        <v>2-5</v>
      </c>
      <c r="BB558">
        <v>2</v>
      </c>
      <c r="BC558" t="str">
        <f t="shared" si="133"/>
        <v>2-5</v>
      </c>
      <c r="BD558">
        <v>2</v>
      </c>
      <c r="BE558" t="str">
        <f t="shared" si="134"/>
        <v>2-5</v>
      </c>
    </row>
    <row r="559" spans="1:57" x14ac:dyDescent="0.3">
      <c r="A559">
        <v>771</v>
      </c>
      <c r="B559">
        <v>35</v>
      </c>
      <c r="C559" t="str">
        <f t="shared" si="121"/>
        <v>26-35</v>
      </c>
      <c r="D559" t="s">
        <v>71</v>
      </c>
      <c r="E559">
        <f t="shared" si="122"/>
        <v>0</v>
      </c>
      <c r="F559" t="s">
        <v>89</v>
      </c>
      <c r="G559">
        <v>1225</v>
      </c>
      <c r="H559" t="str">
        <f t="shared" si="123"/>
        <v>1001-1499</v>
      </c>
      <c r="I559" t="s">
        <v>73</v>
      </c>
      <c r="J559">
        <v>2</v>
      </c>
      <c r="K559" t="str">
        <f t="shared" si="124"/>
        <v>1-5</v>
      </c>
      <c r="L559">
        <v>4</v>
      </c>
      <c r="M559" t="s">
        <v>82</v>
      </c>
      <c r="N559" t="s">
        <v>60</v>
      </c>
      <c r="O559">
        <v>1</v>
      </c>
      <c r="P559">
        <v>4</v>
      </c>
      <c r="Q559" t="s">
        <v>65</v>
      </c>
      <c r="R559" t="s">
        <v>62</v>
      </c>
      <c r="S559">
        <v>61</v>
      </c>
      <c r="T559" t="str">
        <f t="shared" si="125"/>
        <v>51-75</v>
      </c>
      <c r="U559">
        <v>3</v>
      </c>
      <c r="V559" t="s">
        <v>63</v>
      </c>
      <c r="W559">
        <v>2</v>
      </c>
      <c r="X559" t="s">
        <v>88</v>
      </c>
      <c r="Y559">
        <v>1</v>
      </c>
      <c r="Z559" t="s">
        <v>69</v>
      </c>
      <c r="AA559" t="s">
        <v>86</v>
      </c>
      <c r="AB559" s="4">
        <v>5093</v>
      </c>
      <c r="AC559" s="4" t="str">
        <f t="shared" si="126"/>
        <v>$4,000-$5,500</v>
      </c>
      <c r="AD559">
        <v>4761</v>
      </c>
      <c r="AE559" t="str">
        <f t="shared" si="127"/>
        <v>$2,094-$8,000</v>
      </c>
      <c r="AF559">
        <v>2</v>
      </c>
      <c r="AG559" t="str">
        <f t="shared" si="128"/>
        <v>2-3</v>
      </c>
      <c r="AH559" t="s">
        <v>67</v>
      </c>
      <c r="AI559" t="s">
        <v>71</v>
      </c>
      <c r="AJ559">
        <v>11</v>
      </c>
      <c r="AK559" t="str">
        <f t="shared" si="129"/>
        <v>11-12%</v>
      </c>
      <c r="AL559">
        <v>3</v>
      </c>
      <c r="AM559" t="s">
        <v>68</v>
      </c>
      <c r="AN559">
        <v>1</v>
      </c>
      <c r="AO559" t="s">
        <v>69</v>
      </c>
      <c r="AP559">
        <v>80</v>
      </c>
      <c r="AQ559">
        <v>1</v>
      </c>
      <c r="AR559">
        <v>16</v>
      </c>
      <c r="AS559" t="str">
        <f t="shared" si="130"/>
        <v>11-20</v>
      </c>
      <c r="AT559">
        <v>2</v>
      </c>
      <c r="AU559" t="str">
        <f t="shared" si="131"/>
        <v>0-2</v>
      </c>
      <c r="AV559">
        <v>4</v>
      </c>
      <c r="AW559" t="s">
        <v>94</v>
      </c>
      <c r="AX559">
        <v>1</v>
      </c>
      <c r="AY559" t="str">
        <f t="shared" si="120"/>
        <v>0-1</v>
      </c>
      <c r="AZ559">
        <v>0</v>
      </c>
      <c r="BA559" t="str">
        <f t="shared" si="132"/>
        <v>0-1</v>
      </c>
      <c r="BB559">
        <v>0</v>
      </c>
      <c r="BC559" t="str">
        <f t="shared" si="133"/>
        <v>0-1</v>
      </c>
      <c r="BD559">
        <v>0</v>
      </c>
      <c r="BE559" t="str">
        <f t="shared" si="134"/>
        <v>0-1</v>
      </c>
    </row>
    <row r="560" spans="1:57" x14ac:dyDescent="0.3">
      <c r="A560">
        <v>772</v>
      </c>
      <c r="B560">
        <v>32</v>
      </c>
      <c r="C560" t="str">
        <f t="shared" si="121"/>
        <v>26-35</v>
      </c>
      <c r="D560" t="s">
        <v>71</v>
      </c>
      <c r="E560">
        <f t="shared" si="122"/>
        <v>0</v>
      </c>
      <c r="F560" t="s">
        <v>72</v>
      </c>
      <c r="G560">
        <v>430</v>
      </c>
      <c r="H560" t="str">
        <f t="shared" si="123"/>
        <v>102-500</v>
      </c>
      <c r="I560" t="s">
        <v>73</v>
      </c>
      <c r="J560">
        <v>24</v>
      </c>
      <c r="K560" t="str">
        <f t="shared" si="124"/>
        <v>21-29</v>
      </c>
      <c r="L560">
        <v>4</v>
      </c>
      <c r="M560" t="s">
        <v>82</v>
      </c>
      <c r="N560" t="s">
        <v>60</v>
      </c>
      <c r="O560">
        <v>1</v>
      </c>
      <c r="P560">
        <v>1</v>
      </c>
      <c r="Q560" t="s">
        <v>69</v>
      </c>
      <c r="R560" t="s">
        <v>75</v>
      </c>
      <c r="S560">
        <v>80</v>
      </c>
      <c r="T560" t="str">
        <f t="shared" si="125"/>
        <v>76-100</v>
      </c>
      <c r="U560">
        <v>3</v>
      </c>
      <c r="V560" t="s">
        <v>63</v>
      </c>
      <c r="W560">
        <v>2</v>
      </c>
      <c r="X560" t="s">
        <v>81</v>
      </c>
      <c r="Y560">
        <v>4</v>
      </c>
      <c r="Z560" t="s">
        <v>65</v>
      </c>
      <c r="AA560" t="s">
        <v>77</v>
      </c>
      <c r="AB560" s="4">
        <v>5309</v>
      </c>
      <c r="AC560" s="4" t="str">
        <f t="shared" si="126"/>
        <v>$4,000-$5,500</v>
      </c>
      <c r="AD560">
        <v>21146</v>
      </c>
      <c r="AE560" t="str">
        <f t="shared" si="127"/>
        <v>$16,001-$22,000</v>
      </c>
      <c r="AF560">
        <v>1</v>
      </c>
      <c r="AG560" t="str">
        <f t="shared" si="128"/>
        <v>0-1</v>
      </c>
      <c r="AH560" t="s">
        <v>67</v>
      </c>
      <c r="AI560" t="s">
        <v>71</v>
      </c>
      <c r="AJ560">
        <v>15</v>
      </c>
      <c r="AK560" t="str">
        <f t="shared" si="129"/>
        <v>13-15%</v>
      </c>
      <c r="AL560">
        <v>3</v>
      </c>
      <c r="AM560" t="s">
        <v>68</v>
      </c>
      <c r="AN560">
        <v>4</v>
      </c>
      <c r="AO560" t="s">
        <v>65</v>
      </c>
      <c r="AP560">
        <v>80</v>
      </c>
      <c r="AQ560">
        <v>2</v>
      </c>
      <c r="AR560">
        <v>10</v>
      </c>
      <c r="AS560" t="str">
        <f t="shared" si="130"/>
        <v>6-10</v>
      </c>
      <c r="AT560">
        <v>2</v>
      </c>
      <c r="AU560" t="str">
        <f t="shared" si="131"/>
        <v>0-2</v>
      </c>
      <c r="AV560">
        <v>3</v>
      </c>
      <c r="AW560" t="s">
        <v>79</v>
      </c>
      <c r="AX560">
        <v>10</v>
      </c>
      <c r="AY560" t="str">
        <f t="shared" si="120"/>
        <v>6-10</v>
      </c>
      <c r="AZ560">
        <v>8</v>
      </c>
      <c r="BA560" t="str">
        <f t="shared" si="132"/>
        <v>6-10</v>
      </c>
      <c r="BB560">
        <v>4</v>
      </c>
      <c r="BC560" t="str">
        <f t="shared" si="133"/>
        <v>2-5</v>
      </c>
      <c r="BD560">
        <v>7</v>
      </c>
      <c r="BE560" t="str">
        <f t="shared" si="134"/>
        <v>6-10</v>
      </c>
    </row>
    <row r="561" spans="1:57" x14ac:dyDescent="0.3">
      <c r="A561">
        <v>773</v>
      </c>
      <c r="B561">
        <v>38</v>
      </c>
      <c r="C561" t="str">
        <f t="shared" si="121"/>
        <v>36-45</v>
      </c>
      <c r="D561" t="s">
        <v>71</v>
      </c>
      <c r="E561">
        <f t="shared" si="122"/>
        <v>0</v>
      </c>
      <c r="F561" t="s">
        <v>57</v>
      </c>
      <c r="G561">
        <v>268</v>
      </c>
      <c r="H561" t="str">
        <f t="shared" si="123"/>
        <v>102-500</v>
      </c>
      <c r="I561" t="s">
        <v>73</v>
      </c>
      <c r="J561">
        <v>2</v>
      </c>
      <c r="K561" t="str">
        <f t="shared" si="124"/>
        <v>1-5</v>
      </c>
      <c r="L561">
        <v>5</v>
      </c>
      <c r="M561" t="s">
        <v>96</v>
      </c>
      <c r="N561" t="s">
        <v>83</v>
      </c>
      <c r="O561">
        <v>1</v>
      </c>
      <c r="P561">
        <v>4</v>
      </c>
      <c r="Q561" t="s">
        <v>65</v>
      </c>
      <c r="R561" t="s">
        <v>75</v>
      </c>
      <c r="S561">
        <v>92</v>
      </c>
      <c r="T561" t="str">
        <f t="shared" si="125"/>
        <v>76-100</v>
      </c>
      <c r="U561">
        <v>3</v>
      </c>
      <c r="V561" t="s">
        <v>63</v>
      </c>
      <c r="W561">
        <v>1</v>
      </c>
      <c r="X561" t="s">
        <v>76</v>
      </c>
      <c r="Y561">
        <v>3</v>
      </c>
      <c r="Z561" t="s">
        <v>63</v>
      </c>
      <c r="AA561" t="s">
        <v>77</v>
      </c>
      <c r="AB561" s="4">
        <v>3057</v>
      </c>
      <c r="AC561" s="4" t="str">
        <f t="shared" si="126"/>
        <v>$2,500-$4,000</v>
      </c>
      <c r="AD561">
        <v>20471</v>
      </c>
      <c r="AE561" t="str">
        <f t="shared" si="127"/>
        <v>$16,001-$22,000</v>
      </c>
      <c r="AF561">
        <v>6</v>
      </c>
      <c r="AG561" t="str">
        <f t="shared" si="128"/>
        <v>4-6</v>
      </c>
      <c r="AH561" t="s">
        <v>67</v>
      </c>
      <c r="AI561" t="s">
        <v>56</v>
      </c>
      <c r="AJ561">
        <v>13</v>
      </c>
      <c r="AK561" t="str">
        <f t="shared" si="129"/>
        <v>13-15%</v>
      </c>
      <c r="AL561">
        <v>3</v>
      </c>
      <c r="AM561" t="s">
        <v>68</v>
      </c>
      <c r="AN561">
        <v>2</v>
      </c>
      <c r="AO561" t="s">
        <v>61</v>
      </c>
      <c r="AP561">
        <v>80</v>
      </c>
      <c r="AQ561">
        <v>1</v>
      </c>
      <c r="AR561">
        <v>6</v>
      </c>
      <c r="AS561" t="str">
        <f t="shared" si="130"/>
        <v>6-10</v>
      </c>
      <c r="AT561">
        <v>0</v>
      </c>
      <c r="AU561" t="str">
        <f t="shared" si="131"/>
        <v>0-2</v>
      </c>
      <c r="AV561">
        <v>1</v>
      </c>
      <c r="AW561" t="s">
        <v>70</v>
      </c>
      <c r="AX561">
        <v>1</v>
      </c>
      <c r="AY561" t="str">
        <f t="shared" si="120"/>
        <v>0-1</v>
      </c>
      <c r="AZ561">
        <v>0</v>
      </c>
      <c r="BA561" t="str">
        <f t="shared" si="132"/>
        <v>0-1</v>
      </c>
      <c r="BB561">
        <v>0</v>
      </c>
      <c r="BC561" t="str">
        <f t="shared" si="133"/>
        <v>0-1</v>
      </c>
      <c r="BD561">
        <v>1</v>
      </c>
      <c r="BE561" t="str">
        <f t="shared" si="134"/>
        <v>0-1</v>
      </c>
    </row>
    <row r="562" spans="1:57" x14ac:dyDescent="0.3">
      <c r="A562">
        <v>775</v>
      </c>
      <c r="B562">
        <v>34</v>
      </c>
      <c r="C562" t="str">
        <f t="shared" si="121"/>
        <v>26-35</v>
      </c>
      <c r="D562" t="s">
        <v>71</v>
      </c>
      <c r="E562">
        <f t="shared" si="122"/>
        <v>0</v>
      </c>
      <c r="F562" t="s">
        <v>57</v>
      </c>
      <c r="G562">
        <v>167</v>
      </c>
      <c r="H562" t="str">
        <f t="shared" si="123"/>
        <v>102-500</v>
      </c>
      <c r="I562" t="s">
        <v>73</v>
      </c>
      <c r="J562">
        <v>8</v>
      </c>
      <c r="K562" t="str">
        <f t="shared" si="124"/>
        <v>6-10</v>
      </c>
      <c r="L562">
        <v>5</v>
      </c>
      <c r="M562" t="s">
        <v>96</v>
      </c>
      <c r="N562" t="s">
        <v>60</v>
      </c>
      <c r="O562">
        <v>1</v>
      </c>
      <c r="P562">
        <v>2</v>
      </c>
      <c r="Q562" t="s">
        <v>61</v>
      </c>
      <c r="R562" t="s">
        <v>62</v>
      </c>
      <c r="S562">
        <v>32</v>
      </c>
      <c r="T562" t="str">
        <f t="shared" si="125"/>
        <v>30-50</v>
      </c>
      <c r="U562">
        <v>3</v>
      </c>
      <c r="V562" t="s">
        <v>63</v>
      </c>
      <c r="W562">
        <v>2</v>
      </c>
      <c r="X562" t="s">
        <v>87</v>
      </c>
      <c r="Y562">
        <v>1</v>
      </c>
      <c r="Z562" t="s">
        <v>69</v>
      </c>
      <c r="AA562" t="s">
        <v>86</v>
      </c>
      <c r="AB562" s="4">
        <v>5121</v>
      </c>
      <c r="AC562" s="4" t="str">
        <f t="shared" si="126"/>
        <v>$4,000-$5,500</v>
      </c>
      <c r="AD562">
        <v>4187</v>
      </c>
      <c r="AE562" t="str">
        <f t="shared" si="127"/>
        <v>$2,094-$8,000</v>
      </c>
      <c r="AF562">
        <v>3</v>
      </c>
      <c r="AG562" t="str">
        <f t="shared" si="128"/>
        <v>2-3</v>
      </c>
      <c r="AH562" t="s">
        <v>67</v>
      </c>
      <c r="AI562" t="s">
        <v>71</v>
      </c>
      <c r="AJ562">
        <v>14</v>
      </c>
      <c r="AK562" t="str">
        <f t="shared" si="129"/>
        <v>13-15%</v>
      </c>
      <c r="AL562">
        <v>3</v>
      </c>
      <c r="AM562" t="s">
        <v>68</v>
      </c>
      <c r="AN562">
        <v>3</v>
      </c>
      <c r="AO562" t="s">
        <v>63</v>
      </c>
      <c r="AP562">
        <v>80</v>
      </c>
      <c r="AQ562">
        <v>1</v>
      </c>
      <c r="AR562">
        <v>7</v>
      </c>
      <c r="AS562" t="str">
        <f t="shared" si="130"/>
        <v>6-10</v>
      </c>
      <c r="AT562">
        <v>3</v>
      </c>
      <c r="AU562" t="str">
        <f t="shared" si="131"/>
        <v>3-4</v>
      </c>
      <c r="AV562">
        <v>3</v>
      </c>
      <c r="AW562" t="s">
        <v>79</v>
      </c>
      <c r="AX562">
        <v>0</v>
      </c>
      <c r="AY562" t="str">
        <f t="shared" si="120"/>
        <v>0-1</v>
      </c>
      <c r="AZ562">
        <v>0</v>
      </c>
      <c r="BA562" t="str">
        <f t="shared" si="132"/>
        <v>0-1</v>
      </c>
      <c r="BB562">
        <v>0</v>
      </c>
      <c r="BC562" t="str">
        <f t="shared" si="133"/>
        <v>0-1</v>
      </c>
      <c r="BD562">
        <v>0</v>
      </c>
      <c r="BE562" t="str">
        <f t="shared" si="134"/>
        <v>0-1</v>
      </c>
    </row>
    <row r="563" spans="1:57" x14ac:dyDescent="0.3">
      <c r="A563">
        <v>776</v>
      </c>
      <c r="B563">
        <v>52</v>
      </c>
      <c r="C563" t="str">
        <f t="shared" si="121"/>
        <v>46-55</v>
      </c>
      <c r="D563" t="s">
        <v>71</v>
      </c>
      <c r="E563">
        <f t="shared" si="122"/>
        <v>0</v>
      </c>
      <c r="F563" t="s">
        <v>57</v>
      </c>
      <c r="G563">
        <v>621</v>
      </c>
      <c r="H563" t="str">
        <f t="shared" si="123"/>
        <v>501-1000</v>
      </c>
      <c r="I563" t="s">
        <v>58</v>
      </c>
      <c r="J563">
        <v>3</v>
      </c>
      <c r="K563" t="str">
        <f t="shared" si="124"/>
        <v>1-5</v>
      </c>
      <c r="L563">
        <v>4</v>
      </c>
      <c r="M563" t="s">
        <v>82</v>
      </c>
      <c r="N563" t="s">
        <v>93</v>
      </c>
      <c r="O563">
        <v>1</v>
      </c>
      <c r="P563">
        <v>3</v>
      </c>
      <c r="Q563" t="s">
        <v>63</v>
      </c>
      <c r="R563" t="s">
        <v>75</v>
      </c>
      <c r="S563">
        <v>31</v>
      </c>
      <c r="T563" t="str">
        <f t="shared" si="125"/>
        <v>30-50</v>
      </c>
      <c r="U563">
        <v>2</v>
      </c>
      <c r="V563" t="s">
        <v>61</v>
      </c>
      <c r="W563">
        <v>4</v>
      </c>
      <c r="X563" t="s">
        <v>90</v>
      </c>
      <c r="Y563">
        <v>1</v>
      </c>
      <c r="Z563" t="s">
        <v>69</v>
      </c>
      <c r="AA563" t="s">
        <v>77</v>
      </c>
      <c r="AB563" s="4">
        <v>16856</v>
      </c>
      <c r="AC563" s="4" t="str">
        <f t="shared" si="126"/>
        <v>$16,000-$17,500</v>
      </c>
      <c r="AD563">
        <v>10084</v>
      </c>
      <c r="AE563" t="str">
        <f t="shared" si="127"/>
        <v>$8,001-$16,000</v>
      </c>
      <c r="AF563">
        <v>1</v>
      </c>
      <c r="AG563" t="str">
        <f t="shared" si="128"/>
        <v>0-1</v>
      </c>
      <c r="AH563" t="s">
        <v>67</v>
      </c>
      <c r="AI563" t="s">
        <v>71</v>
      </c>
      <c r="AJ563">
        <v>11</v>
      </c>
      <c r="AK563" t="str">
        <f t="shared" si="129"/>
        <v>11-12%</v>
      </c>
      <c r="AL563">
        <v>3</v>
      </c>
      <c r="AM563" t="s">
        <v>68</v>
      </c>
      <c r="AN563">
        <v>1</v>
      </c>
      <c r="AO563" t="s">
        <v>69</v>
      </c>
      <c r="AP563">
        <v>80</v>
      </c>
      <c r="AQ563">
        <v>0</v>
      </c>
      <c r="AR563">
        <v>34</v>
      </c>
      <c r="AS563" t="str">
        <f t="shared" si="130"/>
        <v>21-40</v>
      </c>
      <c r="AT563">
        <v>3</v>
      </c>
      <c r="AU563" t="str">
        <f t="shared" si="131"/>
        <v>3-4</v>
      </c>
      <c r="AV563">
        <v>4</v>
      </c>
      <c r="AW563" t="s">
        <v>94</v>
      </c>
      <c r="AX563">
        <v>34</v>
      </c>
      <c r="AY563" t="str">
        <f t="shared" si="120"/>
        <v>21-40</v>
      </c>
      <c r="AZ563">
        <v>6</v>
      </c>
      <c r="BA563" t="str">
        <f t="shared" si="132"/>
        <v>6-10</v>
      </c>
      <c r="BB563">
        <v>1</v>
      </c>
      <c r="BC563" t="str">
        <f t="shared" si="133"/>
        <v>0-1</v>
      </c>
      <c r="BD563">
        <v>16</v>
      </c>
      <c r="BE563" t="str">
        <f t="shared" si="134"/>
        <v>11-17</v>
      </c>
    </row>
    <row r="564" spans="1:57" x14ac:dyDescent="0.3">
      <c r="A564">
        <v>780</v>
      </c>
      <c r="B564">
        <v>33</v>
      </c>
      <c r="C564" t="str">
        <f t="shared" si="121"/>
        <v>26-35</v>
      </c>
      <c r="D564" t="s">
        <v>56</v>
      </c>
      <c r="E564">
        <f t="shared" si="122"/>
        <v>1</v>
      </c>
      <c r="F564" t="s">
        <v>57</v>
      </c>
      <c r="G564">
        <v>527</v>
      </c>
      <c r="H564" t="str">
        <f t="shared" si="123"/>
        <v>501-1000</v>
      </c>
      <c r="I564" t="s">
        <v>73</v>
      </c>
      <c r="J564">
        <v>1</v>
      </c>
      <c r="K564" t="str">
        <f t="shared" si="124"/>
        <v>1-5</v>
      </c>
      <c r="L564">
        <v>4</v>
      </c>
      <c r="M564" t="s">
        <v>82</v>
      </c>
      <c r="N564" t="s">
        <v>80</v>
      </c>
      <c r="O564">
        <v>1</v>
      </c>
      <c r="P564">
        <v>4</v>
      </c>
      <c r="Q564" t="s">
        <v>65</v>
      </c>
      <c r="R564" t="s">
        <v>75</v>
      </c>
      <c r="S564">
        <v>63</v>
      </c>
      <c r="T564" t="str">
        <f t="shared" si="125"/>
        <v>51-75</v>
      </c>
      <c r="U564">
        <v>3</v>
      </c>
      <c r="V564" t="s">
        <v>63</v>
      </c>
      <c r="W564">
        <v>1</v>
      </c>
      <c r="X564" t="s">
        <v>76</v>
      </c>
      <c r="Y564">
        <v>4</v>
      </c>
      <c r="Z564" t="s">
        <v>65</v>
      </c>
      <c r="AA564" t="s">
        <v>66</v>
      </c>
      <c r="AB564" s="4">
        <v>2686</v>
      </c>
      <c r="AC564" s="4" t="str">
        <f t="shared" si="126"/>
        <v>$2,500-$4,000</v>
      </c>
      <c r="AD564">
        <v>5207</v>
      </c>
      <c r="AE564" t="str">
        <f t="shared" si="127"/>
        <v>$2,094-$8,000</v>
      </c>
      <c r="AF564">
        <v>1</v>
      </c>
      <c r="AG564" t="str">
        <f t="shared" si="128"/>
        <v>0-1</v>
      </c>
      <c r="AH564" t="s">
        <v>67</v>
      </c>
      <c r="AI564" t="s">
        <v>56</v>
      </c>
      <c r="AJ564">
        <v>13</v>
      </c>
      <c r="AK564" t="str">
        <f t="shared" si="129"/>
        <v>13-15%</v>
      </c>
      <c r="AL564">
        <v>3</v>
      </c>
      <c r="AM564" t="s">
        <v>68</v>
      </c>
      <c r="AN564">
        <v>3</v>
      </c>
      <c r="AO564" t="s">
        <v>63</v>
      </c>
      <c r="AP564">
        <v>80</v>
      </c>
      <c r="AQ564">
        <v>0</v>
      </c>
      <c r="AR564">
        <v>10</v>
      </c>
      <c r="AS564" t="str">
        <f t="shared" si="130"/>
        <v>6-10</v>
      </c>
      <c r="AT564">
        <v>2</v>
      </c>
      <c r="AU564" t="str">
        <f t="shared" si="131"/>
        <v>0-2</v>
      </c>
      <c r="AV564">
        <v>2</v>
      </c>
      <c r="AW564" t="s">
        <v>84</v>
      </c>
      <c r="AX564">
        <v>10</v>
      </c>
      <c r="AY564" t="str">
        <f t="shared" si="120"/>
        <v>6-10</v>
      </c>
      <c r="AZ564">
        <v>9</v>
      </c>
      <c r="BA564" t="str">
        <f t="shared" si="132"/>
        <v>6-10</v>
      </c>
      <c r="BB564">
        <v>7</v>
      </c>
      <c r="BC564" t="str">
        <f t="shared" si="133"/>
        <v>6-10</v>
      </c>
      <c r="BD564">
        <v>8</v>
      </c>
      <c r="BE564" t="str">
        <f t="shared" si="134"/>
        <v>6-10</v>
      </c>
    </row>
    <row r="565" spans="1:57" x14ac:dyDescent="0.3">
      <c r="A565">
        <v>781</v>
      </c>
      <c r="B565">
        <v>25</v>
      </c>
      <c r="C565" t="str">
        <f t="shared" si="121"/>
        <v>18-25</v>
      </c>
      <c r="D565" t="s">
        <v>71</v>
      </c>
      <c r="E565">
        <f t="shared" si="122"/>
        <v>0</v>
      </c>
      <c r="F565" t="s">
        <v>57</v>
      </c>
      <c r="G565">
        <v>883</v>
      </c>
      <c r="H565" t="str">
        <f t="shared" si="123"/>
        <v>501-1000</v>
      </c>
      <c r="I565" t="s">
        <v>58</v>
      </c>
      <c r="J565">
        <v>26</v>
      </c>
      <c r="K565" t="str">
        <f t="shared" si="124"/>
        <v>21-29</v>
      </c>
      <c r="L565">
        <v>1</v>
      </c>
      <c r="M565" t="s">
        <v>74</v>
      </c>
      <c r="N565" t="s">
        <v>83</v>
      </c>
      <c r="O565">
        <v>1</v>
      </c>
      <c r="P565">
        <v>3</v>
      </c>
      <c r="Q565" t="s">
        <v>63</v>
      </c>
      <c r="R565" t="s">
        <v>62</v>
      </c>
      <c r="S565">
        <v>32</v>
      </c>
      <c r="T565" t="str">
        <f t="shared" si="125"/>
        <v>30-50</v>
      </c>
      <c r="U565">
        <v>3</v>
      </c>
      <c r="V565" t="s">
        <v>63</v>
      </c>
      <c r="W565">
        <v>2</v>
      </c>
      <c r="X565" t="s">
        <v>64</v>
      </c>
      <c r="Y565">
        <v>4</v>
      </c>
      <c r="Z565" t="s">
        <v>65</v>
      </c>
      <c r="AA565" t="s">
        <v>66</v>
      </c>
      <c r="AB565" s="4">
        <v>6180</v>
      </c>
      <c r="AC565" s="4" t="str">
        <f t="shared" si="126"/>
        <v>$5,500-$7,000</v>
      </c>
      <c r="AD565">
        <v>22807</v>
      </c>
      <c r="AE565" t="str">
        <f t="shared" si="127"/>
        <v>$22,001-$26,999</v>
      </c>
      <c r="AF565">
        <v>1</v>
      </c>
      <c r="AG565" t="str">
        <f t="shared" si="128"/>
        <v>0-1</v>
      </c>
      <c r="AH565" t="s">
        <v>67</v>
      </c>
      <c r="AI565" t="s">
        <v>71</v>
      </c>
      <c r="AJ565">
        <v>23</v>
      </c>
      <c r="AK565" t="str">
        <f t="shared" si="129"/>
        <v>18-19%</v>
      </c>
      <c r="AL565">
        <v>4</v>
      </c>
      <c r="AM565" t="s">
        <v>78</v>
      </c>
      <c r="AN565">
        <v>2</v>
      </c>
      <c r="AO565" t="s">
        <v>61</v>
      </c>
      <c r="AP565">
        <v>80</v>
      </c>
      <c r="AQ565">
        <v>0</v>
      </c>
      <c r="AR565">
        <v>6</v>
      </c>
      <c r="AS565" t="str">
        <f t="shared" si="130"/>
        <v>6-10</v>
      </c>
      <c r="AT565">
        <v>5</v>
      </c>
      <c r="AU565" t="str">
        <f t="shared" si="131"/>
        <v>5-6</v>
      </c>
      <c r="AV565">
        <v>2</v>
      </c>
      <c r="AW565" t="s">
        <v>84</v>
      </c>
      <c r="AX565">
        <v>6</v>
      </c>
      <c r="AY565" t="str">
        <f t="shared" si="120"/>
        <v>6-10</v>
      </c>
      <c r="AZ565">
        <v>5</v>
      </c>
      <c r="BA565" t="str">
        <f t="shared" si="132"/>
        <v>2-5</v>
      </c>
      <c r="BB565">
        <v>1</v>
      </c>
      <c r="BC565" t="str">
        <f t="shared" si="133"/>
        <v>0-1</v>
      </c>
      <c r="BD565">
        <v>4</v>
      </c>
      <c r="BE565" t="str">
        <f t="shared" si="134"/>
        <v>2-5</v>
      </c>
    </row>
    <row r="566" spans="1:57" x14ac:dyDescent="0.3">
      <c r="A566">
        <v>783</v>
      </c>
      <c r="B566">
        <v>45</v>
      </c>
      <c r="C566" t="str">
        <f t="shared" si="121"/>
        <v>36-45</v>
      </c>
      <c r="D566" t="s">
        <v>71</v>
      </c>
      <c r="E566">
        <f t="shared" si="122"/>
        <v>0</v>
      </c>
      <c r="F566" t="s">
        <v>57</v>
      </c>
      <c r="G566">
        <v>954</v>
      </c>
      <c r="H566" t="str">
        <f t="shared" si="123"/>
        <v>501-1000</v>
      </c>
      <c r="I566" t="s">
        <v>58</v>
      </c>
      <c r="J566">
        <v>2</v>
      </c>
      <c r="K566" t="str">
        <f t="shared" si="124"/>
        <v>1-5</v>
      </c>
      <c r="L566">
        <v>2</v>
      </c>
      <c r="M566" t="s">
        <v>59</v>
      </c>
      <c r="N566" t="s">
        <v>95</v>
      </c>
      <c r="O566">
        <v>1</v>
      </c>
      <c r="P566">
        <v>2</v>
      </c>
      <c r="Q566" t="s">
        <v>61</v>
      </c>
      <c r="R566" t="s">
        <v>75</v>
      </c>
      <c r="S566">
        <v>46</v>
      </c>
      <c r="T566" t="str">
        <f t="shared" si="125"/>
        <v>30-50</v>
      </c>
      <c r="U566">
        <v>1</v>
      </c>
      <c r="V566" t="s">
        <v>69</v>
      </c>
      <c r="W566">
        <v>2</v>
      </c>
      <c r="X566" t="s">
        <v>91</v>
      </c>
      <c r="Y566">
        <v>3</v>
      </c>
      <c r="Z566" t="s">
        <v>63</v>
      </c>
      <c r="AA566" t="s">
        <v>66</v>
      </c>
      <c r="AB566" s="4">
        <v>6632</v>
      </c>
      <c r="AC566" s="4" t="str">
        <f t="shared" si="126"/>
        <v>$5,500-$7,000</v>
      </c>
      <c r="AD566">
        <v>12388</v>
      </c>
      <c r="AE566" t="str">
        <f t="shared" si="127"/>
        <v>$8,001-$16,000</v>
      </c>
      <c r="AF566">
        <v>0</v>
      </c>
      <c r="AG566" t="str">
        <f t="shared" si="128"/>
        <v>0-1</v>
      </c>
      <c r="AH566" t="s">
        <v>67</v>
      </c>
      <c r="AI566" t="s">
        <v>71</v>
      </c>
      <c r="AJ566">
        <v>13</v>
      </c>
      <c r="AK566" t="str">
        <f t="shared" si="129"/>
        <v>13-15%</v>
      </c>
      <c r="AL566">
        <v>3</v>
      </c>
      <c r="AM566" t="s">
        <v>68</v>
      </c>
      <c r="AN566">
        <v>1</v>
      </c>
      <c r="AO566" t="s">
        <v>69</v>
      </c>
      <c r="AP566">
        <v>80</v>
      </c>
      <c r="AQ566">
        <v>0</v>
      </c>
      <c r="AR566">
        <v>9</v>
      </c>
      <c r="AS566" t="str">
        <f t="shared" si="130"/>
        <v>6-10</v>
      </c>
      <c r="AT566">
        <v>3</v>
      </c>
      <c r="AU566" t="str">
        <f t="shared" si="131"/>
        <v>3-4</v>
      </c>
      <c r="AV566">
        <v>3</v>
      </c>
      <c r="AW566" t="s">
        <v>79</v>
      </c>
      <c r="AX566">
        <v>8</v>
      </c>
      <c r="AY566" t="str">
        <f t="shared" si="120"/>
        <v>6-10</v>
      </c>
      <c r="AZ566">
        <v>7</v>
      </c>
      <c r="BA566" t="str">
        <f t="shared" si="132"/>
        <v>6-10</v>
      </c>
      <c r="BB566">
        <v>3</v>
      </c>
      <c r="BC566" t="str">
        <f t="shared" si="133"/>
        <v>2-5</v>
      </c>
      <c r="BD566">
        <v>1</v>
      </c>
      <c r="BE566" t="str">
        <f t="shared" si="134"/>
        <v>0-1</v>
      </c>
    </row>
    <row r="567" spans="1:57" x14ac:dyDescent="0.3">
      <c r="A567">
        <v>784</v>
      </c>
      <c r="B567">
        <v>23</v>
      </c>
      <c r="C567" t="str">
        <f t="shared" si="121"/>
        <v>18-25</v>
      </c>
      <c r="D567" t="s">
        <v>71</v>
      </c>
      <c r="E567">
        <f t="shared" si="122"/>
        <v>0</v>
      </c>
      <c r="F567" t="s">
        <v>57</v>
      </c>
      <c r="G567">
        <v>310</v>
      </c>
      <c r="H567" t="str">
        <f t="shared" si="123"/>
        <v>102-500</v>
      </c>
      <c r="I567" t="s">
        <v>73</v>
      </c>
      <c r="J567">
        <v>10</v>
      </c>
      <c r="K567" t="str">
        <f t="shared" si="124"/>
        <v>6-10</v>
      </c>
      <c r="L567">
        <v>1</v>
      </c>
      <c r="M567" t="s">
        <v>74</v>
      </c>
      <c r="N567" t="s">
        <v>83</v>
      </c>
      <c r="O567">
        <v>1</v>
      </c>
      <c r="P567">
        <v>1</v>
      </c>
      <c r="Q567" t="s">
        <v>69</v>
      </c>
      <c r="R567" t="s">
        <v>75</v>
      </c>
      <c r="S567">
        <v>79</v>
      </c>
      <c r="T567" t="str">
        <f t="shared" si="125"/>
        <v>76-100</v>
      </c>
      <c r="U567">
        <v>4</v>
      </c>
      <c r="V567" t="s">
        <v>65</v>
      </c>
      <c r="W567">
        <v>1</v>
      </c>
      <c r="X567" t="s">
        <v>76</v>
      </c>
      <c r="Y567">
        <v>3</v>
      </c>
      <c r="Z567" t="s">
        <v>63</v>
      </c>
      <c r="AA567" t="s">
        <v>66</v>
      </c>
      <c r="AB567" s="4">
        <v>3505</v>
      </c>
      <c r="AC567" s="4" t="str">
        <f t="shared" si="126"/>
        <v>$2,500-$4,000</v>
      </c>
      <c r="AD567">
        <v>19630</v>
      </c>
      <c r="AE567" t="str">
        <f t="shared" si="127"/>
        <v>$16,001-$22,000</v>
      </c>
      <c r="AF567">
        <v>1</v>
      </c>
      <c r="AG567" t="str">
        <f t="shared" si="128"/>
        <v>0-1</v>
      </c>
      <c r="AH567" t="s">
        <v>67</v>
      </c>
      <c r="AI567" t="s">
        <v>71</v>
      </c>
      <c r="AJ567">
        <v>18</v>
      </c>
      <c r="AK567" t="str">
        <f t="shared" si="129"/>
        <v>18-19%</v>
      </c>
      <c r="AL567">
        <v>3</v>
      </c>
      <c r="AM567" t="s">
        <v>68</v>
      </c>
      <c r="AN567">
        <v>4</v>
      </c>
      <c r="AO567" t="s">
        <v>65</v>
      </c>
      <c r="AP567">
        <v>80</v>
      </c>
      <c r="AQ567">
        <v>0</v>
      </c>
      <c r="AR567">
        <v>2</v>
      </c>
      <c r="AS567" t="str">
        <f t="shared" si="130"/>
        <v>0-2</v>
      </c>
      <c r="AT567">
        <v>3</v>
      </c>
      <c r="AU567" t="str">
        <f t="shared" si="131"/>
        <v>3-4</v>
      </c>
      <c r="AV567">
        <v>3</v>
      </c>
      <c r="AW567" t="s">
        <v>79</v>
      </c>
      <c r="AX567">
        <v>2</v>
      </c>
      <c r="AY567" t="str">
        <f t="shared" si="120"/>
        <v>2-5</v>
      </c>
      <c r="AZ567">
        <v>2</v>
      </c>
      <c r="BA567" t="str">
        <f t="shared" si="132"/>
        <v>2-5</v>
      </c>
      <c r="BB567">
        <v>0</v>
      </c>
      <c r="BC567" t="str">
        <f t="shared" si="133"/>
        <v>0-1</v>
      </c>
      <c r="BD567">
        <v>2</v>
      </c>
      <c r="BE567" t="str">
        <f t="shared" si="134"/>
        <v>2-5</v>
      </c>
    </row>
    <row r="568" spans="1:57" x14ac:dyDescent="0.3">
      <c r="A568">
        <v>785</v>
      </c>
      <c r="B568">
        <v>47</v>
      </c>
      <c r="C568" t="str">
        <f t="shared" si="121"/>
        <v>46-55</v>
      </c>
      <c r="D568" t="s">
        <v>56</v>
      </c>
      <c r="E568">
        <f t="shared" si="122"/>
        <v>1</v>
      </c>
      <c r="F568" t="s">
        <v>72</v>
      </c>
      <c r="G568">
        <v>719</v>
      </c>
      <c r="H568" t="str">
        <f t="shared" si="123"/>
        <v>501-1000</v>
      </c>
      <c r="I568" t="s">
        <v>58</v>
      </c>
      <c r="J568">
        <v>27</v>
      </c>
      <c r="K568" t="str">
        <f t="shared" si="124"/>
        <v>21-29</v>
      </c>
      <c r="L568">
        <v>2</v>
      </c>
      <c r="M568" t="s">
        <v>59</v>
      </c>
      <c r="N568" t="s">
        <v>60</v>
      </c>
      <c r="O568">
        <v>1</v>
      </c>
      <c r="P568">
        <v>2</v>
      </c>
      <c r="Q568" t="s">
        <v>61</v>
      </c>
      <c r="R568" t="s">
        <v>62</v>
      </c>
      <c r="S568">
        <v>77</v>
      </c>
      <c r="T568" t="str">
        <f t="shared" si="125"/>
        <v>76-100</v>
      </c>
      <c r="U568">
        <v>4</v>
      </c>
      <c r="V568" t="s">
        <v>65</v>
      </c>
      <c r="W568">
        <v>2</v>
      </c>
      <c r="X568" t="s">
        <v>64</v>
      </c>
      <c r="Y568">
        <v>3</v>
      </c>
      <c r="Z568" t="s">
        <v>63</v>
      </c>
      <c r="AA568" t="s">
        <v>66</v>
      </c>
      <c r="AB568" s="4">
        <v>6397</v>
      </c>
      <c r="AC568" s="4" t="str">
        <f t="shared" si="126"/>
        <v>$5,500-$7,000</v>
      </c>
      <c r="AD568">
        <v>10339</v>
      </c>
      <c r="AE568" t="str">
        <f t="shared" si="127"/>
        <v>$8,001-$16,000</v>
      </c>
      <c r="AF568">
        <v>4</v>
      </c>
      <c r="AG568" t="str">
        <f t="shared" si="128"/>
        <v>4-6</v>
      </c>
      <c r="AH568" t="s">
        <v>67</v>
      </c>
      <c r="AI568" t="s">
        <v>56</v>
      </c>
      <c r="AJ568">
        <v>12</v>
      </c>
      <c r="AK568" t="str">
        <f t="shared" si="129"/>
        <v>11-12%</v>
      </c>
      <c r="AL568">
        <v>3</v>
      </c>
      <c r="AM568" t="s">
        <v>68</v>
      </c>
      <c r="AN568">
        <v>4</v>
      </c>
      <c r="AO568" t="s">
        <v>65</v>
      </c>
      <c r="AP568">
        <v>80</v>
      </c>
      <c r="AQ568">
        <v>0</v>
      </c>
      <c r="AR568">
        <v>8</v>
      </c>
      <c r="AS568" t="str">
        <f t="shared" si="130"/>
        <v>6-10</v>
      </c>
      <c r="AT568">
        <v>2</v>
      </c>
      <c r="AU568" t="str">
        <f t="shared" si="131"/>
        <v>0-2</v>
      </c>
      <c r="AV568">
        <v>3</v>
      </c>
      <c r="AW568" t="s">
        <v>79</v>
      </c>
      <c r="AX568">
        <v>5</v>
      </c>
      <c r="AY568" t="str">
        <f t="shared" si="120"/>
        <v>2-5</v>
      </c>
      <c r="AZ568">
        <v>4</v>
      </c>
      <c r="BA568" t="str">
        <f t="shared" si="132"/>
        <v>2-5</v>
      </c>
      <c r="BB568">
        <v>1</v>
      </c>
      <c r="BC568" t="str">
        <f t="shared" si="133"/>
        <v>0-1</v>
      </c>
      <c r="BD568">
        <v>3</v>
      </c>
      <c r="BE568" t="str">
        <f t="shared" si="134"/>
        <v>2-5</v>
      </c>
    </row>
    <row r="569" spans="1:57" x14ac:dyDescent="0.3">
      <c r="A569">
        <v>786</v>
      </c>
      <c r="B569">
        <v>34</v>
      </c>
      <c r="C569" t="str">
        <f t="shared" si="121"/>
        <v>26-35</v>
      </c>
      <c r="D569" t="s">
        <v>71</v>
      </c>
      <c r="E569">
        <f t="shared" si="122"/>
        <v>0</v>
      </c>
      <c r="F569" t="s">
        <v>57</v>
      </c>
      <c r="G569">
        <v>304</v>
      </c>
      <c r="H569" t="str">
        <f t="shared" si="123"/>
        <v>102-500</v>
      </c>
      <c r="I569" t="s">
        <v>58</v>
      </c>
      <c r="J569">
        <v>2</v>
      </c>
      <c r="K569" t="str">
        <f t="shared" si="124"/>
        <v>1-5</v>
      </c>
      <c r="L569">
        <v>3</v>
      </c>
      <c r="M569" t="s">
        <v>85</v>
      </c>
      <c r="N569" t="s">
        <v>80</v>
      </c>
      <c r="O569">
        <v>1</v>
      </c>
      <c r="P569">
        <v>4</v>
      </c>
      <c r="Q569" t="s">
        <v>65</v>
      </c>
      <c r="R569" t="s">
        <v>75</v>
      </c>
      <c r="S569">
        <v>60</v>
      </c>
      <c r="T569" t="str">
        <f t="shared" si="125"/>
        <v>51-75</v>
      </c>
      <c r="U569">
        <v>3</v>
      </c>
      <c r="V569" t="s">
        <v>63</v>
      </c>
      <c r="W569">
        <v>2</v>
      </c>
      <c r="X569" t="s">
        <v>64</v>
      </c>
      <c r="Y569">
        <v>4</v>
      </c>
      <c r="Z569" t="s">
        <v>65</v>
      </c>
      <c r="AA569" t="s">
        <v>66</v>
      </c>
      <c r="AB569" s="4">
        <v>6274</v>
      </c>
      <c r="AC569" s="4" t="str">
        <f t="shared" si="126"/>
        <v>$5,500-$7,000</v>
      </c>
      <c r="AD569">
        <v>18686</v>
      </c>
      <c r="AE569" t="str">
        <f t="shared" si="127"/>
        <v>$16,001-$22,000</v>
      </c>
      <c r="AF569">
        <v>1</v>
      </c>
      <c r="AG569" t="str">
        <f t="shared" si="128"/>
        <v>0-1</v>
      </c>
      <c r="AH569" t="s">
        <v>67</v>
      </c>
      <c r="AI569" t="s">
        <v>71</v>
      </c>
      <c r="AJ569">
        <v>22</v>
      </c>
      <c r="AK569" t="str">
        <f t="shared" si="129"/>
        <v>18-19%</v>
      </c>
      <c r="AL569">
        <v>4</v>
      </c>
      <c r="AM569" t="s">
        <v>78</v>
      </c>
      <c r="AN569">
        <v>3</v>
      </c>
      <c r="AO569" t="s">
        <v>63</v>
      </c>
      <c r="AP569">
        <v>80</v>
      </c>
      <c r="AQ569">
        <v>0</v>
      </c>
      <c r="AR569">
        <v>6</v>
      </c>
      <c r="AS569" t="str">
        <f t="shared" si="130"/>
        <v>6-10</v>
      </c>
      <c r="AT569">
        <v>5</v>
      </c>
      <c r="AU569" t="str">
        <f t="shared" si="131"/>
        <v>5-6</v>
      </c>
      <c r="AV569">
        <v>3</v>
      </c>
      <c r="AW569" t="s">
        <v>79</v>
      </c>
      <c r="AX569">
        <v>6</v>
      </c>
      <c r="AY569" t="str">
        <f t="shared" si="120"/>
        <v>6-10</v>
      </c>
      <c r="AZ569">
        <v>5</v>
      </c>
      <c r="BA569" t="str">
        <f t="shared" si="132"/>
        <v>2-5</v>
      </c>
      <c r="BB569">
        <v>1</v>
      </c>
      <c r="BC569" t="str">
        <f t="shared" si="133"/>
        <v>0-1</v>
      </c>
      <c r="BD569">
        <v>4</v>
      </c>
      <c r="BE569" t="str">
        <f t="shared" si="134"/>
        <v>2-5</v>
      </c>
    </row>
    <row r="570" spans="1:57" x14ac:dyDescent="0.3">
      <c r="A570">
        <v>787</v>
      </c>
      <c r="B570">
        <v>55</v>
      </c>
      <c r="C570" t="str">
        <f t="shared" si="121"/>
        <v>46-55</v>
      </c>
      <c r="D570" t="s">
        <v>56</v>
      </c>
      <c r="E570">
        <f t="shared" si="122"/>
        <v>1</v>
      </c>
      <c r="F570" t="s">
        <v>57</v>
      </c>
      <c r="G570">
        <v>725</v>
      </c>
      <c r="H570" t="str">
        <f t="shared" si="123"/>
        <v>501-1000</v>
      </c>
      <c r="I570" t="s">
        <v>73</v>
      </c>
      <c r="J570">
        <v>2</v>
      </c>
      <c r="K570" t="str">
        <f t="shared" si="124"/>
        <v>1-5</v>
      </c>
      <c r="L570">
        <v>3</v>
      </c>
      <c r="M570" t="s">
        <v>85</v>
      </c>
      <c r="N570" t="s">
        <v>83</v>
      </c>
      <c r="O570">
        <v>1</v>
      </c>
      <c r="P570">
        <v>4</v>
      </c>
      <c r="Q570" t="s">
        <v>65</v>
      </c>
      <c r="R570" t="s">
        <v>75</v>
      </c>
      <c r="S570">
        <v>78</v>
      </c>
      <c r="T570" t="str">
        <f t="shared" si="125"/>
        <v>76-100</v>
      </c>
      <c r="U570">
        <v>3</v>
      </c>
      <c r="V570" t="s">
        <v>63</v>
      </c>
      <c r="W570">
        <v>5</v>
      </c>
      <c r="X570" t="s">
        <v>90</v>
      </c>
      <c r="Y570">
        <v>1</v>
      </c>
      <c r="Z570" t="s">
        <v>69</v>
      </c>
      <c r="AA570" t="s">
        <v>77</v>
      </c>
      <c r="AB570" s="4">
        <v>19859</v>
      </c>
      <c r="AC570" s="4" t="str">
        <f t="shared" si="126"/>
        <v>$19,000-$20,500</v>
      </c>
      <c r="AD570">
        <v>21199</v>
      </c>
      <c r="AE570" t="str">
        <f t="shared" si="127"/>
        <v>$16,001-$22,000</v>
      </c>
      <c r="AF570">
        <v>5</v>
      </c>
      <c r="AG570" t="str">
        <f t="shared" si="128"/>
        <v>4-6</v>
      </c>
      <c r="AH570" t="s">
        <v>67</v>
      </c>
      <c r="AI570" t="s">
        <v>56</v>
      </c>
      <c r="AJ570">
        <v>13</v>
      </c>
      <c r="AK570" t="str">
        <f t="shared" si="129"/>
        <v>13-15%</v>
      </c>
      <c r="AL570">
        <v>3</v>
      </c>
      <c r="AM570" t="s">
        <v>68</v>
      </c>
      <c r="AN570">
        <v>4</v>
      </c>
      <c r="AO570" t="s">
        <v>65</v>
      </c>
      <c r="AP570">
        <v>80</v>
      </c>
      <c r="AQ570">
        <v>1</v>
      </c>
      <c r="AR570">
        <v>24</v>
      </c>
      <c r="AS570" t="str">
        <f t="shared" si="130"/>
        <v>21-40</v>
      </c>
      <c r="AT570">
        <v>2</v>
      </c>
      <c r="AU570" t="str">
        <f t="shared" si="131"/>
        <v>0-2</v>
      </c>
      <c r="AV570">
        <v>3</v>
      </c>
      <c r="AW570" t="s">
        <v>79</v>
      </c>
      <c r="AX570">
        <v>5</v>
      </c>
      <c r="AY570" t="str">
        <f t="shared" si="120"/>
        <v>2-5</v>
      </c>
      <c r="AZ570">
        <v>2</v>
      </c>
      <c r="BA570" t="str">
        <f t="shared" si="132"/>
        <v>2-5</v>
      </c>
      <c r="BB570">
        <v>1</v>
      </c>
      <c r="BC570" t="str">
        <f t="shared" si="133"/>
        <v>0-1</v>
      </c>
      <c r="BD570">
        <v>4</v>
      </c>
      <c r="BE570" t="str">
        <f t="shared" si="134"/>
        <v>2-5</v>
      </c>
    </row>
    <row r="571" spans="1:57" x14ac:dyDescent="0.3">
      <c r="A571">
        <v>789</v>
      </c>
      <c r="B571">
        <v>36</v>
      </c>
      <c r="C571" t="str">
        <f t="shared" si="121"/>
        <v>36-45</v>
      </c>
      <c r="D571" t="s">
        <v>71</v>
      </c>
      <c r="E571">
        <f t="shared" si="122"/>
        <v>0</v>
      </c>
      <c r="F571" t="s">
        <v>89</v>
      </c>
      <c r="G571">
        <v>1434</v>
      </c>
      <c r="H571" t="str">
        <f t="shared" si="123"/>
        <v>1001-1499</v>
      </c>
      <c r="I571" t="s">
        <v>58</v>
      </c>
      <c r="J571">
        <v>8</v>
      </c>
      <c r="K571" t="str">
        <f t="shared" si="124"/>
        <v>6-10</v>
      </c>
      <c r="L571">
        <v>4</v>
      </c>
      <c r="M571" t="s">
        <v>82</v>
      </c>
      <c r="N571" t="s">
        <v>60</v>
      </c>
      <c r="O571">
        <v>1</v>
      </c>
      <c r="P571">
        <v>1</v>
      </c>
      <c r="Q571" t="s">
        <v>69</v>
      </c>
      <c r="R571" t="s">
        <v>75</v>
      </c>
      <c r="S571">
        <v>76</v>
      </c>
      <c r="T571" t="str">
        <f t="shared" si="125"/>
        <v>76-100</v>
      </c>
      <c r="U571">
        <v>2</v>
      </c>
      <c r="V571" t="s">
        <v>61</v>
      </c>
      <c r="W571">
        <v>3</v>
      </c>
      <c r="X571" t="s">
        <v>64</v>
      </c>
      <c r="Y571">
        <v>1</v>
      </c>
      <c r="Z571" t="s">
        <v>69</v>
      </c>
      <c r="AA571" t="s">
        <v>66</v>
      </c>
      <c r="AB571" s="4">
        <v>7587</v>
      </c>
      <c r="AC571" s="4" t="str">
        <f t="shared" si="126"/>
        <v>$7,000-$8,500</v>
      </c>
      <c r="AD571">
        <v>14229</v>
      </c>
      <c r="AE571" t="str">
        <f t="shared" si="127"/>
        <v>$8,001-$16,000</v>
      </c>
      <c r="AF571">
        <v>1</v>
      </c>
      <c r="AG571" t="str">
        <f t="shared" si="128"/>
        <v>0-1</v>
      </c>
      <c r="AH571" t="s">
        <v>67</v>
      </c>
      <c r="AI571" t="s">
        <v>71</v>
      </c>
      <c r="AJ571">
        <v>15</v>
      </c>
      <c r="AK571" t="str">
        <f t="shared" si="129"/>
        <v>13-15%</v>
      </c>
      <c r="AL571">
        <v>3</v>
      </c>
      <c r="AM571" t="s">
        <v>68</v>
      </c>
      <c r="AN571">
        <v>2</v>
      </c>
      <c r="AO571" t="s">
        <v>61</v>
      </c>
      <c r="AP571">
        <v>80</v>
      </c>
      <c r="AQ571">
        <v>0</v>
      </c>
      <c r="AR571">
        <v>10</v>
      </c>
      <c r="AS571" t="str">
        <f t="shared" si="130"/>
        <v>6-10</v>
      </c>
      <c r="AT571">
        <v>1</v>
      </c>
      <c r="AU571" t="str">
        <f t="shared" si="131"/>
        <v>0-2</v>
      </c>
      <c r="AV571">
        <v>3</v>
      </c>
      <c r="AW571" t="s">
        <v>79</v>
      </c>
      <c r="AX571">
        <v>10</v>
      </c>
      <c r="AY571" t="str">
        <f t="shared" si="120"/>
        <v>6-10</v>
      </c>
      <c r="AZ571">
        <v>7</v>
      </c>
      <c r="BA571" t="str">
        <f t="shared" si="132"/>
        <v>6-10</v>
      </c>
      <c r="BB571">
        <v>0</v>
      </c>
      <c r="BC571" t="str">
        <f t="shared" si="133"/>
        <v>0-1</v>
      </c>
      <c r="BD571">
        <v>9</v>
      </c>
      <c r="BE571" t="str">
        <f t="shared" si="134"/>
        <v>6-10</v>
      </c>
    </row>
    <row r="572" spans="1:57" x14ac:dyDescent="0.3">
      <c r="A572">
        <v>791</v>
      </c>
      <c r="B572">
        <v>52</v>
      </c>
      <c r="C572" t="str">
        <f t="shared" si="121"/>
        <v>46-55</v>
      </c>
      <c r="D572" t="s">
        <v>71</v>
      </c>
      <c r="E572">
        <f t="shared" si="122"/>
        <v>0</v>
      </c>
      <c r="F572" t="s">
        <v>89</v>
      </c>
      <c r="G572">
        <v>715</v>
      </c>
      <c r="H572" t="str">
        <f t="shared" si="123"/>
        <v>501-1000</v>
      </c>
      <c r="I572" t="s">
        <v>73</v>
      </c>
      <c r="J572">
        <v>19</v>
      </c>
      <c r="K572" t="str">
        <f t="shared" si="124"/>
        <v>11-20</v>
      </c>
      <c r="L572">
        <v>4</v>
      </c>
      <c r="M572" t="s">
        <v>82</v>
      </c>
      <c r="N572" t="s">
        <v>83</v>
      </c>
      <c r="O572">
        <v>1</v>
      </c>
      <c r="P572">
        <v>4</v>
      </c>
      <c r="Q572" t="s">
        <v>65</v>
      </c>
      <c r="R572" t="s">
        <v>75</v>
      </c>
      <c r="S572">
        <v>41</v>
      </c>
      <c r="T572" t="str">
        <f t="shared" si="125"/>
        <v>30-50</v>
      </c>
      <c r="U572">
        <v>3</v>
      </c>
      <c r="V572" t="s">
        <v>63</v>
      </c>
      <c r="W572">
        <v>1</v>
      </c>
      <c r="X572" t="s">
        <v>76</v>
      </c>
      <c r="Y572">
        <v>4</v>
      </c>
      <c r="Z572" t="s">
        <v>65</v>
      </c>
      <c r="AA572" t="s">
        <v>77</v>
      </c>
      <c r="AB572" s="4">
        <v>4258</v>
      </c>
      <c r="AC572" s="4" t="str">
        <f t="shared" si="126"/>
        <v>$4,000-$5,500</v>
      </c>
      <c r="AD572">
        <v>26589</v>
      </c>
      <c r="AE572" t="str">
        <f t="shared" si="127"/>
        <v>$22,001-$26,999</v>
      </c>
      <c r="AF572">
        <v>0</v>
      </c>
      <c r="AG572" t="str">
        <f t="shared" si="128"/>
        <v>0-1</v>
      </c>
      <c r="AH572" t="s">
        <v>67</v>
      </c>
      <c r="AI572" t="s">
        <v>71</v>
      </c>
      <c r="AJ572">
        <v>18</v>
      </c>
      <c r="AK572" t="str">
        <f t="shared" si="129"/>
        <v>18-19%</v>
      </c>
      <c r="AL572">
        <v>3</v>
      </c>
      <c r="AM572" t="s">
        <v>68</v>
      </c>
      <c r="AN572">
        <v>1</v>
      </c>
      <c r="AO572" t="s">
        <v>69</v>
      </c>
      <c r="AP572">
        <v>80</v>
      </c>
      <c r="AQ572">
        <v>1</v>
      </c>
      <c r="AR572">
        <v>5</v>
      </c>
      <c r="AS572" t="str">
        <f t="shared" si="130"/>
        <v>3-5</v>
      </c>
      <c r="AT572">
        <v>3</v>
      </c>
      <c r="AU572" t="str">
        <f t="shared" si="131"/>
        <v>3-4</v>
      </c>
      <c r="AV572">
        <v>3</v>
      </c>
      <c r="AW572" t="s">
        <v>79</v>
      </c>
      <c r="AX572">
        <v>4</v>
      </c>
      <c r="AY572" t="str">
        <f t="shared" si="120"/>
        <v>2-5</v>
      </c>
      <c r="AZ572">
        <v>3</v>
      </c>
      <c r="BA572" t="str">
        <f t="shared" si="132"/>
        <v>2-5</v>
      </c>
      <c r="BB572">
        <v>1</v>
      </c>
      <c r="BC572" t="str">
        <f t="shared" si="133"/>
        <v>0-1</v>
      </c>
      <c r="BD572">
        <v>2</v>
      </c>
      <c r="BE572" t="str">
        <f t="shared" si="134"/>
        <v>2-5</v>
      </c>
    </row>
    <row r="573" spans="1:57" x14ac:dyDescent="0.3">
      <c r="A573">
        <v>792</v>
      </c>
      <c r="B573">
        <v>26</v>
      </c>
      <c r="C573" t="str">
        <f t="shared" si="121"/>
        <v>26-35</v>
      </c>
      <c r="D573" t="s">
        <v>71</v>
      </c>
      <c r="E573">
        <f t="shared" si="122"/>
        <v>0</v>
      </c>
      <c r="F573" t="s">
        <v>72</v>
      </c>
      <c r="G573">
        <v>575</v>
      </c>
      <c r="H573" t="str">
        <f t="shared" si="123"/>
        <v>501-1000</v>
      </c>
      <c r="I573" t="s">
        <v>73</v>
      </c>
      <c r="J573">
        <v>1</v>
      </c>
      <c r="K573" t="str">
        <f t="shared" si="124"/>
        <v>1-5</v>
      </c>
      <c r="L573">
        <v>2</v>
      </c>
      <c r="M573" t="s">
        <v>59</v>
      </c>
      <c r="N573" t="s">
        <v>60</v>
      </c>
      <c r="O573">
        <v>1</v>
      </c>
      <c r="P573">
        <v>1</v>
      </c>
      <c r="Q573" t="s">
        <v>69</v>
      </c>
      <c r="R573" t="s">
        <v>62</v>
      </c>
      <c r="S573">
        <v>71</v>
      </c>
      <c r="T573" t="str">
        <f t="shared" si="125"/>
        <v>51-75</v>
      </c>
      <c r="U573">
        <v>1</v>
      </c>
      <c r="V573" t="s">
        <v>69</v>
      </c>
      <c r="W573">
        <v>1</v>
      </c>
      <c r="X573" t="s">
        <v>81</v>
      </c>
      <c r="Y573">
        <v>4</v>
      </c>
      <c r="Z573" t="s">
        <v>65</v>
      </c>
      <c r="AA573" t="s">
        <v>86</v>
      </c>
      <c r="AB573" s="4">
        <v>4364</v>
      </c>
      <c r="AC573" s="4" t="str">
        <f t="shared" si="126"/>
        <v>$4,000-$5,500</v>
      </c>
      <c r="AD573">
        <v>5288</v>
      </c>
      <c r="AE573" t="str">
        <f t="shared" si="127"/>
        <v>$2,094-$8,000</v>
      </c>
      <c r="AF573">
        <v>3</v>
      </c>
      <c r="AG573" t="str">
        <f t="shared" si="128"/>
        <v>2-3</v>
      </c>
      <c r="AH573" t="s">
        <v>67</v>
      </c>
      <c r="AI573" t="s">
        <v>71</v>
      </c>
      <c r="AJ573">
        <v>14</v>
      </c>
      <c r="AK573" t="str">
        <f t="shared" si="129"/>
        <v>13-15%</v>
      </c>
      <c r="AL573">
        <v>3</v>
      </c>
      <c r="AM573" t="s">
        <v>68</v>
      </c>
      <c r="AN573">
        <v>1</v>
      </c>
      <c r="AO573" t="s">
        <v>69</v>
      </c>
      <c r="AP573">
        <v>80</v>
      </c>
      <c r="AQ573">
        <v>1</v>
      </c>
      <c r="AR573">
        <v>5</v>
      </c>
      <c r="AS573" t="str">
        <f t="shared" si="130"/>
        <v>3-5</v>
      </c>
      <c r="AT573">
        <v>2</v>
      </c>
      <c r="AU573" t="str">
        <f t="shared" si="131"/>
        <v>0-2</v>
      </c>
      <c r="AV573">
        <v>3</v>
      </c>
      <c r="AW573" t="s">
        <v>79</v>
      </c>
      <c r="AX573">
        <v>2</v>
      </c>
      <c r="AY573" t="str">
        <f t="shared" si="120"/>
        <v>2-5</v>
      </c>
      <c r="AZ573">
        <v>2</v>
      </c>
      <c r="BA573" t="str">
        <f t="shared" si="132"/>
        <v>2-5</v>
      </c>
      <c r="BB573">
        <v>2</v>
      </c>
      <c r="BC573" t="str">
        <f t="shared" si="133"/>
        <v>2-5</v>
      </c>
      <c r="BD573">
        <v>0</v>
      </c>
      <c r="BE573" t="str">
        <f t="shared" si="134"/>
        <v>0-1</v>
      </c>
    </row>
    <row r="574" spans="1:57" x14ac:dyDescent="0.3">
      <c r="A574">
        <v>793</v>
      </c>
      <c r="B574">
        <v>29</v>
      </c>
      <c r="C574" t="str">
        <f t="shared" si="121"/>
        <v>26-35</v>
      </c>
      <c r="D574" t="s">
        <v>71</v>
      </c>
      <c r="E574">
        <f t="shared" si="122"/>
        <v>0</v>
      </c>
      <c r="F574" t="s">
        <v>57</v>
      </c>
      <c r="G574">
        <v>657</v>
      </c>
      <c r="H574" t="str">
        <f t="shared" si="123"/>
        <v>501-1000</v>
      </c>
      <c r="I574" t="s">
        <v>73</v>
      </c>
      <c r="J574">
        <v>27</v>
      </c>
      <c r="K574" t="str">
        <f t="shared" si="124"/>
        <v>21-29</v>
      </c>
      <c r="L574">
        <v>3</v>
      </c>
      <c r="M574" t="s">
        <v>85</v>
      </c>
      <c r="N574" t="s">
        <v>83</v>
      </c>
      <c r="O574">
        <v>1</v>
      </c>
      <c r="P574">
        <v>2</v>
      </c>
      <c r="Q574" t="s">
        <v>61</v>
      </c>
      <c r="R574" t="s">
        <v>62</v>
      </c>
      <c r="S574">
        <v>66</v>
      </c>
      <c r="T574" t="str">
        <f t="shared" si="125"/>
        <v>51-75</v>
      </c>
      <c r="U574">
        <v>3</v>
      </c>
      <c r="V574" t="s">
        <v>63</v>
      </c>
      <c r="W574">
        <v>2</v>
      </c>
      <c r="X574" t="s">
        <v>88</v>
      </c>
      <c r="Y574">
        <v>3</v>
      </c>
      <c r="Z574" t="s">
        <v>63</v>
      </c>
      <c r="AA574" t="s">
        <v>77</v>
      </c>
      <c r="AB574" s="4">
        <v>4335</v>
      </c>
      <c r="AC574" s="4" t="str">
        <f t="shared" si="126"/>
        <v>$4,000-$5,500</v>
      </c>
      <c r="AD574">
        <v>25549</v>
      </c>
      <c r="AE574" t="str">
        <f t="shared" si="127"/>
        <v>$22,001-$26,999</v>
      </c>
      <c r="AF574">
        <v>4</v>
      </c>
      <c r="AG574" t="str">
        <f t="shared" si="128"/>
        <v>4-6</v>
      </c>
      <c r="AH574" t="s">
        <v>67</v>
      </c>
      <c r="AI574" t="s">
        <v>71</v>
      </c>
      <c r="AJ574">
        <v>12</v>
      </c>
      <c r="AK574" t="str">
        <f t="shared" si="129"/>
        <v>11-12%</v>
      </c>
      <c r="AL574">
        <v>3</v>
      </c>
      <c r="AM574" t="s">
        <v>68</v>
      </c>
      <c r="AN574">
        <v>1</v>
      </c>
      <c r="AO574" t="s">
        <v>69</v>
      </c>
      <c r="AP574">
        <v>80</v>
      </c>
      <c r="AQ574">
        <v>1</v>
      </c>
      <c r="AR574">
        <v>11</v>
      </c>
      <c r="AS574" t="str">
        <f t="shared" si="130"/>
        <v>11-20</v>
      </c>
      <c r="AT574">
        <v>3</v>
      </c>
      <c r="AU574" t="str">
        <f t="shared" si="131"/>
        <v>3-4</v>
      </c>
      <c r="AV574">
        <v>2</v>
      </c>
      <c r="AW574" t="s">
        <v>84</v>
      </c>
      <c r="AX574">
        <v>8</v>
      </c>
      <c r="AY574" t="str">
        <f t="shared" si="120"/>
        <v>6-10</v>
      </c>
      <c r="AZ574">
        <v>7</v>
      </c>
      <c r="BA574" t="str">
        <f t="shared" si="132"/>
        <v>6-10</v>
      </c>
      <c r="BB574">
        <v>1</v>
      </c>
      <c r="BC574" t="str">
        <f t="shared" si="133"/>
        <v>0-1</v>
      </c>
      <c r="BD574">
        <v>1</v>
      </c>
      <c r="BE574" t="str">
        <f t="shared" si="134"/>
        <v>0-1</v>
      </c>
    </row>
    <row r="575" spans="1:57" x14ac:dyDescent="0.3">
      <c r="A575">
        <v>796</v>
      </c>
      <c r="B575">
        <v>26</v>
      </c>
      <c r="C575" t="str">
        <f t="shared" si="121"/>
        <v>26-35</v>
      </c>
      <c r="D575" t="s">
        <v>56</v>
      </c>
      <c r="E575">
        <f t="shared" si="122"/>
        <v>1</v>
      </c>
      <c r="F575" t="s">
        <v>57</v>
      </c>
      <c r="G575">
        <v>1146</v>
      </c>
      <c r="H575" t="str">
        <f t="shared" si="123"/>
        <v>1001-1499</v>
      </c>
      <c r="I575" t="s">
        <v>58</v>
      </c>
      <c r="J575">
        <v>8</v>
      </c>
      <c r="K575" t="str">
        <f t="shared" si="124"/>
        <v>6-10</v>
      </c>
      <c r="L575">
        <v>3</v>
      </c>
      <c r="M575" t="s">
        <v>85</v>
      </c>
      <c r="N575" t="s">
        <v>95</v>
      </c>
      <c r="O575">
        <v>1</v>
      </c>
      <c r="P575">
        <v>4</v>
      </c>
      <c r="Q575" t="s">
        <v>65</v>
      </c>
      <c r="R575" t="s">
        <v>75</v>
      </c>
      <c r="S575">
        <v>38</v>
      </c>
      <c r="T575" t="str">
        <f t="shared" si="125"/>
        <v>30-50</v>
      </c>
      <c r="U575">
        <v>2</v>
      </c>
      <c r="V575" t="s">
        <v>61</v>
      </c>
      <c r="W575">
        <v>2</v>
      </c>
      <c r="X575" t="s">
        <v>64</v>
      </c>
      <c r="Y575">
        <v>1</v>
      </c>
      <c r="Z575" t="s">
        <v>69</v>
      </c>
      <c r="AA575" t="s">
        <v>66</v>
      </c>
      <c r="AB575" s="4">
        <v>5326</v>
      </c>
      <c r="AC575" s="4" t="str">
        <f t="shared" si="126"/>
        <v>$4,000-$5,500</v>
      </c>
      <c r="AD575">
        <v>3064</v>
      </c>
      <c r="AE575" t="str">
        <f t="shared" si="127"/>
        <v>$2,094-$8,000</v>
      </c>
      <c r="AF575">
        <v>6</v>
      </c>
      <c r="AG575" t="str">
        <f t="shared" si="128"/>
        <v>4-6</v>
      </c>
      <c r="AH575" t="s">
        <v>67</v>
      </c>
      <c r="AI575" t="s">
        <v>71</v>
      </c>
      <c r="AJ575">
        <v>17</v>
      </c>
      <c r="AK575" t="str">
        <f t="shared" si="129"/>
        <v>16-17%</v>
      </c>
      <c r="AL575">
        <v>3</v>
      </c>
      <c r="AM575" t="s">
        <v>68</v>
      </c>
      <c r="AN575">
        <v>3</v>
      </c>
      <c r="AO575" t="s">
        <v>63</v>
      </c>
      <c r="AP575">
        <v>80</v>
      </c>
      <c r="AQ575">
        <v>0</v>
      </c>
      <c r="AR575">
        <v>6</v>
      </c>
      <c r="AS575" t="str">
        <f t="shared" si="130"/>
        <v>6-10</v>
      </c>
      <c r="AT575">
        <v>2</v>
      </c>
      <c r="AU575" t="str">
        <f t="shared" si="131"/>
        <v>0-2</v>
      </c>
      <c r="AV575">
        <v>2</v>
      </c>
      <c r="AW575" t="s">
        <v>84</v>
      </c>
      <c r="AX575">
        <v>4</v>
      </c>
      <c r="AY575" t="str">
        <f t="shared" si="120"/>
        <v>2-5</v>
      </c>
      <c r="AZ575">
        <v>3</v>
      </c>
      <c r="BA575" t="str">
        <f t="shared" si="132"/>
        <v>2-5</v>
      </c>
      <c r="BB575">
        <v>1</v>
      </c>
      <c r="BC575" t="str">
        <f t="shared" si="133"/>
        <v>0-1</v>
      </c>
      <c r="BD575">
        <v>2</v>
      </c>
      <c r="BE575" t="str">
        <f t="shared" si="134"/>
        <v>2-5</v>
      </c>
    </row>
    <row r="576" spans="1:57" x14ac:dyDescent="0.3">
      <c r="A576">
        <v>797</v>
      </c>
      <c r="B576">
        <v>34</v>
      </c>
      <c r="C576" t="str">
        <f t="shared" si="121"/>
        <v>26-35</v>
      </c>
      <c r="D576" t="s">
        <v>71</v>
      </c>
      <c r="E576">
        <f t="shared" si="122"/>
        <v>0</v>
      </c>
      <c r="F576" t="s">
        <v>57</v>
      </c>
      <c r="G576">
        <v>182</v>
      </c>
      <c r="H576" t="str">
        <f t="shared" si="123"/>
        <v>102-500</v>
      </c>
      <c r="I576" t="s">
        <v>73</v>
      </c>
      <c r="J576">
        <v>1</v>
      </c>
      <c r="K576" t="str">
        <f t="shared" si="124"/>
        <v>1-5</v>
      </c>
      <c r="L576">
        <v>4</v>
      </c>
      <c r="M576" t="s">
        <v>82</v>
      </c>
      <c r="N576" t="s">
        <v>60</v>
      </c>
      <c r="O576">
        <v>1</v>
      </c>
      <c r="P576">
        <v>2</v>
      </c>
      <c r="Q576" t="s">
        <v>61</v>
      </c>
      <c r="R576" t="s">
        <v>62</v>
      </c>
      <c r="S576">
        <v>72</v>
      </c>
      <c r="T576" t="str">
        <f t="shared" si="125"/>
        <v>51-75</v>
      </c>
      <c r="U576">
        <v>4</v>
      </c>
      <c r="V576" t="s">
        <v>65</v>
      </c>
      <c r="W576">
        <v>1</v>
      </c>
      <c r="X576" t="s">
        <v>76</v>
      </c>
      <c r="Y576">
        <v>4</v>
      </c>
      <c r="Z576" t="s">
        <v>65</v>
      </c>
      <c r="AA576" t="s">
        <v>66</v>
      </c>
      <c r="AB576" s="4">
        <v>3280</v>
      </c>
      <c r="AC576" s="4" t="str">
        <f t="shared" si="126"/>
        <v>$2,500-$4,000</v>
      </c>
      <c r="AD576">
        <v>13551</v>
      </c>
      <c r="AE576" t="str">
        <f t="shared" si="127"/>
        <v>$8,001-$16,000</v>
      </c>
      <c r="AF576">
        <v>2</v>
      </c>
      <c r="AG576" t="str">
        <f t="shared" si="128"/>
        <v>2-3</v>
      </c>
      <c r="AH576" t="s">
        <v>67</v>
      </c>
      <c r="AI576" t="s">
        <v>71</v>
      </c>
      <c r="AJ576">
        <v>16</v>
      </c>
      <c r="AK576" t="str">
        <f t="shared" si="129"/>
        <v>16-17%</v>
      </c>
      <c r="AL576">
        <v>3</v>
      </c>
      <c r="AM576" t="s">
        <v>68</v>
      </c>
      <c r="AN576">
        <v>3</v>
      </c>
      <c r="AO576" t="s">
        <v>63</v>
      </c>
      <c r="AP576">
        <v>80</v>
      </c>
      <c r="AQ576">
        <v>0</v>
      </c>
      <c r="AR576">
        <v>10</v>
      </c>
      <c r="AS576" t="str">
        <f t="shared" si="130"/>
        <v>6-10</v>
      </c>
      <c r="AT576">
        <v>2</v>
      </c>
      <c r="AU576" t="str">
        <f t="shared" si="131"/>
        <v>0-2</v>
      </c>
      <c r="AV576">
        <v>3</v>
      </c>
      <c r="AW576" t="s">
        <v>79</v>
      </c>
      <c r="AX576">
        <v>4</v>
      </c>
      <c r="AY576" t="str">
        <f t="shared" si="120"/>
        <v>2-5</v>
      </c>
      <c r="AZ576">
        <v>2</v>
      </c>
      <c r="BA576" t="str">
        <f t="shared" si="132"/>
        <v>2-5</v>
      </c>
      <c r="BB576">
        <v>1</v>
      </c>
      <c r="BC576" t="str">
        <f t="shared" si="133"/>
        <v>0-1</v>
      </c>
      <c r="BD576">
        <v>3</v>
      </c>
      <c r="BE576" t="str">
        <f t="shared" si="134"/>
        <v>2-5</v>
      </c>
    </row>
    <row r="577" spans="1:57" x14ac:dyDescent="0.3">
      <c r="A577">
        <v>799</v>
      </c>
      <c r="B577">
        <v>54</v>
      </c>
      <c r="C577" t="str">
        <f t="shared" si="121"/>
        <v>46-55</v>
      </c>
      <c r="D577" t="s">
        <v>71</v>
      </c>
      <c r="E577">
        <f t="shared" si="122"/>
        <v>0</v>
      </c>
      <c r="F577" t="s">
        <v>57</v>
      </c>
      <c r="G577">
        <v>376</v>
      </c>
      <c r="H577" t="str">
        <f t="shared" si="123"/>
        <v>102-500</v>
      </c>
      <c r="I577" t="s">
        <v>73</v>
      </c>
      <c r="J577">
        <v>19</v>
      </c>
      <c r="K577" t="str">
        <f t="shared" si="124"/>
        <v>11-20</v>
      </c>
      <c r="L577">
        <v>4</v>
      </c>
      <c r="M577" t="s">
        <v>82</v>
      </c>
      <c r="N577" t="s">
        <v>83</v>
      </c>
      <c r="O577">
        <v>1</v>
      </c>
      <c r="P577">
        <v>4</v>
      </c>
      <c r="Q577" t="s">
        <v>65</v>
      </c>
      <c r="R577" t="s">
        <v>62</v>
      </c>
      <c r="S577">
        <v>95</v>
      </c>
      <c r="T577" t="str">
        <f t="shared" si="125"/>
        <v>76-100</v>
      </c>
      <c r="U577">
        <v>3</v>
      </c>
      <c r="V577" t="s">
        <v>63</v>
      </c>
      <c r="W577">
        <v>2</v>
      </c>
      <c r="X577" t="s">
        <v>87</v>
      </c>
      <c r="Y577">
        <v>1</v>
      </c>
      <c r="Z577" t="s">
        <v>69</v>
      </c>
      <c r="AA577" t="s">
        <v>86</v>
      </c>
      <c r="AB577" s="4">
        <v>5485</v>
      </c>
      <c r="AC577" s="4" t="str">
        <f t="shared" si="126"/>
        <v>$4,000-$5,500</v>
      </c>
      <c r="AD577">
        <v>22670</v>
      </c>
      <c r="AE577" t="str">
        <f t="shared" si="127"/>
        <v>$22,001-$26,999</v>
      </c>
      <c r="AF577">
        <v>9</v>
      </c>
      <c r="AG577" t="str">
        <f t="shared" si="128"/>
        <v>7-9</v>
      </c>
      <c r="AH577" t="s">
        <v>67</v>
      </c>
      <c r="AI577" t="s">
        <v>56</v>
      </c>
      <c r="AJ577">
        <v>11</v>
      </c>
      <c r="AK577" t="str">
        <f t="shared" si="129"/>
        <v>11-12%</v>
      </c>
      <c r="AL577">
        <v>3</v>
      </c>
      <c r="AM577" t="s">
        <v>68</v>
      </c>
      <c r="AN577">
        <v>2</v>
      </c>
      <c r="AO577" t="s">
        <v>61</v>
      </c>
      <c r="AP577">
        <v>80</v>
      </c>
      <c r="AQ577">
        <v>2</v>
      </c>
      <c r="AR577">
        <v>9</v>
      </c>
      <c r="AS577" t="str">
        <f t="shared" si="130"/>
        <v>6-10</v>
      </c>
      <c r="AT577">
        <v>4</v>
      </c>
      <c r="AU577" t="str">
        <f t="shared" si="131"/>
        <v>3-4</v>
      </c>
      <c r="AV577">
        <v>3</v>
      </c>
      <c r="AW577" t="s">
        <v>79</v>
      </c>
      <c r="AX577">
        <v>5</v>
      </c>
      <c r="AY577" t="str">
        <f t="shared" si="120"/>
        <v>2-5</v>
      </c>
      <c r="AZ577">
        <v>3</v>
      </c>
      <c r="BA577" t="str">
        <f t="shared" si="132"/>
        <v>2-5</v>
      </c>
      <c r="BB577">
        <v>1</v>
      </c>
      <c r="BC577" t="str">
        <f t="shared" si="133"/>
        <v>0-1</v>
      </c>
      <c r="BD577">
        <v>4</v>
      </c>
      <c r="BE577" t="str">
        <f t="shared" si="134"/>
        <v>2-5</v>
      </c>
    </row>
    <row r="578" spans="1:57" x14ac:dyDescent="0.3">
      <c r="A578">
        <v>800</v>
      </c>
      <c r="B578">
        <v>27</v>
      </c>
      <c r="C578" t="str">
        <f t="shared" si="121"/>
        <v>26-35</v>
      </c>
      <c r="D578" t="s">
        <v>71</v>
      </c>
      <c r="E578">
        <f t="shared" si="122"/>
        <v>0</v>
      </c>
      <c r="F578" t="s">
        <v>72</v>
      </c>
      <c r="G578">
        <v>829</v>
      </c>
      <c r="H578" t="str">
        <f t="shared" si="123"/>
        <v>501-1000</v>
      </c>
      <c r="I578" t="s">
        <v>58</v>
      </c>
      <c r="J578">
        <v>8</v>
      </c>
      <c r="K578" t="str">
        <f t="shared" si="124"/>
        <v>6-10</v>
      </c>
      <c r="L578">
        <v>1</v>
      </c>
      <c r="M578" t="s">
        <v>74</v>
      </c>
      <c r="N578" t="s">
        <v>93</v>
      </c>
      <c r="O578">
        <v>1</v>
      </c>
      <c r="P578">
        <v>3</v>
      </c>
      <c r="Q578" t="s">
        <v>63</v>
      </c>
      <c r="R578" t="s">
        <v>75</v>
      </c>
      <c r="S578">
        <v>84</v>
      </c>
      <c r="T578" t="str">
        <f t="shared" si="125"/>
        <v>76-100</v>
      </c>
      <c r="U578">
        <v>3</v>
      </c>
      <c r="V578" t="s">
        <v>63</v>
      </c>
      <c r="W578">
        <v>2</v>
      </c>
      <c r="X578" t="s">
        <v>64</v>
      </c>
      <c r="Y578">
        <v>4</v>
      </c>
      <c r="Z578" t="s">
        <v>65</v>
      </c>
      <c r="AA578" t="s">
        <v>77</v>
      </c>
      <c r="AB578" s="4">
        <v>4342</v>
      </c>
      <c r="AC578" s="4" t="str">
        <f t="shared" si="126"/>
        <v>$4,000-$5,500</v>
      </c>
      <c r="AD578">
        <v>24008</v>
      </c>
      <c r="AE578" t="str">
        <f t="shared" si="127"/>
        <v>$22,001-$26,999</v>
      </c>
      <c r="AF578">
        <v>0</v>
      </c>
      <c r="AG578" t="str">
        <f t="shared" si="128"/>
        <v>0-1</v>
      </c>
      <c r="AH578" t="s">
        <v>67</v>
      </c>
      <c r="AI578" t="s">
        <v>71</v>
      </c>
      <c r="AJ578">
        <v>19</v>
      </c>
      <c r="AK578" t="str">
        <f t="shared" si="129"/>
        <v>18-19%</v>
      </c>
      <c r="AL578">
        <v>3</v>
      </c>
      <c r="AM578" t="s">
        <v>68</v>
      </c>
      <c r="AN578">
        <v>2</v>
      </c>
      <c r="AO578" t="s">
        <v>61</v>
      </c>
      <c r="AP578">
        <v>80</v>
      </c>
      <c r="AQ578">
        <v>1</v>
      </c>
      <c r="AR578">
        <v>5</v>
      </c>
      <c r="AS578" t="str">
        <f t="shared" si="130"/>
        <v>3-5</v>
      </c>
      <c r="AT578">
        <v>3</v>
      </c>
      <c r="AU578" t="str">
        <f t="shared" si="131"/>
        <v>3-4</v>
      </c>
      <c r="AV578">
        <v>3</v>
      </c>
      <c r="AW578" t="s">
        <v>79</v>
      </c>
      <c r="AX578">
        <v>4</v>
      </c>
      <c r="AY578" t="str">
        <f t="shared" ref="AY578:AY641" si="135">IF(AX578&lt;=1,"0-1",IF(AX578&lt;=5,"2-5",IF(AX578&lt;=10,"6-10",IF(AX578&lt;=20,"11-20","21-40"))))</f>
        <v>2-5</v>
      </c>
      <c r="AZ578">
        <v>2</v>
      </c>
      <c r="BA578" t="str">
        <f t="shared" si="132"/>
        <v>2-5</v>
      </c>
      <c r="BB578">
        <v>1</v>
      </c>
      <c r="BC578" t="str">
        <f t="shared" si="133"/>
        <v>0-1</v>
      </c>
      <c r="BD578">
        <v>1</v>
      </c>
      <c r="BE578" t="str">
        <f t="shared" si="134"/>
        <v>0-1</v>
      </c>
    </row>
    <row r="579" spans="1:57" x14ac:dyDescent="0.3">
      <c r="A579">
        <v>802</v>
      </c>
      <c r="B579">
        <v>37</v>
      </c>
      <c r="C579" t="str">
        <f t="shared" ref="C579:C642" si="136">IF(B579&lt;=25, "18-25", IF(B579&lt;=35, "26-35", IF(B579&lt;=45, "36-45", IF(B579&lt;=55, "46-55", "56+"))))</f>
        <v>36-45</v>
      </c>
      <c r="D579" t="s">
        <v>71</v>
      </c>
      <c r="E579">
        <f t="shared" ref="E579:E642" si="137">IF(D579="Yes",1,0)</f>
        <v>0</v>
      </c>
      <c r="F579" t="s">
        <v>57</v>
      </c>
      <c r="G579">
        <v>571</v>
      </c>
      <c r="H579" t="str">
        <f t="shared" ref="H579:H642" si="138">IF(G579&lt;=500,"102-500",IF(G579&lt;=1000,"501-1000","1001-1499"))</f>
        <v>501-1000</v>
      </c>
      <c r="I579" t="s">
        <v>73</v>
      </c>
      <c r="J579">
        <v>10</v>
      </c>
      <c r="K579" t="str">
        <f t="shared" ref="K579:K642" si="139">IF(J579&lt;=5,"1-5",IF(J579&lt;=10,"6-10",IF(J579&lt;=20,"11-20","21-29")))</f>
        <v>6-10</v>
      </c>
      <c r="L579">
        <v>1</v>
      </c>
      <c r="M579" t="s">
        <v>74</v>
      </c>
      <c r="N579" t="s">
        <v>60</v>
      </c>
      <c r="O579">
        <v>1</v>
      </c>
      <c r="P579">
        <v>4</v>
      </c>
      <c r="Q579" t="s">
        <v>65</v>
      </c>
      <c r="R579" t="s">
        <v>62</v>
      </c>
      <c r="S579">
        <v>82</v>
      </c>
      <c r="T579" t="str">
        <f t="shared" ref="T579:T642" si="140">IF(S579&lt;=50,"30-50",IF(S579&lt;=75,"51-75","76-100"))</f>
        <v>76-100</v>
      </c>
      <c r="U579">
        <v>3</v>
      </c>
      <c r="V579" t="s">
        <v>63</v>
      </c>
      <c r="W579">
        <v>1</v>
      </c>
      <c r="X579" t="s">
        <v>76</v>
      </c>
      <c r="Y579">
        <v>1</v>
      </c>
      <c r="Z579" t="s">
        <v>69</v>
      </c>
      <c r="AA579" t="s">
        <v>86</v>
      </c>
      <c r="AB579" s="4">
        <v>2782</v>
      </c>
      <c r="AC579" s="4" t="str">
        <f t="shared" ref="AC579:AC642" si="141">IF(AB579&lt;2500,"$1,000-$2,500",IF(AB579&lt;4000,"$2,500-$4,000",IF(AB579&lt;5500,"$4,000-$5,500",IF(AB579&lt;7000,"$5,500-$7,000",IF(AB579&lt;8500,"$7,000-$8,500",IF(AB579&lt;10000,"$8,500-$10,000",IF(AB579&lt;11500,"$10,000-$11,500",IF(AB579&lt;13000,"$11,500-$13,000",IF(AB579&lt;14500,"$13,000-$14,500",IF(AB579&lt;16000,"$14,500-$16,000",IF(AB579&lt;17500,"$16,000-$17,500",IF(AB579&lt;19000,"$17,500-$19,000",IF(AB579&lt;20500,"$19,000-$20,500",IF(AB579&lt;22000,"$20,500-$22,000",IF(AB579&lt;23500,"$22,000-$23,500",IF(AB579&lt;25000,"$23,500-$25,000",IF(AB579&lt;26500,"$25,000-$26,500",IF(AB579&lt;28000,"$26,500-$28,000",IF(AB579&lt;29500,"$28,000-$29,500","$29,500+")))))))))))))))))))</f>
        <v>$2,500-$4,000</v>
      </c>
      <c r="AD579">
        <v>19905</v>
      </c>
      <c r="AE579" t="str">
        <f t="shared" ref="AE579:AE642" si="142">IF(AD579&lt;=8000,"$2,094-$8,000",IF(AD579&lt;=16000,"$8,001-$16,000",IF(AD579&lt;=22000,"$16,001-$22,000","$22,001-$26,999")))</f>
        <v>$16,001-$22,000</v>
      </c>
      <c r="AF579">
        <v>0</v>
      </c>
      <c r="AG579" t="str">
        <f t="shared" ref="AG579:AG642" si="143">IF(AF579&lt;=1,"0-1",IF(AF579&lt;=3,"2-3",IF(AF579&lt;=6,"4-6","7-9")))</f>
        <v>0-1</v>
      </c>
      <c r="AH579" t="s">
        <v>67</v>
      </c>
      <c r="AI579" t="s">
        <v>56</v>
      </c>
      <c r="AJ579">
        <v>13</v>
      </c>
      <c r="AK579" t="str">
        <f t="shared" ref="AK579:AK642" si="144">IF(AJ579&lt;=12,"11-12%",IF(AJ579&lt;=15,"13-15%",IF(AJ579&lt;=17,"16-17%","18-19%")))</f>
        <v>13-15%</v>
      </c>
      <c r="AL579">
        <v>3</v>
      </c>
      <c r="AM579" t="s">
        <v>68</v>
      </c>
      <c r="AN579">
        <v>2</v>
      </c>
      <c r="AO579" t="s">
        <v>61</v>
      </c>
      <c r="AP579">
        <v>80</v>
      </c>
      <c r="AQ579">
        <v>2</v>
      </c>
      <c r="AR579">
        <v>6</v>
      </c>
      <c r="AS579" t="str">
        <f t="shared" ref="AS579:AS642" si="145">IF(AR579&lt;=2,"0-2",IF(AR579&lt;=5,"3-5",IF(AR579&lt;=10,"6-10",IF(AR579&lt;=20,"11-20","21-40"))))</f>
        <v>6-10</v>
      </c>
      <c r="AT579">
        <v>3</v>
      </c>
      <c r="AU579" t="str">
        <f t="shared" ref="AU579:AU642" si="146">IF(AT579&lt;=2,"0-2",IF(AT579&lt;=4,"3-4","5-6"))</f>
        <v>3-4</v>
      </c>
      <c r="AV579">
        <v>2</v>
      </c>
      <c r="AW579" t="s">
        <v>84</v>
      </c>
      <c r="AX579">
        <v>5</v>
      </c>
      <c r="AY579" t="str">
        <f t="shared" si="135"/>
        <v>2-5</v>
      </c>
      <c r="AZ579">
        <v>3</v>
      </c>
      <c r="BA579" t="str">
        <f t="shared" ref="BA579:BA642" si="147">IF(AZ579&lt;=1,"0-1",IF(AZ579&lt;=5,"2-5",IF(AZ579&lt;=10,"6-10","11-18")))</f>
        <v>2-5</v>
      </c>
      <c r="BB579">
        <v>4</v>
      </c>
      <c r="BC579" t="str">
        <f t="shared" ref="BC579:BC642" si="148">IF(BB579&lt;=1,"0-1",IF(BB579&lt;=5,"2-5",IF(BB579&lt;=10,"6-10","11-15")))</f>
        <v>2-5</v>
      </c>
      <c r="BD579">
        <v>3</v>
      </c>
      <c r="BE579" t="str">
        <f t="shared" ref="BE579:BE642" si="149">IF(BD579&lt;=1,"0-1",IF(BD579&lt;=5,"2-5",IF(BD579&lt;=10,"6-10","11-17")))</f>
        <v>2-5</v>
      </c>
    </row>
    <row r="580" spans="1:57" x14ac:dyDescent="0.3">
      <c r="A580">
        <v>803</v>
      </c>
      <c r="B580">
        <v>38</v>
      </c>
      <c r="C580" t="str">
        <f t="shared" si="136"/>
        <v>36-45</v>
      </c>
      <c r="D580" t="s">
        <v>71</v>
      </c>
      <c r="E580">
        <f t="shared" si="137"/>
        <v>0</v>
      </c>
      <c r="F580" t="s">
        <v>72</v>
      </c>
      <c r="G580">
        <v>240</v>
      </c>
      <c r="H580" t="str">
        <f t="shared" si="138"/>
        <v>102-500</v>
      </c>
      <c r="I580" t="s">
        <v>73</v>
      </c>
      <c r="J580">
        <v>2</v>
      </c>
      <c r="K580" t="str">
        <f t="shared" si="139"/>
        <v>1-5</v>
      </c>
      <c r="L580">
        <v>4</v>
      </c>
      <c r="M580" t="s">
        <v>82</v>
      </c>
      <c r="N580" t="s">
        <v>60</v>
      </c>
      <c r="O580">
        <v>1</v>
      </c>
      <c r="P580">
        <v>1</v>
      </c>
      <c r="Q580" t="s">
        <v>69</v>
      </c>
      <c r="R580" t="s">
        <v>62</v>
      </c>
      <c r="S580">
        <v>75</v>
      </c>
      <c r="T580" t="str">
        <f t="shared" si="140"/>
        <v>51-75</v>
      </c>
      <c r="U580">
        <v>4</v>
      </c>
      <c r="V580" t="s">
        <v>65</v>
      </c>
      <c r="W580">
        <v>2</v>
      </c>
      <c r="X580" t="s">
        <v>87</v>
      </c>
      <c r="Y580">
        <v>1</v>
      </c>
      <c r="Z580" t="s">
        <v>69</v>
      </c>
      <c r="AA580" t="s">
        <v>66</v>
      </c>
      <c r="AB580" s="4">
        <v>5980</v>
      </c>
      <c r="AC580" s="4" t="str">
        <f t="shared" si="141"/>
        <v>$5,500-$7,000</v>
      </c>
      <c r="AD580">
        <v>26085</v>
      </c>
      <c r="AE580" t="str">
        <f t="shared" si="142"/>
        <v>$22,001-$26,999</v>
      </c>
      <c r="AF580">
        <v>6</v>
      </c>
      <c r="AG580" t="str">
        <f t="shared" si="143"/>
        <v>4-6</v>
      </c>
      <c r="AH580" t="s">
        <v>67</v>
      </c>
      <c r="AI580" t="s">
        <v>56</v>
      </c>
      <c r="AJ580">
        <v>12</v>
      </c>
      <c r="AK580" t="str">
        <f t="shared" si="144"/>
        <v>11-12%</v>
      </c>
      <c r="AL580">
        <v>3</v>
      </c>
      <c r="AM580" t="s">
        <v>68</v>
      </c>
      <c r="AN580">
        <v>4</v>
      </c>
      <c r="AO580" t="s">
        <v>65</v>
      </c>
      <c r="AP580">
        <v>80</v>
      </c>
      <c r="AQ580">
        <v>0</v>
      </c>
      <c r="AR580">
        <v>17</v>
      </c>
      <c r="AS580" t="str">
        <f t="shared" si="145"/>
        <v>11-20</v>
      </c>
      <c r="AT580">
        <v>2</v>
      </c>
      <c r="AU580" t="str">
        <f t="shared" si="146"/>
        <v>0-2</v>
      </c>
      <c r="AV580">
        <v>3</v>
      </c>
      <c r="AW580" t="s">
        <v>79</v>
      </c>
      <c r="AX580">
        <v>15</v>
      </c>
      <c r="AY580" t="str">
        <f t="shared" si="135"/>
        <v>11-20</v>
      </c>
      <c r="AZ580">
        <v>7</v>
      </c>
      <c r="BA580" t="str">
        <f t="shared" si="147"/>
        <v>6-10</v>
      </c>
      <c r="BB580">
        <v>4</v>
      </c>
      <c r="BC580" t="str">
        <f t="shared" si="148"/>
        <v>2-5</v>
      </c>
      <c r="BD580">
        <v>12</v>
      </c>
      <c r="BE580" t="str">
        <f t="shared" si="149"/>
        <v>11-17</v>
      </c>
    </row>
    <row r="581" spans="1:57" x14ac:dyDescent="0.3">
      <c r="A581">
        <v>804</v>
      </c>
      <c r="B581">
        <v>34</v>
      </c>
      <c r="C581" t="str">
        <f t="shared" si="136"/>
        <v>26-35</v>
      </c>
      <c r="D581" t="s">
        <v>71</v>
      </c>
      <c r="E581">
        <f t="shared" si="137"/>
        <v>0</v>
      </c>
      <c r="F581" t="s">
        <v>57</v>
      </c>
      <c r="G581">
        <v>121</v>
      </c>
      <c r="H581" t="str">
        <f t="shared" si="138"/>
        <v>102-500</v>
      </c>
      <c r="I581" t="s">
        <v>73</v>
      </c>
      <c r="J581">
        <v>2</v>
      </c>
      <c r="K581" t="str">
        <f t="shared" si="139"/>
        <v>1-5</v>
      </c>
      <c r="L581">
        <v>4</v>
      </c>
      <c r="M581" t="s">
        <v>82</v>
      </c>
      <c r="N581" t="s">
        <v>83</v>
      </c>
      <c r="O581">
        <v>1</v>
      </c>
      <c r="P581">
        <v>3</v>
      </c>
      <c r="Q581" t="s">
        <v>63</v>
      </c>
      <c r="R581" t="s">
        <v>62</v>
      </c>
      <c r="S581">
        <v>86</v>
      </c>
      <c r="T581" t="str">
        <f t="shared" si="140"/>
        <v>76-100</v>
      </c>
      <c r="U581">
        <v>2</v>
      </c>
      <c r="V581" t="s">
        <v>61</v>
      </c>
      <c r="W581">
        <v>1</v>
      </c>
      <c r="X581" t="s">
        <v>76</v>
      </c>
      <c r="Y581">
        <v>1</v>
      </c>
      <c r="Z581" t="s">
        <v>69</v>
      </c>
      <c r="AA581" t="s">
        <v>66</v>
      </c>
      <c r="AB581" s="4">
        <v>4381</v>
      </c>
      <c r="AC581" s="4" t="str">
        <f t="shared" si="141"/>
        <v>$4,000-$5,500</v>
      </c>
      <c r="AD581">
        <v>7530</v>
      </c>
      <c r="AE581" t="str">
        <f t="shared" si="142"/>
        <v>$2,094-$8,000</v>
      </c>
      <c r="AF581">
        <v>1</v>
      </c>
      <c r="AG581" t="str">
        <f t="shared" si="143"/>
        <v>0-1</v>
      </c>
      <c r="AH581" t="s">
        <v>67</v>
      </c>
      <c r="AI581" t="s">
        <v>71</v>
      </c>
      <c r="AJ581">
        <v>11</v>
      </c>
      <c r="AK581" t="str">
        <f t="shared" si="144"/>
        <v>11-12%</v>
      </c>
      <c r="AL581">
        <v>3</v>
      </c>
      <c r="AM581" t="s">
        <v>68</v>
      </c>
      <c r="AN581">
        <v>3</v>
      </c>
      <c r="AO581" t="s">
        <v>63</v>
      </c>
      <c r="AP581">
        <v>80</v>
      </c>
      <c r="AQ581">
        <v>0</v>
      </c>
      <c r="AR581">
        <v>6</v>
      </c>
      <c r="AS581" t="str">
        <f t="shared" si="145"/>
        <v>6-10</v>
      </c>
      <c r="AT581">
        <v>3</v>
      </c>
      <c r="AU581" t="str">
        <f t="shared" si="146"/>
        <v>3-4</v>
      </c>
      <c r="AV581">
        <v>3</v>
      </c>
      <c r="AW581" t="s">
        <v>79</v>
      </c>
      <c r="AX581">
        <v>6</v>
      </c>
      <c r="AY581" t="str">
        <f t="shared" si="135"/>
        <v>6-10</v>
      </c>
      <c r="AZ581">
        <v>5</v>
      </c>
      <c r="BA581" t="str">
        <f t="shared" si="147"/>
        <v>2-5</v>
      </c>
      <c r="BB581">
        <v>1</v>
      </c>
      <c r="BC581" t="str">
        <f t="shared" si="148"/>
        <v>0-1</v>
      </c>
      <c r="BD581">
        <v>3</v>
      </c>
      <c r="BE581" t="str">
        <f t="shared" si="149"/>
        <v>2-5</v>
      </c>
    </row>
    <row r="582" spans="1:57" x14ac:dyDescent="0.3">
      <c r="A582">
        <v>805</v>
      </c>
      <c r="B582">
        <v>35</v>
      </c>
      <c r="C582" t="str">
        <f t="shared" si="136"/>
        <v>26-35</v>
      </c>
      <c r="D582" t="s">
        <v>71</v>
      </c>
      <c r="E582">
        <f t="shared" si="137"/>
        <v>0</v>
      </c>
      <c r="F582" t="s">
        <v>57</v>
      </c>
      <c r="G582">
        <v>384</v>
      </c>
      <c r="H582" t="str">
        <f t="shared" si="138"/>
        <v>102-500</v>
      </c>
      <c r="I582" t="s">
        <v>58</v>
      </c>
      <c r="J582">
        <v>8</v>
      </c>
      <c r="K582" t="str">
        <f t="shared" si="139"/>
        <v>6-10</v>
      </c>
      <c r="L582">
        <v>4</v>
      </c>
      <c r="M582" t="s">
        <v>82</v>
      </c>
      <c r="N582" t="s">
        <v>60</v>
      </c>
      <c r="O582">
        <v>1</v>
      </c>
      <c r="P582">
        <v>1</v>
      </c>
      <c r="Q582" t="s">
        <v>69</v>
      </c>
      <c r="R582" t="s">
        <v>62</v>
      </c>
      <c r="S582">
        <v>72</v>
      </c>
      <c r="T582" t="str">
        <f t="shared" si="140"/>
        <v>51-75</v>
      </c>
      <c r="U582">
        <v>3</v>
      </c>
      <c r="V582" t="s">
        <v>63</v>
      </c>
      <c r="W582">
        <v>1</v>
      </c>
      <c r="X582" t="s">
        <v>91</v>
      </c>
      <c r="Y582">
        <v>4</v>
      </c>
      <c r="Z582" t="s">
        <v>65</v>
      </c>
      <c r="AA582" t="s">
        <v>77</v>
      </c>
      <c r="AB582" s="4">
        <v>2572</v>
      </c>
      <c r="AC582" s="4" t="str">
        <f t="shared" si="141"/>
        <v>$2,500-$4,000</v>
      </c>
      <c r="AD582">
        <v>20317</v>
      </c>
      <c r="AE582" t="str">
        <f t="shared" si="142"/>
        <v>$16,001-$22,000</v>
      </c>
      <c r="AF582">
        <v>1</v>
      </c>
      <c r="AG582" t="str">
        <f t="shared" si="143"/>
        <v>0-1</v>
      </c>
      <c r="AH582" t="s">
        <v>67</v>
      </c>
      <c r="AI582" t="s">
        <v>71</v>
      </c>
      <c r="AJ582">
        <v>16</v>
      </c>
      <c r="AK582" t="str">
        <f t="shared" si="144"/>
        <v>16-17%</v>
      </c>
      <c r="AL582">
        <v>3</v>
      </c>
      <c r="AM582" t="s">
        <v>68</v>
      </c>
      <c r="AN582">
        <v>2</v>
      </c>
      <c r="AO582" t="s">
        <v>61</v>
      </c>
      <c r="AP582">
        <v>80</v>
      </c>
      <c r="AQ582">
        <v>1</v>
      </c>
      <c r="AR582">
        <v>3</v>
      </c>
      <c r="AS582" t="str">
        <f t="shared" si="145"/>
        <v>3-5</v>
      </c>
      <c r="AT582">
        <v>1</v>
      </c>
      <c r="AU582" t="str">
        <f t="shared" si="146"/>
        <v>0-2</v>
      </c>
      <c r="AV582">
        <v>2</v>
      </c>
      <c r="AW582" t="s">
        <v>84</v>
      </c>
      <c r="AX582">
        <v>3</v>
      </c>
      <c r="AY582" t="str">
        <f t="shared" si="135"/>
        <v>2-5</v>
      </c>
      <c r="AZ582">
        <v>2</v>
      </c>
      <c r="BA582" t="str">
        <f t="shared" si="147"/>
        <v>2-5</v>
      </c>
      <c r="BB582">
        <v>0</v>
      </c>
      <c r="BC582" t="str">
        <f t="shared" si="148"/>
        <v>0-1</v>
      </c>
      <c r="BD582">
        <v>2</v>
      </c>
      <c r="BE582" t="str">
        <f t="shared" si="149"/>
        <v>2-5</v>
      </c>
    </row>
    <row r="583" spans="1:57" x14ac:dyDescent="0.3">
      <c r="A583">
        <v>806</v>
      </c>
      <c r="B583">
        <v>30</v>
      </c>
      <c r="C583" t="str">
        <f t="shared" si="136"/>
        <v>26-35</v>
      </c>
      <c r="D583" t="s">
        <v>71</v>
      </c>
      <c r="E583">
        <f t="shared" si="137"/>
        <v>0</v>
      </c>
      <c r="F583" t="s">
        <v>57</v>
      </c>
      <c r="G583">
        <v>921</v>
      </c>
      <c r="H583" t="str">
        <f t="shared" si="138"/>
        <v>501-1000</v>
      </c>
      <c r="I583" t="s">
        <v>73</v>
      </c>
      <c r="J583">
        <v>1</v>
      </c>
      <c r="K583" t="str">
        <f t="shared" si="139"/>
        <v>1-5</v>
      </c>
      <c r="L583">
        <v>3</v>
      </c>
      <c r="M583" t="s">
        <v>85</v>
      </c>
      <c r="N583" t="s">
        <v>60</v>
      </c>
      <c r="O583">
        <v>1</v>
      </c>
      <c r="P583">
        <v>4</v>
      </c>
      <c r="Q583" t="s">
        <v>65</v>
      </c>
      <c r="R583" t="s">
        <v>75</v>
      </c>
      <c r="S583">
        <v>38</v>
      </c>
      <c r="T583" t="str">
        <f t="shared" si="140"/>
        <v>30-50</v>
      </c>
      <c r="U583">
        <v>1</v>
      </c>
      <c r="V583" t="s">
        <v>69</v>
      </c>
      <c r="W583">
        <v>1</v>
      </c>
      <c r="X583" t="s">
        <v>81</v>
      </c>
      <c r="Y583">
        <v>3</v>
      </c>
      <c r="Z583" t="s">
        <v>63</v>
      </c>
      <c r="AA583" t="s">
        <v>77</v>
      </c>
      <c r="AB583" s="4">
        <v>3833</v>
      </c>
      <c r="AC583" s="4" t="str">
        <f t="shared" si="141"/>
        <v>$2,500-$4,000</v>
      </c>
      <c r="AD583">
        <v>24375</v>
      </c>
      <c r="AE583" t="str">
        <f t="shared" si="142"/>
        <v>$22,001-$26,999</v>
      </c>
      <c r="AF583">
        <v>3</v>
      </c>
      <c r="AG583" t="str">
        <f t="shared" si="143"/>
        <v>2-3</v>
      </c>
      <c r="AH583" t="s">
        <v>67</v>
      </c>
      <c r="AI583" t="s">
        <v>71</v>
      </c>
      <c r="AJ583">
        <v>21</v>
      </c>
      <c r="AK583" t="str">
        <f t="shared" si="144"/>
        <v>18-19%</v>
      </c>
      <c r="AL583">
        <v>4</v>
      </c>
      <c r="AM583" t="s">
        <v>78</v>
      </c>
      <c r="AN583">
        <v>3</v>
      </c>
      <c r="AO583" t="s">
        <v>63</v>
      </c>
      <c r="AP583">
        <v>80</v>
      </c>
      <c r="AQ583">
        <v>2</v>
      </c>
      <c r="AR583">
        <v>7</v>
      </c>
      <c r="AS583" t="str">
        <f t="shared" si="145"/>
        <v>6-10</v>
      </c>
      <c r="AT583">
        <v>2</v>
      </c>
      <c r="AU583" t="str">
        <f t="shared" si="146"/>
        <v>0-2</v>
      </c>
      <c r="AV583">
        <v>3</v>
      </c>
      <c r="AW583" t="s">
        <v>79</v>
      </c>
      <c r="AX583">
        <v>2</v>
      </c>
      <c r="AY583" t="str">
        <f t="shared" si="135"/>
        <v>2-5</v>
      </c>
      <c r="AZ583">
        <v>2</v>
      </c>
      <c r="BA583" t="str">
        <f t="shared" si="147"/>
        <v>2-5</v>
      </c>
      <c r="BB583">
        <v>0</v>
      </c>
      <c r="BC583" t="str">
        <f t="shared" si="148"/>
        <v>0-1</v>
      </c>
      <c r="BD583">
        <v>2</v>
      </c>
      <c r="BE583" t="str">
        <f t="shared" si="149"/>
        <v>2-5</v>
      </c>
    </row>
    <row r="584" spans="1:57" x14ac:dyDescent="0.3">
      <c r="A584">
        <v>807</v>
      </c>
      <c r="B584">
        <v>40</v>
      </c>
      <c r="C584" t="str">
        <f t="shared" si="136"/>
        <v>36-45</v>
      </c>
      <c r="D584" t="s">
        <v>71</v>
      </c>
      <c r="E584">
        <f t="shared" si="137"/>
        <v>0</v>
      </c>
      <c r="F584" t="s">
        <v>72</v>
      </c>
      <c r="G584">
        <v>791</v>
      </c>
      <c r="H584" t="str">
        <f t="shared" si="138"/>
        <v>501-1000</v>
      </c>
      <c r="I584" t="s">
        <v>73</v>
      </c>
      <c r="J584">
        <v>2</v>
      </c>
      <c r="K584" t="str">
        <f t="shared" si="139"/>
        <v>1-5</v>
      </c>
      <c r="L584">
        <v>2</v>
      </c>
      <c r="M584" t="s">
        <v>59</v>
      </c>
      <c r="N584" t="s">
        <v>83</v>
      </c>
      <c r="O584">
        <v>1</v>
      </c>
      <c r="P584">
        <v>3</v>
      </c>
      <c r="Q584" t="s">
        <v>63</v>
      </c>
      <c r="R584" t="s">
        <v>62</v>
      </c>
      <c r="S584">
        <v>38</v>
      </c>
      <c r="T584" t="str">
        <f t="shared" si="140"/>
        <v>30-50</v>
      </c>
      <c r="U584">
        <v>4</v>
      </c>
      <c r="V584" t="s">
        <v>65</v>
      </c>
      <c r="W584">
        <v>2</v>
      </c>
      <c r="X584" t="s">
        <v>88</v>
      </c>
      <c r="Y584">
        <v>2</v>
      </c>
      <c r="Z584" t="s">
        <v>61</v>
      </c>
      <c r="AA584" t="s">
        <v>77</v>
      </c>
      <c r="AB584" s="4">
        <v>4244</v>
      </c>
      <c r="AC584" s="4" t="str">
        <f t="shared" si="141"/>
        <v>$4,000-$5,500</v>
      </c>
      <c r="AD584">
        <v>9931</v>
      </c>
      <c r="AE584" t="str">
        <f t="shared" si="142"/>
        <v>$8,001-$16,000</v>
      </c>
      <c r="AF584">
        <v>1</v>
      </c>
      <c r="AG584" t="str">
        <f t="shared" si="143"/>
        <v>0-1</v>
      </c>
      <c r="AH584" t="s">
        <v>67</v>
      </c>
      <c r="AI584" t="s">
        <v>71</v>
      </c>
      <c r="AJ584">
        <v>24</v>
      </c>
      <c r="AK584" t="str">
        <f t="shared" si="144"/>
        <v>18-19%</v>
      </c>
      <c r="AL584">
        <v>4</v>
      </c>
      <c r="AM584" t="s">
        <v>78</v>
      </c>
      <c r="AN584">
        <v>4</v>
      </c>
      <c r="AO584" t="s">
        <v>65</v>
      </c>
      <c r="AP584">
        <v>80</v>
      </c>
      <c r="AQ584">
        <v>1</v>
      </c>
      <c r="AR584">
        <v>8</v>
      </c>
      <c r="AS584" t="str">
        <f t="shared" si="145"/>
        <v>6-10</v>
      </c>
      <c r="AT584">
        <v>2</v>
      </c>
      <c r="AU584" t="str">
        <f t="shared" si="146"/>
        <v>0-2</v>
      </c>
      <c r="AV584">
        <v>3</v>
      </c>
      <c r="AW584" t="s">
        <v>79</v>
      </c>
      <c r="AX584">
        <v>8</v>
      </c>
      <c r="AY584" t="str">
        <f t="shared" si="135"/>
        <v>6-10</v>
      </c>
      <c r="AZ584">
        <v>7</v>
      </c>
      <c r="BA584" t="str">
        <f t="shared" si="147"/>
        <v>6-10</v>
      </c>
      <c r="BB584">
        <v>3</v>
      </c>
      <c r="BC584" t="str">
        <f t="shared" si="148"/>
        <v>2-5</v>
      </c>
      <c r="BD584">
        <v>7</v>
      </c>
      <c r="BE584" t="str">
        <f t="shared" si="149"/>
        <v>6-10</v>
      </c>
    </row>
    <row r="585" spans="1:57" x14ac:dyDescent="0.3">
      <c r="A585">
        <v>808</v>
      </c>
      <c r="B585">
        <v>34</v>
      </c>
      <c r="C585" t="str">
        <f t="shared" si="136"/>
        <v>26-35</v>
      </c>
      <c r="D585" t="s">
        <v>71</v>
      </c>
      <c r="E585">
        <f t="shared" si="137"/>
        <v>0</v>
      </c>
      <c r="F585" t="s">
        <v>57</v>
      </c>
      <c r="G585">
        <v>1111</v>
      </c>
      <c r="H585" t="str">
        <f t="shared" si="138"/>
        <v>1001-1499</v>
      </c>
      <c r="I585" t="s">
        <v>58</v>
      </c>
      <c r="J585">
        <v>8</v>
      </c>
      <c r="K585" t="str">
        <f t="shared" si="139"/>
        <v>6-10</v>
      </c>
      <c r="L585">
        <v>2</v>
      </c>
      <c r="M585" t="s">
        <v>59</v>
      </c>
      <c r="N585" t="s">
        <v>60</v>
      </c>
      <c r="O585">
        <v>1</v>
      </c>
      <c r="P585">
        <v>3</v>
      </c>
      <c r="Q585" t="s">
        <v>63</v>
      </c>
      <c r="R585" t="s">
        <v>62</v>
      </c>
      <c r="S585">
        <v>93</v>
      </c>
      <c r="T585" t="str">
        <f t="shared" si="140"/>
        <v>76-100</v>
      </c>
      <c r="U585">
        <v>3</v>
      </c>
      <c r="V585" t="s">
        <v>63</v>
      </c>
      <c r="W585">
        <v>2</v>
      </c>
      <c r="X585" t="s">
        <v>64</v>
      </c>
      <c r="Y585">
        <v>1</v>
      </c>
      <c r="Z585" t="s">
        <v>69</v>
      </c>
      <c r="AA585" t="s">
        <v>77</v>
      </c>
      <c r="AB585" s="4">
        <v>6500</v>
      </c>
      <c r="AC585" s="4" t="str">
        <f t="shared" si="141"/>
        <v>$5,500-$7,000</v>
      </c>
      <c r="AD585">
        <v>13305</v>
      </c>
      <c r="AE585" t="str">
        <f t="shared" si="142"/>
        <v>$8,001-$16,000</v>
      </c>
      <c r="AF585">
        <v>5</v>
      </c>
      <c r="AG585" t="str">
        <f t="shared" si="143"/>
        <v>4-6</v>
      </c>
      <c r="AH585" t="s">
        <v>67</v>
      </c>
      <c r="AI585" t="s">
        <v>71</v>
      </c>
      <c r="AJ585">
        <v>17</v>
      </c>
      <c r="AK585" t="str">
        <f t="shared" si="144"/>
        <v>16-17%</v>
      </c>
      <c r="AL585">
        <v>3</v>
      </c>
      <c r="AM585" t="s">
        <v>68</v>
      </c>
      <c r="AN585">
        <v>2</v>
      </c>
      <c r="AO585" t="s">
        <v>61</v>
      </c>
      <c r="AP585">
        <v>80</v>
      </c>
      <c r="AQ585">
        <v>1</v>
      </c>
      <c r="AR585">
        <v>6</v>
      </c>
      <c r="AS585" t="str">
        <f t="shared" si="145"/>
        <v>6-10</v>
      </c>
      <c r="AT585">
        <v>1</v>
      </c>
      <c r="AU585" t="str">
        <f t="shared" si="146"/>
        <v>0-2</v>
      </c>
      <c r="AV585">
        <v>3</v>
      </c>
      <c r="AW585" t="s">
        <v>79</v>
      </c>
      <c r="AX585">
        <v>3</v>
      </c>
      <c r="AY585" t="str">
        <f t="shared" si="135"/>
        <v>2-5</v>
      </c>
      <c r="AZ585">
        <v>2</v>
      </c>
      <c r="BA585" t="str">
        <f t="shared" si="147"/>
        <v>2-5</v>
      </c>
      <c r="BB585">
        <v>1</v>
      </c>
      <c r="BC585" t="str">
        <f t="shared" si="148"/>
        <v>0-1</v>
      </c>
      <c r="BD585">
        <v>2</v>
      </c>
      <c r="BE585" t="str">
        <f t="shared" si="149"/>
        <v>2-5</v>
      </c>
    </row>
    <row r="586" spans="1:57" x14ac:dyDescent="0.3">
      <c r="A586">
        <v>809</v>
      </c>
      <c r="B586">
        <v>42</v>
      </c>
      <c r="C586" t="str">
        <f t="shared" si="136"/>
        <v>36-45</v>
      </c>
      <c r="D586" t="s">
        <v>71</v>
      </c>
      <c r="E586">
        <f t="shared" si="137"/>
        <v>0</v>
      </c>
      <c r="F586" t="s">
        <v>72</v>
      </c>
      <c r="G586">
        <v>570</v>
      </c>
      <c r="H586" t="str">
        <f t="shared" si="138"/>
        <v>501-1000</v>
      </c>
      <c r="I586" t="s">
        <v>73</v>
      </c>
      <c r="J586">
        <v>8</v>
      </c>
      <c r="K586" t="str">
        <f t="shared" si="139"/>
        <v>6-10</v>
      </c>
      <c r="L586">
        <v>3</v>
      </c>
      <c r="M586" t="s">
        <v>85</v>
      </c>
      <c r="N586" t="s">
        <v>60</v>
      </c>
      <c r="O586">
        <v>1</v>
      </c>
      <c r="P586">
        <v>2</v>
      </c>
      <c r="Q586" t="s">
        <v>61</v>
      </c>
      <c r="R586" t="s">
        <v>75</v>
      </c>
      <c r="S586">
        <v>66</v>
      </c>
      <c r="T586" t="str">
        <f t="shared" si="140"/>
        <v>51-75</v>
      </c>
      <c r="U586">
        <v>3</v>
      </c>
      <c r="V586" t="s">
        <v>63</v>
      </c>
      <c r="W586">
        <v>5</v>
      </c>
      <c r="X586" t="s">
        <v>90</v>
      </c>
      <c r="Y586">
        <v>4</v>
      </c>
      <c r="Z586" t="s">
        <v>65</v>
      </c>
      <c r="AA586" t="s">
        <v>86</v>
      </c>
      <c r="AB586" s="4">
        <v>18430</v>
      </c>
      <c r="AC586" s="4" t="str">
        <f t="shared" si="141"/>
        <v>$17,500-$19,000</v>
      </c>
      <c r="AD586">
        <v>16225</v>
      </c>
      <c r="AE586" t="str">
        <f t="shared" si="142"/>
        <v>$16,001-$22,000</v>
      </c>
      <c r="AF586">
        <v>1</v>
      </c>
      <c r="AG586" t="str">
        <f t="shared" si="143"/>
        <v>0-1</v>
      </c>
      <c r="AH586" t="s">
        <v>67</v>
      </c>
      <c r="AI586" t="s">
        <v>71</v>
      </c>
      <c r="AJ586">
        <v>13</v>
      </c>
      <c r="AK586" t="str">
        <f t="shared" si="144"/>
        <v>13-15%</v>
      </c>
      <c r="AL586">
        <v>3</v>
      </c>
      <c r="AM586" t="s">
        <v>68</v>
      </c>
      <c r="AN586">
        <v>2</v>
      </c>
      <c r="AO586" t="s">
        <v>61</v>
      </c>
      <c r="AP586">
        <v>80</v>
      </c>
      <c r="AQ586">
        <v>1</v>
      </c>
      <c r="AR586">
        <v>24</v>
      </c>
      <c r="AS586" t="str">
        <f t="shared" si="145"/>
        <v>21-40</v>
      </c>
      <c r="AT586">
        <v>4</v>
      </c>
      <c r="AU586" t="str">
        <f t="shared" si="146"/>
        <v>3-4</v>
      </c>
      <c r="AV586">
        <v>2</v>
      </c>
      <c r="AW586" t="s">
        <v>84</v>
      </c>
      <c r="AX586">
        <v>24</v>
      </c>
      <c r="AY586" t="str">
        <f t="shared" si="135"/>
        <v>21-40</v>
      </c>
      <c r="AZ586">
        <v>7</v>
      </c>
      <c r="BA586" t="str">
        <f t="shared" si="147"/>
        <v>6-10</v>
      </c>
      <c r="BB586">
        <v>14</v>
      </c>
      <c r="BC586" t="str">
        <f t="shared" si="148"/>
        <v>11-15</v>
      </c>
      <c r="BD586">
        <v>9</v>
      </c>
      <c r="BE586" t="str">
        <f t="shared" si="149"/>
        <v>6-10</v>
      </c>
    </row>
    <row r="587" spans="1:57" x14ac:dyDescent="0.3">
      <c r="A587">
        <v>811</v>
      </c>
      <c r="B587">
        <v>23</v>
      </c>
      <c r="C587" t="str">
        <f t="shared" si="136"/>
        <v>18-25</v>
      </c>
      <c r="D587" t="s">
        <v>56</v>
      </c>
      <c r="E587">
        <f t="shared" si="137"/>
        <v>1</v>
      </c>
      <c r="F587" t="s">
        <v>57</v>
      </c>
      <c r="G587">
        <v>1243</v>
      </c>
      <c r="H587" t="str">
        <f t="shared" si="138"/>
        <v>1001-1499</v>
      </c>
      <c r="I587" t="s">
        <v>73</v>
      </c>
      <c r="J587">
        <v>6</v>
      </c>
      <c r="K587" t="str">
        <f t="shared" si="139"/>
        <v>6-10</v>
      </c>
      <c r="L587">
        <v>3</v>
      </c>
      <c r="M587" t="s">
        <v>85</v>
      </c>
      <c r="N587" t="s">
        <v>60</v>
      </c>
      <c r="O587">
        <v>1</v>
      </c>
      <c r="P587">
        <v>3</v>
      </c>
      <c r="Q587" t="s">
        <v>63</v>
      </c>
      <c r="R587" t="s">
        <v>75</v>
      </c>
      <c r="S587">
        <v>63</v>
      </c>
      <c r="T587" t="str">
        <f t="shared" si="140"/>
        <v>51-75</v>
      </c>
      <c r="U587">
        <v>4</v>
      </c>
      <c r="V587" t="s">
        <v>65</v>
      </c>
      <c r="W587">
        <v>1</v>
      </c>
      <c r="X587" t="s">
        <v>81</v>
      </c>
      <c r="Y587">
        <v>1</v>
      </c>
      <c r="Z587" t="s">
        <v>69</v>
      </c>
      <c r="AA587" t="s">
        <v>77</v>
      </c>
      <c r="AB587" s="4">
        <v>1601</v>
      </c>
      <c r="AC587" s="4" t="str">
        <f t="shared" si="141"/>
        <v>$1,000-$2,500</v>
      </c>
      <c r="AD587">
        <v>3445</v>
      </c>
      <c r="AE587" t="str">
        <f t="shared" si="142"/>
        <v>$2,094-$8,000</v>
      </c>
      <c r="AF587">
        <v>1</v>
      </c>
      <c r="AG587" t="str">
        <f t="shared" si="143"/>
        <v>0-1</v>
      </c>
      <c r="AH587" t="s">
        <v>67</v>
      </c>
      <c r="AI587" t="s">
        <v>56</v>
      </c>
      <c r="AJ587">
        <v>21</v>
      </c>
      <c r="AK587" t="str">
        <f t="shared" si="144"/>
        <v>18-19%</v>
      </c>
      <c r="AL587">
        <v>4</v>
      </c>
      <c r="AM587" t="s">
        <v>78</v>
      </c>
      <c r="AN587">
        <v>3</v>
      </c>
      <c r="AO587" t="s">
        <v>63</v>
      </c>
      <c r="AP587">
        <v>80</v>
      </c>
      <c r="AQ587">
        <v>2</v>
      </c>
      <c r="AR587">
        <v>1</v>
      </c>
      <c r="AS587" t="str">
        <f t="shared" si="145"/>
        <v>0-2</v>
      </c>
      <c r="AT587">
        <v>2</v>
      </c>
      <c r="AU587" t="str">
        <f t="shared" si="146"/>
        <v>0-2</v>
      </c>
      <c r="AV587">
        <v>3</v>
      </c>
      <c r="AW587" t="s">
        <v>79</v>
      </c>
      <c r="AX587">
        <v>0</v>
      </c>
      <c r="AY587" t="str">
        <f t="shared" si="135"/>
        <v>0-1</v>
      </c>
      <c r="AZ587">
        <v>0</v>
      </c>
      <c r="BA587" t="str">
        <f t="shared" si="147"/>
        <v>0-1</v>
      </c>
      <c r="BB587">
        <v>0</v>
      </c>
      <c r="BC587" t="str">
        <f t="shared" si="148"/>
        <v>0-1</v>
      </c>
      <c r="BD587">
        <v>0</v>
      </c>
      <c r="BE587" t="str">
        <f t="shared" si="149"/>
        <v>0-1</v>
      </c>
    </row>
    <row r="588" spans="1:57" x14ac:dyDescent="0.3">
      <c r="A588">
        <v>812</v>
      </c>
      <c r="B588">
        <v>24</v>
      </c>
      <c r="C588" t="str">
        <f t="shared" si="136"/>
        <v>18-25</v>
      </c>
      <c r="D588" t="s">
        <v>71</v>
      </c>
      <c r="E588">
        <f t="shared" si="137"/>
        <v>0</v>
      </c>
      <c r="F588" t="s">
        <v>89</v>
      </c>
      <c r="G588">
        <v>1092</v>
      </c>
      <c r="H588" t="str">
        <f t="shared" si="138"/>
        <v>1001-1499</v>
      </c>
      <c r="I588" t="s">
        <v>73</v>
      </c>
      <c r="J588">
        <v>9</v>
      </c>
      <c r="K588" t="str">
        <f t="shared" si="139"/>
        <v>6-10</v>
      </c>
      <c r="L588">
        <v>3</v>
      </c>
      <c r="M588" t="s">
        <v>85</v>
      </c>
      <c r="N588" t="s">
        <v>60</v>
      </c>
      <c r="O588">
        <v>1</v>
      </c>
      <c r="P588">
        <v>3</v>
      </c>
      <c r="Q588" t="s">
        <v>63</v>
      </c>
      <c r="R588" t="s">
        <v>75</v>
      </c>
      <c r="S588">
        <v>60</v>
      </c>
      <c r="T588" t="str">
        <f t="shared" si="140"/>
        <v>51-75</v>
      </c>
      <c r="U588">
        <v>2</v>
      </c>
      <c r="V588" t="s">
        <v>61</v>
      </c>
      <c r="W588">
        <v>1</v>
      </c>
      <c r="X588" t="s">
        <v>81</v>
      </c>
      <c r="Y588">
        <v>2</v>
      </c>
      <c r="Z588" t="s">
        <v>61</v>
      </c>
      <c r="AA588" t="s">
        <v>86</v>
      </c>
      <c r="AB588" s="4">
        <v>2694</v>
      </c>
      <c r="AC588" s="4" t="str">
        <f t="shared" si="141"/>
        <v>$2,500-$4,000</v>
      </c>
      <c r="AD588">
        <v>26551</v>
      </c>
      <c r="AE588" t="str">
        <f t="shared" si="142"/>
        <v>$22,001-$26,999</v>
      </c>
      <c r="AF588">
        <v>1</v>
      </c>
      <c r="AG588" t="str">
        <f t="shared" si="143"/>
        <v>0-1</v>
      </c>
      <c r="AH588" t="s">
        <v>67</v>
      </c>
      <c r="AI588" t="s">
        <v>71</v>
      </c>
      <c r="AJ588">
        <v>11</v>
      </c>
      <c r="AK588" t="str">
        <f t="shared" si="144"/>
        <v>11-12%</v>
      </c>
      <c r="AL588">
        <v>3</v>
      </c>
      <c r="AM588" t="s">
        <v>68</v>
      </c>
      <c r="AN588">
        <v>3</v>
      </c>
      <c r="AO588" t="s">
        <v>63</v>
      </c>
      <c r="AP588">
        <v>80</v>
      </c>
      <c r="AQ588">
        <v>3</v>
      </c>
      <c r="AR588">
        <v>1</v>
      </c>
      <c r="AS588" t="str">
        <f t="shared" si="145"/>
        <v>0-2</v>
      </c>
      <c r="AT588">
        <v>4</v>
      </c>
      <c r="AU588" t="str">
        <f t="shared" si="146"/>
        <v>3-4</v>
      </c>
      <c r="AV588">
        <v>3</v>
      </c>
      <c r="AW588" t="s">
        <v>79</v>
      </c>
      <c r="AX588">
        <v>1</v>
      </c>
      <c r="AY588" t="str">
        <f t="shared" si="135"/>
        <v>0-1</v>
      </c>
      <c r="AZ588">
        <v>0</v>
      </c>
      <c r="BA588" t="str">
        <f t="shared" si="147"/>
        <v>0-1</v>
      </c>
      <c r="BB588">
        <v>0</v>
      </c>
      <c r="BC588" t="str">
        <f t="shared" si="148"/>
        <v>0-1</v>
      </c>
      <c r="BD588">
        <v>0</v>
      </c>
      <c r="BE588" t="str">
        <f t="shared" si="149"/>
        <v>0-1</v>
      </c>
    </row>
    <row r="589" spans="1:57" x14ac:dyDescent="0.3">
      <c r="A589">
        <v>813</v>
      </c>
      <c r="B589">
        <v>52</v>
      </c>
      <c r="C589" t="str">
        <f t="shared" si="136"/>
        <v>46-55</v>
      </c>
      <c r="D589" t="s">
        <v>71</v>
      </c>
      <c r="E589">
        <f t="shared" si="137"/>
        <v>0</v>
      </c>
      <c r="F589" t="s">
        <v>57</v>
      </c>
      <c r="G589">
        <v>1325</v>
      </c>
      <c r="H589" t="str">
        <f t="shared" si="138"/>
        <v>1001-1499</v>
      </c>
      <c r="I589" t="s">
        <v>73</v>
      </c>
      <c r="J589">
        <v>11</v>
      </c>
      <c r="K589" t="str">
        <f t="shared" si="139"/>
        <v>11-20</v>
      </c>
      <c r="L589">
        <v>4</v>
      </c>
      <c r="M589" t="s">
        <v>82</v>
      </c>
      <c r="N589" t="s">
        <v>60</v>
      </c>
      <c r="O589">
        <v>1</v>
      </c>
      <c r="P589">
        <v>4</v>
      </c>
      <c r="Q589" t="s">
        <v>65</v>
      </c>
      <c r="R589" t="s">
        <v>62</v>
      </c>
      <c r="S589">
        <v>82</v>
      </c>
      <c r="T589" t="str">
        <f t="shared" si="140"/>
        <v>76-100</v>
      </c>
      <c r="U589">
        <v>3</v>
      </c>
      <c r="V589" t="s">
        <v>63</v>
      </c>
      <c r="W589">
        <v>2</v>
      </c>
      <c r="X589" t="s">
        <v>81</v>
      </c>
      <c r="Y589">
        <v>3</v>
      </c>
      <c r="Z589" t="s">
        <v>63</v>
      </c>
      <c r="AA589" t="s">
        <v>77</v>
      </c>
      <c r="AB589" s="4">
        <v>3149</v>
      </c>
      <c r="AC589" s="4" t="str">
        <f t="shared" si="141"/>
        <v>$2,500-$4,000</v>
      </c>
      <c r="AD589">
        <v>21821</v>
      </c>
      <c r="AE589" t="str">
        <f t="shared" si="142"/>
        <v>$16,001-$22,000</v>
      </c>
      <c r="AF589">
        <v>8</v>
      </c>
      <c r="AG589" t="str">
        <f t="shared" si="143"/>
        <v>7-9</v>
      </c>
      <c r="AH589" t="s">
        <v>67</v>
      </c>
      <c r="AI589" t="s">
        <v>71</v>
      </c>
      <c r="AJ589">
        <v>20</v>
      </c>
      <c r="AK589" t="str">
        <f t="shared" si="144"/>
        <v>18-19%</v>
      </c>
      <c r="AL589">
        <v>4</v>
      </c>
      <c r="AM589" t="s">
        <v>78</v>
      </c>
      <c r="AN589">
        <v>2</v>
      </c>
      <c r="AO589" t="s">
        <v>61</v>
      </c>
      <c r="AP589">
        <v>80</v>
      </c>
      <c r="AQ589">
        <v>1</v>
      </c>
      <c r="AR589">
        <v>9</v>
      </c>
      <c r="AS589" t="str">
        <f t="shared" si="145"/>
        <v>6-10</v>
      </c>
      <c r="AT589">
        <v>3</v>
      </c>
      <c r="AU589" t="str">
        <f t="shared" si="146"/>
        <v>3-4</v>
      </c>
      <c r="AV589">
        <v>3</v>
      </c>
      <c r="AW589" t="s">
        <v>79</v>
      </c>
      <c r="AX589">
        <v>5</v>
      </c>
      <c r="AY589" t="str">
        <f t="shared" si="135"/>
        <v>2-5</v>
      </c>
      <c r="AZ589">
        <v>2</v>
      </c>
      <c r="BA589" t="str">
        <f t="shared" si="147"/>
        <v>2-5</v>
      </c>
      <c r="BB589">
        <v>1</v>
      </c>
      <c r="BC589" t="str">
        <f t="shared" si="148"/>
        <v>0-1</v>
      </c>
      <c r="BD589">
        <v>4</v>
      </c>
      <c r="BE589" t="str">
        <f t="shared" si="149"/>
        <v>2-5</v>
      </c>
    </row>
    <row r="590" spans="1:57" x14ac:dyDescent="0.3">
      <c r="A590">
        <v>815</v>
      </c>
      <c r="B590">
        <v>50</v>
      </c>
      <c r="C590" t="str">
        <f t="shared" si="136"/>
        <v>46-55</v>
      </c>
      <c r="D590" t="s">
        <v>71</v>
      </c>
      <c r="E590">
        <f t="shared" si="137"/>
        <v>0</v>
      </c>
      <c r="F590" t="s">
        <v>57</v>
      </c>
      <c r="G590">
        <v>691</v>
      </c>
      <c r="H590" t="str">
        <f t="shared" si="138"/>
        <v>501-1000</v>
      </c>
      <c r="I590" t="s">
        <v>73</v>
      </c>
      <c r="J590">
        <v>2</v>
      </c>
      <c r="K590" t="str">
        <f t="shared" si="139"/>
        <v>1-5</v>
      </c>
      <c r="L590">
        <v>3</v>
      </c>
      <c r="M590" t="s">
        <v>85</v>
      </c>
      <c r="N590" t="s">
        <v>83</v>
      </c>
      <c r="O590">
        <v>1</v>
      </c>
      <c r="P590">
        <v>3</v>
      </c>
      <c r="Q590" t="s">
        <v>63</v>
      </c>
      <c r="R590" t="s">
        <v>75</v>
      </c>
      <c r="S590">
        <v>64</v>
      </c>
      <c r="T590" t="str">
        <f t="shared" si="140"/>
        <v>51-75</v>
      </c>
      <c r="U590">
        <v>3</v>
      </c>
      <c r="V590" t="s">
        <v>63</v>
      </c>
      <c r="W590">
        <v>4</v>
      </c>
      <c r="X590" t="s">
        <v>92</v>
      </c>
      <c r="Y590">
        <v>3</v>
      </c>
      <c r="Z590" t="s">
        <v>63</v>
      </c>
      <c r="AA590" t="s">
        <v>77</v>
      </c>
      <c r="AB590" s="4">
        <v>17639</v>
      </c>
      <c r="AC590" s="4" t="str">
        <f t="shared" si="141"/>
        <v>$17,500-$19,000</v>
      </c>
      <c r="AD590">
        <v>6881</v>
      </c>
      <c r="AE590" t="str">
        <f t="shared" si="142"/>
        <v>$2,094-$8,000</v>
      </c>
      <c r="AF590">
        <v>5</v>
      </c>
      <c r="AG590" t="str">
        <f t="shared" si="143"/>
        <v>4-6</v>
      </c>
      <c r="AH590" t="s">
        <v>67</v>
      </c>
      <c r="AI590" t="s">
        <v>71</v>
      </c>
      <c r="AJ590">
        <v>16</v>
      </c>
      <c r="AK590" t="str">
        <f t="shared" si="144"/>
        <v>16-17%</v>
      </c>
      <c r="AL590">
        <v>3</v>
      </c>
      <c r="AM590" t="s">
        <v>68</v>
      </c>
      <c r="AN590">
        <v>4</v>
      </c>
      <c r="AO590" t="s">
        <v>65</v>
      </c>
      <c r="AP590">
        <v>80</v>
      </c>
      <c r="AQ590">
        <v>0</v>
      </c>
      <c r="AR590">
        <v>30</v>
      </c>
      <c r="AS590" t="str">
        <f t="shared" si="145"/>
        <v>21-40</v>
      </c>
      <c r="AT590">
        <v>3</v>
      </c>
      <c r="AU590" t="str">
        <f t="shared" si="146"/>
        <v>3-4</v>
      </c>
      <c r="AV590">
        <v>3</v>
      </c>
      <c r="AW590" t="s">
        <v>79</v>
      </c>
      <c r="AX590">
        <v>4</v>
      </c>
      <c r="AY590" t="str">
        <f t="shared" si="135"/>
        <v>2-5</v>
      </c>
      <c r="AZ590">
        <v>3</v>
      </c>
      <c r="BA590" t="str">
        <f t="shared" si="147"/>
        <v>2-5</v>
      </c>
      <c r="BB590">
        <v>0</v>
      </c>
      <c r="BC590" t="str">
        <f t="shared" si="148"/>
        <v>0-1</v>
      </c>
      <c r="BD590">
        <v>3</v>
      </c>
      <c r="BE590" t="str">
        <f t="shared" si="149"/>
        <v>2-5</v>
      </c>
    </row>
    <row r="591" spans="1:57" x14ac:dyDescent="0.3">
      <c r="A591">
        <v>816</v>
      </c>
      <c r="B591">
        <v>29</v>
      </c>
      <c r="C591" t="str">
        <f t="shared" si="136"/>
        <v>26-35</v>
      </c>
      <c r="D591" t="s">
        <v>56</v>
      </c>
      <c r="E591">
        <f t="shared" si="137"/>
        <v>1</v>
      </c>
      <c r="F591" t="s">
        <v>57</v>
      </c>
      <c r="G591">
        <v>805</v>
      </c>
      <c r="H591" t="str">
        <f t="shared" si="138"/>
        <v>501-1000</v>
      </c>
      <c r="I591" t="s">
        <v>73</v>
      </c>
      <c r="J591">
        <v>1</v>
      </c>
      <c r="K591" t="str">
        <f t="shared" si="139"/>
        <v>1-5</v>
      </c>
      <c r="L591">
        <v>2</v>
      </c>
      <c r="M591" t="s">
        <v>59</v>
      </c>
      <c r="N591" t="s">
        <v>60</v>
      </c>
      <c r="O591">
        <v>1</v>
      </c>
      <c r="P591">
        <v>2</v>
      </c>
      <c r="Q591" t="s">
        <v>61</v>
      </c>
      <c r="R591" t="s">
        <v>62</v>
      </c>
      <c r="S591">
        <v>36</v>
      </c>
      <c r="T591" t="str">
        <f t="shared" si="140"/>
        <v>30-50</v>
      </c>
      <c r="U591">
        <v>2</v>
      </c>
      <c r="V591" t="s">
        <v>61</v>
      </c>
      <c r="W591">
        <v>1</v>
      </c>
      <c r="X591" t="s">
        <v>81</v>
      </c>
      <c r="Y591">
        <v>1</v>
      </c>
      <c r="Z591" t="s">
        <v>69</v>
      </c>
      <c r="AA591" t="s">
        <v>77</v>
      </c>
      <c r="AB591" s="4">
        <v>2319</v>
      </c>
      <c r="AC591" s="4" t="str">
        <f t="shared" si="141"/>
        <v>$1,000-$2,500</v>
      </c>
      <c r="AD591">
        <v>6689</v>
      </c>
      <c r="AE591" t="str">
        <f t="shared" si="142"/>
        <v>$2,094-$8,000</v>
      </c>
      <c r="AF591">
        <v>1</v>
      </c>
      <c r="AG591" t="str">
        <f t="shared" si="143"/>
        <v>0-1</v>
      </c>
      <c r="AH591" t="s">
        <v>67</v>
      </c>
      <c r="AI591" t="s">
        <v>56</v>
      </c>
      <c r="AJ591">
        <v>11</v>
      </c>
      <c r="AK591" t="str">
        <f t="shared" si="144"/>
        <v>11-12%</v>
      </c>
      <c r="AL591">
        <v>3</v>
      </c>
      <c r="AM591" t="s">
        <v>68</v>
      </c>
      <c r="AN591">
        <v>4</v>
      </c>
      <c r="AO591" t="s">
        <v>65</v>
      </c>
      <c r="AP591">
        <v>80</v>
      </c>
      <c r="AQ591">
        <v>1</v>
      </c>
      <c r="AR591">
        <v>1</v>
      </c>
      <c r="AS591" t="str">
        <f t="shared" si="145"/>
        <v>0-2</v>
      </c>
      <c r="AT591">
        <v>1</v>
      </c>
      <c r="AU591" t="str">
        <f t="shared" si="146"/>
        <v>0-2</v>
      </c>
      <c r="AV591">
        <v>3</v>
      </c>
      <c r="AW591" t="s">
        <v>79</v>
      </c>
      <c r="AX591">
        <v>1</v>
      </c>
      <c r="AY591" t="str">
        <f t="shared" si="135"/>
        <v>0-1</v>
      </c>
      <c r="AZ591">
        <v>0</v>
      </c>
      <c r="BA591" t="str">
        <f t="shared" si="147"/>
        <v>0-1</v>
      </c>
      <c r="BB591">
        <v>0</v>
      </c>
      <c r="BC591" t="str">
        <f t="shared" si="148"/>
        <v>0-1</v>
      </c>
      <c r="BD591">
        <v>0</v>
      </c>
      <c r="BE591" t="str">
        <f t="shared" si="149"/>
        <v>0-1</v>
      </c>
    </row>
    <row r="592" spans="1:57" x14ac:dyDescent="0.3">
      <c r="A592">
        <v>817</v>
      </c>
      <c r="B592">
        <v>33</v>
      </c>
      <c r="C592" t="str">
        <f t="shared" si="136"/>
        <v>26-35</v>
      </c>
      <c r="D592" t="s">
        <v>71</v>
      </c>
      <c r="E592">
        <f t="shared" si="137"/>
        <v>0</v>
      </c>
      <c r="F592" t="s">
        <v>57</v>
      </c>
      <c r="G592">
        <v>213</v>
      </c>
      <c r="H592" t="str">
        <f t="shared" si="138"/>
        <v>102-500</v>
      </c>
      <c r="I592" t="s">
        <v>73</v>
      </c>
      <c r="J592">
        <v>7</v>
      </c>
      <c r="K592" t="str">
        <f t="shared" si="139"/>
        <v>6-10</v>
      </c>
      <c r="L592">
        <v>3</v>
      </c>
      <c r="M592" t="s">
        <v>85</v>
      </c>
      <c r="N592" t="s">
        <v>83</v>
      </c>
      <c r="O592">
        <v>1</v>
      </c>
      <c r="P592">
        <v>3</v>
      </c>
      <c r="Q592" t="s">
        <v>63</v>
      </c>
      <c r="R592" t="s">
        <v>75</v>
      </c>
      <c r="S592">
        <v>49</v>
      </c>
      <c r="T592" t="str">
        <f t="shared" si="140"/>
        <v>30-50</v>
      </c>
      <c r="U592">
        <v>3</v>
      </c>
      <c r="V592" t="s">
        <v>63</v>
      </c>
      <c r="W592">
        <v>3</v>
      </c>
      <c r="X592" t="s">
        <v>92</v>
      </c>
      <c r="Y592">
        <v>3</v>
      </c>
      <c r="Z592" t="s">
        <v>63</v>
      </c>
      <c r="AA592" t="s">
        <v>77</v>
      </c>
      <c r="AB592" s="4">
        <v>11691</v>
      </c>
      <c r="AC592" s="4" t="str">
        <f t="shared" si="141"/>
        <v>$11,500-$13,000</v>
      </c>
      <c r="AD592">
        <v>25995</v>
      </c>
      <c r="AE592" t="str">
        <f t="shared" si="142"/>
        <v>$22,001-$26,999</v>
      </c>
      <c r="AF592">
        <v>0</v>
      </c>
      <c r="AG592" t="str">
        <f t="shared" si="143"/>
        <v>0-1</v>
      </c>
      <c r="AH592" t="s">
        <v>67</v>
      </c>
      <c r="AI592" t="s">
        <v>71</v>
      </c>
      <c r="AJ592">
        <v>11</v>
      </c>
      <c r="AK592" t="str">
        <f t="shared" si="144"/>
        <v>11-12%</v>
      </c>
      <c r="AL592">
        <v>3</v>
      </c>
      <c r="AM592" t="s">
        <v>68</v>
      </c>
      <c r="AN592">
        <v>4</v>
      </c>
      <c r="AO592" t="s">
        <v>65</v>
      </c>
      <c r="AP592">
        <v>80</v>
      </c>
      <c r="AQ592">
        <v>0</v>
      </c>
      <c r="AR592">
        <v>14</v>
      </c>
      <c r="AS592" t="str">
        <f t="shared" si="145"/>
        <v>11-20</v>
      </c>
      <c r="AT592">
        <v>3</v>
      </c>
      <c r="AU592" t="str">
        <f t="shared" si="146"/>
        <v>3-4</v>
      </c>
      <c r="AV592">
        <v>4</v>
      </c>
      <c r="AW592" t="s">
        <v>94</v>
      </c>
      <c r="AX592">
        <v>13</v>
      </c>
      <c r="AY592" t="str">
        <f t="shared" si="135"/>
        <v>11-20</v>
      </c>
      <c r="AZ592">
        <v>9</v>
      </c>
      <c r="BA592" t="str">
        <f t="shared" si="147"/>
        <v>6-10</v>
      </c>
      <c r="BB592">
        <v>3</v>
      </c>
      <c r="BC592" t="str">
        <f t="shared" si="148"/>
        <v>2-5</v>
      </c>
      <c r="BD592">
        <v>7</v>
      </c>
      <c r="BE592" t="str">
        <f t="shared" si="149"/>
        <v>6-10</v>
      </c>
    </row>
    <row r="593" spans="1:57" x14ac:dyDescent="0.3">
      <c r="A593">
        <v>819</v>
      </c>
      <c r="B593">
        <v>33</v>
      </c>
      <c r="C593" t="str">
        <f t="shared" si="136"/>
        <v>26-35</v>
      </c>
      <c r="D593" t="s">
        <v>56</v>
      </c>
      <c r="E593">
        <f t="shared" si="137"/>
        <v>1</v>
      </c>
      <c r="F593" t="s">
        <v>57</v>
      </c>
      <c r="G593">
        <v>118</v>
      </c>
      <c r="H593" t="str">
        <f t="shared" si="138"/>
        <v>102-500</v>
      </c>
      <c r="I593" t="s">
        <v>58</v>
      </c>
      <c r="J593">
        <v>16</v>
      </c>
      <c r="K593" t="str">
        <f t="shared" si="139"/>
        <v>11-20</v>
      </c>
      <c r="L593">
        <v>3</v>
      </c>
      <c r="M593" t="s">
        <v>85</v>
      </c>
      <c r="N593" t="s">
        <v>93</v>
      </c>
      <c r="O593">
        <v>1</v>
      </c>
      <c r="P593">
        <v>1</v>
      </c>
      <c r="Q593" t="s">
        <v>69</v>
      </c>
      <c r="R593" t="s">
        <v>62</v>
      </c>
      <c r="S593">
        <v>69</v>
      </c>
      <c r="T593" t="str">
        <f t="shared" si="140"/>
        <v>51-75</v>
      </c>
      <c r="U593">
        <v>3</v>
      </c>
      <c r="V593" t="s">
        <v>63</v>
      </c>
      <c r="W593">
        <v>2</v>
      </c>
      <c r="X593" t="s">
        <v>64</v>
      </c>
      <c r="Y593">
        <v>1</v>
      </c>
      <c r="Z593" t="s">
        <v>69</v>
      </c>
      <c r="AA593" t="s">
        <v>66</v>
      </c>
      <c r="AB593" s="4">
        <v>5324</v>
      </c>
      <c r="AC593" s="4" t="str">
        <f t="shared" si="141"/>
        <v>$4,000-$5,500</v>
      </c>
      <c r="AD593">
        <v>26507</v>
      </c>
      <c r="AE593" t="str">
        <f t="shared" si="142"/>
        <v>$22,001-$26,999</v>
      </c>
      <c r="AF593">
        <v>5</v>
      </c>
      <c r="AG593" t="str">
        <f t="shared" si="143"/>
        <v>4-6</v>
      </c>
      <c r="AH593" t="s">
        <v>67</v>
      </c>
      <c r="AI593" t="s">
        <v>71</v>
      </c>
      <c r="AJ593">
        <v>15</v>
      </c>
      <c r="AK593" t="str">
        <f t="shared" si="144"/>
        <v>13-15%</v>
      </c>
      <c r="AL593">
        <v>3</v>
      </c>
      <c r="AM593" t="s">
        <v>68</v>
      </c>
      <c r="AN593">
        <v>3</v>
      </c>
      <c r="AO593" t="s">
        <v>63</v>
      </c>
      <c r="AP593">
        <v>80</v>
      </c>
      <c r="AQ593">
        <v>0</v>
      </c>
      <c r="AR593">
        <v>6</v>
      </c>
      <c r="AS593" t="str">
        <f t="shared" si="145"/>
        <v>6-10</v>
      </c>
      <c r="AT593">
        <v>3</v>
      </c>
      <c r="AU593" t="str">
        <f t="shared" si="146"/>
        <v>3-4</v>
      </c>
      <c r="AV593">
        <v>3</v>
      </c>
      <c r="AW593" t="s">
        <v>79</v>
      </c>
      <c r="AX593">
        <v>3</v>
      </c>
      <c r="AY593" t="str">
        <f t="shared" si="135"/>
        <v>2-5</v>
      </c>
      <c r="AZ593">
        <v>2</v>
      </c>
      <c r="BA593" t="str">
        <f t="shared" si="147"/>
        <v>2-5</v>
      </c>
      <c r="BB593">
        <v>0</v>
      </c>
      <c r="BC593" t="str">
        <f t="shared" si="148"/>
        <v>0-1</v>
      </c>
      <c r="BD593">
        <v>2</v>
      </c>
      <c r="BE593" t="str">
        <f t="shared" si="149"/>
        <v>2-5</v>
      </c>
    </row>
    <row r="594" spans="1:57" x14ac:dyDescent="0.3">
      <c r="A594">
        <v>820</v>
      </c>
      <c r="B594">
        <v>47</v>
      </c>
      <c r="C594" t="str">
        <f t="shared" si="136"/>
        <v>46-55</v>
      </c>
      <c r="D594" t="s">
        <v>71</v>
      </c>
      <c r="E594">
        <f t="shared" si="137"/>
        <v>0</v>
      </c>
      <c r="F594" t="s">
        <v>57</v>
      </c>
      <c r="G594">
        <v>202</v>
      </c>
      <c r="H594" t="str">
        <f t="shared" si="138"/>
        <v>102-500</v>
      </c>
      <c r="I594" t="s">
        <v>73</v>
      </c>
      <c r="J594">
        <v>2</v>
      </c>
      <c r="K594" t="str">
        <f t="shared" si="139"/>
        <v>1-5</v>
      </c>
      <c r="L594">
        <v>2</v>
      </c>
      <c r="M594" t="s">
        <v>59</v>
      </c>
      <c r="N594" t="s">
        <v>80</v>
      </c>
      <c r="O594">
        <v>1</v>
      </c>
      <c r="P594">
        <v>3</v>
      </c>
      <c r="Q594" t="s">
        <v>63</v>
      </c>
      <c r="R594" t="s">
        <v>62</v>
      </c>
      <c r="S594">
        <v>33</v>
      </c>
      <c r="T594" t="str">
        <f t="shared" si="140"/>
        <v>30-50</v>
      </c>
      <c r="U594">
        <v>3</v>
      </c>
      <c r="V594" t="s">
        <v>63</v>
      </c>
      <c r="W594">
        <v>4</v>
      </c>
      <c r="X594" t="s">
        <v>90</v>
      </c>
      <c r="Y594">
        <v>4</v>
      </c>
      <c r="Z594" t="s">
        <v>65</v>
      </c>
      <c r="AA594" t="s">
        <v>77</v>
      </c>
      <c r="AB594" s="4">
        <v>16752</v>
      </c>
      <c r="AC594" s="4" t="str">
        <f t="shared" si="141"/>
        <v>$16,000-$17,500</v>
      </c>
      <c r="AD594">
        <v>12982</v>
      </c>
      <c r="AE594" t="str">
        <f t="shared" si="142"/>
        <v>$8,001-$16,000</v>
      </c>
      <c r="AF594">
        <v>1</v>
      </c>
      <c r="AG594" t="str">
        <f t="shared" si="143"/>
        <v>0-1</v>
      </c>
      <c r="AH594" t="s">
        <v>67</v>
      </c>
      <c r="AI594" t="s">
        <v>56</v>
      </c>
      <c r="AJ594">
        <v>11</v>
      </c>
      <c r="AK594" t="str">
        <f t="shared" si="144"/>
        <v>11-12%</v>
      </c>
      <c r="AL594">
        <v>3</v>
      </c>
      <c r="AM594" t="s">
        <v>68</v>
      </c>
      <c r="AN594">
        <v>3</v>
      </c>
      <c r="AO594" t="s">
        <v>63</v>
      </c>
      <c r="AP594">
        <v>80</v>
      </c>
      <c r="AQ594">
        <v>1</v>
      </c>
      <c r="AR594">
        <v>26</v>
      </c>
      <c r="AS594" t="str">
        <f t="shared" si="145"/>
        <v>21-40</v>
      </c>
      <c r="AT594">
        <v>3</v>
      </c>
      <c r="AU594" t="str">
        <f t="shared" si="146"/>
        <v>3-4</v>
      </c>
      <c r="AV594">
        <v>2</v>
      </c>
      <c r="AW594" t="s">
        <v>84</v>
      </c>
      <c r="AX594">
        <v>26</v>
      </c>
      <c r="AY594" t="str">
        <f t="shared" si="135"/>
        <v>21-40</v>
      </c>
      <c r="AZ594">
        <v>14</v>
      </c>
      <c r="BA594" t="str">
        <f t="shared" si="147"/>
        <v>11-18</v>
      </c>
      <c r="BB594">
        <v>3</v>
      </c>
      <c r="BC594" t="str">
        <f t="shared" si="148"/>
        <v>2-5</v>
      </c>
      <c r="BD594">
        <v>0</v>
      </c>
      <c r="BE594" t="str">
        <f t="shared" si="149"/>
        <v>0-1</v>
      </c>
    </row>
    <row r="595" spans="1:57" x14ac:dyDescent="0.3">
      <c r="A595">
        <v>823</v>
      </c>
      <c r="B595">
        <v>36</v>
      </c>
      <c r="C595" t="str">
        <f t="shared" si="136"/>
        <v>36-45</v>
      </c>
      <c r="D595" t="s">
        <v>71</v>
      </c>
      <c r="E595">
        <f t="shared" si="137"/>
        <v>0</v>
      </c>
      <c r="F595" t="s">
        <v>57</v>
      </c>
      <c r="G595">
        <v>676</v>
      </c>
      <c r="H595" t="str">
        <f t="shared" si="138"/>
        <v>501-1000</v>
      </c>
      <c r="I595" t="s">
        <v>73</v>
      </c>
      <c r="J595">
        <v>1</v>
      </c>
      <c r="K595" t="str">
        <f t="shared" si="139"/>
        <v>1-5</v>
      </c>
      <c r="L595">
        <v>3</v>
      </c>
      <c r="M595" t="s">
        <v>85</v>
      </c>
      <c r="N595" t="s">
        <v>80</v>
      </c>
      <c r="O595">
        <v>1</v>
      </c>
      <c r="P595">
        <v>3</v>
      </c>
      <c r="Q595" t="s">
        <v>63</v>
      </c>
      <c r="R595" t="s">
        <v>62</v>
      </c>
      <c r="S595">
        <v>35</v>
      </c>
      <c r="T595" t="str">
        <f t="shared" si="140"/>
        <v>30-50</v>
      </c>
      <c r="U595">
        <v>3</v>
      </c>
      <c r="V595" t="s">
        <v>63</v>
      </c>
      <c r="W595">
        <v>2</v>
      </c>
      <c r="X595" t="s">
        <v>87</v>
      </c>
      <c r="Y595">
        <v>2</v>
      </c>
      <c r="Z595" t="s">
        <v>61</v>
      </c>
      <c r="AA595" t="s">
        <v>77</v>
      </c>
      <c r="AB595" s="4">
        <v>5228</v>
      </c>
      <c r="AC595" s="4" t="str">
        <f t="shared" si="141"/>
        <v>$4,000-$5,500</v>
      </c>
      <c r="AD595">
        <v>23361</v>
      </c>
      <c r="AE595" t="str">
        <f t="shared" si="142"/>
        <v>$22,001-$26,999</v>
      </c>
      <c r="AF595">
        <v>0</v>
      </c>
      <c r="AG595" t="str">
        <f t="shared" si="143"/>
        <v>0-1</v>
      </c>
      <c r="AH595" t="s">
        <v>67</v>
      </c>
      <c r="AI595" t="s">
        <v>71</v>
      </c>
      <c r="AJ595">
        <v>15</v>
      </c>
      <c r="AK595" t="str">
        <f t="shared" si="144"/>
        <v>13-15%</v>
      </c>
      <c r="AL595">
        <v>3</v>
      </c>
      <c r="AM595" t="s">
        <v>68</v>
      </c>
      <c r="AN595">
        <v>1</v>
      </c>
      <c r="AO595" t="s">
        <v>69</v>
      </c>
      <c r="AP595">
        <v>80</v>
      </c>
      <c r="AQ595">
        <v>1</v>
      </c>
      <c r="AR595">
        <v>10</v>
      </c>
      <c r="AS595" t="str">
        <f t="shared" si="145"/>
        <v>6-10</v>
      </c>
      <c r="AT595">
        <v>2</v>
      </c>
      <c r="AU595" t="str">
        <f t="shared" si="146"/>
        <v>0-2</v>
      </c>
      <c r="AV595">
        <v>3</v>
      </c>
      <c r="AW595" t="s">
        <v>79</v>
      </c>
      <c r="AX595">
        <v>9</v>
      </c>
      <c r="AY595" t="str">
        <f t="shared" si="135"/>
        <v>6-10</v>
      </c>
      <c r="AZ595">
        <v>7</v>
      </c>
      <c r="BA595" t="str">
        <f t="shared" si="147"/>
        <v>6-10</v>
      </c>
      <c r="BB595">
        <v>0</v>
      </c>
      <c r="BC595" t="str">
        <f t="shared" si="148"/>
        <v>0-1</v>
      </c>
      <c r="BD595">
        <v>5</v>
      </c>
      <c r="BE595" t="str">
        <f t="shared" si="149"/>
        <v>2-5</v>
      </c>
    </row>
    <row r="596" spans="1:57" x14ac:dyDescent="0.3">
      <c r="A596">
        <v>824</v>
      </c>
      <c r="B596">
        <v>29</v>
      </c>
      <c r="C596" t="str">
        <f t="shared" si="136"/>
        <v>26-35</v>
      </c>
      <c r="D596" t="s">
        <v>71</v>
      </c>
      <c r="E596">
        <f t="shared" si="137"/>
        <v>0</v>
      </c>
      <c r="F596" t="s">
        <v>57</v>
      </c>
      <c r="G596">
        <v>1252</v>
      </c>
      <c r="H596" t="str">
        <f t="shared" si="138"/>
        <v>1001-1499</v>
      </c>
      <c r="I596" t="s">
        <v>73</v>
      </c>
      <c r="J596">
        <v>23</v>
      </c>
      <c r="K596" t="str">
        <f t="shared" si="139"/>
        <v>21-29</v>
      </c>
      <c r="L596">
        <v>2</v>
      </c>
      <c r="M596" t="s">
        <v>59</v>
      </c>
      <c r="N596" t="s">
        <v>60</v>
      </c>
      <c r="O596">
        <v>1</v>
      </c>
      <c r="P596">
        <v>3</v>
      </c>
      <c r="Q596" t="s">
        <v>63</v>
      </c>
      <c r="R596" t="s">
        <v>75</v>
      </c>
      <c r="S596">
        <v>81</v>
      </c>
      <c r="T596" t="str">
        <f t="shared" si="140"/>
        <v>76-100</v>
      </c>
      <c r="U596">
        <v>4</v>
      </c>
      <c r="V596" t="s">
        <v>65</v>
      </c>
      <c r="W596">
        <v>1</v>
      </c>
      <c r="X596" t="s">
        <v>76</v>
      </c>
      <c r="Y596">
        <v>3</v>
      </c>
      <c r="Z596" t="s">
        <v>63</v>
      </c>
      <c r="AA596" t="s">
        <v>77</v>
      </c>
      <c r="AB596" s="4">
        <v>2700</v>
      </c>
      <c r="AC596" s="4" t="str">
        <f t="shared" si="141"/>
        <v>$2,500-$4,000</v>
      </c>
      <c r="AD596">
        <v>23779</v>
      </c>
      <c r="AE596" t="str">
        <f t="shared" si="142"/>
        <v>$22,001-$26,999</v>
      </c>
      <c r="AF596">
        <v>1</v>
      </c>
      <c r="AG596" t="str">
        <f t="shared" si="143"/>
        <v>0-1</v>
      </c>
      <c r="AH596" t="s">
        <v>67</v>
      </c>
      <c r="AI596" t="s">
        <v>71</v>
      </c>
      <c r="AJ596">
        <v>24</v>
      </c>
      <c r="AK596" t="str">
        <f t="shared" si="144"/>
        <v>18-19%</v>
      </c>
      <c r="AL596">
        <v>4</v>
      </c>
      <c r="AM596" t="s">
        <v>78</v>
      </c>
      <c r="AN596">
        <v>3</v>
      </c>
      <c r="AO596" t="s">
        <v>63</v>
      </c>
      <c r="AP596">
        <v>80</v>
      </c>
      <c r="AQ596">
        <v>1</v>
      </c>
      <c r="AR596">
        <v>10</v>
      </c>
      <c r="AS596" t="str">
        <f t="shared" si="145"/>
        <v>6-10</v>
      </c>
      <c r="AT596">
        <v>3</v>
      </c>
      <c r="AU596" t="str">
        <f t="shared" si="146"/>
        <v>3-4</v>
      </c>
      <c r="AV596">
        <v>3</v>
      </c>
      <c r="AW596" t="s">
        <v>79</v>
      </c>
      <c r="AX596">
        <v>10</v>
      </c>
      <c r="AY596" t="str">
        <f t="shared" si="135"/>
        <v>6-10</v>
      </c>
      <c r="AZ596">
        <v>7</v>
      </c>
      <c r="BA596" t="str">
        <f t="shared" si="147"/>
        <v>6-10</v>
      </c>
      <c r="BB596">
        <v>0</v>
      </c>
      <c r="BC596" t="str">
        <f t="shared" si="148"/>
        <v>0-1</v>
      </c>
      <c r="BD596">
        <v>7</v>
      </c>
      <c r="BE596" t="str">
        <f t="shared" si="149"/>
        <v>6-10</v>
      </c>
    </row>
    <row r="597" spans="1:57" x14ac:dyDescent="0.3">
      <c r="A597">
        <v>825</v>
      </c>
      <c r="B597">
        <v>58</v>
      </c>
      <c r="C597" t="str">
        <f t="shared" si="136"/>
        <v>56+</v>
      </c>
      <c r="D597" t="s">
        <v>56</v>
      </c>
      <c r="E597">
        <f t="shared" si="137"/>
        <v>1</v>
      </c>
      <c r="F597" t="s">
        <v>57</v>
      </c>
      <c r="G597">
        <v>286</v>
      </c>
      <c r="H597" t="str">
        <f t="shared" si="138"/>
        <v>102-500</v>
      </c>
      <c r="I597" t="s">
        <v>73</v>
      </c>
      <c r="J597">
        <v>2</v>
      </c>
      <c r="K597" t="str">
        <f t="shared" si="139"/>
        <v>1-5</v>
      </c>
      <c r="L597">
        <v>4</v>
      </c>
      <c r="M597" t="s">
        <v>82</v>
      </c>
      <c r="N597" t="s">
        <v>60</v>
      </c>
      <c r="O597">
        <v>1</v>
      </c>
      <c r="P597">
        <v>4</v>
      </c>
      <c r="Q597" t="s">
        <v>65</v>
      </c>
      <c r="R597" t="s">
        <v>75</v>
      </c>
      <c r="S597">
        <v>31</v>
      </c>
      <c r="T597" t="str">
        <f t="shared" si="140"/>
        <v>30-50</v>
      </c>
      <c r="U597">
        <v>3</v>
      </c>
      <c r="V597" t="s">
        <v>63</v>
      </c>
      <c r="W597">
        <v>5</v>
      </c>
      <c r="X597" t="s">
        <v>92</v>
      </c>
      <c r="Y597">
        <v>2</v>
      </c>
      <c r="Z597" t="s">
        <v>61</v>
      </c>
      <c r="AA597" t="s">
        <v>66</v>
      </c>
      <c r="AB597" s="4">
        <v>19246</v>
      </c>
      <c r="AC597" s="4" t="str">
        <f t="shared" si="141"/>
        <v>$19,000-$20,500</v>
      </c>
      <c r="AD597">
        <v>25761</v>
      </c>
      <c r="AE597" t="str">
        <f t="shared" si="142"/>
        <v>$22,001-$26,999</v>
      </c>
      <c r="AF597">
        <v>7</v>
      </c>
      <c r="AG597" t="str">
        <f t="shared" si="143"/>
        <v>7-9</v>
      </c>
      <c r="AH597" t="s">
        <v>67</v>
      </c>
      <c r="AI597" t="s">
        <v>56</v>
      </c>
      <c r="AJ597">
        <v>12</v>
      </c>
      <c r="AK597" t="str">
        <f t="shared" si="144"/>
        <v>11-12%</v>
      </c>
      <c r="AL597">
        <v>3</v>
      </c>
      <c r="AM597" t="s">
        <v>68</v>
      </c>
      <c r="AN597">
        <v>4</v>
      </c>
      <c r="AO597" t="s">
        <v>65</v>
      </c>
      <c r="AP597">
        <v>80</v>
      </c>
      <c r="AQ597">
        <v>0</v>
      </c>
      <c r="AR597">
        <v>40</v>
      </c>
      <c r="AS597" t="str">
        <f t="shared" si="145"/>
        <v>21-40</v>
      </c>
      <c r="AT597">
        <v>2</v>
      </c>
      <c r="AU597" t="str">
        <f t="shared" si="146"/>
        <v>0-2</v>
      </c>
      <c r="AV597">
        <v>3</v>
      </c>
      <c r="AW597" t="s">
        <v>79</v>
      </c>
      <c r="AX597">
        <v>31</v>
      </c>
      <c r="AY597" t="str">
        <f t="shared" si="135"/>
        <v>21-40</v>
      </c>
      <c r="AZ597">
        <v>15</v>
      </c>
      <c r="BA597" t="str">
        <f t="shared" si="147"/>
        <v>11-18</v>
      </c>
      <c r="BB597">
        <v>13</v>
      </c>
      <c r="BC597" t="str">
        <f t="shared" si="148"/>
        <v>11-15</v>
      </c>
      <c r="BD597">
        <v>8</v>
      </c>
      <c r="BE597" t="str">
        <f t="shared" si="149"/>
        <v>6-10</v>
      </c>
    </row>
    <row r="598" spans="1:57" x14ac:dyDescent="0.3">
      <c r="A598">
        <v>826</v>
      </c>
      <c r="B598">
        <v>35</v>
      </c>
      <c r="C598" t="str">
        <f t="shared" si="136"/>
        <v>26-35</v>
      </c>
      <c r="D598" t="s">
        <v>71</v>
      </c>
      <c r="E598">
        <f t="shared" si="137"/>
        <v>0</v>
      </c>
      <c r="F598" t="s">
        <v>57</v>
      </c>
      <c r="G598">
        <v>1258</v>
      </c>
      <c r="H598" t="str">
        <f t="shared" si="138"/>
        <v>1001-1499</v>
      </c>
      <c r="I598" t="s">
        <v>73</v>
      </c>
      <c r="J598">
        <v>1</v>
      </c>
      <c r="K598" t="str">
        <f t="shared" si="139"/>
        <v>1-5</v>
      </c>
      <c r="L598">
        <v>4</v>
      </c>
      <c r="M598" t="s">
        <v>82</v>
      </c>
      <c r="N598" t="s">
        <v>60</v>
      </c>
      <c r="O598">
        <v>1</v>
      </c>
      <c r="P598">
        <v>4</v>
      </c>
      <c r="Q598" t="s">
        <v>65</v>
      </c>
      <c r="R598" t="s">
        <v>62</v>
      </c>
      <c r="S598">
        <v>40</v>
      </c>
      <c r="T598" t="str">
        <f t="shared" si="140"/>
        <v>30-50</v>
      </c>
      <c r="U598">
        <v>4</v>
      </c>
      <c r="V598" t="s">
        <v>65</v>
      </c>
      <c r="W598">
        <v>1</v>
      </c>
      <c r="X598" t="s">
        <v>76</v>
      </c>
      <c r="Y598">
        <v>3</v>
      </c>
      <c r="Z598" t="s">
        <v>63</v>
      </c>
      <c r="AA598" t="s">
        <v>66</v>
      </c>
      <c r="AB598" s="4">
        <v>2506</v>
      </c>
      <c r="AC598" s="4" t="str">
        <f t="shared" si="141"/>
        <v>$2,500-$4,000</v>
      </c>
      <c r="AD598">
        <v>13301</v>
      </c>
      <c r="AE598" t="str">
        <f t="shared" si="142"/>
        <v>$8,001-$16,000</v>
      </c>
      <c r="AF598">
        <v>3</v>
      </c>
      <c r="AG598" t="str">
        <f t="shared" si="143"/>
        <v>2-3</v>
      </c>
      <c r="AH598" t="s">
        <v>67</v>
      </c>
      <c r="AI598" t="s">
        <v>71</v>
      </c>
      <c r="AJ598">
        <v>13</v>
      </c>
      <c r="AK598" t="str">
        <f t="shared" si="144"/>
        <v>13-15%</v>
      </c>
      <c r="AL598">
        <v>3</v>
      </c>
      <c r="AM598" t="s">
        <v>68</v>
      </c>
      <c r="AN598">
        <v>3</v>
      </c>
      <c r="AO598" t="s">
        <v>63</v>
      </c>
      <c r="AP598">
        <v>80</v>
      </c>
      <c r="AQ598">
        <v>0</v>
      </c>
      <c r="AR598">
        <v>7</v>
      </c>
      <c r="AS598" t="str">
        <f t="shared" si="145"/>
        <v>6-10</v>
      </c>
      <c r="AT598">
        <v>0</v>
      </c>
      <c r="AU598" t="str">
        <f t="shared" si="146"/>
        <v>0-2</v>
      </c>
      <c r="AV598">
        <v>3</v>
      </c>
      <c r="AW598" t="s">
        <v>79</v>
      </c>
      <c r="AX598">
        <v>2</v>
      </c>
      <c r="AY598" t="str">
        <f t="shared" si="135"/>
        <v>2-5</v>
      </c>
      <c r="AZ598">
        <v>2</v>
      </c>
      <c r="BA598" t="str">
        <f t="shared" si="147"/>
        <v>2-5</v>
      </c>
      <c r="BB598">
        <v>2</v>
      </c>
      <c r="BC598" t="str">
        <f t="shared" si="148"/>
        <v>2-5</v>
      </c>
      <c r="BD598">
        <v>2</v>
      </c>
      <c r="BE598" t="str">
        <f t="shared" si="149"/>
        <v>2-5</v>
      </c>
    </row>
    <row r="599" spans="1:57" x14ac:dyDescent="0.3">
      <c r="A599">
        <v>827</v>
      </c>
      <c r="B599">
        <v>42</v>
      </c>
      <c r="C599" t="str">
        <f t="shared" si="136"/>
        <v>36-45</v>
      </c>
      <c r="D599" t="s">
        <v>71</v>
      </c>
      <c r="E599">
        <f t="shared" si="137"/>
        <v>0</v>
      </c>
      <c r="F599" t="s">
        <v>57</v>
      </c>
      <c r="G599">
        <v>932</v>
      </c>
      <c r="H599" t="str">
        <f t="shared" si="138"/>
        <v>501-1000</v>
      </c>
      <c r="I599" t="s">
        <v>73</v>
      </c>
      <c r="J599">
        <v>1</v>
      </c>
      <c r="K599" t="str">
        <f t="shared" si="139"/>
        <v>1-5</v>
      </c>
      <c r="L599">
        <v>2</v>
      </c>
      <c r="M599" t="s">
        <v>59</v>
      </c>
      <c r="N599" t="s">
        <v>60</v>
      </c>
      <c r="O599">
        <v>1</v>
      </c>
      <c r="P599">
        <v>4</v>
      </c>
      <c r="Q599" t="s">
        <v>65</v>
      </c>
      <c r="R599" t="s">
        <v>62</v>
      </c>
      <c r="S599">
        <v>43</v>
      </c>
      <c r="T599" t="str">
        <f t="shared" si="140"/>
        <v>30-50</v>
      </c>
      <c r="U599">
        <v>2</v>
      </c>
      <c r="V599" t="s">
        <v>61</v>
      </c>
      <c r="W599">
        <v>2</v>
      </c>
      <c r="X599" t="s">
        <v>87</v>
      </c>
      <c r="Y599">
        <v>4</v>
      </c>
      <c r="Z599" t="s">
        <v>65</v>
      </c>
      <c r="AA599" t="s">
        <v>77</v>
      </c>
      <c r="AB599" s="4">
        <v>6062</v>
      </c>
      <c r="AC599" s="4" t="str">
        <f t="shared" si="141"/>
        <v>$5,500-$7,000</v>
      </c>
      <c r="AD599">
        <v>4051</v>
      </c>
      <c r="AE599" t="str">
        <f t="shared" si="142"/>
        <v>$2,094-$8,000</v>
      </c>
      <c r="AF599">
        <v>9</v>
      </c>
      <c r="AG599" t="str">
        <f t="shared" si="143"/>
        <v>7-9</v>
      </c>
      <c r="AH599" t="s">
        <v>67</v>
      </c>
      <c r="AI599" t="s">
        <v>56</v>
      </c>
      <c r="AJ599">
        <v>13</v>
      </c>
      <c r="AK599" t="str">
        <f t="shared" si="144"/>
        <v>13-15%</v>
      </c>
      <c r="AL599">
        <v>3</v>
      </c>
      <c r="AM599" t="s">
        <v>68</v>
      </c>
      <c r="AN599">
        <v>4</v>
      </c>
      <c r="AO599" t="s">
        <v>65</v>
      </c>
      <c r="AP599">
        <v>80</v>
      </c>
      <c r="AQ599">
        <v>1</v>
      </c>
      <c r="AR599">
        <v>8</v>
      </c>
      <c r="AS599" t="str">
        <f t="shared" si="145"/>
        <v>6-10</v>
      </c>
      <c r="AT599">
        <v>4</v>
      </c>
      <c r="AU599" t="str">
        <f t="shared" si="146"/>
        <v>3-4</v>
      </c>
      <c r="AV599">
        <v>3</v>
      </c>
      <c r="AW599" t="s">
        <v>79</v>
      </c>
      <c r="AX599">
        <v>4</v>
      </c>
      <c r="AY599" t="str">
        <f t="shared" si="135"/>
        <v>2-5</v>
      </c>
      <c r="AZ599">
        <v>3</v>
      </c>
      <c r="BA599" t="str">
        <f t="shared" si="147"/>
        <v>2-5</v>
      </c>
      <c r="BB599">
        <v>0</v>
      </c>
      <c r="BC599" t="str">
        <f t="shared" si="148"/>
        <v>0-1</v>
      </c>
      <c r="BD599">
        <v>2</v>
      </c>
      <c r="BE599" t="str">
        <f t="shared" si="149"/>
        <v>2-5</v>
      </c>
    </row>
    <row r="600" spans="1:57" x14ac:dyDescent="0.3">
      <c r="A600">
        <v>828</v>
      </c>
      <c r="B600">
        <v>28</v>
      </c>
      <c r="C600" t="str">
        <f t="shared" si="136"/>
        <v>26-35</v>
      </c>
      <c r="D600" t="s">
        <v>56</v>
      </c>
      <c r="E600">
        <f t="shared" si="137"/>
        <v>1</v>
      </c>
      <c r="F600" t="s">
        <v>57</v>
      </c>
      <c r="G600">
        <v>890</v>
      </c>
      <c r="H600" t="str">
        <f t="shared" si="138"/>
        <v>501-1000</v>
      </c>
      <c r="I600" t="s">
        <v>73</v>
      </c>
      <c r="J600">
        <v>2</v>
      </c>
      <c r="K600" t="str">
        <f t="shared" si="139"/>
        <v>1-5</v>
      </c>
      <c r="L600">
        <v>4</v>
      </c>
      <c r="M600" t="s">
        <v>82</v>
      </c>
      <c r="N600" t="s">
        <v>83</v>
      </c>
      <c r="O600">
        <v>1</v>
      </c>
      <c r="P600">
        <v>3</v>
      </c>
      <c r="Q600" t="s">
        <v>63</v>
      </c>
      <c r="R600" t="s">
        <v>75</v>
      </c>
      <c r="S600">
        <v>46</v>
      </c>
      <c r="T600" t="str">
        <f t="shared" si="140"/>
        <v>30-50</v>
      </c>
      <c r="U600">
        <v>3</v>
      </c>
      <c r="V600" t="s">
        <v>63</v>
      </c>
      <c r="W600">
        <v>1</v>
      </c>
      <c r="X600" t="s">
        <v>76</v>
      </c>
      <c r="Y600">
        <v>3</v>
      </c>
      <c r="Z600" t="s">
        <v>63</v>
      </c>
      <c r="AA600" t="s">
        <v>66</v>
      </c>
      <c r="AB600" s="4">
        <v>4382</v>
      </c>
      <c r="AC600" s="4" t="str">
        <f t="shared" si="141"/>
        <v>$4,000-$5,500</v>
      </c>
      <c r="AD600">
        <v>16374</v>
      </c>
      <c r="AE600" t="str">
        <f t="shared" si="142"/>
        <v>$16,001-$22,000</v>
      </c>
      <c r="AF600">
        <v>6</v>
      </c>
      <c r="AG600" t="str">
        <f t="shared" si="143"/>
        <v>4-6</v>
      </c>
      <c r="AH600" t="s">
        <v>67</v>
      </c>
      <c r="AI600" t="s">
        <v>71</v>
      </c>
      <c r="AJ600">
        <v>17</v>
      </c>
      <c r="AK600" t="str">
        <f t="shared" si="144"/>
        <v>16-17%</v>
      </c>
      <c r="AL600">
        <v>3</v>
      </c>
      <c r="AM600" t="s">
        <v>68</v>
      </c>
      <c r="AN600">
        <v>4</v>
      </c>
      <c r="AO600" t="s">
        <v>65</v>
      </c>
      <c r="AP600">
        <v>80</v>
      </c>
      <c r="AQ600">
        <v>0</v>
      </c>
      <c r="AR600">
        <v>5</v>
      </c>
      <c r="AS600" t="str">
        <f t="shared" si="145"/>
        <v>3-5</v>
      </c>
      <c r="AT600">
        <v>3</v>
      </c>
      <c r="AU600" t="str">
        <f t="shared" si="146"/>
        <v>3-4</v>
      </c>
      <c r="AV600">
        <v>2</v>
      </c>
      <c r="AW600" t="s">
        <v>84</v>
      </c>
      <c r="AX600">
        <v>2</v>
      </c>
      <c r="AY600" t="str">
        <f t="shared" si="135"/>
        <v>2-5</v>
      </c>
      <c r="AZ600">
        <v>2</v>
      </c>
      <c r="BA600" t="str">
        <f t="shared" si="147"/>
        <v>2-5</v>
      </c>
      <c r="BB600">
        <v>2</v>
      </c>
      <c r="BC600" t="str">
        <f t="shared" si="148"/>
        <v>2-5</v>
      </c>
      <c r="BD600">
        <v>1</v>
      </c>
      <c r="BE600" t="str">
        <f t="shared" si="149"/>
        <v>0-1</v>
      </c>
    </row>
    <row r="601" spans="1:57" x14ac:dyDescent="0.3">
      <c r="A601">
        <v>829</v>
      </c>
      <c r="B601">
        <v>36</v>
      </c>
      <c r="C601" t="str">
        <f t="shared" si="136"/>
        <v>36-45</v>
      </c>
      <c r="D601" t="s">
        <v>71</v>
      </c>
      <c r="E601">
        <f t="shared" si="137"/>
        <v>0</v>
      </c>
      <c r="F601" t="s">
        <v>57</v>
      </c>
      <c r="G601">
        <v>1041</v>
      </c>
      <c r="H601" t="str">
        <f t="shared" si="138"/>
        <v>1001-1499</v>
      </c>
      <c r="I601" t="s">
        <v>97</v>
      </c>
      <c r="J601">
        <v>13</v>
      </c>
      <c r="K601" t="str">
        <f t="shared" si="139"/>
        <v>11-20</v>
      </c>
      <c r="L601">
        <v>3</v>
      </c>
      <c r="M601" t="s">
        <v>85</v>
      </c>
      <c r="N601" t="s">
        <v>97</v>
      </c>
      <c r="O601">
        <v>1</v>
      </c>
      <c r="P601">
        <v>3</v>
      </c>
      <c r="Q601" t="s">
        <v>63</v>
      </c>
      <c r="R601" t="s">
        <v>75</v>
      </c>
      <c r="S601">
        <v>36</v>
      </c>
      <c r="T601" t="str">
        <f t="shared" si="140"/>
        <v>30-50</v>
      </c>
      <c r="U601">
        <v>3</v>
      </c>
      <c r="V601" t="s">
        <v>63</v>
      </c>
      <c r="W601">
        <v>1</v>
      </c>
      <c r="X601" t="s">
        <v>97</v>
      </c>
      <c r="Y601">
        <v>2</v>
      </c>
      <c r="Z601" t="s">
        <v>61</v>
      </c>
      <c r="AA601" t="s">
        <v>77</v>
      </c>
      <c r="AB601" s="4">
        <v>2143</v>
      </c>
      <c r="AC601" s="4" t="str">
        <f t="shared" si="141"/>
        <v>$1,000-$2,500</v>
      </c>
      <c r="AD601">
        <v>25527</v>
      </c>
      <c r="AE601" t="str">
        <f t="shared" si="142"/>
        <v>$22,001-$26,999</v>
      </c>
      <c r="AF601">
        <v>4</v>
      </c>
      <c r="AG601" t="str">
        <f t="shared" si="143"/>
        <v>4-6</v>
      </c>
      <c r="AH601" t="s">
        <v>67</v>
      </c>
      <c r="AI601" t="s">
        <v>71</v>
      </c>
      <c r="AJ601">
        <v>13</v>
      </c>
      <c r="AK601" t="str">
        <f t="shared" si="144"/>
        <v>13-15%</v>
      </c>
      <c r="AL601">
        <v>3</v>
      </c>
      <c r="AM601" t="s">
        <v>68</v>
      </c>
      <c r="AN601">
        <v>2</v>
      </c>
      <c r="AO601" t="s">
        <v>61</v>
      </c>
      <c r="AP601">
        <v>80</v>
      </c>
      <c r="AQ601">
        <v>1</v>
      </c>
      <c r="AR601">
        <v>8</v>
      </c>
      <c r="AS601" t="str">
        <f t="shared" si="145"/>
        <v>6-10</v>
      </c>
      <c r="AT601">
        <v>2</v>
      </c>
      <c r="AU601" t="str">
        <f t="shared" si="146"/>
        <v>0-2</v>
      </c>
      <c r="AV601">
        <v>3</v>
      </c>
      <c r="AW601" t="s">
        <v>79</v>
      </c>
      <c r="AX601">
        <v>5</v>
      </c>
      <c r="AY601" t="str">
        <f t="shared" si="135"/>
        <v>2-5</v>
      </c>
      <c r="AZ601">
        <v>2</v>
      </c>
      <c r="BA601" t="str">
        <f t="shared" si="147"/>
        <v>2-5</v>
      </c>
      <c r="BB601">
        <v>0</v>
      </c>
      <c r="BC601" t="str">
        <f t="shared" si="148"/>
        <v>0-1</v>
      </c>
      <c r="BD601">
        <v>4</v>
      </c>
      <c r="BE601" t="str">
        <f t="shared" si="149"/>
        <v>2-5</v>
      </c>
    </row>
    <row r="602" spans="1:57" x14ac:dyDescent="0.3">
      <c r="A602">
        <v>830</v>
      </c>
      <c r="B602">
        <v>32</v>
      </c>
      <c r="C602" t="str">
        <f t="shared" si="136"/>
        <v>26-35</v>
      </c>
      <c r="D602" t="s">
        <v>71</v>
      </c>
      <c r="E602">
        <f t="shared" si="137"/>
        <v>0</v>
      </c>
      <c r="F602" t="s">
        <v>57</v>
      </c>
      <c r="G602">
        <v>859</v>
      </c>
      <c r="H602" t="str">
        <f t="shared" si="138"/>
        <v>501-1000</v>
      </c>
      <c r="I602" t="s">
        <v>73</v>
      </c>
      <c r="J602">
        <v>4</v>
      </c>
      <c r="K602" t="str">
        <f t="shared" si="139"/>
        <v>1-5</v>
      </c>
      <c r="L602">
        <v>3</v>
      </c>
      <c r="M602" t="s">
        <v>85</v>
      </c>
      <c r="N602" t="s">
        <v>60</v>
      </c>
      <c r="O602">
        <v>1</v>
      </c>
      <c r="P602">
        <v>3</v>
      </c>
      <c r="Q602" t="s">
        <v>63</v>
      </c>
      <c r="R602" t="s">
        <v>62</v>
      </c>
      <c r="S602">
        <v>98</v>
      </c>
      <c r="T602" t="str">
        <f t="shared" si="140"/>
        <v>76-100</v>
      </c>
      <c r="U602">
        <v>2</v>
      </c>
      <c r="V602" t="s">
        <v>61</v>
      </c>
      <c r="W602">
        <v>2</v>
      </c>
      <c r="X602" t="s">
        <v>87</v>
      </c>
      <c r="Y602">
        <v>3</v>
      </c>
      <c r="Z602" t="s">
        <v>63</v>
      </c>
      <c r="AA602" t="s">
        <v>77</v>
      </c>
      <c r="AB602" s="4">
        <v>6162</v>
      </c>
      <c r="AC602" s="4" t="str">
        <f t="shared" si="141"/>
        <v>$5,500-$7,000</v>
      </c>
      <c r="AD602">
        <v>19124</v>
      </c>
      <c r="AE602" t="str">
        <f t="shared" si="142"/>
        <v>$16,001-$22,000</v>
      </c>
      <c r="AF602">
        <v>1</v>
      </c>
      <c r="AG602" t="str">
        <f t="shared" si="143"/>
        <v>0-1</v>
      </c>
      <c r="AH602" t="s">
        <v>67</v>
      </c>
      <c r="AI602" t="s">
        <v>71</v>
      </c>
      <c r="AJ602">
        <v>12</v>
      </c>
      <c r="AK602" t="str">
        <f t="shared" si="144"/>
        <v>11-12%</v>
      </c>
      <c r="AL602">
        <v>3</v>
      </c>
      <c r="AM602" t="s">
        <v>68</v>
      </c>
      <c r="AN602">
        <v>3</v>
      </c>
      <c r="AO602" t="s">
        <v>63</v>
      </c>
      <c r="AP602">
        <v>80</v>
      </c>
      <c r="AQ602">
        <v>1</v>
      </c>
      <c r="AR602">
        <v>14</v>
      </c>
      <c r="AS602" t="str">
        <f t="shared" si="145"/>
        <v>11-20</v>
      </c>
      <c r="AT602">
        <v>3</v>
      </c>
      <c r="AU602" t="str">
        <f t="shared" si="146"/>
        <v>3-4</v>
      </c>
      <c r="AV602">
        <v>3</v>
      </c>
      <c r="AW602" t="s">
        <v>79</v>
      </c>
      <c r="AX602">
        <v>14</v>
      </c>
      <c r="AY602" t="str">
        <f t="shared" si="135"/>
        <v>11-20</v>
      </c>
      <c r="AZ602">
        <v>13</v>
      </c>
      <c r="BA602" t="str">
        <f t="shared" si="147"/>
        <v>11-18</v>
      </c>
      <c r="BB602">
        <v>6</v>
      </c>
      <c r="BC602" t="str">
        <f t="shared" si="148"/>
        <v>6-10</v>
      </c>
      <c r="BD602">
        <v>8</v>
      </c>
      <c r="BE602" t="str">
        <f t="shared" si="149"/>
        <v>6-10</v>
      </c>
    </row>
    <row r="603" spans="1:57" x14ac:dyDescent="0.3">
      <c r="A603">
        <v>832</v>
      </c>
      <c r="B603">
        <v>40</v>
      </c>
      <c r="C603" t="str">
        <f t="shared" si="136"/>
        <v>36-45</v>
      </c>
      <c r="D603" t="s">
        <v>71</v>
      </c>
      <c r="E603">
        <f t="shared" si="137"/>
        <v>0</v>
      </c>
      <c r="F603" t="s">
        <v>72</v>
      </c>
      <c r="G603">
        <v>720</v>
      </c>
      <c r="H603" t="str">
        <f t="shared" si="138"/>
        <v>501-1000</v>
      </c>
      <c r="I603" t="s">
        <v>73</v>
      </c>
      <c r="J603">
        <v>16</v>
      </c>
      <c r="K603" t="str">
        <f t="shared" si="139"/>
        <v>11-20</v>
      </c>
      <c r="L603">
        <v>4</v>
      </c>
      <c r="M603" t="s">
        <v>82</v>
      </c>
      <c r="N603" t="s">
        <v>83</v>
      </c>
      <c r="O603">
        <v>1</v>
      </c>
      <c r="P603">
        <v>1</v>
      </c>
      <c r="Q603" t="s">
        <v>69</v>
      </c>
      <c r="R603" t="s">
        <v>75</v>
      </c>
      <c r="S603">
        <v>51</v>
      </c>
      <c r="T603" t="str">
        <f t="shared" si="140"/>
        <v>51-75</v>
      </c>
      <c r="U603">
        <v>2</v>
      </c>
      <c r="V603" t="s">
        <v>61</v>
      </c>
      <c r="W603">
        <v>2</v>
      </c>
      <c r="X603" t="s">
        <v>81</v>
      </c>
      <c r="Y603">
        <v>3</v>
      </c>
      <c r="Z603" t="s">
        <v>63</v>
      </c>
      <c r="AA603" t="s">
        <v>66</v>
      </c>
      <c r="AB603" s="4">
        <v>5094</v>
      </c>
      <c r="AC603" s="4" t="str">
        <f t="shared" si="141"/>
        <v>$4,000-$5,500</v>
      </c>
      <c r="AD603">
        <v>11983</v>
      </c>
      <c r="AE603" t="str">
        <f t="shared" si="142"/>
        <v>$8,001-$16,000</v>
      </c>
      <c r="AF603">
        <v>6</v>
      </c>
      <c r="AG603" t="str">
        <f t="shared" si="143"/>
        <v>4-6</v>
      </c>
      <c r="AH603" t="s">
        <v>67</v>
      </c>
      <c r="AI603" t="s">
        <v>71</v>
      </c>
      <c r="AJ603">
        <v>14</v>
      </c>
      <c r="AK603" t="str">
        <f t="shared" si="144"/>
        <v>13-15%</v>
      </c>
      <c r="AL603">
        <v>3</v>
      </c>
      <c r="AM603" t="s">
        <v>68</v>
      </c>
      <c r="AN603">
        <v>4</v>
      </c>
      <c r="AO603" t="s">
        <v>65</v>
      </c>
      <c r="AP603">
        <v>80</v>
      </c>
      <c r="AQ603">
        <v>0</v>
      </c>
      <c r="AR603">
        <v>10</v>
      </c>
      <c r="AS603" t="str">
        <f t="shared" si="145"/>
        <v>6-10</v>
      </c>
      <c r="AT603">
        <v>6</v>
      </c>
      <c r="AU603" t="str">
        <f t="shared" si="146"/>
        <v>5-6</v>
      </c>
      <c r="AV603">
        <v>3</v>
      </c>
      <c r="AW603" t="s">
        <v>79</v>
      </c>
      <c r="AX603">
        <v>1</v>
      </c>
      <c r="AY603" t="str">
        <f t="shared" si="135"/>
        <v>0-1</v>
      </c>
      <c r="AZ603">
        <v>0</v>
      </c>
      <c r="BA603" t="str">
        <f t="shared" si="147"/>
        <v>0-1</v>
      </c>
      <c r="BB603">
        <v>0</v>
      </c>
      <c r="BC603" t="str">
        <f t="shared" si="148"/>
        <v>0-1</v>
      </c>
      <c r="BD603">
        <v>0</v>
      </c>
      <c r="BE603" t="str">
        <f t="shared" si="149"/>
        <v>0-1</v>
      </c>
    </row>
    <row r="604" spans="1:57" x14ac:dyDescent="0.3">
      <c r="A604">
        <v>833</v>
      </c>
      <c r="B604">
        <v>30</v>
      </c>
      <c r="C604" t="str">
        <f t="shared" si="136"/>
        <v>26-35</v>
      </c>
      <c r="D604" t="s">
        <v>71</v>
      </c>
      <c r="E604">
        <f t="shared" si="137"/>
        <v>0</v>
      </c>
      <c r="F604" t="s">
        <v>57</v>
      </c>
      <c r="G604">
        <v>946</v>
      </c>
      <c r="H604" t="str">
        <f t="shared" si="138"/>
        <v>501-1000</v>
      </c>
      <c r="I604" t="s">
        <v>73</v>
      </c>
      <c r="J604">
        <v>2</v>
      </c>
      <c r="K604" t="str">
        <f t="shared" si="139"/>
        <v>1-5</v>
      </c>
      <c r="L604">
        <v>3</v>
      </c>
      <c r="M604" t="s">
        <v>85</v>
      </c>
      <c r="N604" t="s">
        <v>83</v>
      </c>
      <c r="O604">
        <v>1</v>
      </c>
      <c r="P604">
        <v>3</v>
      </c>
      <c r="Q604" t="s">
        <v>63</v>
      </c>
      <c r="R604" t="s">
        <v>62</v>
      </c>
      <c r="S604">
        <v>52</v>
      </c>
      <c r="T604" t="str">
        <f t="shared" si="140"/>
        <v>51-75</v>
      </c>
      <c r="U604">
        <v>2</v>
      </c>
      <c r="V604" t="s">
        <v>61</v>
      </c>
      <c r="W604">
        <v>2</v>
      </c>
      <c r="X604" t="s">
        <v>87</v>
      </c>
      <c r="Y604">
        <v>4</v>
      </c>
      <c r="Z604" t="s">
        <v>65</v>
      </c>
      <c r="AA604" t="s">
        <v>66</v>
      </c>
      <c r="AB604" s="4">
        <v>6877</v>
      </c>
      <c r="AC604" s="4" t="str">
        <f t="shared" si="141"/>
        <v>$5,500-$7,000</v>
      </c>
      <c r="AD604">
        <v>20234</v>
      </c>
      <c r="AE604" t="str">
        <f t="shared" si="142"/>
        <v>$16,001-$22,000</v>
      </c>
      <c r="AF604">
        <v>5</v>
      </c>
      <c r="AG604" t="str">
        <f t="shared" si="143"/>
        <v>4-6</v>
      </c>
      <c r="AH604" t="s">
        <v>67</v>
      </c>
      <c r="AI604" t="s">
        <v>56</v>
      </c>
      <c r="AJ604">
        <v>24</v>
      </c>
      <c r="AK604" t="str">
        <f t="shared" si="144"/>
        <v>18-19%</v>
      </c>
      <c r="AL604">
        <v>4</v>
      </c>
      <c r="AM604" t="s">
        <v>78</v>
      </c>
      <c r="AN604">
        <v>2</v>
      </c>
      <c r="AO604" t="s">
        <v>61</v>
      </c>
      <c r="AP604">
        <v>80</v>
      </c>
      <c r="AQ604">
        <v>0</v>
      </c>
      <c r="AR604">
        <v>12</v>
      </c>
      <c r="AS604" t="str">
        <f t="shared" si="145"/>
        <v>11-20</v>
      </c>
      <c r="AT604">
        <v>4</v>
      </c>
      <c r="AU604" t="str">
        <f t="shared" si="146"/>
        <v>3-4</v>
      </c>
      <c r="AV604">
        <v>2</v>
      </c>
      <c r="AW604" t="s">
        <v>84</v>
      </c>
      <c r="AX604">
        <v>0</v>
      </c>
      <c r="AY604" t="str">
        <f t="shared" si="135"/>
        <v>0-1</v>
      </c>
      <c r="AZ604">
        <v>0</v>
      </c>
      <c r="BA604" t="str">
        <f t="shared" si="147"/>
        <v>0-1</v>
      </c>
      <c r="BB604">
        <v>0</v>
      </c>
      <c r="BC604" t="str">
        <f t="shared" si="148"/>
        <v>0-1</v>
      </c>
      <c r="BD604">
        <v>0</v>
      </c>
      <c r="BE604" t="str">
        <f t="shared" si="149"/>
        <v>0-1</v>
      </c>
    </row>
    <row r="605" spans="1:57" x14ac:dyDescent="0.3">
      <c r="A605">
        <v>834</v>
      </c>
      <c r="B605">
        <v>45</v>
      </c>
      <c r="C605" t="str">
        <f t="shared" si="136"/>
        <v>36-45</v>
      </c>
      <c r="D605" t="s">
        <v>71</v>
      </c>
      <c r="E605">
        <f t="shared" si="137"/>
        <v>0</v>
      </c>
      <c r="F605" t="s">
        <v>57</v>
      </c>
      <c r="G605">
        <v>252</v>
      </c>
      <c r="H605" t="str">
        <f t="shared" si="138"/>
        <v>102-500</v>
      </c>
      <c r="I605" t="s">
        <v>73</v>
      </c>
      <c r="J605">
        <v>2</v>
      </c>
      <c r="K605" t="str">
        <f t="shared" si="139"/>
        <v>1-5</v>
      </c>
      <c r="L605">
        <v>3</v>
      </c>
      <c r="M605" t="s">
        <v>85</v>
      </c>
      <c r="N605" t="s">
        <v>60</v>
      </c>
      <c r="O605">
        <v>1</v>
      </c>
      <c r="P605">
        <v>2</v>
      </c>
      <c r="Q605" t="s">
        <v>61</v>
      </c>
      <c r="R605" t="s">
        <v>62</v>
      </c>
      <c r="S605">
        <v>95</v>
      </c>
      <c r="T605" t="str">
        <f t="shared" si="140"/>
        <v>76-100</v>
      </c>
      <c r="U605">
        <v>2</v>
      </c>
      <c r="V605" t="s">
        <v>61</v>
      </c>
      <c r="W605">
        <v>1</v>
      </c>
      <c r="X605" t="s">
        <v>76</v>
      </c>
      <c r="Y605">
        <v>3</v>
      </c>
      <c r="Z605" t="s">
        <v>63</v>
      </c>
      <c r="AA605" t="s">
        <v>66</v>
      </c>
      <c r="AB605" s="4">
        <v>2274</v>
      </c>
      <c r="AC605" s="4" t="str">
        <f t="shared" si="141"/>
        <v>$1,000-$2,500</v>
      </c>
      <c r="AD605">
        <v>6153</v>
      </c>
      <c r="AE605" t="str">
        <f t="shared" si="142"/>
        <v>$2,094-$8,000</v>
      </c>
      <c r="AF605">
        <v>1</v>
      </c>
      <c r="AG605" t="str">
        <f t="shared" si="143"/>
        <v>0-1</v>
      </c>
      <c r="AH605" t="s">
        <v>67</v>
      </c>
      <c r="AI605" t="s">
        <v>71</v>
      </c>
      <c r="AJ605">
        <v>14</v>
      </c>
      <c r="AK605" t="str">
        <f t="shared" si="144"/>
        <v>13-15%</v>
      </c>
      <c r="AL605">
        <v>3</v>
      </c>
      <c r="AM605" t="s">
        <v>68</v>
      </c>
      <c r="AN605">
        <v>4</v>
      </c>
      <c r="AO605" t="s">
        <v>65</v>
      </c>
      <c r="AP605">
        <v>80</v>
      </c>
      <c r="AQ605">
        <v>0</v>
      </c>
      <c r="AR605">
        <v>1</v>
      </c>
      <c r="AS605" t="str">
        <f t="shared" si="145"/>
        <v>0-2</v>
      </c>
      <c r="AT605">
        <v>3</v>
      </c>
      <c r="AU605" t="str">
        <f t="shared" si="146"/>
        <v>3-4</v>
      </c>
      <c r="AV605">
        <v>3</v>
      </c>
      <c r="AW605" t="s">
        <v>79</v>
      </c>
      <c r="AX605">
        <v>1</v>
      </c>
      <c r="AY605" t="str">
        <f t="shared" si="135"/>
        <v>0-1</v>
      </c>
      <c r="AZ605">
        <v>0</v>
      </c>
      <c r="BA605" t="str">
        <f t="shared" si="147"/>
        <v>0-1</v>
      </c>
      <c r="BB605">
        <v>0</v>
      </c>
      <c r="BC605" t="str">
        <f t="shared" si="148"/>
        <v>0-1</v>
      </c>
      <c r="BD605">
        <v>0</v>
      </c>
      <c r="BE605" t="str">
        <f t="shared" si="149"/>
        <v>0-1</v>
      </c>
    </row>
    <row r="606" spans="1:57" x14ac:dyDescent="0.3">
      <c r="A606">
        <v>836</v>
      </c>
      <c r="B606">
        <v>42</v>
      </c>
      <c r="C606" t="str">
        <f t="shared" si="136"/>
        <v>36-45</v>
      </c>
      <c r="D606" t="s">
        <v>71</v>
      </c>
      <c r="E606">
        <f t="shared" si="137"/>
        <v>0</v>
      </c>
      <c r="F606" t="s">
        <v>57</v>
      </c>
      <c r="G606">
        <v>933</v>
      </c>
      <c r="H606" t="str">
        <f t="shared" si="138"/>
        <v>501-1000</v>
      </c>
      <c r="I606" t="s">
        <v>73</v>
      </c>
      <c r="J606">
        <v>29</v>
      </c>
      <c r="K606" t="str">
        <f t="shared" si="139"/>
        <v>21-29</v>
      </c>
      <c r="L606">
        <v>3</v>
      </c>
      <c r="M606" t="s">
        <v>85</v>
      </c>
      <c r="N606" t="s">
        <v>60</v>
      </c>
      <c r="O606">
        <v>1</v>
      </c>
      <c r="P606">
        <v>2</v>
      </c>
      <c r="Q606" t="s">
        <v>61</v>
      </c>
      <c r="R606" t="s">
        <v>75</v>
      </c>
      <c r="S606">
        <v>98</v>
      </c>
      <c r="T606" t="str">
        <f t="shared" si="140"/>
        <v>76-100</v>
      </c>
      <c r="U606">
        <v>3</v>
      </c>
      <c r="V606" t="s">
        <v>63</v>
      </c>
      <c r="W606">
        <v>2</v>
      </c>
      <c r="X606" t="s">
        <v>87</v>
      </c>
      <c r="Y606">
        <v>2</v>
      </c>
      <c r="Z606" t="s">
        <v>61</v>
      </c>
      <c r="AA606" t="s">
        <v>77</v>
      </c>
      <c r="AB606" s="4">
        <v>4434</v>
      </c>
      <c r="AC606" s="4" t="str">
        <f t="shared" si="141"/>
        <v>$4,000-$5,500</v>
      </c>
      <c r="AD606">
        <v>11806</v>
      </c>
      <c r="AE606" t="str">
        <f t="shared" si="142"/>
        <v>$8,001-$16,000</v>
      </c>
      <c r="AF606">
        <v>1</v>
      </c>
      <c r="AG606" t="str">
        <f t="shared" si="143"/>
        <v>0-1</v>
      </c>
      <c r="AH606" t="s">
        <v>67</v>
      </c>
      <c r="AI606" t="s">
        <v>71</v>
      </c>
      <c r="AJ606">
        <v>13</v>
      </c>
      <c r="AK606" t="str">
        <f t="shared" si="144"/>
        <v>13-15%</v>
      </c>
      <c r="AL606">
        <v>3</v>
      </c>
      <c r="AM606" t="s">
        <v>68</v>
      </c>
      <c r="AN606">
        <v>4</v>
      </c>
      <c r="AO606" t="s">
        <v>65</v>
      </c>
      <c r="AP606">
        <v>80</v>
      </c>
      <c r="AQ606">
        <v>1</v>
      </c>
      <c r="AR606">
        <v>10</v>
      </c>
      <c r="AS606" t="str">
        <f t="shared" si="145"/>
        <v>6-10</v>
      </c>
      <c r="AT606">
        <v>3</v>
      </c>
      <c r="AU606" t="str">
        <f t="shared" si="146"/>
        <v>3-4</v>
      </c>
      <c r="AV606">
        <v>2</v>
      </c>
      <c r="AW606" t="s">
        <v>84</v>
      </c>
      <c r="AX606">
        <v>9</v>
      </c>
      <c r="AY606" t="str">
        <f t="shared" si="135"/>
        <v>6-10</v>
      </c>
      <c r="AZ606">
        <v>8</v>
      </c>
      <c r="BA606" t="str">
        <f t="shared" si="147"/>
        <v>6-10</v>
      </c>
      <c r="BB606">
        <v>7</v>
      </c>
      <c r="BC606" t="str">
        <f t="shared" si="148"/>
        <v>6-10</v>
      </c>
      <c r="BD606">
        <v>8</v>
      </c>
      <c r="BE606" t="str">
        <f t="shared" si="149"/>
        <v>6-10</v>
      </c>
    </row>
    <row r="607" spans="1:57" x14ac:dyDescent="0.3">
      <c r="A607">
        <v>837</v>
      </c>
      <c r="B607">
        <v>38</v>
      </c>
      <c r="C607" t="str">
        <f t="shared" si="136"/>
        <v>36-45</v>
      </c>
      <c r="D607" t="s">
        <v>71</v>
      </c>
      <c r="E607">
        <f t="shared" si="137"/>
        <v>0</v>
      </c>
      <c r="F607" t="s">
        <v>72</v>
      </c>
      <c r="G607">
        <v>471</v>
      </c>
      <c r="H607" t="str">
        <f t="shared" si="138"/>
        <v>102-500</v>
      </c>
      <c r="I607" t="s">
        <v>73</v>
      </c>
      <c r="J607">
        <v>12</v>
      </c>
      <c r="K607" t="str">
        <f t="shared" si="139"/>
        <v>11-20</v>
      </c>
      <c r="L607">
        <v>3</v>
      </c>
      <c r="M607" t="s">
        <v>85</v>
      </c>
      <c r="N607" t="s">
        <v>60</v>
      </c>
      <c r="O607">
        <v>1</v>
      </c>
      <c r="P607">
        <v>1</v>
      </c>
      <c r="Q607" t="s">
        <v>69</v>
      </c>
      <c r="R607" t="s">
        <v>75</v>
      </c>
      <c r="S607">
        <v>45</v>
      </c>
      <c r="T607" t="str">
        <f t="shared" si="140"/>
        <v>30-50</v>
      </c>
      <c r="U607">
        <v>2</v>
      </c>
      <c r="V607" t="s">
        <v>61</v>
      </c>
      <c r="W607">
        <v>2</v>
      </c>
      <c r="X607" t="s">
        <v>88</v>
      </c>
      <c r="Y607">
        <v>1</v>
      </c>
      <c r="Z607" t="s">
        <v>69</v>
      </c>
      <c r="AA607" t="s">
        <v>86</v>
      </c>
      <c r="AB607" s="4">
        <v>6288</v>
      </c>
      <c r="AC607" s="4" t="str">
        <f t="shared" si="141"/>
        <v>$5,500-$7,000</v>
      </c>
      <c r="AD607">
        <v>4284</v>
      </c>
      <c r="AE607" t="str">
        <f t="shared" si="142"/>
        <v>$2,094-$8,000</v>
      </c>
      <c r="AF607">
        <v>2</v>
      </c>
      <c r="AG607" t="str">
        <f t="shared" si="143"/>
        <v>2-3</v>
      </c>
      <c r="AH607" t="s">
        <v>67</v>
      </c>
      <c r="AI607" t="s">
        <v>71</v>
      </c>
      <c r="AJ607">
        <v>15</v>
      </c>
      <c r="AK607" t="str">
        <f t="shared" si="144"/>
        <v>13-15%</v>
      </c>
      <c r="AL607">
        <v>3</v>
      </c>
      <c r="AM607" t="s">
        <v>68</v>
      </c>
      <c r="AN607">
        <v>3</v>
      </c>
      <c r="AO607" t="s">
        <v>63</v>
      </c>
      <c r="AP607">
        <v>80</v>
      </c>
      <c r="AQ607">
        <v>1</v>
      </c>
      <c r="AR607">
        <v>13</v>
      </c>
      <c r="AS607" t="str">
        <f t="shared" si="145"/>
        <v>11-20</v>
      </c>
      <c r="AT607">
        <v>3</v>
      </c>
      <c r="AU607" t="str">
        <f t="shared" si="146"/>
        <v>3-4</v>
      </c>
      <c r="AV607">
        <v>2</v>
      </c>
      <c r="AW607" t="s">
        <v>84</v>
      </c>
      <c r="AX607">
        <v>4</v>
      </c>
      <c r="AY607" t="str">
        <f t="shared" si="135"/>
        <v>2-5</v>
      </c>
      <c r="AZ607">
        <v>3</v>
      </c>
      <c r="BA607" t="str">
        <f t="shared" si="147"/>
        <v>2-5</v>
      </c>
      <c r="BB607">
        <v>1</v>
      </c>
      <c r="BC607" t="str">
        <f t="shared" si="148"/>
        <v>0-1</v>
      </c>
      <c r="BD607">
        <v>2</v>
      </c>
      <c r="BE607" t="str">
        <f t="shared" si="149"/>
        <v>2-5</v>
      </c>
    </row>
    <row r="608" spans="1:57" x14ac:dyDescent="0.3">
      <c r="A608">
        <v>838</v>
      </c>
      <c r="B608">
        <v>34</v>
      </c>
      <c r="C608" t="str">
        <f t="shared" si="136"/>
        <v>26-35</v>
      </c>
      <c r="D608" t="s">
        <v>71</v>
      </c>
      <c r="E608">
        <f t="shared" si="137"/>
        <v>0</v>
      </c>
      <c r="F608" t="s">
        <v>72</v>
      </c>
      <c r="G608">
        <v>702</v>
      </c>
      <c r="H608" t="str">
        <f t="shared" si="138"/>
        <v>501-1000</v>
      </c>
      <c r="I608" t="s">
        <v>73</v>
      </c>
      <c r="J608">
        <v>16</v>
      </c>
      <c r="K608" t="str">
        <f t="shared" si="139"/>
        <v>11-20</v>
      </c>
      <c r="L608">
        <v>4</v>
      </c>
      <c r="M608" t="s">
        <v>82</v>
      </c>
      <c r="N608" t="s">
        <v>60</v>
      </c>
      <c r="O608">
        <v>1</v>
      </c>
      <c r="P608">
        <v>3</v>
      </c>
      <c r="Q608" t="s">
        <v>63</v>
      </c>
      <c r="R608" t="s">
        <v>62</v>
      </c>
      <c r="S608">
        <v>100</v>
      </c>
      <c r="T608" t="str">
        <f t="shared" si="140"/>
        <v>76-100</v>
      </c>
      <c r="U608">
        <v>2</v>
      </c>
      <c r="V608" t="s">
        <v>61</v>
      </c>
      <c r="W608">
        <v>1</v>
      </c>
      <c r="X608" t="s">
        <v>76</v>
      </c>
      <c r="Y608">
        <v>4</v>
      </c>
      <c r="Z608" t="s">
        <v>65</v>
      </c>
      <c r="AA608" t="s">
        <v>66</v>
      </c>
      <c r="AB608" s="4">
        <v>2553</v>
      </c>
      <c r="AC608" s="4" t="str">
        <f t="shared" si="141"/>
        <v>$2,500-$4,000</v>
      </c>
      <c r="AD608">
        <v>8306</v>
      </c>
      <c r="AE608" t="str">
        <f t="shared" si="142"/>
        <v>$8,001-$16,000</v>
      </c>
      <c r="AF608">
        <v>1</v>
      </c>
      <c r="AG608" t="str">
        <f t="shared" si="143"/>
        <v>0-1</v>
      </c>
      <c r="AH608" t="s">
        <v>67</v>
      </c>
      <c r="AI608" t="s">
        <v>71</v>
      </c>
      <c r="AJ608">
        <v>16</v>
      </c>
      <c r="AK608" t="str">
        <f t="shared" si="144"/>
        <v>16-17%</v>
      </c>
      <c r="AL608">
        <v>3</v>
      </c>
      <c r="AM608" t="s">
        <v>68</v>
      </c>
      <c r="AN608">
        <v>3</v>
      </c>
      <c r="AO608" t="s">
        <v>63</v>
      </c>
      <c r="AP608">
        <v>80</v>
      </c>
      <c r="AQ608">
        <v>0</v>
      </c>
      <c r="AR608">
        <v>6</v>
      </c>
      <c r="AS608" t="str">
        <f t="shared" si="145"/>
        <v>6-10</v>
      </c>
      <c r="AT608">
        <v>3</v>
      </c>
      <c r="AU608" t="str">
        <f t="shared" si="146"/>
        <v>3-4</v>
      </c>
      <c r="AV608">
        <v>3</v>
      </c>
      <c r="AW608" t="s">
        <v>79</v>
      </c>
      <c r="AX608">
        <v>5</v>
      </c>
      <c r="AY608" t="str">
        <f t="shared" si="135"/>
        <v>2-5</v>
      </c>
      <c r="AZ608">
        <v>2</v>
      </c>
      <c r="BA608" t="str">
        <f t="shared" si="147"/>
        <v>2-5</v>
      </c>
      <c r="BB608">
        <v>1</v>
      </c>
      <c r="BC608" t="str">
        <f t="shared" si="148"/>
        <v>0-1</v>
      </c>
      <c r="BD608">
        <v>3</v>
      </c>
      <c r="BE608" t="str">
        <f t="shared" si="149"/>
        <v>2-5</v>
      </c>
    </row>
    <row r="609" spans="1:57" x14ac:dyDescent="0.3">
      <c r="A609">
        <v>840</v>
      </c>
      <c r="B609">
        <v>49</v>
      </c>
      <c r="C609" t="str">
        <f t="shared" si="136"/>
        <v>46-55</v>
      </c>
      <c r="D609" t="s">
        <v>56</v>
      </c>
      <c r="E609">
        <f t="shared" si="137"/>
        <v>1</v>
      </c>
      <c r="F609" t="s">
        <v>57</v>
      </c>
      <c r="G609">
        <v>1184</v>
      </c>
      <c r="H609" t="str">
        <f t="shared" si="138"/>
        <v>1001-1499</v>
      </c>
      <c r="I609" t="s">
        <v>58</v>
      </c>
      <c r="J609">
        <v>11</v>
      </c>
      <c r="K609" t="str">
        <f t="shared" si="139"/>
        <v>11-20</v>
      </c>
      <c r="L609">
        <v>3</v>
      </c>
      <c r="M609" t="s">
        <v>85</v>
      </c>
      <c r="N609" t="s">
        <v>93</v>
      </c>
      <c r="O609">
        <v>1</v>
      </c>
      <c r="P609">
        <v>3</v>
      </c>
      <c r="Q609" t="s">
        <v>63</v>
      </c>
      <c r="R609" t="s">
        <v>62</v>
      </c>
      <c r="S609">
        <v>43</v>
      </c>
      <c r="T609" t="str">
        <f t="shared" si="140"/>
        <v>30-50</v>
      </c>
      <c r="U609">
        <v>3</v>
      </c>
      <c r="V609" t="s">
        <v>63</v>
      </c>
      <c r="W609">
        <v>3</v>
      </c>
      <c r="X609" t="s">
        <v>64</v>
      </c>
      <c r="Y609">
        <v>4</v>
      </c>
      <c r="Z609" t="s">
        <v>65</v>
      </c>
      <c r="AA609" t="s">
        <v>77</v>
      </c>
      <c r="AB609" s="4">
        <v>7654</v>
      </c>
      <c r="AC609" s="4" t="str">
        <f t="shared" si="141"/>
        <v>$7,000-$8,500</v>
      </c>
      <c r="AD609">
        <v>5860</v>
      </c>
      <c r="AE609" t="str">
        <f t="shared" si="142"/>
        <v>$2,094-$8,000</v>
      </c>
      <c r="AF609">
        <v>1</v>
      </c>
      <c r="AG609" t="str">
        <f t="shared" si="143"/>
        <v>0-1</v>
      </c>
      <c r="AH609" t="s">
        <v>67</v>
      </c>
      <c r="AI609" t="s">
        <v>71</v>
      </c>
      <c r="AJ609">
        <v>18</v>
      </c>
      <c r="AK609" t="str">
        <f t="shared" si="144"/>
        <v>18-19%</v>
      </c>
      <c r="AL609">
        <v>3</v>
      </c>
      <c r="AM609" t="s">
        <v>68</v>
      </c>
      <c r="AN609">
        <v>1</v>
      </c>
      <c r="AO609" t="s">
        <v>69</v>
      </c>
      <c r="AP609">
        <v>80</v>
      </c>
      <c r="AQ609">
        <v>2</v>
      </c>
      <c r="AR609">
        <v>9</v>
      </c>
      <c r="AS609" t="str">
        <f t="shared" si="145"/>
        <v>6-10</v>
      </c>
      <c r="AT609">
        <v>3</v>
      </c>
      <c r="AU609" t="str">
        <f t="shared" si="146"/>
        <v>3-4</v>
      </c>
      <c r="AV609">
        <v>4</v>
      </c>
      <c r="AW609" t="s">
        <v>94</v>
      </c>
      <c r="AX609">
        <v>9</v>
      </c>
      <c r="AY609" t="str">
        <f t="shared" si="135"/>
        <v>6-10</v>
      </c>
      <c r="AZ609">
        <v>8</v>
      </c>
      <c r="BA609" t="str">
        <f t="shared" si="147"/>
        <v>6-10</v>
      </c>
      <c r="BB609">
        <v>7</v>
      </c>
      <c r="BC609" t="str">
        <f t="shared" si="148"/>
        <v>6-10</v>
      </c>
      <c r="BD609">
        <v>7</v>
      </c>
      <c r="BE609" t="str">
        <f t="shared" si="149"/>
        <v>6-10</v>
      </c>
    </row>
    <row r="610" spans="1:57" x14ac:dyDescent="0.3">
      <c r="A610">
        <v>842</v>
      </c>
      <c r="B610">
        <v>55</v>
      </c>
      <c r="C610" t="str">
        <f t="shared" si="136"/>
        <v>46-55</v>
      </c>
      <c r="D610" t="s">
        <v>56</v>
      </c>
      <c r="E610">
        <f t="shared" si="137"/>
        <v>1</v>
      </c>
      <c r="F610" t="s">
        <v>57</v>
      </c>
      <c r="G610">
        <v>436</v>
      </c>
      <c r="H610" t="str">
        <f t="shared" si="138"/>
        <v>102-500</v>
      </c>
      <c r="I610" t="s">
        <v>58</v>
      </c>
      <c r="J610">
        <v>2</v>
      </c>
      <c r="K610" t="str">
        <f t="shared" si="139"/>
        <v>1-5</v>
      </c>
      <c r="L610">
        <v>1</v>
      </c>
      <c r="M610" t="s">
        <v>74</v>
      </c>
      <c r="N610" t="s">
        <v>83</v>
      </c>
      <c r="O610">
        <v>1</v>
      </c>
      <c r="P610">
        <v>3</v>
      </c>
      <c r="Q610" t="s">
        <v>63</v>
      </c>
      <c r="R610" t="s">
        <v>75</v>
      </c>
      <c r="S610">
        <v>37</v>
      </c>
      <c r="T610" t="str">
        <f t="shared" si="140"/>
        <v>30-50</v>
      </c>
      <c r="U610">
        <v>3</v>
      </c>
      <c r="V610" t="s">
        <v>63</v>
      </c>
      <c r="W610">
        <v>2</v>
      </c>
      <c r="X610" t="s">
        <v>64</v>
      </c>
      <c r="Y610">
        <v>4</v>
      </c>
      <c r="Z610" t="s">
        <v>65</v>
      </c>
      <c r="AA610" t="s">
        <v>66</v>
      </c>
      <c r="AB610" s="4">
        <v>5160</v>
      </c>
      <c r="AC610" s="4" t="str">
        <f t="shared" si="141"/>
        <v>$4,000-$5,500</v>
      </c>
      <c r="AD610">
        <v>21519</v>
      </c>
      <c r="AE610" t="str">
        <f t="shared" si="142"/>
        <v>$16,001-$22,000</v>
      </c>
      <c r="AF610">
        <v>4</v>
      </c>
      <c r="AG610" t="str">
        <f t="shared" si="143"/>
        <v>4-6</v>
      </c>
      <c r="AH610" t="s">
        <v>67</v>
      </c>
      <c r="AI610" t="s">
        <v>71</v>
      </c>
      <c r="AJ610">
        <v>16</v>
      </c>
      <c r="AK610" t="str">
        <f t="shared" si="144"/>
        <v>16-17%</v>
      </c>
      <c r="AL610">
        <v>3</v>
      </c>
      <c r="AM610" t="s">
        <v>68</v>
      </c>
      <c r="AN610">
        <v>3</v>
      </c>
      <c r="AO610" t="s">
        <v>63</v>
      </c>
      <c r="AP610">
        <v>80</v>
      </c>
      <c r="AQ610">
        <v>0</v>
      </c>
      <c r="AR610">
        <v>12</v>
      </c>
      <c r="AS610" t="str">
        <f t="shared" si="145"/>
        <v>11-20</v>
      </c>
      <c r="AT610">
        <v>3</v>
      </c>
      <c r="AU610" t="str">
        <f t="shared" si="146"/>
        <v>3-4</v>
      </c>
      <c r="AV610">
        <v>2</v>
      </c>
      <c r="AW610" t="s">
        <v>84</v>
      </c>
      <c r="AX610">
        <v>9</v>
      </c>
      <c r="AY610" t="str">
        <f t="shared" si="135"/>
        <v>6-10</v>
      </c>
      <c r="AZ610">
        <v>7</v>
      </c>
      <c r="BA610" t="str">
        <f t="shared" si="147"/>
        <v>6-10</v>
      </c>
      <c r="BB610">
        <v>7</v>
      </c>
      <c r="BC610" t="str">
        <f t="shared" si="148"/>
        <v>6-10</v>
      </c>
      <c r="BD610">
        <v>3</v>
      </c>
      <c r="BE610" t="str">
        <f t="shared" si="149"/>
        <v>2-5</v>
      </c>
    </row>
    <row r="611" spans="1:57" x14ac:dyDescent="0.3">
      <c r="A611">
        <v>843</v>
      </c>
      <c r="B611">
        <v>43</v>
      </c>
      <c r="C611" t="str">
        <f t="shared" si="136"/>
        <v>36-45</v>
      </c>
      <c r="D611" t="s">
        <v>71</v>
      </c>
      <c r="E611">
        <f t="shared" si="137"/>
        <v>0</v>
      </c>
      <c r="F611" t="s">
        <v>57</v>
      </c>
      <c r="G611">
        <v>589</v>
      </c>
      <c r="H611" t="str">
        <f t="shared" si="138"/>
        <v>501-1000</v>
      </c>
      <c r="I611" t="s">
        <v>73</v>
      </c>
      <c r="J611">
        <v>14</v>
      </c>
      <c r="K611" t="str">
        <f t="shared" si="139"/>
        <v>11-20</v>
      </c>
      <c r="L611">
        <v>2</v>
      </c>
      <c r="M611" t="s">
        <v>59</v>
      </c>
      <c r="N611" t="s">
        <v>60</v>
      </c>
      <c r="O611">
        <v>1</v>
      </c>
      <c r="P611">
        <v>2</v>
      </c>
      <c r="Q611" t="s">
        <v>61</v>
      </c>
      <c r="R611" t="s">
        <v>75</v>
      </c>
      <c r="S611">
        <v>94</v>
      </c>
      <c r="T611" t="str">
        <f t="shared" si="140"/>
        <v>76-100</v>
      </c>
      <c r="U611">
        <v>3</v>
      </c>
      <c r="V611" t="s">
        <v>63</v>
      </c>
      <c r="W611">
        <v>4</v>
      </c>
      <c r="X611" t="s">
        <v>92</v>
      </c>
      <c r="Y611">
        <v>1</v>
      </c>
      <c r="Z611" t="s">
        <v>69</v>
      </c>
      <c r="AA611" t="s">
        <v>77</v>
      </c>
      <c r="AB611" s="4">
        <v>17159</v>
      </c>
      <c r="AC611" s="4" t="str">
        <f t="shared" si="141"/>
        <v>$16,000-$17,500</v>
      </c>
      <c r="AD611">
        <v>5200</v>
      </c>
      <c r="AE611" t="str">
        <f t="shared" si="142"/>
        <v>$2,094-$8,000</v>
      </c>
      <c r="AF611">
        <v>6</v>
      </c>
      <c r="AG611" t="str">
        <f t="shared" si="143"/>
        <v>4-6</v>
      </c>
      <c r="AH611" t="s">
        <v>67</v>
      </c>
      <c r="AI611" t="s">
        <v>71</v>
      </c>
      <c r="AJ611">
        <v>24</v>
      </c>
      <c r="AK611" t="str">
        <f t="shared" si="144"/>
        <v>18-19%</v>
      </c>
      <c r="AL611">
        <v>4</v>
      </c>
      <c r="AM611" t="s">
        <v>78</v>
      </c>
      <c r="AN611">
        <v>3</v>
      </c>
      <c r="AO611" t="s">
        <v>63</v>
      </c>
      <c r="AP611">
        <v>80</v>
      </c>
      <c r="AQ611">
        <v>1</v>
      </c>
      <c r="AR611">
        <v>22</v>
      </c>
      <c r="AS611" t="str">
        <f t="shared" si="145"/>
        <v>21-40</v>
      </c>
      <c r="AT611">
        <v>3</v>
      </c>
      <c r="AU611" t="str">
        <f t="shared" si="146"/>
        <v>3-4</v>
      </c>
      <c r="AV611">
        <v>3</v>
      </c>
      <c r="AW611" t="s">
        <v>79</v>
      </c>
      <c r="AX611">
        <v>4</v>
      </c>
      <c r="AY611" t="str">
        <f t="shared" si="135"/>
        <v>2-5</v>
      </c>
      <c r="AZ611">
        <v>1</v>
      </c>
      <c r="BA611" t="str">
        <f t="shared" si="147"/>
        <v>0-1</v>
      </c>
      <c r="BB611">
        <v>1</v>
      </c>
      <c r="BC611" t="str">
        <f t="shared" si="148"/>
        <v>0-1</v>
      </c>
      <c r="BD611">
        <v>0</v>
      </c>
      <c r="BE611" t="str">
        <f t="shared" si="149"/>
        <v>0-1</v>
      </c>
    </row>
    <row r="612" spans="1:57" x14ac:dyDescent="0.3">
      <c r="A612">
        <v>844</v>
      </c>
      <c r="B612">
        <v>27</v>
      </c>
      <c r="C612" t="str">
        <f t="shared" si="136"/>
        <v>26-35</v>
      </c>
      <c r="D612" t="s">
        <v>71</v>
      </c>
      <c r="E612">
        <f t="shared" si="137"/>
        <v>0</v>
      </c>
      <c r="F612" t="s">
        <v>57</v>
      </c>
      <c r="G612">
        <v>269</v>
      </c>
      <c r="H612" t="str">
        <f t="shared" si="138"/>
        <v>102-500</v>
      </c>
      <c r="I612" t="s">
        <v>73</v>
      </c>
      <c r="J612">
        <v>5</v>
      </c>
      <c r="K612" t="str">
        <f t="shared" si="139"/>
        <v>1-5</v>
      </c>
      <c r="L612">
        <v>1</v>
      </c>
      <c r="M612" t="s">
        <v>74</v>
      </c>
      <c r="N612" t="s">
        <v>95</v>
      </c>
      <c r="O612">
        <v>1</v>
      </c>
      <c r="P612">
        <v>3</v>
      </c>
      <c r="Q612" t="s">
        <v>63</v>
      </c>
      <c r="R612" t="s">
        <v>75</v>
      </c>
      <c r="S612">
        <v>42</v>
      </c>
      <c r="T612" t="str">
        <f t="shared" si="140"/>
        <v>30-50</v>
      </c>
      <c r="U612">
        <v>2</v>
      </c>
      <c r="V612" t="s">
        <v>61</v>
      </c>
      <c r="W612">
        <v>3</v>
      </c>
      <c r="X612" t="s">
        <v>92</v>
      </c>
      <c r="Y612">
        <v>4</v>
      </c>
      <c r="Z612" t="s">
        <v>65</v>
      </c>
      <c r="AA612" t="s">
        <v>86</v>
      </c>
      <c r="AB612" s="4">
        <v>12808</v>
      </c>
      <c r="AC612" s="4" t="str">
        <f t="shared" si="141"/>
        <v>$11,500-$13,000</v>
      </c>
      <c r="AD612">
        <v>8842</v>
      </c>
      <c r="AE612" t="str">
        <f t="shared" si="142"/>
        <v>$8,001-$16,000</v>
      </c>
      <c r="AF612">
        <v>1</v>
      </c>
      <c r="AG612" t="str">
        <f t="shared" si="143"/>
        <v>0-1</v>
      </c>
      <c r="AH612" t="s">
        <v>67</v>
      </c>
      <c r="AI612" t="s">
        <v>56</v>
      </c>
      <c r="AJ612">
        <v>16</v>
      </c>
      <c r="AK612" t="str">
        <f t="shared" si="144"/>
        <v>16-17%</v>
      </c>
      <c r="AL612">
        <v>3</v>
      </c>
      <c r="AM612" t="s">
        <v>68</v>
      </c>
      <c r="AN612">
        <v>2</v>
      </c>
      <c r="AO612" t="s">
        <v>61</v>
      </c>
      <c r="AP612">
        <v>80</v>
      </c>
      <c r="AQ612">
        <v>1</v>
      </c>
      <c r="AR612">
        <v>9</v>
      </c>
      <c r="AS612" t="str">
        <f t="shared" si="145"/>
        <v>6-10</v>
      </c>
      <c r="AT612">
        <v>3</v>
      </c>
      <c r="AU612" t="str">
        <f t="shared" si="146"/>
        <v>3-4</v>
      </c>
      <c r="AV612">
        <v>3</v>
      </c>
      <c r="AW612" t="s">
        <v>79</v>
      </c>
      <c r="AX612">
        <v>9</v>
      </c>
      <c r="AY612" t="str">
        <f t="shared" si="135"/>
        <v>6-10</v>
      </c>
      <c r="AZ612">
        <v>8</v>
      </c>
      <c r="BA612" t="str">
        <f t="shared" si="147"/>
        <v>6-10</v>
      </c>
      <c r="BB612">
        <v>0</v>
      </c>
      <c r="BC612" t="str">
        <f t="shared" si="148"/>
        <v>0-1</v>
      </c>
      <c r="BD612">
        <v>8</v>
      </c>
      <c r="BE612" t="str">
        <f t="shared" si="149"/>
        <v>6-10</v>
      </c>
    </row>
    <row r="613" spans="1:57" x14ac:dyDescent="0.3">
      <c r="A613">
        <v>845</v>
      </c>
      <c r="B613">
        <v>35</v>
      </c>
      <c r="C613" t="str">
        <f t="shared" si="136"/>
        <v>26-35</v>
      </c>
      <c r="D613" t="s">
        <v>71</v>
      </c>
      <c r="E613">
        <f t="shared" si="137"/>
        <v>0</v>
      </c>
      <c r="F613" t="s">
        <v>57</v>
      </c>
      <c r="G613">
        <v>950</v>
      </c>
      <c r="H613" t="str">
        <f t="shared" si="138"/>
        <v>501-1000</v>
      </c>
      <c r="I613" t="s">
        <v>73</v>
      </c>
      <c r="J613">
        <v>7</v>
      </c>
      <c r="K613" t="str">
        <f t="shared" si="139"/>
        <v>6-10</v>
      </c>
      <c r="L613">
        <v>3</v>
      </c>
      <c r="M613" t="s">
        <v>85</v>
      </c>
      <c r="N613" t="s">
        <v>80</v>
      </c>
      <c r="O613">
        <v>1</v>
      </c>
      <c r="P613">
        <v>3</v>
      </c>
      <c r="Q613" t="s">
        <v>63</v>
      </c>
      <c r="R613" t="s">
        <v>75</v>
      </c>
      <c r="S613">
        <v>59</v>
      </c>
      <c r="T613" t="str">
        <f t="shared" si="140"/>
        <v>51-75</v>
      </c>
      <c r="U613">
        <v>3</v>
      </c>
      <c r="V613" t="s">
        <v>63</v>
      </c>
      <c r="W613">
        <v>3</v>
      </c>
      <c r="X613" t="s">
        <v>87</v>
      </c>
      <c r="Y613">
        <v>3</v>
      </c>
      <c r="Z613" t="s">
        <v>63</v>
      </c>
      <c r="AA613" t="s">
        <v>66</v>
      </c>
      <c r="AB613" s="4">
        <v>10221</v>
      </c>
      <c r="AC613" s="4" t="str">
        <f t="shared" si="141"/>
        <v>$10,000-$11,500</v>
      </c>
      <c r="AD613">
        <v>18869</v>
      </c>
      <c r="AE613" t="str">
        <f t="shared" si="142"/>
        <v>$16,001-$22,000</v>
      </c>
      <c r="AF613">
        <v>3</v>
      </c>
      <c r="AG613" t="str">
        <f t="shared" si="143"/>
        <v>2-3</v>
      </c>
      <c r="AH613" t="s">
        <v>67</v>
      </c>
      <c r="AI613" t="s">
        <v>71</v>
      </c>
      <c r="AJ613">
        <v>21</v>
      </c>
      <c r="AK613" t="str">
        <f t="shared" si="144"/>
        <v>18-19%</v>
      </c>
      <c r="AL613">
        <v>4</v>
      </c>
      <c r="AM613" t="s">
        <v>78</v>
      </c>
      <c r="AN613">
        <v>2</v>
      </c>
      <c r="AO613" t="s">
        <v>61</v>
      </c>
      <c r="AP613">
        <v>80</v>
      </c>
      <c r="AQ613">
        <v>0</v>
      </c>
      <c r="AR613">
        <v>17</v>
      </c>
      <c r="AS613" t="str">
        <f t="shared" si="145"/>
        <v>11-20</v>
      </c>
      <c r="AT613">
        <v>3</v>
      </c>
      <c r="AU613" t="str">
        <f t="shared" si="146"/>
        <v>3-4</v>
      </c>
      <c r="AV613">
        <v>4</v>
      </c>
      <c r="AW613" t="s">
        <v>94</v>
      </c>
      <c r="AX613">
        <v>8</v>
      </c>
      <c r="AY613" t="str">
        <f t="shared" si="135"/>
        <v>6-10</v>
      </c>
      <c r="AZ613">
        <v>5</v>
      </c>
      <c r="BA613" t="str">
        <f t="shared" si="147"/>
        <v>2-5</v>
      </c>
      <c r="BB613">
        <v>1</v>
      </c>
      <c r="BC613" t="str">
        <f t="shared" si="148"/>
        <v>0-1</v>
      </c>
      <c r="BD613">
        <v>6</v>
      </c>
      <c r="BE613" t="str">
        <f t="shared" si="149"/>
        <v>6-10</v>
      </c>
    </row>
    <row r="614" spans="1:57" x14ac:dyDescent="0.3">
      <c r="A614">
        <v>846</v>
      </c>
      <c r="B614">
        <v>28</v>
      </c>
      <c r="C614" t="str">
        <f t="shared" si="136"/>
        <v>26-35</v>
      </c>
      <c r="D614" t="s">
        <v>71</v>
      </c>
      <c r="E614">
        <f t="shared" si="137"/>
        <v>0</v>
      </c>
      <c r="F614" t="s">
        <v>57</v>
      </c>
      <c r="G614">
        <v>760</v>
      </c>
      <c r="H614" t="str">
        <f t="shared" si="138"/>
        <v>501-1000</v>
      </c>
      <c r="I614" t="s">
        <v>58</v>
      </c>
      <c r="J614">
        <v>2</v>
      </c>
      <c r="K614" t="str">
        <f t="shared" si="139"/>
        <v>1-5</v>
      </c>
      <c r="L614">
        <v>4</v>
      </c>
      <c r="M614" t="s">
        <v>82</v>
      </c>
      <c r="N614" t="s">
        <v>93</v>
      </c>
      <c r="O614">
        <v>1</v>
      </c>
      <c r="P614">
        <v>2</v>
      </c>
      <c r="Q614" t="s">
        <v>61</v>
      </c>
      <c r="R614" t="s">
        <v>62</v>
      </c>
      <c r="S614">
        <v>81</v>
      </c>
      <c r="T614" t="str">
        <f t="shared" si="140"/>
        <v>76-100</v>
      </c>
      <c r="U614">
        <v>3</v>
      </c>
      <c r="V614" t="s">
        <v>63</v>
      </c>
      <c r="W614">
        <v>2</v>
      </c>
      <c r="X614" t="s">
        <v>64</v>
      </c>
      <c r="Y614">
        <v>2</v>
      </c>
      <c r="Z614" t="s">
        <v>61</v>
      </c>
      <c r="AA614" t="s">
        <v>77</v>
      </c>
      <c r="AB614" s="4">
        <v>4779</v>
      </c>
      <c r="AC614" s="4" t="str">
        <f t="shared" si="141"/>
        <v>$4,000-$5,500</v>
      </c>
      <c r="AD614">
        <v>3698</v>
      </c>
      <c r="AE614" t="str">
        <f t="shared" si="142"/>
        <v>$2,094-$8,000</v>
      </c>
      <c r="AF614">
        <v>1</v>
      </c>
      <c r="AG614" t="str">
        <f t="shared" si="143"/>
        <v>0-1</v>
      </c>
      <c r="AH614" t="s">
        <v>67</v>
      </c>
      <c r="AI614" t="s">
        <v>56</v>
      </c>
      <c r="AJ614">
        <v>20</v>
      </c>
      <c r="AK614" t="str">
        <f t="shared" si="144"/>
        <v>18-19%</v>
      </c>
      <c r="AL614">
        <v>4</v>
      </c>
      <c r="AM614" t="s">
        <v>78</v>
      </c>
      <c r="AN614">
        <v>1</v>
      </c>
      <c r="AO614" t="s">
        <v>69</v>
      </c>
      <c r="AP614">
        <v>80</v>
      </c>
      <c r="AQ614">
        <v>0</v>
      </c>
      <c r="AR614">
        <v>8</v>
      </c>
      <c r="AS614" t="str">
        <f t="shared" si="145"/>
        <v>6-10</v>
      </c>
      <c r="AT614">
        <v>2</v>
      </c>
      <c r="AU614" t="str">
        <f t="shared" si="146"/>
        <v>0-2</v>
      </c>
      <c r="AV614">
        <v>3</v>
      </c>
      <c r="AW614" t="s">
        <v>79</v>
      </c>
      <c r="AX614">
        <v>8</v>
      </c>
      <c r="AY614" t="str">
        <f t="shared" si="135"/>
        <v>6-10</v>
      </c>
      <c r="AZ614">
        <v>7</v>
      </c>
      <c r="BA614" t="str">
        <f t="shared" si="147"/>
        <v>6-10</v>
      </c>
      <c r="BB614">
        <v>7</v>
      </c>
      <c r="BC614" t="str">
        <f t="shared" si="148"/>
        <v>6-10</v>
      </c>
      <c r="BD614">
        <v>5</v>
      </c>
      <c r="BE614" t="str">
        <f t="shared" si="149"/>
        <v>2-5</v>
      </c>
    </row>
    <row r="615" spans="1:57" x14ac:dyDescent="0.3">
      <c r="A615">
        <v>847</v>
      </c>
      <c r="B615">
        <v>34</v>
      </c>
      <c r="C615" t="str">
        <f t="shared" si="136"/>
        <v>26-35</v>
      </c>
      <c r="D615" t="s">
        <v>71</v>
      </c>
      <c r="E615">
        <f t="shared" si="137"/>
        <v>0</v>
      </c>
      <c r="F615" t="s">
        <v>57</v>
      </c>
      <c r="G615">
        <v>829</v>
      </c>
      <c r="H615" t="str">
        <f t="shared" si="138"/>
        <v>501-1000</v>
      </c>
      <c r="I615" t="s">
        <v>97</v>
      </c>
      <c r="J615">
        <v>3</v>
      </c>
      <c r="K615" t="str">
        <f t="shared" si="139"/>
        <v>1-5</v>
      </c>
      <c r="L615">
        <v>2</v>
      </c>
      <c r="M615" t="s">
        <v>59</v>
      </c>
      <c r="N615" t="s">
        <v>97</v>
      </c>
      <c r="O615">
        <v>1</v>
      </c>
      <c r="P615">
        <v>3</v>
      </c>
      <c r="Q615" t="s">
        <v>63</v>
      </c>
      <c r="R615" t="s">
        <v>75</v>
      </c>
      <c r="S615">
        <v>88</v>
      </c>
      <c r="T615" t="str">
        <f t="shared" si="140"/>
        <v>76-100</v>
      </c>
      <c r="U615">
        <v>3</v>
      </c>
      <c r="V615" t="s">
        <v>63</v>
      </c>
      <c r="W615">
        <v>1</v>
      </c>
      <c r="X615" t="s">
        <v>97</v>
      </c>
      <c r="Y615">
        <v>4</v>
      </c>
      <c r="Z615" t="s">
        <v>65</v>
      </c>
      <c r="AA615" t="s">
        <v>77</v>
      </c>
      <c r="AB615" s="4">
        <v>3737</v>
      </c>
      <c r="AC615" s="4" t="str">
        <f t="shared" si="141"/>
        <v>$2,500-$4,000</v>
      </c>
      <c r="AD615">
        <v>2243</v>
      </c>
      <c r="AE615" t="str">
        <f t="shared" si="142"/>
        <v>$2,094-$8,000</v>
      </c>
      <c r="AF615">
        <v>0</v>
      </c>
      <c r="AG615" t="str">
        <f t="shared" si="143"/>
        <v>0-1</v>
      </c>
      <c r="AH615" t="s">
        <v>67</v>
      </c>
      <c r="AI615" t="s">
        <v>71</v>
      </c>
      <c r="AJ615">
        <v>19</v>
      </c>
      <c r="AK615" t="str">
        <f t="shared" si="144"/>
        <v>18-19%</v>
      </c>
      <c r="AL615">
        <v>3</v>
      </c>
      <c r="AM615" t="s">
        <v>68</v>
      </c>
      <c r="AN615">
        <v>3</v>
      </c>
      <c r="AO615" t="s">
        <v>63</v>
      </c>
      <c r="AP615">
        <v>80</v>
      </c>
      <c r="AQ615">
        <v>1</v>
      </c>
      <c r="AR615">
        <v>4</v>
      </c>
      <c r="AS615" t="str">
        <f t="shared" si="145"/>
        <v>3-5</v>
      </c>
      <c r="AT615">
        <v>1</v>
      </c>
      <c r="AU615" t="str">
        <f t="shared" si="146"/>
        <v>0-2</v>
      </c>
      <c r="AV615">
        <v>1</v>
      </c>
      <c r="AW615" t="s">
        <v>70</v>
      </c>
      <c r="AX615">
        <v>3</v>
      </c>
      <c r="AY615" t="str">
        <f t="shared" si="135"/>
        <v>2-5</v>
      </c>
      <c r="AZ615">
        <v>2</v>
      </c>
      <c r="BA615" t="str">
        <f t="shared" si="147"/>
        <v>2-5</v>
      </c>
      <c r="BB615">
        <v>0</v>
      </c>
      <c r="BC615" t="str">
        <f t="shared" si="148"/>
        <v>0-1</v>
      </c>
      <c r="BD615">
        <v>2</v>
      </c>
      <c r="BE615" t="str">
        <f t="shared" si="149"/>
        <v>2-5</v>
      </c>
    </row>
    <row r="616" spans="1:57" x14ac:dyDescent="0.3">
      <c r="A616">
        <v>848</v>
      </c>
      <c r="B616">
        <v>26</v>
      </c>
      <c r="C616" t="str">
        <f t="shared" si="136"/>
        <v>26-35</v>
      </c>
      <c r="D616" t="s">
        <v>56</v>
      </c>
      <c r="E616">
        <f t="shared" si="137"/>
        <v>1</v>
      </c>
      <c r="F616" t="s">
        <v>72</v>
      </c>
      <c r="G616">
        <v>887</v>
      </c>
      <c r="H616" t="str">
        <f t="shared" si="138"/>
        <v>501-1000</v>
      </c>
      <c r="I616" t="s">
        <v>73</v>
      </c>
      <c r="J616">
        <v>5</v>
      </c>
      <c r="K616" t="str">
        <f t="shared" si="139"/>
        <v>1-5</v>
      </c>
      <c r="L616">
        <v>2</v>
      </c>
      <c r="M616" t="s">
        <v>59</v>
      </c>
      <c r="N616" t="s">
        <v>83</v>
      </c>
      <c r="O616">
        <v>1</v>
      </c>
      <c r="P616">
        <v>3</v>
      </c>
      <c r="Q616" t="s">
        <v>63</v>
      </c>
      <c r="R616" t="s">
        <v>62</v>
      </c>
      <c r="S616">
        <v>88</v>
      </c>
      <c r="T616" t="str">
        <f t="shared" si="140"/>
        <v>76-100</v>
      </c>
      <c r="U616">
        <v>2</v>
      </c>
      <c r="V616" t="s">
        <v>61</v>
      </c>
      <c r="W616">
        <v>1</v>
      </c>
      <c r="X616" t="s">
        <v>76</v>
      </c>
      <c r="Y616">
        <v>3</v>
      </c>
      <c r="Z616" t="s">
        <v>63</v>
      </c>
      <c r="AA616" t="s">
        <v>77</v>
      </c>
      <c r="AB616" s="4">
        <v>2366</v>
      </c>
      <c r="AC616" s="4" t="str">
        <f t="shared" si="141"/>
        <v>$1,000-$2,500</v>
      </c>
      <c r="AD616">
        <v>20898</v>
      </c>
      <c r="AE616" t="str">
        <f t="shared" si="142"/>
        <v>$16,001-$22,000</v>
      </c>
      <c r="AF616">
        <v>1</v>
      </c>
      <c r="AG616" t="str">
        <f t="shared" si="143"/>
        <v>0-1</v>
      </c>
      <c r="AH616" t="s">
        <v>67</v>
      </c>
      <c r="AI616" t="s">
        <v>56</v>
      </c>
      <c r="AJ616">
        <v>14</v>
      </c>
      <c r="AK616" t="str">
        <f t="shared" si="144"/>
        <v>13-15%</v>
      </c>
      <c r="AL616">
        <v>3</v>
      </c>
      <c r="AM616" t="s">
        <v>68</v>
      </c>
      <c r="AN616">
        <v>1</v>
      </c>
      <c r="AO616" t="s">
        <v>69</v>
      </c>
      <c r="AP616">
        <v>80</v>
      </c>
      <c r="AQ616">
        <v>1</v>
      </c>
      <c r="AR616">
        <v>8</v>
      </c>
      <c r="AS616" t="str">
        <f t="shared" si="145"/>
        <v>6-10</v>
      </c>
      <c r="AT616">
        <v>2</v>
      </c>
      <c r="AU616" t="str">
        <f t="shared" si="146"/>
        <v>0-2</v>
      </c>
      <c r="AV616">
        <v>3</v>
      </c>
      <c r="AW616" t="s">
        <v>79</v>
      </c>
      <c r="AX616">
        <v>8</v>
      </c>
      <c r="AY616" t="str">
        <f t="shared" si="135"/>
        <v>6-10</v>
      </c>
      <c r="AZ616">
        <v>7</v>
      </c>
      <c r="BA616" t="str">
        <f t="shared" si="147"/>
        <v>6-10</v>
      </c>
      <c r="BB616">
        <v>1</v>
      </c>
      <c r="BC616" t="str">
        <f t="shared" si="148"/>
        <v>0-1</v>
      </c>
      <c r="BD616">
        <v>7</v>
      </c>
      <c r="BE616" t="str">
        <f t="shared" si="149"/>
        <v>6-10</v>
      </c>
    </row>
    <row r="617" spans="1:57" x14ac:dyDescent="0.3">
      <c r="A617">
        <v>850</v>
      </c>
      <c r="B617">
        <v>27</v>
      </c>
      <c r="C617" t="str">
        <f t="shared" si="136"/>
        <v>26-35</v>
      </c>
      <c r="D617" t="s">
        <v>71</v>
      </c>
      <c r="E617">
        <f t="shared" si="137"/>
        <v>0</v>
      </c>
      <c r="F617" t="s">
        <v>89</v>
      </c>
      <c r="G617">
        <v>443</v>
      </c>
      <c r="H617" t="str">
        <f t="shared" si="138"/>
        <v>102-500</v>
      </c>
      <c r="I617" t="s">
        <v>73</v>
      </c>
      <c r="J617">
        <v>3</v>
      </c>
      <c r="K617" t="str">
        <f t="shared" si="139"/>
        <v>1-5</v>
      </c>
      <c r="L617">
        <v>3</v>
      </c>
      <c r="M617" t="s">
        <v>85</v>
      </c>
      <c r="N617" t="s">
        <v>83</v>
      </c>
      <c r="O617">
        <v>1</v>
      </c>
      <c r="P617">
        <v>4</v>
      </c>
      <c r="Q617" t="s">
        <v>65</v>
      </c>
      <c r="R617" t="s">
        <v>75</v>
      </c>
      <c r="S617">
        <v>50</v>
      </c>
      <c r="T617" t="str">
        <f t="shared" si="140"/>
        <v>30-50</v>
      </c>
      <c r="U617">
        <v>3</v>
      </c>
      <c r="V617" t="s">
        <v>63</v>
      </c>
      <c r="W617">
        <v>1</v>
      </c>
      <c r="X617" t="s">
        <v>76</v>
      </c>
      <c r="Y617">
        <v>4</v>
      </c>
      <c r="Z617" t="s">
        <v>65</v>
      </c>
      <c r="AA617" t="s">
        <v>77</v>
      </c>
      <c r="AB617" s="4">
        <v>1706</v>
      </c>
      <c r="AC617" s="4" t="str">
        <f t="shared" si="141"/>
        <v>$1,000-$2,500</v>
      </c>
      <c r="AD617">
        <v>16571</v>
      </c>
      <c r="AE617" t="str">
        <f t="shared" si="142"/>
        <v>$16,001-$22,000</v>
      </c>
      <c r="AF617">
        <v>1</v>
      </c>
      <c r="AG617" t="str">
        <f t="shared" si="143"/>
        <v>0-1</v>
      </c>
      <c r="AH617" t="s">
        <v>67</v>
      </c>
      <c r="AI617" t="s">
        <v>71</v>
      </c>
      <c r="AJ617">
        <v>11</v>
      </c>
      <c r="AK617" t="str">
        <f t="shared" si="144"/>
        <v>11-12%</v>
      </c>
      <c r="AL617">
        <v>3</v>
      </c>
      <c r="AM617" t="s">
        <v>68</v>
      </c>
      <c r="AN617">
        <v>3</v>
      </c>
      <c r="AO617" t="s">
        <v>63</v>
      </c>
      <c r="AP617">
        <v>80</v>
      </c>
      <c r="AQ617">
        <v>3</v>
      </c>
      <c r="AR617">
        <v>0</v>
      </c>
      <c r="AS617" t="str">
        <f t="shared" si="145"/>
        <v>0-2</v>
      </c>
      <c r="AT617">
        <v>6</v>
      </c>
      <c r="AU617" t="str">
        <f t="shared" si="146"/>
        <v>5-6</v>
      </c>
      <c r="AV617">
        <v>2</v>
      </c>
      <c r="AW617" t="s">
        <v>84</v>
      </c>
      <c r="AX617">
        <v>0</v>
      </c>
      <c r="AY617" t="str">
        <f t="shared" si="135"/>
        <v>0-1</v>
      </c>
      <c r="AZ617">
        <v>0</v>
      </c>
      <c r="BA617" t="str">
        <f t="shared" si="147"/>
        <v>0-1</v>
      </c>
      <c r="BB617">
        <v>0</v>
      </c>
      <c r="BC617" t="str">
        <f t="shared" si="148"/>
        <v>0-1</v>
      </c>
      <c r="BD617">
        <v>0</v>
      </c>
      <c r="BE617" t="str">
        <f t="shared" si="149"/>
        <v>0-1</v>
      </c>
    </row>
    <row r="618" spans="1:57" x14ac:dyDescent="0.3">
      <c r="A618">
        <v>851</v>
      </c>
      <c r="B618">
        <v>51</v>
      </c>
      <c r="C618" t="str">
        <f t="shared" si="136"/>
        <v>46-55</v>
      </c>
      <c r="D618" t="s">
        <v>71</v>
      </c>
      <c r="E618">
        <f t="shared" si="137"/>
        <v>0</v>
      </c>
      <c r="F618" t="s">
        <v>57</v>
      </c>
      <c r="G618">
        <v>1318</v>
      </c>
      <c r="H618" t="str">
        <f t="shared" si="138"/>
        <v>1001-1499</v>
      </c>
      <c r="I618" t="s">
        <v>58</v>
      </c>
      <c r="J618">
        <v>26</v>
      </c>
      <c r="K618" t="str">
        <f t="shared" si="139"/>
        <v>21-29</v>
      </c>
      <c r="L618">
        <v>4</v>
      </c>
      <c r="M618" t="s">
        <v>82</v>
      </c>
      <c r="N618" t="s">
        <v>93</v>
      </c>
      <c r="O618">
        <v>1</v>
      </c>
      <c r="P618">
        <v>1</v>
      </c>
      <c r="Q618" t="s">
        <v>69</v>
      </c>
      <c r="R618" t="s">
        <v>62</v>
      </c>
      <c r="S618">
        <v>66</v>
      </c>
      <c r="T618" t="str">
        <f t="shared" si="140"/>
        <v>51-75</v>
      </c>
      <c r="U618">
        <v>3</v>
      </c>
      <c r="V618" t="s">
        <v>63</v>
      </c>
      <c r="W618">
        <v>4</v>
      </c>
      <c r="X618" t="s">
        <v>90</v>
      </c>
      <c r="Y618">
        <v>3</v>
      </c>
      <c r="Z618" t="s">
        <v>63</v>
      </c>
      <c r="AA618" t="s">
        <v>77</v>
      </c>
      <c r="AB618" s="4">
        <v>16307</v>
      </c>
      <c r="AC618" s="4" t="str">
        <f t="shared" si="141"/>
        <v>$16,000-$17,500</v>
      </c>
      <c r="AD618">
        <v>5594</v>
      </c>
      <c r="AE618" t="str">
        <f t="shared" si="142"/>
        <v>$2,094-$8,000</v>
      </c>
      <c r="AF618">
        <v>2</v>
      </c>
      <c r="AG618" t="str">
        <f t="shared" si="143"/>
        <v>2-3</v>
      </c>
      <c r="AH618" t="s">
        <v>67</v>
      </c>
      <c r="AI618" t="s">
        <v>71</v>
      </c>
      <c r="AJ618">
        <v>14</v>
      </c>
      <c r="AK618" t="str">
        <f t="shared" si="144"/>
        <v>13-15%</v>
      </c>
      <c r="AL618">
        <v>3</v>
      </c>
      <c r="AM618" t="s">
        <v>68</v>
      </c>
      <c r="AN618">
        <v>3</v>
      </c>
      <c r="AO618" t="s">
        <v>63</v>
      </c>
      <c r="AP618">
        <v>80</v>
      </c>
      <c r="AQ618">
        <v>1</v>
      </c>
      <c r="AR618">
        <v>29</v>
      </c>
      <c r="AS618" t="str">
        <f t="shared" si="145"/>
        <v>21-40</v>
      </c>
      <c r="AT618">
        <v>2</v>
      </c>
      <c r="AU618" t="str">
        <f t="shared" si="146"/>
        <v>0-2</v>
      </c>
      <c r="AV618">
        <v>2</v>
      </c>
      <c r="AW618" t="s">
        <v>84</v>
      </c>
      <c r="AX618">
        <v>20</v>
      </c>
      <c r="AY618" t="str">
        <f t="shared" si="135"/>
        <v>11-20</v>
      </c>
      <c r="AZ618">
        <v>6</v>
      </c>
      <c r="BA618" t="str">
        <f t="shared" si="147"/>
        <v>6-10</v>
      </c>
      <c r="BB618">
        <v>4</v>
      </c>
      <c r="BC618" t="str">
        <f t="shared" si="148"/>
        <v>2-5</v>
      </c>
      <c r="BD618">
        <v>17</v>
      </c>
      <c r="BE618" t="str">
        <f t="shared" si="149"/>
        <v>11-17</v>
      </c>
    </row>
    <row r="619" spans="1:57" x14ac:dyDescent="0.3">
      <c r="A619">
        <v>852</v>
      </c>
      <c r="B619">
        <v>44</v>
      </c>
      <c r="C619" t="str">
        <f t="shared" si="136"/>
        <v>36-45</v>
      </c>
      <c r="D619" t="s">
        <v>71</v>
      </c>
      <c r="E619">
        <f t="shared" si="137"/>
        <v>0</v>
      </c>
      <c r="F619" t="s">
        <v>57</v>
      </c>
      <c r="G619">
        <v>625</v>
      </c>
      <c r="H619" t="str">
        <f t="shared" si="138"/>
        <v>501-1000</v>
      </c>
      <c r="I619" t="s">
        <v>73</v>
      </c>
      <c r="J619">
        <v>4</v>
      </c>
      <c r="K619" t="str">
        <f t="shared" si="139"/>
        <v>1-5</v>
      </c>
      <c r="L619">
        <v>3</v>
      </c>
      <c r="M619" t="s">
        <v>85</v>
      </c>
      <c r="N619" t="s">
        <v>83</v>
      </c>
      <c r="O619">
        <v>1</v>
      </c>
      <c r="P619">
        <v>4</v>
      </c>
      <c r="Q619" t="s">
        <v>65</v>
      </c>
      <c r="R619" t="s">
        <v>75</v>
      </c>
      <c r="S619">
        <v>50</v>
      </c>
      <c r="T619" t="str">
        <f t="shared" si="140"/>
        <v>30-50</v>
      </c>
      <c r="U619">
        <v>3</v>
      </c>
      <c r="V619" t="s">
        <v>63</v>
      </c>
      <c r="W619">
        <v>2</v>
      </c>
      <c r="X619" t="s">
        <v>88</v>
      </c>
      <c r="Y619">
        <v>2</v>
      </c>
      <c r="Z619" t="s">
        <v>61</v>
      </c>
      <c r="AA619" t="s">
        <v>66</v>
      </c>
      <c r="AB619" s="4">
        <v>5933</v>
      </c>
      <c r="AC619" s="4" t="str">
        <f t="shared" si="141"/>
        <v>$5,500-$7,000</v>
      </c>
      <c r="AD619">
        <v>5197</v>
      </c>
      <c r="AE619" t="str">
        <f t="shared" si="142"/>
        <v>$2,094-$8,000</v>
      </c>
      <c r="AF619">
        <v>9</v>
      </c>
      <c r="AG619" t="str">
        <f t="shared" si="143"/>
        <v>7-9</v>
      </c>
      <c r="AH619" t="s">
        <v>67</v>
      </c>
      <c r="AI619" t="s">
        <v>71</v>
      </c>
      <c r="AJ619">
        <v>12</v>
      </c>
      <c r="AK619" t="str">
        <f t="shared" si="144"/>
        <v>11-12%</v>
      </c>
      <c r="AL619">
        <v>3</v>
      </c>
      <c r="AM619" t="s">
        <v>68</v>
      </c>
      <c r="AN619">
        <v>4</v>
      </c>
      <c r="AO619" t="s">
        <v>65</v>
      </c>
      <c r="AP619">
        <v>80</v>
      </c>
      <c r="AQ619">
        <v>0</v>
      </c>
      <c r="AR619">
        <v>10</v>
      </c>
      <c r="AS619" t="str">
        <f t="shared" si="145"/>
        <v>6-10</v>
      </c>
      <c r="AT619">
        <v>2</v>
      </c>
      <c r="AU619" t="str">
        <f t="shared" si="146"/>
        <v>0-2</v>
      </c>
      <c r="AV619">
        <v>2</v>
      </c>
      <c r="AW619" t="s">
        <v>84</v>
      </c>
      <c r="AX619">
        <v>5</v>
      </c>
      <c r="AY619" t="str">
        <f t="shared" si="135"/>
        <v>2-5</v>
      </c>
      <c r="AZ619">
        <v>2</v>
      </c>
      <c r="BA619" t="str">
        <f t="shared" si="147"/>
        <v>2-5</v>
      </c>
      <c r="BB619">
        <v>2</v>
      </c>
      <c r="BC619" t="str">
        <f t="shared" si="148"/>
        <v>2-5</v>
      </c>
      <c r="BD619">
        <v>3</v>
      </c>
      <c r="BE619" t="str">
        <f t="shared" si="149"/>
        <v>2-5</v>
      </c>
    </row>
    <row r="620" spans="1:57" x14ac:dyDescent="0.3">
      <c r="A620">
        <v>854</v>
      </c>
      <c r="B620">
        <v>25</v>
      </c>
      <c r="C620" t="str">
        <f t="shared" si="136"/>
        <v>18-25</v>
      </c>
      <c r="D620" t="s">
        <v>71</v>
      </c>
      <c r="E620">
        <f t="shared" si="137"/>
        <v>0</v>
      </c>
      <c r="F620" t="s">
        <v>57</v>
      </c>
      <c r="G620">
        <v>180</v>
      </c>
      <c r="H620" t="str">
        <f t="shared" si="138"/>
        <v>102-500</v>
      </c>
      <c r="I620" t="s">
        <v>73</v>
      </c>
      <c r="J620">
        <v>2</v>
      </c>
      <c r="K620" t="str">
        <f t="shared" si="139"/>
        <v>1-5</v>
      </c>
      <c r="L620">
        <v>1</v>
      </c>
      <c r="M620" t="s">
        <v>74</v>
      </c>
      <c r="N620" t="s">
        <v>83</v>
      </c>
      <c r="O620">
        <v>1</v>
      </c>
      <c r="P620">
        <v>1</v>
      </c>
      <c r="Q620" t="s">
        <v>69</v>
      </c>
      <c r="R620" t="s">
        <v>75</v>
      </c>
      <c r="S620">
        <v>65</v>
      </c>
      <c r="T620" t="str">
        <f t="shared" si="140"/>
        <v>51-75</v>
      </c>
      <c r="U620">
        <v>4</v>
      </c>
      <c r="V620" t="s">
        <v>65</v>
      </c>
      <c r="W620">
        <v>1</v>
      </c>
      <c r="X620" t="s">
        <v>76</v>
      </c>
      <c r="Y620">
        <v>1</v>
      </c>
      <c r="Z620" t="s">
        <v>69</v>
      </c>
      <c r="AA620" t="s">
        <v>66</v>
      </c>
      <c r="AB620" s="4">
        <v>3424</v>
      </c>
      <c r="AC620" s="4" t="str">
        <f t="shared" si="141"/>
        <v>$2,500-$4,000</v>
      </c>
      <c r="AD620">
        <v>21632</v>
      </c>
      <c r="AE620" t="str">
        <f t="shared" si="142"/>
        <v>$16,001-$22,000</v>
      </c>
      <c r="AF620">
        <v>7</v>
      </c>
      <c r="AG620" t="str">
        <f t="shared" si="143"/>
        <v>7-9</v>
      </c>
      <c r="AH620" t="s">
        <v>67</v>
      </c>
      <c r="AI620" t="s">
        <v>71</v>
      </c>
      <c r="AJ620">
        <v>13</v>
      </c>
      <c r="AK620" t="str">
        <f t="shared" si="144"/>
        <v>13-15%</v>
      </c>
      <c r="AL620">
        <v>3</v>
      </c>
      <c r="AM620" t="s">
        <v>68</v>
      </c>
      <c r="AN620">
        <v>3</v>
      </c>
      <c r="AO620" t="s">
        <v>63</v>
      </c>
      <c r="AP620">
        <v>80</v>
      </c>
      <c r="AQ620">
        <v>0</v>
      </c>
      <c r="AR620">
        <v>6</v>
      </c>
      <c r="AS620" t="str">
        <f t="shared" si="145"/>
        <v>6-10</v>
      </c>
      <c r="AT620">
        <v>3</v>
      </c>
      <c r="AU620" t="str">
        <f t="shared" si="146"/>
        <v>3-4</v>
      </c>
      <c r="AV620">
        <v>2</v>
      </c>
      <c r="AW620" t="s">
        <v>84</v>
      </c>
      <c r="AX620">
        <v>4</v>
      </c>
      <c r="AY620" t="str">
        <f t="shared" si="135"/>
        <v>2-5</v>
      </c>
      <c r="AZ620">
        <v>3</v>
      </c>
      <c r="BA620" t="str">
        <f t="shared" si="147"/>
        <v>2-5</v>
      </c>
      <c r="BB620">
        <v>0</v>
      </c>
      <c r="BC620" t="str">
        <f t="shared" si="148"/>
        <v>0-1</v>
      </c>
      <c r="BD620">
        <v>1</v>
      </c>
      <c r="BE620" t="str">
        <f t="shared" si="149"/>
        <v>0-1</v>
      </c>
    </row>
    <row r="621" spans="1:57" x14ac:dyDescent="0.3">
      <c r="A621">
        <v>855</v>
      </c>
      <c r="B621">
        <v>33</v>
      </c>
      <c r="C621" t="str">
        <f t="shared" si="136"/>
        <v>26-35</v>
      </c>
      <c r="D621" t="s">
        <v>71</v>
      </c>
      <c r="E621">
        <f t="shared" si="137"/>
        <v>0</v>
      </c>
      <c r="F621" t="s">
        <v>57</v>
      </c>
      <c r="G621">
        <v>586</v>
      </c>
      <c r="H621" t="str">
        <f t="shared" si="138"/>
        <v>501-1000</v>
      </c>
      <c r="I621" t="s">
        <v>58</v>
      </c>
      <c r="J621">
        <v>1</v>
      </c>
      <c r="K621" t="str">
        <f t="shared" si="139"/>
        <v>1-5</v>
      </c>
      <c r="L621">
        <v>3</v>
      </c>
      <c r="M621" t="s">
        <v>85</v>
      </c>
      <c r="N621" t="s">
        <v>83</v>
      </c>
      <c r="O621">
        <v>1</v>
      </c>
      <c r="P621">
        <v>1</v>
      </c>
      <c r="Q621" t="s">
        <v>69</v>
      </c>
      <c r="R621" t="s">
        <v>75</v>
      </c>
      <c r="S621">
        <v>48</v>
      </c>
      <c r="T621" t="str">
        <f t="shared" si="140"/>
        <v>30-50</v>
      </c>
      <c r="U621">
        <v>4</v>
      </c>
      <c r="V621" t="s">
        <v>65</v>
      </c>
      <c r="W621">
        <v>2</v>
      </c>
      <c r="X621" t="s">
        <v>64</v>
      </c>
      <c r="Y621">
        <v>1</v>
      </c>
      <c r="Z621" t="s">
        <v>69</v>
      </c>
      <c r="AA621" t="s">
        <v>86</v>
      </c>
      <c r="AB621" s="4">
        <v>4037</v>
      </c>
      <c r="AC621" s="4" t="str">
        <f t="shared" si="141"/>
        <v>$4,000-$5,500</v>
      </c>
      <c r="AD621">
        <v>21816</v>
      </c>
      <c r="AE621" t="str">
        <f t="shared" si="142"/>
        <v>$16,001-$22,000</v>
      </c>
      <c r="AF621">
        <v>1</v>
      </c>
      <c r="AG621" t="str">
        <f t="shared" si="143"/>
        <v>0-1</v>
      </c>
      <c r="AH621" t="s">
        <v>67</v>
      </c>
      <c r="AI621" t="s">
        <v>71</v>
      </c>
      <c r="AJ621">
        <v>22</v>
      </c>
      <c r="AK621" t="str">
        <f t="shared" si="144"/>
        <v>18-19%</v>
      </c>
      <c r="AL621">
        <v>4</v>
      </c>
      <c r="AM621" t="s">
        <v>78</v>
      </c>
      <c r="AN621">
        <v>1</v>
      </c>
      <c r="AO621" t="s">
        <v>69</v>
      </c>
      <c r="AP621">
        <v>80</v>
      </c>
      <c r="AQ621">
        <v>1</v>
      </c>
      <c r="AR621">
        <v>9</v>
      </c>
      <c r="AS621" t="str">
        <f t="shared" si="145"/>
        <v>6-10</v>
      </c>
      <c r="AT621">
        <v>5</v>
      </c>
      <c r="AU621" t="str">
        <f t="shared" si="146"/>
        <v>5-6</v>
      </c>
      <c r="AV621">
        <v>3</v>
      </c>
      <c r="AW621" t="s">
        <v>79</v>
      </c>
      <c r="AX621">
        <v>9</v>
      </c>
      <c r="AY621" t="str">
        <f t="shared" si="135"/>
        <v>6-10</v>
      </c>
      <c r="AZ621">
        <v>8</v>
      </c>
      <c r="BA621" t="str">
        <f t="shared" si="147"/>
        <v>6-10</v>
      </c>
      <c r="BB621">
        <v>0</v>
      </c>
      <c r="BC621" t="str">
        <f t="shared" si="148"/>
        <v>0-1</v>
      </c>
      <c r="BD621">
        <v>8</v>
      </c>
      <c r="BE621" t="str">
        <f t="shared" si="149"/>
        <v>6-10</v>
      </c>
    </row>
    <row r="622" spans="1:57" x14ac:dyDescent="0.3">
      <c r="A622">
        <v>856</v>
      </c>
      <c r="B622">
        <v>35</v>
      </c>
      <c r="C622" t="str">
        <f t="shared" si="136"/>
        <v>26-35</v>
      </c>
      <c r="D622" t="s">
        <v>71</v>
      </c>
      <c r="E622">
        <f t="shared" si="137"/>
        <v>0</v>
      </c>
      <c r="F622" t="s">
        <v>57</v>
      </c>
      <c r="G622">
        <v>1343</v>
      </c>
      <c r="H622" t="str">
        <f t="shared" si="138"/>
        <v>1001-1499</v>
      </c>
      <c r="I622" t="s">
        <v>73</v>
      </c>
      <c r="J622">
        <v>27</v>
      </c>
      <c r="K622" t="str">
        <f t="shared" si="139"/>
        <v>21-29</v>
      </c>
      <c r="L622">
        <v>1</v>
      </c>
      <c r="M622" t="s">
        <v>74</v>
      </c>
      <c r="N622" t="s">
        <v>83</v>
      </c>
      <c r="O622">
        <v>1</v>
      </c>
      <c r="P622">
        <v>3</v>
      </c>
      <c r="Q622" t="s">
        <v>63</v>
      </c>
      <c r="R622" t="s">
        <v>62</v>
      </c>
      <c r="S622">
        <v>53</v>
      </c>
      <c r="T622" t="str">
        <f t="shared" si="140"/>
        <v>51-75</v>
      </c>
      <c r="U622">
        <v>2</v>
      </c>
      <c r="V622" t="s">
        <v>61</v>
      </c>
      <c r="W622">
        <v>1</v>
      </c>
      <c r="X622" t="s">
        <v>76</v>
      </c>
      <c r="Y622">
        <v>1</v>
      </c>
      <c r="Z622" t="s">
        <v>69</v>
      </c>
      <c r="AA622" t="s">
        <v>66</v>
      </c>
      <c r="AB622" s="4">
        <v>2559</v>
      </c>
      <c r="AC622" s="4" t="str">
        <f t="shared" si="141"/>
        <v>$2,500-$4,000</v>
      </c>
      <c r="AD622">
        <v>17852</v>
      </c>
      <c r="AE622" t="str">
        <f t="shared" si="142"/>
        <v>$16,001-$22,000</v>
      </c>
      <c r="AF622">
        <v>1</v>
      </c>
      <c r="AG622" t="str">
        <f t="shared" si="143"/>
        <v>0-1</v>
      </c>
      <c r="AH622" t="s">
        <v>67</v>
      </c>
      <c r="AI622" t="s">
        <v>71</v>
      </c>
      <c r="AJ622">
        <v>11</v>
      </c>
      <c r="AK622" t="str">
        <f t="shared" si="144"/>
        <v>11-12%</v>
      </c>
      <c r="AL622">
        <v>3</v>
      </c>
      <c r="AM622" t="s">
        <v>68</v>
      </c>
      <c r="AN622">
        <v>4</v>
      </c>
      <c r="AO622" t="s">
        <v>65</v>
      </c>
      <c r="AP622">
        <v>80</v>
      </c>
      <c r="AQ622">
        <v>0</v>
      </c>
      <c r="AR622">
        <v>6</v>
      </c>
      <c r="AS622" t="str">
        <f t="shared" si="145"/>
        <v>6-10</v>
      </c>
      <c r="AT622">
        <v>3</v>
      </c>
      <c r="AU622" t="str">
        <f t="shared" si="146"/>
        <v>3-4</v>
      </c>
      <c r="AV622">
        <v>2</v>
      </c>
      <c r="AW622" t="s">
        <v>84</v>
      </c>
      <c r="AX622">
        <v>6</v>
      </c>
      <c r="AY622" t="str">
        <f t="shared" si="135"/>
        <v>6-10</v>
      </c>
      <c r="AZ622">
        <v>5</v>
      </c>
      <c r="BA622" t="str">
        <f t="shared" si="147"/>
        <v>2-5</v>
      </c>
      <c r="BB622">
        <v>1</v>
      </c>
      <c r="BC622" t="str">
        <f t="shared" si="148"/>
        <v>0-1</v>
      </c>
      <c r="BD622">
        <v>1</v>
      </c>
      <c r="BE622" t="str">
        <f t="shared" si="149"/>
        <v>0-1</v>
      </c>
    </row>
    <row r="623" spans="1:57" x14ac:dyDescent="0.3">
      <c r="A623">
        <v>857</v>
      </c>
      <c r="B623">
        <v>36</v>
      </c>
      <c r="C623" t="str">
        <f t="shared" si="136"/>
        <v>36-45</v>
      </c>
      <c r="D623" t="s">
        <v>71</v>
      </c>
      <c r="E623">
        <f t="shared" si="137"/>
        <v>0</v>
      </c>
      <c r="F623" t="s">
        <v>57</v>
      </c>
      <c r="G623">
        <v>928</v>
      </c>
      <c r="H623" t="str">
        <f t="shared" si="138"/>
        <v>501-1000</v>
      </c>
      <c r="I623" t="s">
        <v>58</v>
      </c>
      <c r="J623">
        <v>1</v>
      </c>
      <c r="K623" t="str">
        <f t="shared" si="139"/>
        <v>1-5</v>
      </c>
      <c r="L623">
        <v>2</v>
      </c>
      <c r="M623" t="s">
        <v>59</v>
      </c>
      <c r="N623" t="s">
        <v>60</v>
      </c>
      <c r="O623">
        <v>1</v>
      </c>
      <c r="P623">
        <v>2</v>
      </c>
      <c r="Q623" t="s">
        <v>61</v>
      </c>
      <c r="R623" t="s">
        <v>75</v>
      </c>
      <c r="S623">
        <v>56</v>
      </c>
      <c r="T623" t="str">
        <f t="shared" si="140"/>
        <v>51-75</v>
      </c>
      <c r="U623">
        <v>3</v>
      </c>
      <c r="V623" t="s">
        <v>63</v>
      </c>
      <c r="W623">
        <v>2</v>
      </c>
      <c r="X623" t="s">
        <v>64</v>
      </c>
      <c r="Y623">
        <v>4</v>
      </c>
      <c r="Z623" t="s">
        <v>65</v>
      </c>
      <c r="AA623" t="s">
        <v>77</v>
      </c>
      <c r="AB623" s="4">
        <v>6201</v>
      </c>
      <c r="AC623" s="4" t="str">
        <f t="shared" si="141"/>
        <v>$5,500-$7,000</v>
      </c>
      <c r="AD623">
        <v>2823</v>
      </c>
      <c r="AE623" t="str">
        <f t="shared" si="142"/>
        <v>$2,094-$8,000</v>
      </c>
      <c r="AF623">
        <v>1</v>
      </c>
      <c r="AG623" t="str">
        <f t="shared" si="143"/>
        <v>0-1</v>
      </c>
      <c r="AH623" t="s">
        <v>67</v>
      </c>
      <c r="AI623" t="s">
        <v>56</v>
      </c>
      <c r="AJ623">
        <v>14</v>
      </c>
      <c r="AK623" t="str">
        <f t="shared" si="144"/>
        <v>13-15%</v>
      </c>
      <c r="AL623">
        <v>3</v>
      </c>
      <c r="AM623" t="s">
        <v>68</v>
      </c>
      <c r="AN623">
        <v>4</v>
      </c>
      <c r="AO623" t="s">
        <v>65</v>
      </c>
      <c r="AP623">
        <v>80</v>
      </c>
      <c r="AQ623">
        <v>1</v>
      </c>
      <c r="AR623">
        <v>18</v>
      </c>
      <c r="AS623" t="str">
        <f t="shared" si="145"/>
        <v>11-20</v>
      </c>
      <c r="AT623">
        <v>1</v>
      </c>
      <c r="AU623" t="str">
        <f t="shared" si="146"/>
        <v>0-2</v>
      </c>
      <c r="AV623">
        <v>2</v>
      </c>
      <c r="AW623" t="s">
        <v>84</v>
      </c>
      <c r="AX623">
        <v>18</v>
      </c>
      <c r="AY623" t="str">
        <f t="shared" si="135"/>
        <v>11-20</v>
      </c>
      <c r="AZ623">
        <v>14</v>
      </c>
      <c r="BA623" t="str">
        <f t="shared" si="147"/>
        <v>11-18</v>
      </c>
      <c r="BB623">
        <v>4</v>
      </c>
      <c r="BC623" t="str">
        <f t="shared" si="148"/>
        <v>2-5</v>
      </c>
      <c r="BD623">
        <v>11</v>
      </c>
      <c r="BE623" t="str">
        <f t="shared" si="149"/>
        <v>11-17</v>
      </c>
    </row>
    <row r="624" spans="1:57" x14ac:dyDescent="0.3">
      <c r="A624">
        <v>859</v>
      </c>
      <c r="B624">
        <v>32</v>
      </c>
      <c r="C624" t="str">
        <f t="shared" si="136"/>
        <v>26-35</v>
      </c>
      <c r="D624" t="s">
        <v>71</v>
      </c>
      <c r="E624">
        <f t="shared" si="137"/>
        <v>0</v>
      </c>
      <c r="F624" t="s">
        <v>57</v>
      </c>
      <c r="G624">
        <v>117</v>
      </c>
      <c r="H624" t="str">
        <f t="shared" si="138"/>
        <v>102-500</v>
      </c>
      <c r="I624" t="s">
        <v>58</v>
      </c>
      <c r="J624">
        <v>13</v>
      </c>
      <c r="K624" t="str">
        <f t="shared" si="139"/>
        <v>11-20</v>
      </c>
      <c r="L624">
        <v>4</v>
      </c>
      <c r="M624" t="s">
        <v>82</v>
      </c>
      <c r="N624" t="s">
        <v>60</v>
      </c>
      <c r="O624">
        <v>1</v>
      </c>
      <c r="P624">
        <v>2</v>
      </c>
      <c r="Q624" t="s">
        <v>61</v>
      </c>
      <c r="R624" t="s">
        <v>75</v>
      </c>
      <c r="S624">
        <v>73</v>
      </c>
      <c r="T624" t="str">
        <f t="shared" si="140"/>
        <v>51-75</v>
      </c>
      <c r="U624">
        <v>3</v>
      </c>
      <c r="V624" t="s">
        <v>63</v>
      </c>
      <c r="W624">
        <v>2</v>
      </c>
      <c r="X624" t="s">
        <v>64</v>
      </c>
      <c r="Y624">
        <v>4</v>
      </c>
      <c r="Z624" t="s">
        <v>65</v>
      </c>
      <c r="AA624" t="s">
        <v>86</v>
      </c>
      <c r="AB624" s="4">
        <v>4403</v>
      </c>
      <c r="AC624" s="4" t="str">
        <f t="shared" si="141"/>
        <v>$4,000-$5,500</v>
      </c>
      <c r="AD624">
        <v>9250</v>
      </c>
      <c r="AE624" t="str">
        <f t="shared" si="142"/>
        <v>$8,001-$16,000</v>
      </c>
      <c r="AF624">
        <v>2</v>
      </c>
      <c r="AG624" t="str">
        <f t="shared" si="143"/>
        <v>2-3</v>
      </c>
      <c r="AH624" t="s">
        <v>67</v>
      </c>
      <c r="AI624" t="s">
        <v>71</v>
      </c>
      <c r="AJ624">
        <v>11</v>
      </c>
      <c r="AK624" t="str">
        <f t="shared" si="144"/>
        <v>11-12%</v>
      </c>
      <c r="AL624">
        <v>3</v>
      </c>
      <c r="AM624" t="s">
        <v>68</v>
      </c>
      <c r="AN624">
        <v>3</v>
      </c>
      <c r="AO624" t="s">
        <v>63</v>
      </c>
      <c r="AP624">
        <v>80</v>
      </c>
      <c r="AQ624">
        <v>1</v>
      </c>
      <c r="AR624">
        <v>8</v>
      </c>
      <c r="AS624" t="str">
        <f t="shared" si="145"/>
        <v>6-10</v>
      </c>
      <c r="AT624">
        <v>3</v>
      </c>
      <c r="AU624" t="str">
        <f t="shared" si="146"/>
        <v>3-4</v>
      </c>
      <c r="AV624">
        <v>2</v>
      </c>
      <c r="AW624" t="s">
        <v>84</v>
      </c>
      <c r="AX624">
        <v>5</v>
      </c>
      <c r="AY624" t="str">
        <f t="shared" si="135"/>
        <v>2-5</v>
      </c>
      <c r="AZ624">
        <v>2</v>
      </c>
      <c r="BA624" t="str">
        <f t="shared" si="147"/>
        <v>2-5</v>
      </c>
      <c r="BB624">
        <v>0</v>
      </c>
      <c r="BC624" t="str">
        <f t="shared" si="148"/>
        <v>0-1</v>
      </c>
      <c r="BD624">
        <v>3</v>
      </c>
      <c r="BE624" t="str">
        <f t="shared" si="149"/>
        <v>2-5</v>
      </c>
    </row>
    <row r="625" spans="1:57" x14ac:dyDescent="0.3">
      <c r="A625">
        <v>861</v>
      </c>
      <c r="B625">
        <v>30</v>
      </c>
      <c r="C625" t="str">
        <f t="shared" si="136"/>
        <v>26-35</v>
      </c>
      <c r="D625" t="s">
        <v>71</v>
      </c>
      <c r="E625">
        <f t="shared" si="137"/>
        <v>0</v>
      </c>
      <c r="F625" t="s">
        <v>72</v>
      </c>
      <c r="G625">
        <v>1012</v>
      </c>
      <c r="H625" t="str">
        <f t="shared" si="138"/>
        <v>1001-1499</v>
      </c>
      <c r="I625" t="s">
        <v>73</v>
      </c>
      <c r="J625">
        <v>5</v>
      </c>
      <c r="K625" t="str">
        <f t="shared" si="139"/>
        <v>1-5</v>
      </c>
      <c r="L625">
        <v>4</v>
      </c>
      <c r="M625" t="s">
        <v>82</v>
      </c>
      <c r="N625" t="s">
        <v>60</v>
      </c>
      <c r="O625">
        <v>1</v>
      </c>
      <c r="P625">
        <v>2</v>
      </c>
      <c r="Q625" t="s">
        <v>61</v>
      </c>
      <c r="R625" t="s">
        <v>75</v>
      </c>
      <c r="S625">
        <v>75</v>
      </c>
      <c r="T625" t="str">
        <f t="shared" si="140"/>
        <v>51-75</v>
      </c>
      <c r="U625">
        <v>2</v>
      </c>
      <c r="V625" t="s">
        <v>61</v>
      </c>
      <c r="W625">
        <v>1</v>
      </c>
      <c r="X625" t="s">
        <v>76</v>
      </c>
      <c r="Y625">
        <v>4</v>
      </c>
      <c r="Z625" t="s">
        <v>65</v>
      </c>
      <c r="AA625" t="s">
        <v>86</v>
      </c>
      <c r="AB625" s="4">
        <v>3761</v>
      </c>
      <c r="AC625" s="4" t="str">
        <f t="shared" si="141"/>
        <v>$2,500-$4,000</v>
      </c>
      <c r="AD625">
        <v>2373</v>
      </c>
      <c r="AE625" t="str">
        <f t="shared" si="142"/>
        <v>$2,094-$8,000</v>
      </c>
      <c r="AF625">
        <v>9</v>
      </c>
      <c r="AG625" t="str">
        <f t="shared" si="143"/>
        <v>7-9</v>
      </c>
      <c r="AH625" t="s">
        <v>67</v>
      </c>
      <c r="AI625" t="s">
        <v>71</v>
      </c>
      <c r="AJ625">
        <v>12</v>
      </c>
      <c r="AK625" t="str">
        <f t="shared" si="144"/>
        <v>11-12%</v>
      </c>
      <c r="AL625">
        <v>3</v>
      </c>
      <c r="AM625" t="s">
        <v>68</v>
      </c>
      <c r="AN625">
        <v>2</v>
      </c>
      <c r="AO625" t="s">
        <v>61</v>
      </c>
      <c r="AP625">
        <v>80</v>
      </c>
      <c r="AQ625">
        <v>1</v>
      </c>
      <c r="AR625">
        <v>10</v>
      </c>
      <c r="AS625" t="str">
        <f t="shared" si="145"/>
        <v>6-10</v>
      </c>
      <c r="AT625">
        <v>3</v>
      </c>
      <c r="AU625" t="str">
        <f t="shared" si="146"/>
        <v>3-4</v>
      </c>
      <c r="AV625">
        <v>2</v>
      </c>
      <c r="AW625" t="s">
        <v>84</v>
      </c>
      <c r="AX625">
        <v>5</v>
      </c>
      <c r="AY625" t="str">
        <f t="shared" si="135"/>
        <v>2-5</v>
      </c>
      <c r="AZ625">
        <v>4</v>
      </c>
      <c r="BA625" t="str">
        <f t="shared" si="147"/>
        <v>2-5</v>
      </c>
      <c r="BB625">
        <v>0</v>
      </c>
      <c r="BC625" t="str">
        <f t="shared" si="148"/>
        <v>0-1</v>
      </c>
      <c r="BD625">
        <v>3</v>
      </c>
      <c r="BE625" t="str">
        <f t="shared" si="149"/>
        <v>2-5</v>
      </c>
    </row>
    <row r="626" spans="1:57" x14ac:dyDescent="0.3">
      <c r="A626">
        <v>862</v>
      </c>
      <c r="B626">
        <v>53</v>
      </c>
      <c r="C626" t="str">
        <f t="shared" si="136"/>
        <v>46-55</v>
      </c>
      <c r="D626" t="s">
        <v>71</v>
      </c>
      <c r="E626">
        <f t="shared" si="137"/>
        <v>0</v>
      </c>
      <c r="F626" t="s">
        <v>57</v>
      </c>
      <c r="G626">
        <v>661</v>
      </c>
      <c r="H626" t="str">
        <f t="shared" si="138"/>
        <v>501-1000</v>
      </c>
      <c r="I626" t="s">
        <v>58</v>
      </c>
      <c r="J626">
        <v>7</v>
      </c>
      <c r="K626" t="str">
        <f t="shared" si="139"/>
        <v>6-10</v>
      </c>
      <c r="L626">
        <v>2</v>
      </c>
      <c r="M626" t="s">
        <v>59</v>
      </c>
      <c r="N626" t="s">
        <v>93</v>
      </c>
      <c r="O626">
        <v>1</v>
      </c>
      <c r="P626">
        <v>1</v>
      </c>
      <c r="Q626" t="s">
        <v>69</v>
      </c>
      <c r="R626" t="s">
        <v>62</v>
      </c>
      <c r="S626">
        <v>78</v>
      </c>
      <c r="T626" t="str">
        <f t="shared" si="140"/>
        <v>76-100</v>
      </c>
      <c r="U626">
        <v>2</v>
      </c>
      <c r="V626" t="s">
        <v>61</v>
      </c>
      <c r="W626">
        <v>3</v>
      </c>
      <c r="X626" t="s">
        <v>64</v>
      </c>
      <c r="Y626">
        <v>4</v>
      </c>
      <c r="Z626" t="s">
        <v>65</v>
      </c>
      <c r="AA626" t="s">
        <v>77</v>
      </c>
      <c r="AB626" s="4">
        <v>10934</v>
      </c>
      <c r="AC626" s="4" t="str">
        <f t="shared" si="141"/>
        <v>$10,000-$11,500</v>
      </c>
      <c r="AD626">
        <v>20715</v>
      </c>
      <c r="AE626" t="str">
        <f t="shared" si="142"/>
        <v>$16,001-$22,000</v>
      </c>
      <c r="AF626">
        <v>7</v>
      </c>
      <c r="AG626" t="str">
        <f t="shared" si="143"/>
        <v>7-9</v>
      </c>
      <c r="AH626" t="s">
        <v>67</v>
      </c>
      <c r="AI626" t="s">
        <v>56</v>
      </c>
      <c r="AJ626">
        <v>18</v>
      </c>
      <c r="AK626" t="str">
        <f t="shared" si="144"/>
        <v>18-19%</v>
      </c>
      <c r="AL626">
        <v>3</v>
      </c>
      <c r="AM626" t="s">
        <v>68</v>
      </c>
      <c r="AN626">
        <v>4</v>
      </c>
      <c r="AO626" t="s">
        <v>65</v>
      </c>
      <c r="AP626">
        <v>80</v>
      </c>
      <c r="AQ626">
        <v>1</v>
      </c>
      <c r="AR626">
        <v>35</v>
      </c>
      <c r="AS626" t="str">
        <f t="shared" si="145"/>
        <v>21-40</v>
      </c>
      <c r="AT626">
        <v>3</v>
      </c>
      <c r="AU626" t="str">
        <f t="shared" si="146"/>
        <v>3-4</v>
      </c>
      <c r="AV626">
        <v>3</v>
      </c>
      <c r="AW626" t="s">
        <v>79</v>
      </c>
      <c r="AX626">
        <v>5</v>
      </c>
      <c r="AY626" t="str">
        <f t="shared" si="135"/>
        <v>2-5</v>
      </c>
      <c r="AZ626">
        <v>2</v>
      </c>
      <c r="BA626" t="str">
        <f t="shared" si="147"/>
        <v>2-5</v>
      </c>
      <c r="BB626">
        <v>0</v>
      </c>
      <c r="BC626" t="str">
        <f t="shared" si="148"/>
        <v>0-1</v>
      </c>
      <c r="BD626">
        <v>4</v>
      </c>
      <c r="BE626" t="str">
        <f t="shared" si="149"/>
        <v>2-5</v>
      </c>
    </row>
    <row r="627" spans="1:57" x14ac:dyDescent="0.3">
      <c r="A627">
        <v>864</v>
      </c>
      <c r="B627">
        <v>45</v>
      </c>
      <c r="C627" t="str">
        <f t="shared" si="136"/>
        <v>36-45</v>
      </c>
      <c r="D627" t="s">
        <v>71</v>
      </c>
      <c r="E627">
        <f t="shared" si="137"/>
        <v>0</v>
      </c>
      <c r="F627" t="s">
        <v>57</v>
      </c>
      <c r="G627">
        <v>930</v>
      </c>
      <c r="H627" t="str">
        <f t="shared" si="138"/>
        <v>501-1000</v>
      </c>
      <c r="I627" t="s">
        <v>58</v>
      </c>
      <c r="J627">
        <v>9</v>
      </c>
      <c r="K627" t="str">
        <f t="shared" si="139"/>
        <v>6-10</v>
      </c>
      <c r="L627">
        <v>3</v>
      </c>
      <c r="M627" t="s">
        <v>85</v>
      </c>
      <c r="N627" t="s">
        <v>93</v>
      </c>
      <c r="O627">
        <v>1</v>
      </c>
      <c r="P627">
        <v>4</v>
      </c>
      <c r="Q627" t="s">
        <v>65</v>
      </c>
      <c r="R627" t="s">
        <v>75</v>
      </c>
      <c r="S627">
        <v>74</v>
      </c>
      <c r="T627" t="str">
        <f t="shared" si="140"/>
        <v>51-75</v>
      </c>
      <c r="U627">
        <v>3</v>
      </c>
      <c r="V627" t="s">
        <v>63</v>
      </c>
      <c r="W627">
        <v>3</v>
      </c>
      <c r="X627" t="s">
        <v>64</v>
      </c>
      <c r="Y627">
        <v>1</v>
      </c>
      <c r="Z627" t="s">
        <v>69</v>
      </c>
      <c r="AA627" t="s">
        <v>86</v>
      </c>
      <c r="AB627" s="4">
        <v>10761</v>
      </c>
      <c r="AC627" s="4" t="str">
        <f t="shared" si="141"/>
        <v>$10,000-$11,500</v>
      </c>
      <c r="AD627">
        <v>19239</v>
      </c>
      <c r="AE627" t="str">
        <f t="shared" si="142"/>
        <v>$16,001-$22,000</v>
      </c>
      <c r="AF627">
        <v>4</v>
      </c>
      <c r="AG627" t="str">
        <f t="shared" si="143"/>
        <v>4-6</v>
      </c>
      <c r="AH627" t="s">
        <v>67</v>
      </c>
      <c r="AI627" t="s">
        <v>56</v>
      </c>
      <c r="AJ627">
        <v>12</v>
      </c>
      <c r="AK627" t="str">
        <f t="shared" si="144"/>
        <v>11-12%</v>
      </c>
      <c r="AL627">
        <v>3</v>
      </c>
      <c r="AM627" t="s">
        <v>68</v>
      </c>
      <c r="AN627">
        <v>3</v>
      </c>
      <c r="AO627" t="s">
        <v>63</v>
      </c>
      <c r="AP627">
        <v>80</v>
      </c>
      <c r="AQ627">
        <v>1</v>
      </c>
      <c r="AR627">
        <v>18</v>
      </c>
      <c r="AS627" t="str">
        <f t="shared" si="145"/>
        <v>11-20</v>
      </c>
      <c r="AT627">
        <v>2</v>
      </c>
      <c r="AU627" t="str">
        <f t="shared" si="146"/>
        <v>0-2</v>
      </c>
      <c r="AV627">
        <v>3</v>
      </c>
      <c r="AW627" t="s">
        <v>79</v>
      </c>
      <c r="AX627">
        <v>5</v>
      </c>
      <c r="AY627" t="str">
        <f t="shared" si="135"/>
        <v>2-5</v>
      </c>
      <c r="AZ627">
        <v>4</v>
      </c>
      <c r="BA627" t="str">
        <f t="shared" si="147"/>
        <v>2-5</v>
      </c>
      <c r="BB627">
        <v>0</v>
      </c>
      <c r="BC627" t="str">
        <f t="shared" si="148"/>
        <v>0-1</v>
      </c>
      <c r="BD627">
        <v>2</v>
      </c>
      <c r="BE627" t="str">
        <f t="shared" si="149"/>
        <v>2-5</v>
      </c>
    </row>
    <row r="628" spans="1:57" x14ac:dyDescent="0.3">
      <c r="A628">
        <v>865</v>
      </c>
      <c r="B628">
        <v>32</v>
      </c>
      <c r="C628" t="str">
        <f t="shared" si="136"/>
        <v>26-35</v>
      </c>
      <c r="D628" t="s">
        <v>71</v>
      </c>
      <c r="E628">
        <f t="shared" si="137"/>
        <v>0</v>
      </c>
      <c r="F628" t="s">
        <v>57</v>
      </c>
      <c r="G628">
        <v>638</v>
      </c>
      <c r="H628" t="str">
        <f t="shared" si="138"/>
        <v>501-1000</v>
      </c>
      <c r="I628" t="s">
        <v>73</v>
      </c>
      <c r="J628">
        <v>8</v>
      </c>
      <c r="K628" t="str">
        <f t="shared" si="139"/>
        <v>6-10</v>
      </c>
      <c r="L628">
        <v>2</v>
      </c>
      <c r="M628" t="s">
        <v>59</v>
      </c>
      <c r="N628" t="s">
        <v>83</v>
      </c>
      <c r="O628">
        <v>1</v>
      </c>
      <c r="P628">
        <v>3</v>
      </c>
      <c r="Q628" t="s">
        <v>63</v>
      </c>
      <c r="R628" t="s">
        <v>62</v>
      </c>
      <c r="S628">
        <v>91</v>
      </c>
      <c r="T628" t="str">
        <f t="shared" si="140"/>
        <v>76-100</v>
      </c>
      <c r="U628">
        <v>4</v>
      </c>
      <c r="V628" t="s">
        <v>65</v>
      </c>
      <c r="W628">
        <v>2</v>
      </c>
      <c r="X628" t="s">
        <v>76</v>
      </c>
      <c r="Y628">
        <v>3</v>
      </c>
      <c r="Z628" t="s">
        <v>63</v>
      </c>
      <c r="AA628" t="s">
        <v>77</v>
      </c>
      <c r="AB628" s="4">
        <v>5175</v>
      </c>
      <c r="AC628" s="4" t="str">
        <f t="shared" si="141"/>
        <v>$4,000-$5,500</v>
      </c>
      <c r="AD628">
        <v>22162</v>
      </c>
      <c r="AE628" t="str">
        <f t="shared" si="142"/>
        <v>$22,001-$26,999</v>
      </c>
      <c r="AF628">
        <v>5</v>
      </c>
      <c r="AG628" t="str">
        <f t="shared" si="143"/>
        <v>4-6</v>
      </c>
      <c r="AH628" t="s">
        <v>67</v>
      </c>
      <c r="AI628" t="s">
        <v>71</v>
      </c>
      <c r="AJ628">
        <v>12</v>
      </c>
      <c r="AK628" t="str">
        <f t="shared" si="144"/>
        <v>11-12%</v>
      </c>
      <c r="AL628">
        <v>3</v>
      </c>
      <c r="AM628" t="s">
        <v>68</v>
      </c>
      <c r="AN628">
        <v>3</v>
      </c>
      <c r="AO628" t="s">
        <v>63</v>
      </c>
      <c r="AP628">
        <v>80</v>
      </c>
      <c r="AQ628">
        <v>1</v>
      </c>
      <c r="AR628">
        <v>9</v>
      </c>
      <c r="AS628" t="str">
        <f t="shared" si="145"/>
        <v>6-10</v>
      </c>
      <c r="AT628">
        <v>3</v>
      </c>
      <c r="AU628" t="str">
        <f t="shared" si="146"/>
        <v>3-4</v>
      </c>
      <c r="AV628">
        <v>2</v>
      </c>
      <c r="AW628" t="s">
        <v>84</v>
      </c>
      <c r="AX628">
        <v>5</v>
      </c>
      <c r="AY628" t="str">
        <f t="shared" si="135"/>
        <v>2-5</v>
      </c>
      <c r="AZ628">
        <v>3</v>
      </c>
      <c r="BA628" t="str">
        <f t="shared" si="147"/>
        <v>2-5</v>
      </c>
      <c r="BB628">
        <v>1</v>
      </c>
      <c r="BC628" t="str">
        <f t="shared" si="148"/>
        <v>0-1</v>
      </c>
      <c r="BD628">
        <v>3</v>
      </c>
      <c r="BE628" t="str">
        <f t="shared" si="149"/>
        <v>2-5</v>
      </c>
    </row>
    <row r="629" spans="1:57" x14ac:dyDescent="0.3">
      <c r="A629">
        <v>867</v>
      </c>
      <c r="B629">
        <v>52</v>
      </c>
      <c r="C629" t="str">
        <f t="shared" si="136"/>
        <v>46-55</v>
      </c>
      <c r="D629" t="s">
        <v>71</v>
      </c>
      <c r="E629">
        <f t="shared" si="137"/>
        <v>0</v>
      </c>
      <c r="F629" t="s">
        <v>72</v>
      </c>
      <c r="G629">
        <v>890</v>
      </c>
      <c r="H629" t="str">
        <f t="shared" si="138"/>
        <v>501-1000</v>
      </c>
      <c r="I629" t="s">
        <v>73</v>
      </c>
      <c r="J629">
        <v>25</v>
      </c>
      <c r="K629" t="str">
        <f t="shared" si="139"/>
        <v>21-29</v>
      </c>
      <c r="L629">
        <v>4</v>
      </c>
      <c r="M629" t="s">
        <v>82</v>
      </c>
      <c r="N629" t="s">
        <v>83</v>
      </c>
      <c r="O629">
        <v>1</v>
      </c>
      <c r="P629">
        <v>3</v>
      </c>
      <c r="Q629" t="s">
        <v>63</v>
      </c>
      <c r="R629" t="s">
        <v>62</v>
      </c>
      <c r="S629">
        <v>81</v>
      </c>
      <c r="T629" t="str">
        <f t="shared" si="140"/>
        <v>76-100</v>
      </c>
      <c r="U629">
        <v>2</v>
      </c>
      <c r="V629" t="s">
        <v>61</v>
      </c>
      <c r="W629">
        <v>4</v>
      </c>
      <c r="X629" t="s">
        <v>87</v>
      </c>
      <c r="Y629">
        <v>4</v>
      </c>
      <c r="Z629" t="s">
        <v>65</v>
      </c>
      <c r="AA629" t="s">
        <v>77</v>
      </c>
      <c r="AB629" s="4">
        <v>13826</v>
      </c>
      <c r="AC629" s="4" t="str">
        <f t="shared" si="141"/>
        <v>$13,000-$14,500</v>
      </c>
      <c r="AD629">
        <v>19028</v>
      </c>
      <c r="AE629" t="str">
        <f t="shared" si="142"/>
        <v>$16,001-$22,000</v>
      </c>
      <c r="AF629">
        <v>3</v>
      </c>
      <c r="AG629" t="str">
        <f t="shared" si="143"/>
        <v>2-3</v>
      </c>
      <c r="AH629" t="s">
        <v>67</v>
      </c>
      <c r="AI629" t="s">
        <v>71</v>
      </c>
      <c r="AJ629">
        <v>22</v>
      </c>
      <c r="AK629" t="str">
        <f t="shared" si="144"/>
        <v>18-19%</v>
      </c>
      <c r="AL629">
        <v>4</v>
      </c>
      <c r="AM629" t="s">
        <v>78</v>
      </c>
      <c r="AN629">
        <v>3</v>
      </c>
      <c r="AO629" t="s">
        <v>63</v>
      </c>
      <c r="AP629">
        <v>80</v>
      </c>
      <c r="AQ629">
        <v>0</v>
      </c>
      <c r="AR629">
        <v>31</v>
      </c>
      <c r="AS629" t="str">
        <f t="shared" si="145"/>
        <v>21-40</v>
      </c>
      <c r="AT629">
        <v>3</v>
      </c>
      <c r="AU629" t="str">
        <f t="shared" si="146"/>
        <v>3-4</v>
      </c>
      <c r="AV629">
        <v>3</v>
      </c>
      <c r="AW629" t="s">
        <v>79</v>
      </c>
      <c r="AX629">
        <v>9</v>
      </c>
      <c r="AY629" t="str">
        <f t="shared" si="135"/>
        <v>6-10</v>
      </c>
      <c r="AZ629">
        <v>8</v>
      </c>
      <c r="BA629" t="str">
        <f t="shared" si="147"/>
        <v>6-10</v>
      </c>
      <c r="BB629">
        <v>0</v>
      </c>
      <c r="BC629" t="str">
        <f t="shared" si="148"/>
        <v>0-1</v>
      </c>
      <c r="BD629">
        <v>0</v>
      </c>
      <c r="BE629" t="str">
        <f t="shared" si="149"/>
        <v>0-1</v>
      </c>
    </row>
    <row r="630" spans="1:57" x14ac:dyDescent="0.3">
      <c r="A630">
        <v>868</v>
      </c>
      <c r="B630">
        <v>37</v>
      </c>
      <c r="C630" t="str">
        <f t="shared" si="136"/>
        <v>36-45</v>
      </c>
      <c r="D630" t="s">
        <v>71</v>
      </c>
      <c r="E630">
        <f t="shared" si="137"/>
        <v>0</v>
      </c>
      <c r="F630" t="s">
        <v>57</v>
      </c>
      <c r="G630">
        <v>342</v>
      </c>
      <c r="H630" t="str">
        <f t="shared" si="138"/>
        <v>102-500</v>
      </c>
      <c r="I630" t="s">
        <v>58</v>
      </c>
      <c r="J630">
        <v>16</v>
      </c>
      <c r="K630" t="str">
        <f t="shared" si="139"/>
        <v>11-20</v>
      </c>
      <c r="L630">
        <v>4</v>
      </c>
      <c r="M630" t="s">
        <v>82</v>
      </c>
      <c r="N630" t="s">
        <v>93</v>
      </c>
      <c r="O630">
        <v>1</v>
      </c>
      <c r="P630">
        <v>4</v>
      </c>
      <c r="Q630" t="s">
        <v>65</v>
      </c>
      <c r="R630" t="s">
        <v>75</v>
      </c>
      <c r="S630">
        <v>66</v>
      </c>
      <c r="T630" t="str">
        <f t="shared" si="140"/>
        <v>51-75</v>
      </c>
      <c r="U630">
        <v>2</v>
      </c>
      <c r="V630" t="s">
        <v>61</v>
      </c>
      <c r="W630">
        <v>2</v>
      </c>
      <c r="X630" t="s">
        <v>64</v>
      </c>
      <c r="Y630">
        <v>3</v>
      </c>
      <c r="Z630" t="s">
        <v>63</v>
      </c>
      <c r="AA630" t="s">
        <v>86</v>
      </c>
      <c r="AB630" s="4">
        <v>6334</v>
      </c>
      <c r="AC630" s="4" t="str">
        <f t="shared" si="141"/>
        <v>$5,500-$7,000</v>
      </c>
      <c r="AD630">
        <v>24558</v>
      </c>
      <c r="AE630" t="str">
        <f t="shared" si="142"/>
        <v>$22,001-$26,999</v>
      </c>
      <c r="AF630">
        <v>4</v>
      </c>
      <c r="AG630" t="str">
        <f t="shared" si="143"/>
        <v>4-6</v>
      </c>
      <c r="AH630" t="s">
        <v>67</v>
      </c>
      <c r="AI630" t="s">
        <v>71</v>
      </c>
      <c r="AJ630">
        <v>19</v>
      </c>
      <c r="AK630" t="str">
        <f t="shared" si="144"/>
        <v>18-19%</v>
      </c>
      <c r="AL630">
        <v>3</v>
      </c>
      <c r="AM630" t="s">
        <v>68</v>
      </c>
      <c r="AN630">
        <v>4</v>
      </c>
      <c r="AO630" t="s">
        <v>65</v>
      </c>
      <c r="AP630">
        <v>80</v>
      </c>
      <c r="AQ630">
        <v>2</v>
      </c>
      <c r="AR630">
        <v>9</v>
      </c>
      <c r="AS630" t="str">
        <f t="shared" si="145"/>
        <v>6-10</v>
      </c>
      <c r="AT630">
        <v>2</v>
      </c>
      <c r="AU630" t="str">
        <f t="shared" si="146"/>
        <v>0-2</v>
      </c>
      <c r="AV630">
        <v>3</v>
      </c>
      <c r="AW630" t="s">
        <v>79</v>
      </c>
      <c r="AX630">
        <v>1</v>
      </c>
      <c r="AY630" t="str">
        <f t="shared" si="135"/>
        <v>0-1</v>
      </c>
      <c r="AZ630">
        <v>0</v>
      </c>
      <c r="BA630" t="str">
        <f t="shared" si="147"/>
        <v>0-1</v>
      </c>
      <c r="BB630">
        <v>0</v>
      </c>
      <c r="BC630" t="str">
        <f t="shared" si="148"/>
        <v>0-1</v>
      </c>
      <c r="BD630">
        <v>0</v>
      </c>
      <c r="BE630" t="str">
        <f t="shared" si="149"/>
        <v>0-1</v>
      </c>
    </row>
    <row r="631" spans="1:57" x14ac:dyDescent="0.3">
      <c r="A631">
        <v>869</v>
      </c>
      <c r="B631">
        <v>28</v>
      </c>
      <c r="C631" t="str">
        <f t="shared" si="136"/>
        <v>26-35</v>
      </c>
      <c r="D631" t="s">
        <v>71</v>
      </c>
      <c r="E631">
        <f t="shared" si="137"/>
        <v>0</v>
      </c>
      <c r="F631" t="s">
        <v>57</v>
      </c>
      <c r="G631">
        <v>1169</v>
      </c>
      <c r="H631" t="str">
        <f t="shared" si="138"/>
        <v>1001-1499</v>
      </c>
      <c r="I631" t="s">
        <v>97</v>
      </c>
      <c r="J631">
        <v>8</v>
      </c>
      <c r="K631" t="str">
        <f t="shared" si="139"/>
        <v>6-10</v>
      </c>
      <c r="L631">
        <v>2</v>
      </c>
      <c r="M631" t="s">
        <v>59</v>
      </c>
      <c r="N631" t="s">
        <v>83</v>
      </c>
      <c r="O631">
        <v>1</v>
      </c>
      <c r="P631">
        <v>2</v>
      </c>
      <c r="Q631" t="s">
        <v>61</v>
      </c>
      <c r="R631" t="s">
        <v>75</v>
      </c>
      <c r="S631">
        <v>63</v>
      </c>
      <c r="T631" t="str">
        <f t="shared" si="140"/>
        <v>51-75</v>
      </c>
      <c r="U631">
        <v>2</v>
      </c>
      <c r="V631" t="s">
        <v>61</v>
      </c>
      <c r="W631">
        <v>1</v>
      </c>
      <c r="X631" t="s">
        <v>97</v>
      </c>
      <c r="Y631">
        <v>4</v>
      </c>
      <c r="Z631" t="s">
        <v>65</v>
      </c>
      <c r="AA631" t="s">
        <v>86</v>
      </c>
      <c r="AB631" s="4">
        <v>4936</v>
      </c>
      <c r="AC631" s="4" t="str">
        <f t="shared" si="141"/>
        <v>$4,000-$5,500</v>
      </c>
      <c r="AD631">
        <v>23965</v>
      </c>
      <c r="AE631" t="str">
        <f t="shared" si="142"/>
        <v>$22,001-$26,999</v>
      </c>
      <c r="AF631">
        <v>1</v>
      </c>
      <c r="AG631" t="str">
        <f t="shared" si="143"/>
        <v>0-1</v>
      </c>
      <c r="AH631" t="s">
        <v>67</v>
      </c>
      <c r="AI631" t="s">
        <v>71</v>
      </c>
      <c r="AJ631">
        <v>13</v>
      </c>
      <c r="AK631" t="str">
        <f t="shared" si="144"/>
        <v>13-15%</v>
      </c>
      <c r="AL631">
        <v>3</v>
      </c>
      <c r="AM631" t="s">
        <v>68</v>
      </c>
      <c r="AN631">
        <v>4</v>
      </c>
      <c r="AO631" t="s">
        <v>65</v>
      </c>
      <c r="AP631">
        <v>80</v>
      </c>
      <c r="AQ631">
        <v>1</v>
      </c>
      <c r="AR631">
        <v>6</v>
      </c>
      <c r="AS631" t="str">
        <f t="shared" si="145"/>
        <v>6-10</v>
      </c>
      <c r="AT631">
        <v>6</v>
      </c>
      <c r="AU631" t="str">
        <f t="shared" si="146"/>
        <v>5-6</v>
      </c>
      <c r="AV631">
        <v>3</v>
      </c>
      <c r="AW631" t="s">
        <v>79</v>
      </c>
      <c r="AX631">
        <v>5</v>
      </c>
      <c r="AY631" t="str">
        <f t="shared" si="135"/>
        <v>2-5</v>
      </c>
      <c r="AZ631">
        <v>1</v>
      </c>
      <c r="BA631" t="str">
        <f t="shared" si="147"/>
        <v>0-1</v>
      </c>
      <c r="BB631">
        <v>0</v>
      </c>
      <c r="BC631" t="str">
        <f t="shared" si="148"/>
        <v>0-1</v>
      </c>
      <c r="BD631">
        <v>4</v>
      </c>
      <c r="BE631" t="str">
        <f t="shared" si="149"/>
        <v>2-5</v>
      </c>
    </row>
    <row r="632" spans="1:57" x14ac:dyDescent="0.3">
      <c r="A632">
        <v>872</v>
      </c>
      <c r="B632">
        <v>22</v>
      </c>
      <c r="C632" t="str">
        <f t="shared" si="136"/>
        <v>18-25</v>
      </c>
      <c r="D632" t="s">
        <v>71</v>
      </c>
      <c r="E632">
        <f t="shared" si="137"/>
        <v>0</v>
      </c>
      <c r="F632" t="s">
        <v>57</v>
      </c>
      <c r="G632">
        <v>1230</v>
      </c>
      <c r="H632" t="str">
        <f t="shared" si="138"/>
        <v>1001-1499</v>
      </c>
      <c r="I632" t="s">
        <v>73</v>
      </c>
      <c r="J632">
        <v>1</v>
      </c>
      <c r="K632" t="str">
        <f t="shared" si="139"/>
        <v>1-5</v>
      </c>
      <c r="L632">
        <v>2</v>
      </c>
      <c r="M632" t="s">
        <v>59</v>
      </c>
      <c r="N632" t="s">
        <v>60</v>
      </c>
      <c r="O632">
        <v>1</v>
      </c>
      <c r="P632">
        <v>4</v>
      </c>
      <c r="Q632" t="s">
        <v>65</v>
      </c>
      <c r="R632" t="s">
        <v>75</v>
      </c>
      <c r="S632">
        <v>33</v>
      </c>
      <c r="T632" t="str">
        <f t="shared" si="140"/>
        <v>30-50</v>
      </c>
      <c r="U632">
        <v>2</v>
      </c>
      <c r="V632" t="s">
        <v>61</v>
      </c>
      <c r="W632">
        <v>2</v>
      </c>
      <c r="X632" t="s">
        <v>87</v>
      </c>
      <c r="Y632">
        <v>4</v>
      </c>
      <c r="Z632" t="s">
        <v>65</v>
      </c>
      <c r="AA632" t="s">
        <v>77</v>
      </c>
      <c r="AB632" s="4">
        <v>4775</v>
      </c>
      <c r="AC632" s="4" t="str">
        <f t="shared" si="141"/>
        <v>$4,000-$5,500</v>
      </c>
      <c r="AD632">
        <v>19146</v>
      </c>
      <c r="AE632" t="str">
        <f t="shared" si="142"/>
        <v>$16,001-$22,000</v>
      </c>
      <c r="AF632">
        <v>6</v>
      </c>
      <c r="AG632" t="str">
        <f t="shared" si="143"/>
        <v>4-6</v>
      </c>
      <c r="AH632" t="s">
        <v>67</v>
      </c>
      <c r="AI632" t="s">
        <v>71</v>
      </c>
      <c r="AJ632">
        <v>22</v>
      </c>
      <c r="AK632" t="str">
        <f t="shared" si="144"/>
        <v>18-19%</v>
      </c>
      <c r="AL632">
        <v>4</v>
      </c>
      <c r="AM632" t="s">
        <v>78</v>
      </c>
      <c r="AN632">
        <v>1</v>
      </c>
      <c r="AO632" t="s">
        <v>69</v>
      </c>
      <c r="AP632">
        <v>80</v>
      </c>
      <c r="AQ632">
        <v>2</v>
      </c>
      <c r="AR632">
        <v>4</v>
      </c>
      <c r="AS632" t="str">
        <f t="shared" si="145"/>
        <v>3-5</v>
      </c>
      <c r="AT632">
        <v>2</v>
      </c>
      <c r="AU632" t="str">
        <f t="shared" si="146"/>
        <v>0-2</v>
      </c>
      <c r="AV632">
        <v>1</v>
      </c>
      <c r="AW632" t="s">
        <v>70</v>
      </c>
      <c r="AX632">
        <v>2</v>
      </c>
      <c r="AY632" t="str">
        <f t="shared" si="135"/>
        <v>2-5</v>
      </c>
      <c r="AZ632">
        <v>2</v>
      </c>
      <c r="BA632" t="str">
        <f t="shared" si="147"/>
        <v>2-5</v>
      </c>
      <c r="BB632">
        <v>2</v>
      </c>
      <c r="BC632" t="str">
        <f t="shared" si="148"/>
        <v>2-5</v>
      </c>
      <c r="BD632">
        <v>2</v>
      </c>
      <c r="BE632" t="str">
        <f t="shared" si="149"/>
        <v>2-5</v>
      </c>
    </row>
    <row r="633" spans="1:57" x14ac:dyDescent="0.3">
      <c r="A633">
        <v>874</v>
      </c>
      <c r="B633">
        <v>44</v>
      </c>
      <c r="C633" t="str">
        <f t="shared" si="136"/>
        <v>36-45</v>
      </c>
      <c r="D633" t="s">
        <v>71</v>
      </c>
      <c r="E633">
        <f t="shared" si="137"/>
        <v>0</v>
      </c>
      <c r="F633" t="s">
        <v>57</v>
      </c>
      <c r="G633">
        <v>986</v>
      </c>
      <c r="H633" t="str">
        <f t="shared" si="138"/>
        <v>501-1000</v>
      </c>
      <c r="I633" t="s">
        <v>73</v>
      </c>
      <c r="J633">
        <v>8</v>
      </c>
      <c r="K633" t="str">
        <f t="shared" si="139"/>
        <v>6-10</v>
      </c>
      <c r="L633">
        <v>4</v>
      </c>
      <c r="M633" t="s">
        <v>82</v>
      </c>
      <c r="N633" t="s">
        <v>60</v>
      </c>
      <c r="O633">
        <v>1</v>
      </c>
      <c r="P633">
        <v>1</v>
      </c>
      <c r="Q633" t="s">
        <v>69</v>
      </c>
      <c r="R633" t="s">
        <v>75</v>
      </c>
      <c r="S633">
        <v>62</v>
      </c>
      <c r="T633" t="str">
        <f t="shared" si="140"/>
        <v>51-75</v>
      </c>
      <c r="U633">
        <v>4</v>
      </c>
      <c r="V633" t="s">
        <v>65</v>
      </c>
      <c r="W633">
        <v>1</v>
      </c>
      <c r="X633" t="s">
        <v>81</v>
      </c>
      <c r="Y633">
        <v>4</v>
      </c>
      <c r="Z633" t="s">
        <v>65</v>
      </c>
      <c r="AA633" t="s">
        <v>77</v>
      </c>
      <c r="AB633" s="4">
        <v>2818</v>
      </c>
      <c r="AC633" s="4" t="str">
        <f t="shared" si="141"/>
        <v>$2,500-$4,000</v>
      </c>
      <c r="AD633">
        <v>5044</v>
      </c>
      <c r="AE633" t="str">
        <f t="shared" si="142"/>
        <v>$2,094-$8,000</v>
      </c>
      <c r="AF633">
        <v>2</v>
      </c>
      <c r="AG633" t="str">
        <f t="shared" si="143"/>
        <v>2-3</v>
      </c>
      <c r="AH633" t="s">
        <v>67</v>
      </c>
      <c r="AI633" t="s">
        <v>56</v>
      </c>
      <c r="AJ633">
        <v>24</v>
      </c>
      <c r="AK633" t="str">
        <f t="shared" si="144"/>
        <v>18-19%</v>
      </c>
      <c r="AL633">
        <v>4</v>
      </c>
      <c r="AM633" t="s">
        <v>78</v>
      </c>
      <c r="AN633">
        <v>3</v>
      </c>
      <c r="AO633" t="s">
        <v>63</v>
      </c>
      <c r="AP633">
        <v>80</v>
      </c>
      <c r="AQ633">
        <v>1</v>
      </c>
      <c r="AR633">
        <v>10</v>
      </c>
      <c r="AS633" t="str">
        <f t="shared" si="145"/>
        <v>6-10</v>
      </c>
      <c r="AT633">
        <v>2</v>
      </c>
      <c r="AU633" t="str">
        <f t="shared" si="146"/>
        <v>0-2</v>
      </c>
      <c r="AV633">
        <v>2</v>
      </c>
      <c r="AW633" t="s">
        <v>84</v>
      </c>
      <c r="AX633">
        <v>3</v>
      </c>
      <c r="AY633" t="str">
        <f t="shared" si="135"/>
        <v>2-5</v>
      </c>
      <c r="AZ633">
        <v>2</v>
      </c>
      <c r="BA633" t="str">
        <f t="shared" si="147"/>
        <v>2-5</v>
      </c>
      <c r="BB633">
        <v>0</v>
      </c>
      <c r="BC633" t="str">
        <f t="shared" si="148"/>
        <v>0-1</v>
      </c>
      <c r="BD633">
        <v>2</v>
      </c>
      <c r="BE633" t="str">
        <f t="shared" si="149"/>
        <v>2-5</v>
      </c>
    </row>
    <row r="634" spans="1:57" x14ac:dyDescent="0.3">
      <c r="A634">
        <v>875</v>
      </c>
      <c r="B634">
        <v>42</v>
      </c>
      <c r="C634" t="str">
        <f t="shared" si="136"/>
        <v>36-45</v>
      </c>
      <c r="D634" t="s">
        <v>71</v>
      </c>
      <c r="E634">
        <f t="shared" si="137"/>
        <v>0</v>
      </c>
      <c r="F634" t="s">
        <v>72</v>
      </c>
      <c r="G634">
        <v>1271</v>
      </c>
      <c r="H634" t="str">
        <f t="shared" si="138"/>
        <v>1001-1499</v>
      </c>
      <c r="I634" t="s">
        <v>73</v>
      </c>
      <c r="J634">
        <v>2</v>
      </c>
      <c r="K634" t="str">
        <f t="shared" si="139"/>
        <v>1-5</v>
      </c>
      <c r="L634">
        <v>1</v>
      </c>
      <c r="M634" t="s">
        <v>74</v>
      </c>
      <c r="N634" t="s">
        <v>83</v>
      </c>
      <c r="O634">
        <v>1</v>
      </c>
      <c r="P634">
        <v>2</v>
      </c>
      <c r="Q634" t="s">
        <v>61</v>
      </c>
      <c r="R634" t="s">
        <v>75</v>
      </c>
      <c r="S634">
        <v>35</v>
      </c>
      <c r="T634" t="str">
        <f t="shared" si="140"/>
        <v>30-50</v>
      </c>
      <c r="U634">
        <v>3</v>
      </c>
      <c r="V634" t="s">
        <v>63</v>
      </c>
      <c r="W634">
        <v>1</v>
      </c>
      <c r="X634" t="s">
        <v>76</v>
      </c>
      <c r="Y634">
        <v>4</v>
      </c>
      <c r="Z634" t="s">
        <v>65</v>
      </c>
      <c r="AA634" t="s">
        <v>66</v>
      </c>
      <c r="AB634" s="4">
        <v>2515</v>
      </c>
      <c r="AC634" s="4" t="str">
        <f t="shared" si="141"/>
        <v>$2,500-$4,000</v>
      </c>
      <c r="AD634">
        <v>9068</v>
      </c>
      <c r="AE634" t="str">
        <f t="shared" si="142"/>
        <v>$8,001-$16,000</v>
      </c>
      <c r="AF634">
        <v>5</v>
      </c>
      <c r="AG634" t="str">
        <f t="shared" si="143"/>
        <v>4-6</v>
      </c>
      <c r="AH634" t="s">
        <v>67</v>
      </c>
      <c r="AI634" t="s">
        <v>56</v>
      </c>
      <c r="AJ634">
        <v>14</v>
      </c>
      <c r="AK634" t="str">
        <f t="shared" si="144"/>
        <v>13-15%</v>
      </c>
      <c r="AL634">
        <v>3</v>
      </c>
      <c r="AM634" t="s">
        <v>68</v>
      </c>
      <c r="AN634">
        <v>4</v>
      </c>
      <c r="AO634" t="s">
        <v>65</v>
      </c>
      <c r="AP634">
        <v>80</v>
      </c>
      <c r="AQ634">
        <v>0</v>
      </c>
      <c r="AR634">
        <v>8</v>
      </c>
      <c r="AS634" t="str">
        <f t="shared" si="145"/>
        <v>6-10</v>
      </c>
      <c r="AT634">
        <v>2</v>
      </c>
      <c r="AU634" t="str">
        <f t="shared" si="146"/>
        <v>0-2</v>
      </c>
      <c r="AV634">
        <v>3</v>
      </c>
      <c r="AW634" t="s">
        <v>79</v>
      </c>
      <c r="AX634">
        <v>2</v>
      </c>
      <c r="AY634" t="str">
        <f t="shared" si="135"/>
        <v>2-5</v>
      </c>
      <c r="AZ634">
        <v>1</v>
      </c>
      <c r="BA634" t="str">
        <f t="shared" si="147"/>
        <v>0-1</v>
      </c>
      <c r="BB634">
        <v>2</v>
      </c>
      <c r="BC634" t="str">
        <f t="shared" si="148"/>
        <v>2-5</v>
      </c>
      <c r="BD634">
        <v>2</v>
      </c>
      <c r="BE634" t="str">
        <f t="shared" si="149"/>
        <v>2-5</v>
      </c>
    </row>
    <row r="635" spans="1:57" x14ac:dyDescent="0.3">
      <c r="A635">
        <v>878</v>
      </c>
      <c r="B635">
        <v>36</v>
      </c>
      <c r="C635" t="str">
        <f t="shared" si="136"/>
        <v>36-45</v>
      </c>
      <c r="D635" t="s">
        <v>71</v>
      </c>
      <c r="E635">
        <f t="shared" si="137"/>
        <v>0</v>
      </c>
      <c r="F635" t="s">
        <v>57</v>
      </c>
      <c r="G635">
        <v>1278</v>
      </c>
      <c r="H635" t="str">
        <f t="shared" si="138"/>
        <v>1001-1499</v>
      </c>
      <c r="I635" t="s">
        <v>97</v>
      </c>
      <c r="J635">
        <v>8</v>
      </c>
      <c r="K635" t="str">
        <f t="shared" si="139"/>
        <v>6-10</v>
      </c>
      <c r="L635">
        <v>3</v>
      </c>
      <c r="M635" t="s">
        <v>85</v>
      </c>
      <c r="N635" t="s">
        <v>60</v>
      </c>
      <c r="O635">
        <v>1</v>
      </c>
      <c r="P635">
        <v>1</v>
      </c>
      <c r="Q635" t="s">
        <v>69</v>
      </c>
      <c r="R635" t="s">
        <v>75</v>
      </c>
      <c r="S635">
        <v>77</v>
      </c>
      <c r="T635" t="str">
        <f t="shared" si="140"/>
        <v>76-100</v>
      </c>
      <c r="U635">
        <v>2</v>
      </c>
      <c r="V635" t="s">
        <v>61</v>
      </c>
      <c r="W635">
        <v>1</v>
      </c>
      <c r="X635" t="s">
        <v>97</v>
      </c>
      <c r="Y635">
        <v>1</v>
      </c>
      <c r="Z635" t="s">
        <v>69</v>
      </c>
      <c r="AA635" t="s">
        <v>77</v>
      </c>
      <c r="AB635" s="4">
        <v>2342</v>
      </c>
      <c r="AC635" s="4" t="str">
        <f t="shared" si="141"/>
        <v>$1,000-$2,500</v>
      </c>
      <c r="AD635">
        <v>8635</v>
      </c>
      <c r="AE635" t="str">
        <f t="shared" si="142"/>
        <v>$8,001-$16,000</v>
      </c>
      <c r="AF635">
        <v>0</v>
      </c>
      <c r="AG635" t="str">
        <f t="shared" si="143"/>
        <v>0-1</v>
      </c>
      <c r="AH635" t="s">
        <v>67</v>
      </c>
      <c r="AI635" t="s">
        <v>71</v>
      </c>
      <c r="AJ635">
        <v>21</v>
      </c>
      <c r="AK635" t="str">
        <f t="shared" si="144"/>
        <v>18-19%</v>
      </c>
      <c r="AL635">
        <v>4</v>
      </c>
      <c r="AM635" t="s">
        <v>78</v>
      </c>
      <c r="AN635">
        <v>3</v>
      </c>
      <c r="AO635" t="s">
        <v>63</v>
      </c>
      <c r="AP635">
        <v>80</v>
      </c>
      <c r="AQ635">
        <v>0</v>
      </c>
      <c r="AR635">
        <v>6</v>
      </c>
      <c r="AS635" t="str">
        <f t="shared" si="145"/>
        <v>6-10</v>
      </c>
      <c r="AT635">
        <v>3</v>
      </c>
      <c r="AU635" t="str">
        <f t="shared" si="146"/>
        <v>3-4</v>
      </c>
      <c r="AV635">
        <v>3</v>
      </c>
      <c r="AW635" t="s">
        <v>79</v>
      </c>
      <c r="AX635">
        <v>5</v>
      </c>
      <c r="AY635" t="str">
        <f t="shared" si="135"/>
        <v>2-5</v>
      </c>
      <c r="AZ635">
        <v>4</v>
      </c>
      <c r="BA635" t="str">
        <f t="shared" si="147"/>
        <v>2-5</v>
      </c>
      <c r="BB635">
        <v>0</v>
      </c>
      <c r="BC635" t="str">
        <f t="shared" si="148"/>
        <v>0-1</v>
      </c>
      <c r="BD635">
        <v>3</v>
      </c>
      <c r="BE635" t="str">
        <f t="shared" si="149"/>
        <v>2-5</v>
      </c>
    </row>
    <row r="636" spans="1:57" x14ac:dyDescent="0.3">
      <c r="A636">
        <v>879</v>
      </c>
      <c r="B636">
        <v>25</v>
      </c>
      <c r="C636" t="str">
        <f t="shared" si="136"/>
        <v>18-25</v>
      </c>
      <c r="D636" t="s">
        <v>71</v>
      </c>
      <c r="E636">
        <f t="shared" si="137"/>
        <v>0</v>
      </c>
      <c r="F636" t="s">
        <v>57</v>
      </c>
      <c r="G636">
        <v>141</v>
      </c>
      <c r="H636" t="str">
        <f t="shared" si="138"/>
        <v>102-500</v>
      </c>
      <c r="I636" t="s">
        <v>58</v>
      </c>
      <c r="J636">
        <v>3</v>
      </c>
      <c r="K636" t="str">
        <f t="shared" si="139"/>
        <v>1-5</v>
      </c>
      <c r="L636">
        <v>1</v>
      </c>
      <c r="M636" t="s">
        <v>74</v>
      </c>
      <c r="N636" t="s">
        <v>80</v>
      </c>
      <c r="O636">
        <v>1</v>
      </c>
      <c r="P636">
        <v>3</v>
      </c>
      <c r="Q636" t="s">
        <v>63</v>
      </c>
      <c r="R636" t="s">
        <v>75</v>
      </c>
      <c r="S636">
        <v>98</v>
      </c>
      <c r="T636" t="str">
        <f t="shared" si="140"/>
        <v>76-100</v>
      </c>
      <c r="U636">
        <v>3</v>
      </c>
      <c r="V636" t="s">
        <v>63</v>
      </c>
      <c r="W636">
        <v>2</v>
      </c>
      <c r="X636" t="s">
        <v>64</v>
      </c>
      <c r="Y636">
        <v>1</v>
      </c>
      <c r="Z636" t="s">
        <v>69</v>
      </c>
      <c r="AA636" t="s">
        <v>77</v>
      </c>
      <c r="AB636" s="4">
        <v>4194</v>
      </c>
      <c r="AC636" s="4" t="str">
        <f t="shared" si="141"/>
        <v>$4,000-$5,500</v>
      </c>
      <c r="AD636">
        <v>14363</v>
      </c>
      <c r="AE636" t="str">
        <f t="shared" si="142"/>
        <v>$8,001-$16,000</v>
      </c>
      <c r="AF636">
        <v>1</v>
      </c>
      <c r="AG636" t="str">
        <f t="shared" si="143"/>
        <v>0-1</v>
      </c>
      <c r="AH636" t="s">
        <v>67</v>
      </c>
      <c r="AI636" t="s">
        <v>56</v>
      </c>
      <c r="AJ636">
        <v>18</v>
      </c>
      <c r="AK636" t="str">
        <f t="shared" si="144"/>
        <v>18-19%</v>
      </c>
      <c r="AL636">
        <v>3</v>
      </c>
      <c r="AM636" t="s">
        <v>68</v>
      </c>
      <c r="AN636">
        <v>4</v>
      </c>
      <c r="AO636" t="s">
        <v>65</v>
      </c>
      <c r="AP636">
        <v>80</v>
      </c>
      <c r="AQ636">
        <v>0</v>
      </c>
      <c r="AR636">
        <v>5</v>
      </c>
      <c r="AS636" t="str">
        <f t="shared" si="145"/>
        <v>3-5</v>
      </c>
      <c r="AT636">
        <v>3</v>
      </c>
      <c r="AU636" t="str">
        <f t="shared" si="146"/>
        <v>3-4</v>
      </c>
      <c r="AV636">
        <v>3</v>
      </c>
      <c r="AW636" t="s">
        <v>79</v>
      </c>
      <c r="AX636">
        <v>5</v>
      </c>
      <c r="AY636" t="str">
        <f t="shared" si="135"/>
        <v>2-5</v>
      </c>
      <c r="AZ636">
        <v>3</v>
      </c>
      <c r="BA636" t="str">
        <f t="shared" si="147"/>
        <v>2-5</v>
      </c>
      <c r="BB636">
        <v>0</v>
      </c>
      <c r="BC636" t="str">
        <f t="shared" si="148"/>
        <v>0-1</v>
      </c>
      <c r="BD636">
        <v>3</v>
      </c>
      <c r="BE636" t="str">
        <f t="shared" si="149"/>
        <v>2-5</v>
      </c>
    </row>
    <row r="637" spans="1:57" x14ac:dyDescent="0.3">
      <c r="A637">
        <v>880</v>
      </c>
      <c r="B637">
        <v>35</v>
      </c>
      <c r="C637" t="str">
        <f t="shared" si="136"/>
        <v>26-35</v>
      </c>
      <c r="D637" t="s">
        <v>71</v>
      </c>
      <c r="E637">
        <f t="shared" si="137"/>
        <v>0</v>
      </c>
      <c r="F637" t="s">
        <v>57</v>
      </c>
      <c r="G637">
        <v>607</v>
      </c>
      <c r="H637" t="str">
        <f t="shared" si="138"/>
        <v>501-1000</v>
      </c>
      <c r="I637" t="s">
        <v>73</v>
      </c>
      <c r="J637">
        <v>9</v>
      </c>
      <c r="K637" t="str">
        <f t="shared" si="139"/>
        <v>6-10</v>
      </c>
      <c r="L637">
        <v>3</v>
      </c>
      <c r="M637" t="s">
        <v>85</v>
      </c>
      <c r="N637" t="s">
        <v>60</v>
      </c>
      <c r="O637">
        <v>1</v>
      </c>
      <c r="P637">
        <v>4</v>
      </c>
      <c r="Q637" t="s">
        <v>65</v>
      </c>
      <c r="R637" t="s">
        <v>62</v>
      </c>
      <c r="S637">
        <v>66</v>
      </c>
      <c r="T637" t="str">
        <f t="shared" si="140"/>
        <v>51-75</v>
      </c>
      <c r="U637">
        <v>2</v>
      </c>
      <c r="V637" t="s">
        <v>61</v>
      </c>
      <c r="W637">
        <v>3</v>
      </c>
      <c r="X637" t="s">
        <v>87</v>
      </c>
      <c r="Y637">
        <v>3</v>
      </c>
      <c r="Z637" t="s">
        <v>63</v>
      </c>
      <c r="AA637" t="s">
        <v>77</v>
      </c>
      <c r="AB637" s="4">
        <v>10685</v>
      </c>
      <c r="AC637" s="4" t="str">
        <f t="shared" si="141"/>
        <v>$10,000-$11,500</v>
      </c>
      <c r="AD637">
        <v>23457</v>
      </c>
      <c r="AE637" t="str">
        <f t="shared" si="142"/>
        <v>$22,001-$26,999</v>
      </c>
      <c r="AF637">
        <v>1</v>
      </c>
      <c r="AG637" t="str">
        <f t="shared" si="143"/>
        <v>0-1</v>
      </c>
      <c r="AH637" t="s">
        <v>67</v>
      </c>
      <c r="AI637" t="s">
        <v>56</v>
      </c>
      <c r="AJ637">
        <v>20</v>
      </c>
      <c r="AK637" t="str">
        <f t="shared" si="144"/>
        <v>18-19%</v>
      </c>
      <c r="AL637">
        <v>4</v>
      </c>
      <c r="AM637" t="s">
        <v>78</v>
      </c>
      <c r="AN637">
        <v>2</v>
      </c>
      <c r="AO637" t="s">
        <v>61</v>
      </c>
      <c r="AP637">
        <v>80</v>
      </c>
      <c r="AQ637">
        <v>1</v>
      </c>
      <c r="AR637">
        <v>17</v>
      </c>
      <c r="AS637" t="str">
        <f t="shared" si="145"/>
        <v>11-20</v>
      </c>
      <c r="AT637">
        <v>2</v>
      </c>
      <c r="AU637" t="str">
        <f t="shared" si="146"/>
        <v>0-2</v>
      </c>
      <c r="AV637">
        <v>3</v>
      </c>
      <c r="AW637" t="s">
        <v>79</v>
      </c>
      <c r="AX637">
        <v>17</v>
      </c>
      <c r="AY637" t="str">
        <f t="shared" si="135"/>
        <v>11-20</v>
      </c>
      <c r="AZ637">
        <v>14</v>
      </c>
      <c r="BA637" t="str">
        <f t="shared" si="147"/>
        <v>11-18</v>
      </c>
      <c r="BB637">
        <v>5</v>
      </c>
      <c r="BC637" t="str">
        <f t="shared" si="148"/>
        <v>2-5</v>
      </c>
      <c r="BD637">
        <v>15</v>
      </c>
      <c r="BE637" t="str">
        <f t="shared" si="149"/>
        <v>11-17</v>
      </c>
    </row>
    <row r="638" spans="1:57" x14ac:dyDescent="0.3">
      <c r="A638">
        <v>881</v>
      </c>
      <c r="B638">
        <v>35</v>
      </c>
      <c r="C638" t="str">
        <f t="shared" si="136"/>
        <v>26-35</v>
      </c>
      <c r="D638" t="s">
        <v>56</v>
      </c>
      <c r="E638">
        <f t="shared" si="137"/>
        <v>1</v>
      </c>
      <c r="F638" t="s">
        <v>72</v>
      </c>
      <c r="G638">
        <v>130</v>
      </c>
      <c r="H638" t="str">
        <f t="shared" si="138"/>
        <v>102-500</v>
      </c>
      <c r="I638" t="s">
        <v>73</v>
      </c>
      <c r="J638">
        <v>25</v>
      </c>
      <c r="K638" t="str">
        <f t="shared" si="139"/>
        <v>21-29</v>
      </c>
      <c r="L638">
        <v>4</v>
      </c>
      <c r="M638" t="s">
        <v>82</v>
      </c>
      <c r="N638" t="s">
        <v>60</v>
      </c>
      <c r="O638">
        <v>1</v>
      </c>
      <c r="P638">
        <v>4</v>
      </c>
      <c r="Q638" t="s">
        <v>65</v>
      </c>
      <c r="R638" t="s">
        <v>62</v>
      </c>
      <c r="S638">
        <v>96</v>
      </c>
      <c r="T638" t="str">
        <f t="shared" si="140"/>
        <v>76-100</v>
      </c>
      <c r="U638">
        <v>3</v>
      </c>
      <c r="V638" t="s">
        <v>63</v>
      </c>
      <c r="W638">
        <v>1</v>
      </c>
      <c r="X638" t="s">
        <v>76</v>
      </c>
      <c r="Y638">
        <v>2</v>
      </c>
      <c r="Z638" t="s">
        <v>61</v>
      </c>
      <c r="AA638" t="s">
        <v>86</v>
      </c>
      <c r="AB638" s="4">
        <v>2022</v>
      </c>
      <c r="AC638" s="4" t="str">
        <f t="shared" si="141"/>
        <v>$1,000-$2,500</v>
      </c>
      <c r="AD638">
        <v>16612</v>
      </c>
      <c r="AE638" t="str">
        <f t="shared" si="142"/>
        <v>$16,001-$22,000</v>
      </c>
      <c r="AF638">
        <v>1</v>
      </c>
      <c r="AG638" t="str">
        <f t="shared" si="143"/>
        <v>0-1</v>
      </c>
      <c r="AH638" t="s">
        <v>67</v>
      </c>
      <c r="AI638" t="s">
        <v>56</v>
      </c>
      <c r="AJ638">
        <v>19</v>
      </c>
      <c r="AK638" t="str">
        <f t="shared" si="144"/>
        <v>18-19%</v>
      </c>
      <c r="AL638">
        <v>3</v>
      </c>
      <c r="AM638" t="s">
        <v>68</v>
      </c>
      <c r="AN638">
        <v>1</v>
      </c>
      <c r="AO638" t="s">
        <v>69</v>
      </c>
      <c r="AP638">
        <v>80</v>
      </c>
      <c r="AQ638">
        <v>1</v>
      </c>
      <c r="AR638">
        <v>10</v>
      </c>
      <c r="AS638" t="str">
        <f t="shared" si="145"/>
        <v>6-10</v>
      </c>
      <c r="AT638">
        <v>3</v>
      </c>
      <c r="AU638" t="str">
        <f t="shared" si="146"/>
        <v>3-4</v>
      </c>
      <c r="AV638">
        <v>2</v>
      </c>
      <c r="AW638" t="s">
        <v>84</v>
      </c>
      <c r="AX638">
        <v>10</v>
      </c>
      <c r="AY638" t="str">
        <f t="shared" si="135"/>
        <v>6-10</v>
      </c>
      <c r="AZ638">
        <v>2</v>
      </c>
      <c r="BA638" t="str">
        <f t="shared" si="147"/>
        <v>2-5</v>
      </c>
      <c r="BB638">
        <v>7</v>
      </c>
      <c r="BC638" t="str">
        <f t="shared" si="148"/>
        <v>6-10</v>
      </c>
      <c r="BD638">
        <v>8</v>
      </c>
      <c r="BE638" t="str">
        <f t="shared" si="149"/>
        <v>6-10</v>
      </c>
    </row>
    <row r="639" spans="1:57" x14ac:dyDescent="0.3">
      <c r="A639">
        <v>882</v>
      </c>
      <c r="B639">
        <v>32</v>
      </c>
      <c r="C639" t="str">
        <f t="shared" si="136"/>
        <v>26-35</v>
      </c>
      <c r="D639" t="s">
        <v>71</v>
      </c>
      <c r="E639">
        <f t="shared" si="137"/>
        <v>0</v>
      </c>
      <c r="F639" t="s">
        <v>89</v>
      </c>
      <c r="G639">
        <v>300</v>
      </c>
      <c r="H639" t="str">
        <f t="shared" si="138"/>
        <v>102-500</v>
      </c>
      <c r="I639" t="s">
        <v>73</v>
      </c>
      <c r="J639">
        <v>1</v>
      </c>
      <c r="K639" t="str">
        <f t="shared" si="139"/>
        <v>1-5</v>
      </c>
      <c r="L639">
        <v>3</v>
      </c>
      <c r="M639" t="s">
        <v>85</v>
      </c>
      <c r="N639" t="s">
        <v>60</v>
      </c>
      <c r="O639">
        <v>1</v>
      </c>
      <c r="P639">
        <v>4</v>
      </c>
      <c r="Q639" t="s">
        <v>65</v>
      </c>
      <c r="R639" t="s">
        <v>75</v>
      </c>
      <c r="S639">
        <v>61</v>
      </c>
      <c r="T639" t="str">
        <f t="shared" si="140"/>
        <v>51-75</v>
      </c>
      <c r="U639">
        <v>3</v>
      </c>
      <c r="V639" t="s">
        <v>63</v>
      </c>
      <c r="W639">
        <v>1</v>
      </c>
      <c r="X639" t="s">
        <v>81</v>
      </c>
      <c r="Y639">
        <v>4</v>
      </c>
      <c r="Z639" t="s">
        <v>65</v>
      </c>
      <c r="AA639" t="s">
        <v>86</v>
      </c>
      <c r="AB639" s="4">
        <v>2314</v>
      </c>
      <c r="AC639" s="4" t="str">
        <f t="shared" si="141"/>
        <v>$1,000-$2,500</v>
      </c>
      <c r="AD639">
        <v>9148</v>
      </c>
      <c r="AE639" t="str">
        <f t="shared" si="142"/>
        <v>$8,001-$16,000</v>
      </c>
      <c r="AF639">
        <v>0</v>
      </c>
      <c r="AG639" t="str">
        <f t="shared" si="143"/>
        <v>0-1</v>
      </c>
      <c r="AH639" t="s">
        <v>67</v>
      </c>
      <c r="AI639" t="s">
        <v>71</v>
      </c>
      <c r="AJ639">
        <v>12</v>
      </c>
      <c r="AK639" t="str">
        <f t="shared" si="144"/>
        <v>11-12%</v>
      </c>
      <c r="AL639">
        <v>3</v>
      </c>
      <c r="AM639" t="s">
        <v>68</v>
      </c>
      <c r="AN639">
        <v>2</v>
      </c>
      <c r="AO639" t="s">
        <v>61</v>
      </c>
      <c r="AP639">
        <v>80</v>
      </c>
      <c r="AQ639">
        <v>1</v>
      </c>
      <c r="AR639">
        <v>4</v>
      </c>
      <c r="AS639" t="str">
        <f t="shared" si="145"/>
        <v>3-5</v>
      </c>
      <c r="AT639">
        <v>2</v>
      </c>
      <c r="AU639" t="str">
        <f t="shared" si="146"/>
        <v>0-2</v>
      </c>
      <c r="AV639">
        <v>3</v>
      </c>
      <c r="AW639" t="s">
        <v>79</v>
      </c>
      <c r="AX639">
        <v>3</v>
      </c>
      <c r="AY639" t="str">
        <f t="shared" si="135"/>
        <v>2-5</v>
      </c>
      <c r="AZ639">
        <v>0</v>
      </c>
      <c r="BA639" t="str">
        <f t="shared" si="147"/>
        <v>0-1</v>
      </c>
      <c r="BB639">
        <v>0</v>
      </c>
      <c r="BC639" t="str">
        <f t="shared" si="148"/>
        <v>0-1</v>
      </c>
      <c r="BD639">
        <v>2</v>
      </c>
      <c r="BE639" t="str">
        <f t="shared" si="149"/>
        <v>2-5</v>
      </c>
    </row>
    <row r="640" spans="1:57" x14ac:dyDescent="0.3">
      <c r="A640">
        <v>885</v>
      </c>
      <c r="B640">
        <v>25</v>
      </c>
      <c r="C640" t="str">
        <f t="shared" si="136"/>
        <v>18-25</v>
      </c>
      <c r="D640" t="s">
        <v>71</v>
      </c>
      <c r="E640">
        <f t="shared" si="137"/>
        <v>0</v>
      </c>
      <c r="F640" t="s">
        <v>57</v>
      </c>
      <c r="G640">
        <v>583</v>
      </c>
      <c r="H640" t="str">
        <f t="shared" si="138"/>
        <v>501-1000</v>
      </c>
      <c r="I640" t="s">
        <v>58</v>
      </c>
      <c r="J640">
        <v>4</v>
      </c>
      <c r="K640" t="str">
        <f t="shared" si="139"/>
        <v>1-5</v>
      </c>
      <c r="L640">
        <v>1</v>
      </c>
      <c r="M640" t="s">
        <v>74</v>
      </c>
      <c r="N640" t="s">
        <v>93</v>
      </c>
      <c r="O640">
        <v>1</v>
      </c>
      <c r="P640">
        <v>3</v>
      </c>
      <c r="Q640" t="s">
        <v>63</v>
      </c>
      <c r="R640" t="s">
        <v>75</v>
      </c>
      <c r="S640">
        <v>87</v>
      </c>
      <c r="T640" t="str">
        <f t="shared" si="140"/>
        <v>76-100</v>
      </c>
      <c r="U640">
        <v>2</v>
      </c>
      <c r="V640" t="s">
        <v>61</v>
      </c>
      <c r="W640">
        <v>2</v>
      </c>
      <c r="X640" t="s">
        <v>64</v>
      </c>
      <c r="Y640">
        <v>1</v>
      </c>
      <c r="Z640" t="s">
        <v>69</v>
      </c>
      <c r="AA640" t="s">
        <v>77</v>
      </c>
      <c r="AB640" s="4">
        <v>4256</v>
      </c>
      <c r="AC640" s="4" t="str">
        <f t="shared" si="141"/>
        <v>$4,000-$5,500</v>
      </c>
      <c r="AD640">
        <v>18154</v>
      </c>
      <c r="AE640" t="str">
        <f t="shared" si="142"/>
        <v>$16,001-$22,000</v>
      </c>
      <c r="AF640">
        <v>1</v>
      </c>
      <c r="AG640" t="str">
        <f t="shared" si="143"/>
        <v>0-1</v>
      </c>
      <c r="AH640" t="s">
        <v>67</v>
      </c>
      <c r="AI640" t="s">
        <v>71</v>
      </c>
      <c r="AJ640">
        <v>12</v>
      </c>
      <c r="AK640" t="str">
        <f t="shared" si="144"/>
        <v>11-12%</v>
      </c>
      <c r="AL640">
        <v>3</v>
      </c>
      <c r="AM640" t="s">
        <v>68</v>
      </c>
      <c r="AN640">
        <v>1</v>
      </c>
      <c r="AO640" t="s">
        <v>69</v>
      </c>
      <c r="AP640">
        <v>80</v>
      </c>
      <c r="AQ640">
        <v>0</v>
      </c>
      <c r="AR640">
        <v>5</v>
      </c>
      <c r="AS640" t="str">
        <f t="shared" si="145"/>
        <v>3-5</v>
      </c>
      <c r="AT640">
        <v>1</v>
      </c>
      <c r="AU640" t="str">
        <f t="shared" si="146"/>
        <v>0-2</v>
      </c>
      <c r="AV640">
        <v>4</v>
      </c>
      <c r="AW640" t="s">
        <v>94</v>
      </c>
      <c r="AX640">
        <v>5</v>
      </c>
      <c r="AY640" t="str">
        <f t="shared" si="135"/>
        <v>2-5</v>
      </c>
      <c r="AZ640">
        <v>2</v>
      </c>
      <c r="BA640" t="str">
        <f t="shared" si="147"/>
        <v>2-5</v>
      </c>
      <c r="BB640">
        <v>0</v>
      </c>
      <c r="BC640" t="str">
        <f t="shared" si="148"/>
        <v>0-1</v>
      </c>
      <c r="BD640">
        <v>3</v>
      </c>
      <c r="BE640" t="str">
        <f t="shared" si="149"/>
        <v>2-5</v>
      </c>
    </row>
    <row r="641" spans="1:57" x14ac:dyDescent="0.3">
      <c r="A641">
        <v>887</v>
      </c>
      <c r="B641">
        <v>49</v>
      </c>
      <c r="C641" t="str">
        <f t="shared" si="136"/>
        <v>46-55</v>
      </c>
      <c r="D641" t="s">
        <v>71</v>
      </c>
      <c r="E641">
        <f t="shared" si="137"/>
        <v>0</v>
      </c>
      <c r="F641" t="s">
        <v>57</v>
      </c>
      <c r="G641">
        <v>1418</v>
      </c>
      <c r="H641" t="str">
        <f t="shared" si="138"/>
        <v>1001-1499</v>
      </c>
      <c r="I641" t="s">
        <v>73</v>
      </c>
      <c r="J641">
        <v>1</v>
      </c>
      <c r="K641" t="str">
        <f t="shared" si="139"/>
        <v>1-5</v>
      </c>
      <c r="L641">
        <v>3</v>
      </c>
      <c r="M641" t="s">
        <v>85</v>
      </c>
      <c r="N641" t="s">
        <v>95</v>
      </c>
      <c r="O641">
        <v>1</v>
      </c>
      <c r="P641">
        <v>3</v>
      </c>
      <c r="Q641" t="s">
        <v>63</v>
      </c>
      <c r="R641" t="s">
        <v>62</v>
      </c>
      <c r="S641">
        <v>36</v>
      </c>
      <c r="T641" t="str">
        <f t="shared" si="140"/>
        <v>30-50</v>
      </c>
      <c r="U641">
        <v>3</v>
      </c>
      <c r="V641" t="s">
        <v>63</v>
      </c>
      <c r="W641">
        <v>1</v>
      </c>
      <c r="X641" t="s">
        <v>76</v>
      </c>
      <c r="Y641">
        <v>1</v>
      </c>
      <c r="Z641" t="s">
        <v>69</v>
      </c>
      <c r="AA641" t="s">
        <v>77</v>
      </c>
      <c r="AB641" s="4">
        <v>3580</v>
      </c>
      <c r="AC641" s="4" t="str">
        <f t="shared" si="141"/>
        <v>$2,500-$4,000</v>
      </c>
      <c r="AD641">
        <v>10554</v>
      </c>
      <c r="AE641" t="str">
        <f t="shared" si="142"/>
        <v>$8,001-$16,000</v>
      </c>
      <c r="AF641">
        <v>2</v>
      </c>
      <c r="AG641" t="str">
        <f t="shared" si="143"/>
        <v>2-3</v>
      </c>
      <c r="AH641" t="s">
        <v>67</v>
      </c>
      <c r="AI641" t="s">
        <v>71</v>
      </c>
      <c r="AJ641">
        <v>16</v>
      </c>
      <c r="AK641" t="str">
        <f t="shared" si="144"/>
        <v>16-17%</v>
      </c>
      <c r="AL641">
        <v>3</v>
      </c>
      <c r="AM641" t="s">
        <v>68</v>
      </c>
      <c r="AN641">
        <v>2</v>
      </c>
      <c r="AO641" t="s">
        <v>61</v>
      </c>
      <c r="AP641">
        <v>80</v>
      </c>
      <c r="AQ641">
        <v>1</v>
      </c>
      <c r="AR641">
        <v>7</v>
      </c>
      <c r="AS641" t="str">
        <f t="shared" si="145"/>
        <v>6-10</v>
      </c>
      <c r="AT641">
        <v>2</v>
      </c>
      <c r="AU641" t="str">
        <f t="shared" si="146"/>
        <v>0-2</v>
      </c>
      <c r="AV641">
        <v>3</v>
      </c>
      <c r="AW641" t="s">
        <v>79</v>
      </c>
      <c r="AX641">
        <v>4</v>
      </c>
      <c r="AY641" t="str">
        <f t="shared" si="135"/>
        <v>2-5</v>
      </c>
      <c r="AZ641">
        <v>2</v>
      </c>
      <c r="BA641" t="str">
        <f t="shared" si="147"/>
        <v>2-5</v>
      </c>
      <c r="BB641">
        <v>0</v>
      </c>
      <c r="BC641" t="str">
        <f t="shared" si="148"/>
        <v>0-1</v>
      </c>
      <c r="BD641">
        <v>2</v>
      </c>
      <c r="BE641" t="str">
        <f t="shared" si="149"/>
        <v>2-5</v>
      </c>
    </row>
    <row r="642" spans="1:57" x14ac:dyDescent="0.3">
      <c r="A642">
        <v>888</v>
      </c>
      <c r="B642">
        <v>24</v>
      </c>
      <c r="C642" t="str">
        <f t="shared" si="136"/>
        <v>18-25</v>
      </c>
      <c r="D642" t="s">
        <v>71</v>
      </c>
      <c r="E642">
        <f t="shared" si="137"/>
        <v>0</v>
      </c>
      <c r="F642" t="s">
        <v>89</v>
      </c>
      <c r="G642">
        <v>1269</v>
      </c>
      <c r="H642" t="str">
        <f t="shared" si="138"/>
        <v>1001-1499</v>
      </c>
      <c r="I642" t="s">
        <v>73</v>
      </c>
      <c r="J642">
        <v>4</v>
      </c>
      <c r="K642" t="str">
        <f t="shared" si="139"/>
        <v>1-5</v>
      </c>
      <c r="L642">
        <v>1</v>
      </c>
      <c r="M642" t="s">
        <v>74</v>
      </c>
      <c r="N642" t="s">
        <v>60</v>
      </c>
      <c r="O642">
        <v>1</v>
      </c>
      <c r="P642">
        <v>1</v>
      </c>
      <c r="Q642" t="s">
        <v>69</v>
      </c>
      <c r="R642" t="s">
        <v>75</v>
      </c>
      <c r="S642">
        <v>46</v>
      </c>
      <c r="T642" t="str">
        <f t="shared" si="140"/>
        <v>30-50</v>
      </c>
      <c r="U642">
        <v>2</v>
      </c>
      <c r="V642" t="s">
        <v>61</v>
      </c>
      <c r="W642">
        <v>1</v>
      </c>
      <c r="X642" t="s">
        <v>81</v>
      </c>
      <c r="Y642">
        <v>4</v>
      </c>
      <c r="Z642" t="s">
        <v>65</v>
      </c>
      <c r="AA642" t="s">
        <v>77</v>
      </c>
      <c r="AB642" s="4">
        <v>3162</v>
      </c>
      <c r="AC642" s="4" t="str">
        <f t="shared" si="141"/>
        <v>$2,500-$4,000</v>
      </c>
      <c r="AD642">
        <v>10778</v>
      </c>
      <c r="AE642" t="str">
        <f t="shared" si="142"/>
        <v>$8,001-$16,000</v>
      </c>
      <c r="AF642">
        <v>0</v>
      </c>
      <c r="AG642" t="str">
        <f t="shared" si="143"/>
        <v>0-1</v>
      </c>
      <c r="AH642" t="s">
        <v>67</v>
      </c>
      <c r="AI642" t="s">
        <v>71</v>
      </c>
      <c r="AJ642">
        <v>17</v>
      </c>
      <c r="AK642" t="str">
        <f t="shared" si="144"/>
        <v>16-17%</v>
      </c>
      <c r="AL642">
        <v>3</v>
      </c>
      <c r="AM642" t="s">
        <v>68</v>
      </c>
      <c r="AN642">
        <v>4</v>
      </c>
      <c r="AO642" t="s">
        <v>65</v>
      </c>
      <c r="AP642">
        <v>80</v>
      </c>
      <c r="AQ642">
        <v>0</v>
      </c>
      <c r="AR642">
        <v>6</v>
      </c>
      <c r="AS642" t="str">
        <f t="shared" si="145"/>
        <v>6-10</v>
      </c>
      <c r="AT642">
        <v>2</v>
      </c>
      <c r="AU642" t="str">
        <f t="shared" si="146"/>
        <v>0-2</v>
      </c>
      <c r="AV642">
        <v>2</v>
      </c>
      <c r="AW642" t="s">
        <v>84</v>
      </c>
      <c r="AX642">
        <v>5</v>
      </c>
      <c r="AY642" t="str">
        <f t="shared" ref="AY642:AY705" si="150">IF(AX642&lt;=1,"0-1",IF(AX642&lt;=5,"2-5",IF(AX642&lt;=10,"6-10",IF(AX642&lt;=20,"11-20","21-40"))))</f>
        <v>2-5</v>
      </c>
      <c r="AZ642">
        <v>2</v>
      </c>
      <c r="BA642" t="str">
        <f t="shared" si="147"/>
        <v>2-5</v>
      </c>
      <c r="BB642">
        <v>3</v>
      </c>
      <c r="BC642" t="str">
        <f t="shared" si="148"/>
        <v>2-5</v>
      </c>
      <c r="BD642">
        <v>4</v>
      </c>
      <c r="BE642" t="str">
        <f t="shared" si="149"/>
        <v>2-5</v>
      </c>
    </row>
    <row r="643" spans="1:57" x14ac:dyDescent="0.3">
      <c r="A643">
        <v>889</v>
      </c>
      <c r="B643">
        <v>32</v>
      </c>
      <c r="C643" t="str">
        <f t="shared" ref="C643:C706" si="151">IF(B643&lt;=25, "18-25", IF(B643&lt;=35, "26-35", IF(B643&lt;=45, "36-45", IF(B643&lt;=55, "46-55", "56+"))))</f>
        <v>26-35</v>
      </c>
      <c r="D643" t="s">
        <v>71</v>
      </c>
      <c r="E643">
        <f t="shared" ref="E643:E706" si="152">IF(D643="Yes",1,0)</f>
        <v>0</v>
      </c>
      <c r="F643" t="s">
        <v>72</v>
      </c>
      <c r="G643">
        <v>379</v>
      </c>
      <c r="H643" t="str">
        <f t="shared" ref="H643:H706" si="153">IF(G643&lt;=500,"102-500",IF(G643&lt;=1000,"501-1000","1001-1499"))</f>
        <v>102-500</v>
      </c>
      <c r="I643" t="s">
        <v>58</v>
      </c>
      <c r="J643">
        <v>5</v>
      </c>
      <c r="K643" t="str">
        <f t="shared" ref="K643:K706" si="154">IF(J643&lt;=5,"1-5",IF(J643&lt;=10,"6-10",IF(J643&lt;=20,"11-20","21-29")))</f>
        <v>1-5</v>
      </c>
      <c r="L643">
        <v>2</v>
      </c>
      <c r="M643" t="s">
        <v>59</v>
      </c>
      <c r="N643" t="s">
        <v>60</v>
      </c>
      <c r="O643">
        <v>1</v>
      </c>
      <c r="P643">
        <v>2</v>
      </c>
      <c r="Q643" t="s">
        <v>61</v>
      </c>
      <c r="R643" t="s">
        <v>75</v>
      </c>
      <c r="S643">
        <v>48</v>
      </c>
      <c r="T643" t="str">
        <f t="shared" ref="T643:T706" si="155">IF(S643&lt;=50,"30-50",IF(S643&lt;=75,"51-75","76-100"))</f>
        <v>30-50</v>
      </c>
      <c r="U643">
        <v>3</v>
      </c>
      <c r="V643" t="s">
        <v>63</v>
      </c>
      <c r="W643">
        <v>2</v>
      </c>
      <c r="X643" t="s">
        <v>64</v>
      </c>
      <c r="Y643">
        <v>2</v>
      </c>
      <c r="Z643" t="s">
        <v>61</v>
      </c>
      <c r="AA643" t="s">
        <v>77</v>
      </c>
      <c r="AB643" s="4">
        <v>6524</v>
      </c>
      <c r="AC643" s="4" t="str">
        <f t="shared" ref="AC643:AC706" si="156">IF(AB643&lt;2500,"$1,000-$2,500",IF(AB643&lt;4000,"$2,500-$4,000",IF(AB643&lt;5500,"$4,000-$5,500",IF(AB643&lt;7000,"$5,500-$7,000",IF(AB643&lt;8500,"$7,000-$8,500",IF(AB643&lt;10000,"$8,500-$10,000",IF(AB643&lt;11500,"$10,000-$11,500",IF(AB643&lt;13000,"$11,500-$13,000",IF(AB643&lt;14500,"$13,000-$14,500",IF(AB643&lt;16000,"$14,500-$16,000",IF(AB643&lt;17500,"$16,000-$17,500",IF(AB643&lt;19000,"$17,500-$19,000",IF(AB643&lt;20500,"$19,000-$20,500",IF(AB643&lt;22000,"$20,500-$22,000",IF(AB643&lt;23500,"$22,000-$23,500",IF(AB643&lt;25000,"$23,500-$25,000",IF(AB643&lt;26500,"$25,000-$26,500",IF(AB643&lt;28000,"$26,500-$28,000",IF(AB643&lt;29500,"$28,000-$29,500","$29,500+")))))))))))))))))))</f>
        <v>$5,500-$7,000</v>
      </c>
      <c r="AD643">
        <v>8891</v>
      </c>
      <c r="AE643" t="str">
        <f t="shared" ref="AE643:AE706" si="157">IF(AD643&lt;=8000,"$2,094-$8,000",IF(AD643&lt;=16000,"$8,001-$16,000",IF(AD643&lt;=22000,"$16,001-$22,000","$22,001-$26,999")))</f>
        <v>$8,001-$16,000</v>
      </c>
      <c r="AF643">
        <v>1</v>
      </c>
      <c r="AG643" t="str">
        <f t="shared" ref="AG643:AG706" si="158">IF(AF643&lt;=1,"0-1",IF(AF643&lt;=3,"2-3",IF(AF643&lt;=6,"4-6","7-9")))</f>
        <v>0-1</v>
      </c>
      <c r="AH643" t="s">
        <v>67</v>
      </c>
      <c r="AI643" t="s">
        <v>71</v>
      </c>
      <c r="AJ643">
        <v>14</v>
      </c>
      <c r="AK643" t="str">
        <f t="shared" ref="AK643:AK706" si="159">IF(AJ643&lt;=12,"11-12%",IF(AJ643&lt;=15,"13-15%",IF(AJ643&lt;=17,"16-17%","18-19%")))</f>
        <v>13-15%</v>
      </c>
      <c r="AL643">
        <v>3</v>
      </c>
      <c r="AM643" t="s">
        <v>68</v>
      </c>
      <c r="AN643">
        <v>4</v>
      </c>
      <c r="AO643" t="s">
        <v>65</v>
      </c>
      <c r="AP643">
        <v>80</v>
      </c>
      <c r="AQ643">
        <v>1</v>
      </c>
      <c r="AR643">
        <v>10</v>
      </c>
      <c r="AS643" t="str">
        <f t="shared" ref="AS643:AS706" si="160">IF(AR643&lt;=2,"0-2",IF(AR643&lt;=5,"3-5",IF(AR643&lt;=10,"6-10",IF(AR643&lt;=20,"11-20","21-40"))))</f>
        <v>6-10</v>
      </c>
      <c r="AT643">
        <v>3</v>
      </c>
      <c r="AU643" t="str">
        <f t="shared" ref="AU643:AU706" si="161">IF(AT643&lt;=2,"0-2",IF(AT643&lt;=4,"3-4","5-6"))</f>
        <v>3-4</v>
      </c>
      <c r="AV643">
        <v>3</v>
      </c>
      <c r="AW643" t="s">
        <v>79</v>
      </c>
      <c r="AX643">
        <v>10</v>
      </c>
      <c r="AY643" t="str">
        <f t="shared" si="150"/>
        <v>6-10</v>
      </c>
      <c r="AZ643">
        <v>8</v>
      </c>
      <c r="BA643" t="str">
        <f t="shared" ref="BA643:BA706" si="162">IF(AZ643&lt;=1,"0-1",IF(AZ643&lt;=5,"2-5",IF(AZ643&lt;=10,"6-10","11-18")))</f>
        <v>6-10</v>
      </c>
      <c r="BB643">
        <v>5</v>
      </c>
      <c r="BC643" t="str">
        <f t="shared" ref="BC643:BC706" si="163">IF(BB643&lt;=1,"0-1",IF(BB643&lt;=5,"2-5",IF(BB643&lt;=10,"6-10","11-15")))</f>
        <v>2-5</v>
      </c>
      <c r="BD643">
        <v>3</v>
      </c>
      <c r="BE643" t="str">
        <f t="shared" ref="BE643:BE706" si="164">IF(BD643&lt;=1,"0-1",IF(BD643&lt;=5,"2-5",IF(BD643&lt;=10,"6-10","11-17")))</f>
        <v>2-5</v>
      </c>
    </row>
    <row r="644" spans="1:57" x14ac:dyDescent="0.3">
      <c r="A644">
        <v>893</v>
      </c>
      <c r="B644">
        <v>38</v>
      </c>
      <c r="C644" t="str">
        <f t="shared" si="151"/>
        <v>36-45</v>
      </c>
      <c r="D644" t="s">
        <v>71</v>
      </c>
      <c r="E644">
        <f t="shared" si="152"/>
        <v>0</v>
      </c>
      <c r="F644" t="s">
        <v>57</v>
      </c>
      <c r="G644">
        <v>395</v>
      </c>
      <c r="H644" t="str">
        <f t="shared" si="153"/>
        <v>102-500</v>
      </c>
      <c r="I644" t="s">
        <v>58</v>
      </c>
      <c r="J644">
        <v>9</v>
      </c>
      <c r="K644" t="str">
        <f t="shared" si="154"/>
        <v>6-10</v>
      </c>
      <c r="L644">
        <v>3</v>
      </c>
      <c r="M644" t="s">
        <v>85</v>
      </c>
      <c r="N644" t="s">
        <v>93</v>
      </c>
      <c r="O644">
        <v>1</v>
      </c>
      <c r="P644">
        <v>2</v>
      </c>
      <c r="Q644" t="s">
        <v>61</v>
      </c>
      <c r="R644" t="s">
        <v>75</v>
      </c>
      <c r="S644">
        <v>98</v>
      </c>
      <c r="T644" t="str">
        <f t="shared" si="155"/>
        <v>76-100</v>
      </c>
      <c r="U644">
        <v>2</v>
      </c>
      <c r="V644" t="s">
        <v>61</v>
      </c>
      <c r="W644">
        <v>1</v>
      </c>
      <c r="X644" t="s">
        <v>91</v>
      </c>
      <c r="Y644">
        <v>2</v>
      </c>
      <c r="Z644" t="s">
        <v>61</v>
      </c>
      <c r="AA644" t="s">
        <v>77</v>
      </c>
      <c r="AB644" s="4">
        <v>2899</v>
      </c>
      <c r="AC644" s="4" t="str">
        <f t="shared" si="156"/>
        <v>$2,500-$4,000</v>
      </c>
      <c r="AD644">
        <v>12102</v>
      </c>
      <c r="AE644" t="str">
        <f t="shared" si="157"/>
        <v>$8,001-$16,000</v>
      </c>
      <c r="AF644">
        <v>0</v>
      </c>
      <c r="AG644" t="str">
        <f t="shared" si="158"/>
        <v>0-1</v>
      </c>
      <c r="AH644" t="s">
        <v>67</v>
      </c>
      <c r="AI644" t="s">
        <v>71</v>
      </c>
      <c r="AJ644">
        <v>19</v>
      </c>
      <c r="AK644" t="str">
        <f t="shared" si="159"/>
        <v>18-19%</v>
      </c>
      <c r="AL644">
        <v>3</v>
      </c>
      <c r="AM644" t="s">
        <v>68</v>
      </c>
      <c r="AN644">
        <v>4</v>
      </c>
      <c r="AO644" t="s">
        <v>65</v>
      </c>
      <c r="AP644">
        <v>80</v>
      </c>
      <c r="AQ644">
        <v>1</v>
      </c>
      <c r="AR644">
        <v>3</v>
      </c>
      <c r="AS644" t="str">
        <f t="shared" si="160"/>
        <v>3-5</v>
      </c>
      <c r="AT644">
        <v>3</v>
      </c>
      <c r="AU644" t="str">
        <f t="shared" si="161"/>
        <v>3-4</v>
      </c>
      <c r="AV644">
        <v>3</v>
      </c>
      <c r="AW644" t="s">
        <v>79</v>
      </c>
      <c r="AX644">
        <v>2</v>
      </c>
      <c r="AY644" t="str">
        <f t="shared" si="150"/>
        <v>2-5</v>
      </c>
      <c r="AZ644">
        <v>2</v>
      </c>
      <c r="BA644" t="str">
        <f t="shared" si="162"/>
        <v>2-5</v>
      </c>
      <c r="BB644">
        <v>1</v>
      </c>
      <c r="BC644" t="str">
        <f t="shared" si="163"/>
        <v>0-1</v>
      </c>
      <c r="BD644">
        <v>2</v>
      </c>
      <c r="BE644" t="str">
        <f t="shared" si="164"/>
        <v>2-5</v>
      </c>
    </row>
    <row r="645" spans="1:57" x14ac:dyDescent="0.3">
      <c r="A645">
        <v>894</v>
      </c>
      <c r="B645">
        <v>42</v>
      </c>
      <c r="C645" t="str">
        <f t="shared" si="151"/>
        <v>36-45</v>
      </c>
      <c r="D645" t="s">
        <v>71</v>
      </c>
      <c r="E645">
        <f t="shared" si="152"/>
        <v>0</v>
      </c>
      <c r="F645" t="s">
        <v>57</v>
      </c>
      <c r="G645">
        <v>1265</v>
      </c>
      <c r="H645" t="str">
        <f t="shared" si="153"/>
        <v>1001-1499</v>
      </c>
      <c r="I645" t="s">
        <v>73</v>
      </c>
      <c r="J645">
        <v>3</v>
      </c>
      <c r="K645" t="str">
        <f t="shared" si="154"/>
        <v>1-5</v>
      </c>
      <c r="L645">
        <v>3</v>
      </c>
      <c r="M645" t="s">
        <v>85</v>
      </c>
      <c r="N645" t="s">
        <v>60</v>
      </c>
      <c r="O645">
        <v>1</v>
      </c>
      <c r="P645">
        <v>3</v>
      </c>
      <c r="Q645" t="s">
        <v>63</v>
      </c>
      <c r="R645" t="s">
        <v>62</v>
      </c>
      <c r="S645">
        <v>95</v>
      </c>
      <c r="T645" t="str">
        <f t="shared" si="155"/>
        <v>76-100</v>
      </c>
      <c r="U645">
        <v>4</v>
      </c>
      <c r="V645" t="s">
        <v>65</v>
      </c>
      <c r="W645">
        <v>2</v>
      </c>
      <c r="X645" t="s">
        <v>81</v>
      </c>
      <c r="Y645">
        <v>4</v>
      </c>
      <c r="Z645" t="s">
        <v>65</v>
      </c>
      <c r="AA645" t="s">
        <v>77</v>
      </c>
      <c r="AB645" s="4">
        <v>5231</v>
      </c>
      <c r="AC645" s="4" t="str">
        <f t="shared" si="156"/>
        <v>$4,000-$5,500</v>
      </c>
      <c r="AD645">
        <v>23726</v>
      </c>
      <c r="AE645" t="str">
        <f t="shared" si="157"/>
        <v>$22,001-$26,999</v>
      </c>
      <c r="AF645">
        <v>2</v>
      </c>
      <c r="AG645" t="str">
        <f t="shared" si="158"/>
        <v>2-3</v>
      </c>
      <c r="AH645" t="s">
        <v>67</v>
      </c>
      <c r="AI645" t="s">
        <v>56</v>
      </c>
      <c r="AJ645">
        <v>13</v>
      </c>
      <c r="AK645" t="str">
        <f t="shared" si="159"/>
        <v>13-15%</v>
      </c>
      <c r="AL645">
        <v>3</v>
      </c>
      <c r="AM645" t="s">
        <v>68</v>
      </c>
      <c r="AN645">
        <v>2</v>
      </c>
      <c r="AO645" t="s">
        <v>61</v>
      </c>
      <c r="AP645">
        <v>80</v>
      </c>
      <c r="AQ645">
        <v>1</v>
      </c>
      <c r="AR645">
        <v>17</v>
      </c>
      <c r="AS645" t="str">
        <f t="shared" si="160"/>
        <v>11-20</v>
      </c>
      <c r="AT645">
        <v>1</v>
      </c>
      <c r="AU645" t="str">
        <f t="shared" si="161"/>
        <v>0-2</v>
      </c>
      <c r="AV645">
        <v>2</v>
      </c>
      <c r="AW645" t="s">
        <v>84</v>
      </c>
      <c r="AX645">
        <v>5</v>
      </c>
      <c r="AY645" t="str">
        <f t="shared" si="150"/>
        <v>2-5</v>
      </c>
      <c r="AZ645">
        <v>3</v>
      </c>
      <c r="BA645" t="str">
        <f t="shared" si="162"/>
        <v>2-5</v>
      </c>
      <c r="BB645">
        <v>1</v>
      </c>
      <c r="BC645" t="str">
        <f t="shared" si="163"/>
        <v>0-1</v>
      </c>
      <c r="BD645">
        <v>3</v>
      </c>
      <c r="BE645" t="str">
        <f t="shared" si="164"/>
        <v>2-5</v>
      </c>
    </row>
    <row r="646" spans="1:57" x14ac:dyDescent="0.3">
      <c r="A646">
        <v>895</v>
      </c>
      <c r="B646">
        <v>31</v>
      </c>
      <c r="C646" t="str">
        <f t="shared" si="151"/>
        <v>26-35</v>
      </c>
      <c r="D646" t="s">
        <v>71</v>
      </c>
      <c r="E646">
        <f t="shared" si="152"/>
        <v>0</v>
      </c>
      <c r="F646" t="s">
        <v>57</v>
      </c>
      <c r="G646">
        <v>1222</v>
      </c>
      <c r="H646" t="str">
        <f t="shared" si="153"/>
        <v>1001-1499</v>
      </c>
      <c r="I646" t="s">
        <v>73</v>
      </c>
      <c r="J646">
        <v>11</v>
      </c>
      <c r="K646" t="str">
        <f t="shared" si="154"/>
        <v>11-20</v>
      </c>
      <c r="L646">
        <v>4</v>
      </c>
      <c r="M646" t="s">
        <v>82</v>
      </c>
      <c r="N646" t="s">
        <v>60</v>
      </c>
      <c r="O646">
        <v>1</v>
      </c>
      <c r="P646">
        <v>4</v>
      </c>
      <c r="Q646" t="s">
        <v>65</v>
      </c>
      <c r="R646" t="s">
        <v>75</v>
      </c>
      <c r="S646">
        <v>48</v>
      </c>
      <c r="T646" t="str">
        <f t="shared" si="155"/>
        <v>30-50</v>
      </c>
      <c r="U646">
        <v>3</v>
      </c>
      <c r="V646" t="s">
        <v>63</v>
      </c>
      <c r="W646">
        <v>1</v>
      </c>
      <c r="X646" t="s">
        <v>76</v>
      </c>
      <c r="Y646">
        <v>4</v>
      </c>
      <c r="Z646" t="s">
        <v>65</v>
      </c>
      <c r="AA646" t="s">
        <v>77</v>
      </c>
      <c r="AB646" s="4">
        <v>2356</v>
      </c>
      <c r="AC646" s="4" t="str">
        <f t="shared" si="156"/>
        <v>$1,000-$2,500</v>
      </c>
      <c r="AD646">
        <v>14871</v>
      </c>
      <c r="AE646" t="str">
        <f t="shared" si="157"/>
        <v>$8,001-$16,000</v>
      </c>
      <c r="AF646">
        <v>3</v>
      </c>
      <c r="AG646" t="str">
        <f t="shared" si="158"/>
        <v>2-3</v>
      </c>
      <c r="AH646" t="s">
        <v>67</v>
      </c>
      <c r="AI646" t="s">
        <v>56</v>
      </c>
      <c r="AJ646">
        <v>19</v>
      </c>
      <c r="AK646" t="str">
        <f t="shared" si="159"/>
        <v>18-19%</v>
      </c>
      <c r="AL646">
        <v>3</v>
      </c>
      <c r="AM646" t="s">
        <v>68</v>
      </c>
      <c r="AN646">
        <v>2</v>
      </c>
      <c r="AO646" t="s">
        <v>61</v>
      </c>
      <c r="AP646">
        <v>80</v>
      </c>
      <c r="AQ646">
        <v>1</v>
      </c>
      <c r="AR646">
        <v>8</v>
      </c>
      <c r="AS646" t="str">
        <f t="shared" si="160"/>
        <v>6-10</v>
      </c>
      <c r="AT646">
        <v>2</v>
      </c>
      <c r="AU646" t="str">
        <f t="shared" si="161"/>
        <v>0-2</v>
      </c>
      <c r="AV646">
        <v>3</v>
      </c>
      <c r="AW646" t="s">
        <v>79</v>
      </c>
      <c r="AX646">
        <v>6</v>
      </c>
      <c r="AY646" t="str">
        <f t="shared" si="150"/>
        <v>6-10</v>
      </c>
      <c r="AZ646">
        <v>4</v>
      </c>
      <c r="BA646" t="str">
        <f t="shared" si="162"/>
        <v>2-5</v>
      </c>
      <c r="BB646">
        <v>0</v>
      </c>
      <c r="BC646" t="str">
        <f t="shared" si="163"/>
        <v>0-1</v>
      </c>
      <c r="BD646">
        <v>2</v>
      </c>
      <c r="BE646" t="str">
        <f t="shared" si="164"/>
        <v>2-5</v>
      </c>
    </row>
    <row r="647" spans="1:57" x14ac:dyDescent="0.3">
      <c r="A647">
        <v>896</v>
      </c>
      <c r="B647">
        <v>29</v>
      </c>
      <c r="C647" t="str">
        <f t="shared" si="151"/>
        <v>26-35</v>
      </c>
      <c r="D647" t="s">
        <v>56</v>
      </c>
      <c r="E647">
        <f t="shared" si="152"/>
        <v>1</v>
      </c>
      <c r="F647" t="s">
        <v>57</v>
      </c>
      <c r="G647">
        <v>341</v>
      </c>
      <c r="H647" t="str">
        <f t="shared" si="153"/>
        <v>102-500</v>
      </c>
      <c r="I647" t="s">
        <v>58</v>
      </c>
      <c r="J647">
        <v>1</v>
      </c>
      <c r="K647" t="str">
        <f t="shared" si="154"/>
        <v>1-5</v>
      </c>
      <c r="L647">
        <v>3</v>
      </c>
      <c r="M647" t="s">
        <v>85</v>
      </c>
      <c r="N647" t="s">
        <v>83</v>
      </c>
      <c r="O647">
        <v>1</v>
      </c>
      <c r="P647">
        <v>2</v>
      </c>
      <c r="Q647" t="s">
        <v>61</v>
      </c>
      <c r="R647" t="s">
        <v>62</v>
      </c>
      <c r="S647">
        <v>48</v>
      </c>
      <c r="T647" t="str">
        <f t="shared" si="155"/>
        <v>30-50</v>
      </c>
      <c r="U647">
        <v>2</v>
      </c>
      <c r="V647" t="s">
        <v>61</v>
      </c>
      <c r="W647">
        <v>1</v>
      </c>
      <c r="X647" t="s">
        <v>91</v>
      </c>
      <c r="Y647">
        <v>3</v>
      </c>
      <c r="Z647" t="s">
        <v>63</v>
      </c>
      <c r="AA647" t="s">
        <v>86</v>
      </c>
      <c r="AB647" s="4">
        <v>2800</v>
      </c>
      <c r="AC647" s="4" t="str">
        <f t="shared" si="156"/>
        <v>$2,500-$4,000</v>
      </c>
      <c r="AD647">
        <v>23522</v>
      </c>
      <c r="AE647" t="str">
        <f t="shared" si="157"/>
        <v>$22,001-$26,999</v>
      </c>
      <c r="AF647">
        <v>6</v>
      </c>
      <c r="AG647" t="str">
        <f t="shared" si="158"/>
        <v>4-6</v>
      </c>
      <c r="AH647" t="s">
        <v>67</v>
      </c>
      <c r="AI647" t="s">
        <v>56</v>
      </c>
      <c r="AJ647">
        <v>19</v>
      </c>
      <c r="AK647" t="str">
        <f t="shared" si="159"/>
        <v>18-19%</v>
      </c>
      <c r="AL647">
        <v>3</v>
      </c>
      <c r="AM647" t="s">
        <v>68</v>
      </c>
      <c r="AN647">
        <v>3</v>
      </c>
      <c r="AO647" t="s">
        <v>63</v>
      </c>
      <c r="AP647">
        <v>80</v>
      </c>
      <c r="AQ647">
        <v>3</v>
      </c>
      <c r="AR647">
        <v>5</v>
      </c>
      <c r="AS647" t="str">
        <f t="shared" si="160"/>
        <v>3-5</v>
      </c>
      <c r="AT647">
        <v>3</v>
      </c>
      <c r="AU647" t="str">
        <f t="shared" si="161"/>
        <v>3-4</v>
      </c>
      <c r="AV647">
        <v>3</v>
      </c>
      <c r="AW647" t="s">
        <v>79</v>
      </c>
      <c r="AX647">
        <v>3</v>
      </c>
      <c r="AY647" t="str">
        <f t="shared" si="150"/>
        <v>2-5</v>
      </c>
      <c r="AZ647">
        <v>2</v>
      </c>
      <c r="BA647" t="str">
        <f t="shared" si="162"/>
        <v>2-5</v>
      </c>
      <c r="BB647">
        <v>0</v>
      </c>
      <c r="BC647" t="str">
        <f t="shared" si="163"/>
        <v>0-1</v>
      </c>
      <c r="BD647">
        <v>2</v>
      </c>
      <c r="BE647" t="str">
        <f t="shared" si="164"/>
        <v>2-5</v>
      </c>
    </row>
    <row r="648" spans="1:57" x14ac:dyDescent="0.3">
      <c r="A648">
        <v>897</v>
      </c>
      <c r="B648">
        <v>53</v>
      </c>
      <c r="C648" t="str">
        <f t="shared" si="151"/>
        <v>46-55</v>
      </c>
      <c r="D648" t="s">
        <v>71</v>
      </c>
      <c r="E648">
        <f t="shared" si="152"/>
        <v>0</v>
      </c>
      <c r="F648" t="s">
        <v>57</v>
      </c>
      <c r="G648">
        <v>868</v>
      </c>
      <c r="H648" t="str">
        <f t="shared" si="153"/>
        <v>501-1000</v>
      </c>
      <c r="I648" t="s">
        <v>58</v>
      </c>
      <c r="J648">
        <v>8</v>
      </c>
      <c r="K648" t="str">
        <f t="shared" si="154"/>
        <v>6-10</v>
      </c>
      <c r="L648">
        <v>3</v>
      </c>
      <c r="M648" t="s">
        <v>85</v>
      </c>
      <c r="N648" t="s">
        <v>93</v>
      </c>
      <c r="O648">
        <v>1</v>
      </c>
      <c r="P648">
        <v>1</v>
      </c>
      <c r="Q648" t="s">
        <v>69</v>
      </c>
      <c r="R648" t="s">
        <v>75</v>
      </c>
      <c r="S648">
        <v>73</v>
      </c>
      <c r="T648" t="str">
        <f t="shared" si="155"/>
        <v>51-75</v>
      </c>
      <c r="U648">
        <v>3</v>
      </c>
      <c r="V648" t="s">
        <v>63</v>
      </c>
      <c r="W648">
        <v>4</v>
      </c>
      <c r="X648" t="s">
        <v>64</v>
      </c>
      <c r="Y648">
        <v>4</v>
      </c>
      <c r="Z648" t="s">
        <v>65</v>
      </c>
      <c r="AA648" t="s">
        <v>77</v>
      </c>
      <c r="AB648" s="4">
        <v>11836</v>
      </c>
      <c r="AC648" s="4" t="str">
        <f t="shared" si="156"/>
        <v>$11,500-$13,000</v>
      </c>
      <c r="AD648">
        <v>22789</v>
      </c>
      <c r="AE648" t="str">
        <f t="shared" si="157"/>
        <v>$22,001-$26,999</v>
      </c>
      <c r="AF648">
        <v>5</v>
      </c>
      <c r="AG648" t="str">
        <f t="shared" si="158"/>
        <v>4-6</v>
      </c>
      <c r="AH648" t="s">
        <v>67</v>
      </c>
      <c r="AI648" t="s">
        <v>71</v>
      </c>
      <c r="AJ648">
        <v>14</v>
      </c>
      <c r="AK648" t="str">
        <f t="shared" si="159"/>
        <v>13-15%</v>
      </c>
      <c r="AL648">
        <v>3</v>
      </c>
      <c r="AM648" t="s">
        <v>68</v>
      </c>
      <c r="AN648">
        <v>3</v>
      </c>
      <c r="AO648" t="s">
        <v>63</v>
      </c>
      <c r="AP648">
        <v>80</v>
      </c>
      <c r="AQ648">
        <v>1</v>
      </c>
      <c r="AR648">
        <v>28</v>
      </c>
      <c r="AS648" t="str">
        <f t="shared" si="160"/>
        <v>21-40</v>
      </c>
      <c r="AT648">
        <v>3</v>
      </c>
      <c r="AU648" t="str">
        <f t="shared" si="161"/>
        <v>3-4</v>
      </c>
      <c r="AV648">
        <v>3</v>
      </c>
      <c r="AW648" t="s">
        <v>79</v>
      </c>
      <c r="AX648">
        <v>2</v>
      </c>
      <c r="AY648" t="str">
        <f t="shared" si="150"/>
        <v>2-5</v>
      </c>
      <c r="AZ648">
        <v>0</v>
      </c>
      <c r="BA648" t="str">
        <f t="shared" si="162"/>
        <v>0-1</v>
      </c>
      <c r="BB648">
        <v>2</v>
      </c>
      <c r="BC648" t="str">
        <f t="shared" si="163"/>
        <v>2-5</v>
      </c>
      <c r="BD648">
        <v>2</v>
      </c>
      <c r="BE648" t="str">
        <f t="shared" si="164"/>
        <v>2-5</v>
      </c>
    </row>
    <row r="649" spans="1:57" x14ac:dyDescent="0.3">
      <c r="A649">
        <v>899</v>
      </c>
      <c r="B649">
        <v>35</v>
      </c>
      <c r="C649" t="str">
        <f t="shared" si="151"/>
        <v>26-35</v>
      </c>
      <c r="D649" t="s">
        <v>71</v>
      </c>
      <c r="E649">
        <f t="shared" si="152"/>
        <v>0</v>
      </c>
      <c r="F649" t="s">
        <v>57</v>
      </c>
      <c r="G649">
        <v>672</v>
      </c>
      <c r="H649" t="str">
        <f t="shared" si="153"/>
        <v>501-1000</v>
      </c>
      <c r="I649" t="s">
        <v>73</v>
      </c>
      <c r="J649">
        <v>25</v>
      </c>
      <c r="K649" t="str">
        <f t="shared" si="154"/>
        <v>21-29</v>
      </c>
      <c r="L649">
        <v>3</v>
      </c>
      <c r="M649" t="s">
        <v>85</v>
      </c>
      <c r="N649" t="s">
        <v>95</v>
      </c>
      <c r="O649">
        <v>1</v>
      </c>
      <c r="P649">
        <v>4</v>
      </c>
      <c r="Q649" t="s">
        <v>65</v>
      </c>
      <c r="R649" t="s">
        <v>75</v>
      </c>
      <c r="S649">
        <v>78</v>
      </c>
      <c r="T649" t="str">
        <f t="shared" si="155"/>
        <v>76-100</v>
      </c>
      <c r="U649">
        <v>2</v>
      </c>
      <c r="V649" t="s">
        <v>61</v>
      </c>
      <c r="W649">
        <v>3</v>
      </c>
      <c r="X649" t="s">
        <v>87</v>
      </c>
      <c r="Y649">
        <v>2</v>
      </c>
      <c r="Z649" t="s">
        <v>61</v>
      </c>
      <c r="AA649" t="s">
        <v>77</v>
      </c>
      <c r="AB649" s="4">
        <v>10903</v>
      </c>
      <c r="AC649" s="4" t="str">
        <f t="shared" si="156"/>
        <v>$10,000-$11,500</v>
      </c>
      <c r="AD649">
        <v>9129</v>
      </c>
      <c r="AE649" t="str">
        <f t="shared" si="157"/>
        <v>$8,001-$16,000</v>
      </c>
      <c r="AF649">
        <v>3</v>
      </c>
      <c r="AG649" t="str">
        <f t="shared" si="158"/>
        <v>2-3</v>
      </c>
      <c r="AH649" t="s">
        <v>67</v>
      </c>
      <c r="AI649" t="s">
        <v>71</v>
      </c>
      <c r="AJ649">
        <v>16</v>
      </c>
      <c r="AK649" t="str">
        <f t="shared" si="159"/>
        <v>16-17%</v>
      </c>
      <c r="AL649">
        <v>3</v>
      </c>
      <c r="AM649" t="s">
        <v>68</v>
      </c>
      <c r="AN649">
        <v>1</v>
      </c>
      <c r="AO649" t="s">
        <v>69</v>
      </c>
      <c r="AP649">
        <v>80</v>
      </c>
      <c r="AQ649">
        <v>0</v>
      </c>
      <c r="AR649">
        <v>16</v>
      </c>
      <c r="AS649" t="str">
        <f t="shared" si="160"/>
        <v>11-20</v>
      </c>
      <c r="AT649">
        <v>2</v>
      </c>
      <c r="AU649" t="str">
        <f t="shared" si="161"/>
        <v>0-2</v>
      </c>
      <c r="AV649">
        <v>3</v>
      </c>
      <c r="AW649" t="s">
        <v>79</v>
      </c>
      <c r="AX649">
        <v>13</v>
      </c>
      <c r="AY649" t="str">
        <f t="shared" si="150"/>
        <v>11-20</v>
      </c>
      <c r="AZ649">
        <v>10</v>
      </c>
      <c r="BA649" t="str">
        <f t="shared" si="162"/>
        <v>6-10</v>
      </c>
      <c r="BB649">
        <v>4</v>
      </c>
      <c r="BC649" t="str">
        <f t="shared" si="163"/>
        <v>2-5</v>
      </c>
      <c r="BD649">
        <v>8</v>
      </c>
      <c r="BE649" t="str">
        <f t="shared" si="164"/>
        <v>6-10</v>
      </c>
    </row>
    <row r="650" spans="1:57" x14ac:dyDescent="0.3">
      <c r="A650">
        <v>900</v>
      </c>
      <c r="B650">
        <v>37</v>
      </c>
      <c r="C650" t="str">
        <f t="shared" si="151"/>
        <v>36-45</v>
      </c>
      <c r="D650" t="s">
        <v>71</v>
      </c>
      <c r="E650">
        <f t="shared" si="152"/>
        <v>0</v>
      </c>
      <c r="F650" t="s">
        <v>72</v>
      </c>
      <c r="G650">
        <v>1231</v>
      </c>
      <c r="H650" t="str">
        <f t="shared" si="153"/>
        <v>1001-1499</v>
      </c>
      <c r="I650" t="s">
        <v>58</v>
      </c>
      <c r="J650">
        <v>21</v>
      </c>
      <c r="K650" t="str">
        <f t="shared" si="154"/>
        <v>21-29</v>
      </c>
      <c r="L650">
        <v>2</v>
      </c>
      <c r="M650" t="s">
        <v>59</v>
      </c>
      <c r="N650" t="s">
        <v>83</v>
      </c>
      <c r="O650">
        <v>1</v>
      </c>
      <c r="P650">
        <v>3</v>
      </c>
      <c r="Q650" t="s">
        <v>63</v>
      </c>
      <c r="R650" t="s">
        <v>62</v>
      </c>
      <c r="S650">
        <v>54</v>
      </c>
      <c r="T650" t="str">
        <f t="shared" si="155"/>
        <v>51-75</v>
      </c>
      <c r="U650">
        <v>3</v>
      </c>
      <c r="V650" t="s">
        <v>63</v>
      </c>
      <c r="W650">
        <v>1</v>
      </c>
      <c r="X650" t="s">
        <v>91</v>
      </c>
      <c r="Y650">
        <v>4</v>
      </c>
      <c r="Z650" t="s">
        <v>65</v>
      </c>
      <c r="AA650" t="s">
        <v>77</v>
      </c>
      <c r="AB650" s="4">
        <v>2973</v>
      </c>
      <c r="AC650" s="4" t="str">
        <f t="shared" si="156"/>
        <v>$2,500-$4,000</v>
      </c>
      <c r="AD650">
        <v>21222</v>
      </c>
      <c r="AE650" t="str">
        <f t="shared" si="157"/>
        <v>$16,001-$22,000</v>
      </c>
      <c r="AF650">
        <v>5</v>
      </c>
      <c r="AG650" t="str">
        <f t="shared" si="158"/>
        <v>4-6</v>
      </c>
      <c r="AH650" t="s">
        <v>67</v>
      </c>
      <c r="AI650" t="s">
        <v>71</v>
      </c>
      <c r="AJ650">
        <v>15</v>
      </c>
      <c r="AK650" t="str">
        <f t="shared" si="159"/>
        <v>13-15%</v>
      </c>
      <c r="AL650">
        <v>3</v>
      </c>
      <c r="AM650" t="s">
        <v>68</v>
      </c>
      <c r="AN650">
        <v>2</v>
      </c>
      <c r="AO650" t="s">
        <v>61</v>
      </c>
      <c r="AP650">
        <v>80</v>
      </c>
      <c r="AQ650">
        <v>1</v>
      </c>
      <c r="AR650">
        <v>10</v>
      </c>
      <c r="AS650" t="str">
        <f t="shared" si="160"/>
        <v>6-10</v>
      </c>
      <c r="AT650">
        <v>3</v>
      </c>
      <c r="AU650" t="str">
        <f t="shared" si="161"/>
        <v>3-4</v>
      </c>
      <c r="AV650">
        <v>3</v>
      </c>
      <c r="AW650" t="s">
        <v>79</v>
      </c>
      <c r="AX650">
        <v>5</v>
      </c>
      <c r="AY650" t="str">
        <f t="shared" si="150"/>
        <v>2-5</v>
      </c>
      <c r="AZ650">
        <v>4</v>
      </c>
      <c r="BA650" t="str">
        <f t="shared" si="162"/>
        <v>2-5</v>
      </c>
      <c r="BB650">
        <v>0</v>
      </c>
      <c r="BC650" t="str">
        <f t="shared" si="163"/>
        <v>0-1</v>
      </c>
      <c r="BD650">
        <v>0</v>
      </c>
      <c r="BE650" t="str">
        <f t="shared" si="164"/>
        <v>0-1</v>
      </c>
    </row>
    <row r="651" spans="1:57" x14ac:dyDescent="0.3">
      <c r="A651">
        <v>901</v>
      </c>
      <c r="B651">
        <v>53</v>
      </c>
      <c r="C651" t="str">
        <f t="shared" si="151"/>
        <v>46-55</v>
      </c>
      <c r="D651" t="s">
        <v>71</v>
      </c>
      <c r="E651">
        <f t="shared" si="152"/>
        <v>0</v>
      </c>
      <c r="F651" t="s">
        <v>57</v>
      </c>
      <c r="G651">
        <v>102</v>
      </c>
      <c r="H651" t="str">
        <f t="shared" si="153"/>
        <v>102-500</v>
      </c>
      <c r="I651" t="s">
        <v>73</v>
      </c>
      <c r="J651">
        <v>23</v>
      </c>
      <c r="K651" t="str">
        <f t="shared" si="154"/>
        <v>21-29</v>
      </c>
      <c r="L651">
        <v>4</v>
      </c>
      <c r="M651" t="s">
        <v>82</v>
      </c>
      <c r="N651" t="s">
        <v>60</v>
      </c>
      <c r="O651">
        <v>1</v>
      </c>
      <c r="P651">
        <v>4</v>
      </c>
      <c r="Q651" t="s">
        <v>65</v>
      </c>
      <c r="R651" t="s">
        <v>62</v>
      </c>
      <c r="S651">
        <v>72</v>
      </c>
      <c r="T651" t="str">
        <f t="shared" si="155"/>
        <v>51-75</v>
      </c>
      <c r="U651">
        <v>3</v>
      </c>
      <c r="V651" t="s">
        <v>63</v>
      </c>
      <c r="W651">
        <v>4</v>
      </c>
      <c r="X651" t="s">
        <v>92</v>
      </c>
      <c r="Y651">
        <v>4</v>
      </c>
      <c r="Z651" t="s">
        <v>65</v>
      </c>
      <c r="AA651" t="s">
        <v>66</v>
      </c>
      <c r="AB651" s="4">
        <v>14275</v>
      </c>
      <c r="AC651" s="4" t="str">
        <f t="shared" si="156"/>
        <v>$13,000-$14,500</v>
      </c>
      <c r="AD651">
        <v>20206</v>
      </c>
      <c r="AE651" t="str">
        <f t="shared" si="157"/>
        <v>$16,001-$22,000</v>
      </c>
      <c r="AF651">
        <v>6</v>
      </c>
      <c r="AG651" t="str">
        <f t="shared" si="158"/>
        <v>4-6</v>
      </c>
      <c r="AH651" t="s">
        <v>67</v>
      </c>
      <c r="AI651" t="s">
        <v>71</v>
      </c>
      <c r="AJ651">
        <v>18</v>
      </c>
      <c r="AK651" t="str">
        <f t="shared" si="159"/>
        <v>18-19%</v>
      </c>
      <c r="AL651">
        <v>3</v>
      </c>
      <c r="AM651" t="s">
        <v>68</v>
      </c>
      <c r="AN651">
        <v>3</v>
      </c>
      <c r="AO651" t="s">
        <v>63</v>
      </c>
      <c r="AP651">
        <v>80</v>
      </c>
      <c r="AQ651">
        <v>0</v>
      </c>
      <c r="AR651">
        <v>33</v>
      </c>
      <c r="AS651" t="str">
        <f t="shared" si="160"/>
        <v>21-40</v>
      </c>
      <c r="AT651">
        <v>0</v>
      </c>
      <c r="AU651" t="str">
        <f t="shared" si="161"/>
        <v>0-2</v>
      </c>
      <c r="AV651">
        <v>3</v>
      </c>
      <c r="AW651" t="s">
        <v>79</v>
      </c>
      <c r="AX651">
        <v>12</v>
      </c>
      <c r="AY651" t="str">
        <f t="shared" si="150"/>
        <v>11-20</v>
      </c>
      <c r="AZ651">
        <v>9</v>
      </c>
      <c r="BA651" t="str">
        <f t="shared" si="162"/>
        <v>6-10</v>
      </c>
      <c r="BB651">
        <v>3</v>
      </c>
      <c r="BC651" t="str">
        <f t="shared" si="163"/>
        <v>2-5</v>
      </c>
      <c r="BD651">
        <v>8</v>
      </c>
      <c r="BE651" t="str">
        <f t="shared" si="164"/>
        <v>6-10</v>
      </c>
    </row>
    <row r="652" spans="1:57" x14ac:dyDescent="0.3">
      <c r="A652">
        <v>902</v>
      </c>
      <c r="B652">
        <v>43</v>
      </c>
      <c r="C652" t="str">
        <f t="shared" si="151"/>
        <v>36-45</v>
      </c>
      <c r="D652" t="s">
        <v>71</v>
      </c>
      <c r="E652">
        <f t="shared" si="152"/>
        <v>0</v>
      </c>
      <c r="F652" t="s">
        <v>72</v>
      </c>
      <c r="G652">
        <v>422</v>
      </c>
      <c r="H652" t="str">
        <f t="shared" si="153"/>
        <v>102-500</v>
      </c>
      <c r="I652" t="s">
        <v>73</v>
      </c>
      <c r="J652">
        <v>1</v>
      </c>
      <c r="K652" t="str">
        <f t="shared" si="154"/>
        <v>1-5</v>
      </c>
      <c r="L652">
        <v>3</v>
      </c>
      <c r="M652" t="s">
        <v>85</v>
      </c>
      <c r="N652" t="s">
        <v>60</v>
      </c>
      <c r="O652">
        <v>1</v>
      </c>
      <c r="P652">
        <v>4</v>
      </c>
      <c r="Q652" t="s">
        <v>65</v>
      </c>
      <c r="R652" t="s">
        <v>62</v>
      </c>
      <c r="S652">
        <v>33</v>
      </c>
      <c r="T652" t="str">
        <f t="shared" si="155"/>
        <v>30-50</v>
      </c>
      <c r="U652">
        <v>3</v>
      </c>
      <c r="V652" t="s">
        <v>63</v>
      </c>
      <c r="W652">
        <v>2</v>
      </c>
      <c r="X652" t="s">
        <v>88</v>
      </c>
      <c r="Y652">
        <v>4</v>
      </c>
      <c r="Z652" t="s">
        <v>65</v>
      </c>
      <c r="AA652" t="s">
        <v>77</v>
      </c>
      <c r="AB652" s="4">
        <v>5562</v>
      </c>
      <c r="AC652" s="4" t="str">
        <f t="shared" si="156"/>
        <v>$5,500-$7,000</v>
      </c>
      <c r="AD652">
        <v>21782</v>
      </c>
      <c r="AE652" t="str">
        <f t="shared" si="157"/>
        <v>$16,001-$22,000</v>
      </c>
      <c r="AF652">
        <v>4</v>
      </c>
      <c r="AG652" t="str">
        <f t="shared" si="158"/>
        <v>4-6</v>
      </c>
      <c r="AH652" t="s">
        <v>67</v>
      </c>
      <c r="AI652" t="s">
        <v>71</v>
      </c>
      <c r="AJ652">
        <v>13</v>
      </c>
      <c r="AK652" t="str">
        <f t="shared" si="159"/>
        <v>13-15%</v>
      </c>
      <c r="AL652">
        <v>3</v>
      </c>
      <c r="AM652" t="s">
        <v>68</v>
      </c>
      <c r="AN652">
        <v>2</v>
      </c>
      <c r="AO652" t="s">
        <v>61</v>
      </c>
      <c r="AP652">
        <v>80</v>
      </c>
      <c r="AQ652">
        <v>1</v>
      </c>
      <c r="AR652">
        <v>12</v>
      </c>
      <c r="AS652" t="str">
        <f t="shared" si="160"/>
        <v>11-20</v>
      </c>
      <c r="AT652">
        <v>2</v>
      </c>
      <c r="AU652" t="str">
        <f t="shared" si="161"/>
        <v>0-2</v>
      </c>
      <c r="AV652">
        <v>2</v>
      </c>
      <c r="AW652" t="s">
        <v>84</v>
      </c>
      <c r="AX652">
        <v>5</v>
      </c>
      <c r="AY652" t="str">
        <f t="shared" si="150"/>
        <v>2-5</v>
      </c>
      <c r="AZ652">
        <v>2</v>
      </c>
      <c r="BA652" t="str">
        <f t="shared" si="162"/>
        <v>2-5</v>
      </c>
      <c r="BB652">
        <v>2</v>
      </c>
      <c r="BC652" t="str">
        <f t="shared" si="163"/>
        <v>2-5</v>
      </c>
      <c r="BD652">
        <v>2</v>
      </c>
      <c r="BE652" t="str">
        <f t="shared" si="164"/>
        <v>2-5</v>
      </c>
    </row>
    <row r="653" spans="1:57" x14ac:dyDescent="0.3">
      <c r="A653">
        <v>903</v>
      </c>
      <c r="B653">
        <v>47</v>
      </c>
      <c r="C653" t="str">
        <f t="shared" si="151"/>
        <v>46-55</v>
      </c>
      <c r="D653" t="s">
        <v>71</v>
      </c>
      <c r="E653">
        <f t="shared" si="152"/>
        <v>0</v>
      </c>
      <c r="F653" t="s">
        <v>57</v>
      </c>
      <c r="G653">
        <v>249</v>
      </c>
      <c r="H653" t="str">
        <f t="shared" si="153"/>
        <v>102-500</v>
      </c>
      <c r="I653" t="s">
        <v>58</v>
      </c>
      <c r="J653">
        <v>2</v>
      </c>
      <c r="K653" t="str">
        <f t="shared" si="154"/>
        <v>1-5</v>
      </c>
      <c r="L653">
        <v>2</v>
      </c>
      <c r="M653" t="s">
        <v>59</v>
      </c>
      <c r="N653" t="s">
        <v>93</v>
      </c>
      <c r="O653">
        <v>1</v>
      </c>
      <c r="P653">
        <v>3</v>
      </c>
      <c r="Q653" t="s">
        <v>63</v>
      </c>
      <c r="R653" t="s">
        <v>62</v>
      </c>
      <c r="S653">
        <v>35</v>
      </c>
      <c r="T653" t="str">
        <f t="shared" si="155"/>
        <v>30-50</v>
      </c>
      <c r="U653">
        <v>3</v>
      </c>
      <c r="V653" t="s">
        <v>63</v>
      </c>
      <c r="W653">
        <v>2</v>
      </c>
      <c r="X653" t="s">
        <v>64</v>
      </c>
      <c r="Y653">
        <v>4</v>
      </c>
      <c r="Z653" t="s">
        <v>65</v>
      </c>
      <c r="AA653" t="s">
        <v>77</v>
      </c>
      <c r="AB653" s="4">
        <v>4537</v>
      </c>
      <c r="AC653" s="4" t="str">
        <f t="shared" si="156"/>
        <v>$4,000-$5,500</v>
      </c>
      <c r="AD653">
        <v>17783</v>
      </c>
      <c r="AE653" t="str">
        <f t="shared" si="157"/>
        <v>$16,001-$22,000</v>
      </c>
      <c r="AF653">
        <v>0</v>
      </c>
      <c r="AG653" t="str">
        <f t="shared" si="158"/>
        <v>0-1</v>
      </c>
      <c r="AH653" t="s">
        <v>67</v>
      </c>
      <c r="AI653" t="s">
        <v>56</v>
      </c>
      <c r="AJ653">
        <v>22</v>
      </c>
      <c r="AK653" t="str">
        <f t="shared" si="159"/>
        <v>18-19%</v>
      </c>
      <c r="AL653">
        <v>4</v>
      </c>
      <c r="AM653" t="s">
        <v>78</v>
      </c>
      <c r="AN653">
        <v>1</v>
      </c>
      <c r="AO653" t="s">
        <v>69</v>
      </c>
      <c r="AP653">
        <v>80</v>
      </c>
      <c r="AQ653">
        <v>1</v>
      </c>
      <c r="AR653">
        <v>8</v>
      </c>
      <c r="AS653" t="str">
        <f t="shared" si="160"/>
        <v>6-10</v>
      </c>
      <c r="AT653">
        <v>2</v>
      </c>
      <c r="AU653" t="str">
        <f t="shared" si="161"/>
        <v>0-2</v>
      </c>
      <c r="AV653">
        <v>3</v>
      </c>
      <c r="AW653" t="s">
        <v>79</v>
      </c>
      <c r="AX653">
        <v>7</v>
      </c>
      <c r="AY653" t="str">
        <f t="shared" si="150"/>
        <v>6-10</v>
      </c>
      <c r="AZ653">
        <v>6</v>
      </c>
      <c r="BA653" t="str">
        <f t="shared" si="162"/>
        <v>6-10</v>
      </c>
      <c r="BB653">
        <v>7</v>
      </c>
      <c r="BC653" t="str">
        <f t="shared" si="163"/>
        <v>6-10</v>
      </c>
      <c r="BD653">
        <v>7</v>
      </c>
      <c r="BE653" t="str">
        <f t="shared" si="164"/>
        <v>6-10</v>
      </c>
    </row>
    <row r="654" spans="1:57" x14ac:dyDescent="0.3">
      <c r="A654">
        <v>904</v>
      </c>
      <c r="B654">
        <v>37</v>
      </c>
      <c r="C654" t="str">
        <f t="shared" si="151"/>
        <v>36-45</v>
      </c>
      <c r="D654" t="s">
        <v>71</v>
      </c>
      <c r="E654">
        <f t="shared" si="152"/>
        <v>0</v>
      </c>
      <c r="F654" t="s">
        <v>89</v>
      </c>
      <c r="G654">
        <v>1252</v>
      </c>
      <c r="H654" t="str">
        <f t="shared" si="153"/>
        <v>1001-1499</v>
      </c>
      <c r="I654" t="s">
        <v>58</v>
      </c>
      <c r="J654">
        <v>19</v>
      </c>
      <c r="K654" t="str">
        <f t="shared" si="154"/>
        <v>11-20</v>
      </c>
      <c r="L654">
        <v>2</v>
      </c>
      <c r="M654" t="s">
        <v>59</v>
      </c>
      <c r="N654" t="s">
        <v>83</v>
      </c>
      <c r="O654">
        <v>1</v>
      </c>
      <c r="P654">
        <v>1</v>
      </c>
      <c r="Q654" t="s">
        <v>69</v>
      </c>
      <c r="R654" t="s">
        <v>75</v>
      </c>
      <c r="S654">
        <v>32</v>
      </c>
      <c r="T654" t="str">
        <f t="shared" si="155"/>
        <v>30-50</v>
      </c>
      <c r="U654">
        <v>3</v>
      </c>
      <c r="V654" t="s">
        <v>63</v>
      </c>
      <c r="W654">
        <v>3</v>
      </c>
      <c r="X654" t="s">
        <v>64</v>
      </c>
      <c r="Y654">
        <v>2</v>
      </c>
      <c r="Z654" t="s">
        <v>61</v>
      </c>
      <c r="AA654" t="s">
        <v>66</v>
      </c>
      <c r="AB654" s="4">
        <v>7642</v>
      </c>
      <c r="AC654" s="4" t="str">
        <f t="shared" si="156"/>
        <v>$7,000-$8,500</v>
      </c>
      <c r="AD654">
        <v>4814</v>
      </c>
      <c r="AE654" t="str">
        <f t="shared" si="157"/>
        <v>$2,094-$8,000</v>
      </c>
      <c r="AF654">
        <v>1</v>
      </c>
      <c r="AG654" t="str">
        <f t="shared" si="158"/>
        <v>0-1</v>
      </c>
      <c r="AH654" t="s">
        <v>67</v>
      </c>
      <c r="AI654" t="s">
        <v>56</v>
      </c>
      <c r="AJ654">
        <v>13</v>
      </c>
      <c r="AK654" t="str">
        <f t="shared" si="159"/>
        <v>13-15%</v>
      </c>
      <c r="AL654">
        <v>3</v>
      </c>
      <c r="AM654" t="s">
        <v>68</v>
      </c>
      <c r="AN654">
        <v>4</v>
      </c>
      <c r="AO654" t="s">
        <v>65</v>
      </c>
      <c r="AP654">
        <v>80</v>
      </c>
      <c r="AQ654">
        <v>0</v>
      </c>
      <c r="AR654">
        <v>10</v>
      </c>
      <c r="AS654" t="str">
        <f t="shared" si="160"/>
        <v>6-10</v>
      </c>
      <c r="AT654">
        <v>2</v>
      </c>
      <c r="AU654" t="str">
        <f t="shared" si="161"/>
        <v>0-2</v>
      </c>
      <c r="AV654">
        <v>3</v>
      </c>
      <c r="AW654" t="s">
        <v>79</v>
      </c>
      <c r="AX654">
        <v>10</v>
      </c>
      <c r="AY654" t="str">
        <f t="shared" si="150"/>
        <v>6-10</v>
      </c>
      <c r="AZ654">
        <v>0</v>
      </c>
      <c r="BA654" t="str">
        <f t="shared" si="162"/>
        <v>0-1</v>
      </c>
      <c r="BB654">
        <v>0</v>
      </c>
      <c r="BC654" t="str">
        <f t="shared" si="163"/>
        <v>0-1</v>
      </c>
      <c r="BD654">
        <v>9</v>
      </c>
      <c r="BE654" t="str">
        <f t="shared" si="164"/>
        <v>6-10</v>
      </c>
    </row>
    <row r="655" spans="1:57" x14ac:dyDescent="0.3">
      <c r="A655">
        <v>905</v>
      </c>
      <c r="B655">
        <v>50</v>
      </c>
      <c r="C655" t="str">
        <f t="shared" si="151"/>
        <v>46-55</v>
      </c>
      <c r="D655" t="s">
        <v>71</v>
      </c>
      <c r="E655">
        <f t="shared" si="152"/>
        <v>0</v>
      </c>
      <c r="F655" t="s">
        <v>89</v>
      </c>
      <c r="G655">
        <v>881</v>
      </c>
      <c r="H655" t="str">
        <f t="shared" si="153"/>
        <v>501-1000</v>
      </c>
      <c r="I655" t="s">
        <v>73</v>
      </c>
      <c r="J655">
        <v>2</v>
      </c>
      <c r="K655" t="str">
        <f t="shared" si="154"/>
        <v>1-5</v>
      </c>
      <c r="L655">
        <v>4</v>
      </c>
      <c r="M655" t="s">
        <v>82</v>
      </c>
      <c r="N655" t="s">
        <v>60</v>
      </c>
      <c r="O655">
        <v>1</v>
      </c>
      <c r="P655">
        <v>1</v>
      </c>
      <c r="Q655" t="s">
        <v>69</v>
      </c>
      <c r="R655" t="s">
        <v>75</v>
      </c>
      <c r="S655">
        <v>98</v>
      </c>
      <c r="T655" t="str">
        <f t="shared" si="155"/>
        <v>76-100</v>
      </c>
      <c r="U655">
        <v>3</v>
      </c>
      <c r="V655" t="s">
        <v>63</v>
      </c>
      <c r="W655">
        <v>4</v>
      </c>
      <c r="X655" t="s">
        <v>90</v>
      </c>
      <c r="Y655">
        <v>1</v>
      </c>
      <c r="Z655" t="s">
        <v>69</v>
      </c>
      <c r="AA655" t="s">
        <v>86</v>
      </c>
      <c r="AB655" s="4">
        <v>17924</v>
      </c>
      <c r="AC655" s="4" t="str">
        <f t="shared" si="156"/>
        <v>$17,500-$19,000</v>
      </c>
      <c r="AD655">
        <v>4544</v>
      </c>
      <c r="AE655" t="str">
        <f t="shared" si="157"/>
        <v>$2,094-$8,000</v>
      </c>
      <c r="AF655">
        <v>1</v>
      </c>
      <c r="AG655" t="str">
        <f t="shared" si="158"/>
        <v>0-1</v>
      </c>
      <c r="AH655" t="s">
        <v>67</v>
      </c>
      <c r="AI655" t="s">
        <v>71</v>
      </c>
      <c r="AJ655">
        <v>11</v>
      </c>
      <c r="AK655" t="str">
        <f t="shared" si="159"/>
        <v>11-12%</v>
      </c>
      <c r="AL655">
        <v>3</v>
      </c>
      <c r="AM655" t="s">
        <v>68</v>
      </c>
      <c r="AN655">
        <v>4</v>
      </c>
      <c r="AO655" t="s">
        <v>65</v>
      </c>
      <c r="AP655">
        <v>80</v>
      </c>
      <c r="AQ655">
        <v>1</v>
      </c>
      <c r="AR655">
        <v>31</v>
      </c>
      <c r="AS655" t="str">
        <f t="shared" si="160"/>
        <v>21-40</v>
      </c>
      <c r="AT655">
        <v>3</v>
      </c>
      <c r="AU655" t="str">
        <f t="shared" si="161"/>
        <v>3-4</v>
      </c>
      <c r="AV655">
        <v>3</v>
      </c>
      <c r="AW655" t="s">
        <v>79</v>
      </c>
      <c r="AX655">
        <v>31</v>
      </c>
      <c r="AY655" t="str">
        <f t="shared" si="150"/>
        <v>21-40</v>
      </c>
      <c r="AZ655">
        <v>6</v>
      </c>
      <c r="BA655" t="str">
        <f t="shared" si="162"/>
        <v>6-10</v>
      </c>
      <c r="BB655">
        <v>14</v>
      </c>
      <c r="BC655" t="str">
        <f t="shared" si="163"/>
        <v>11-15</v>
      </c>
      <c r="BD655">
        <v>7</v>
      </c>
      <c r="BE655" t="str">
        <f t="shared" si="164"/>
        <v>6-10</v>
      </c>
    </row>
    <row r="656" spans="1:57" x14ac:dyDescent="0.3">
      <c r="A656">
        <v>909</v>
      </c>
      <c r="B656">
        <v>39</v>
      </c>
      <c r="C656" t="str">
        <f t="shared" si="151"/>
        <v>36-45</v>
      </c>
      <c r="D656" t="s">
        <v>71</v>
      </c>
      <c r="E656">
        <f t="shared" si="152"/>
        <v>0</v>
      </c>
      <c r="F656" t="s">
        <v>57</v>
      </c>
      <c r="G656">
        <v>1383</v>
      </c>
      <c r="H656" t="str">
        <f t="shared" si="153"/>
        <v>1001-1499</v>
      </c>
      <c r="I656" t="s">
        <v>97</v>
      </c>
      <c r="J656">
        <v>2</v>
      </c>
      <c r="K656" t="str">
        <f t="shared" si="154"/>
        <v>1-5</v>
      </c>
      <c r="L656">
        <v>3</v>
      </c>
      <c r="M656" t="s">
        <v>85</v>
      </c>
      <c r="N656" t="s">
        <v>60</v>
      </c>
      <c r="O656">
        <v>1</v>
      </c>
      <c r="P656">
        <v>4</v>
      </c>
      <c r="Q656" t="s">
        <v>65</v>
      </c>
      <c r="R656" t="s">
        <v>62</v>
      </c>
      <c r="S656">
        <v>42</v>
      </c>
      <c r="T656" t="str">
        <f t="shared" si="155"/>
        <v>30-50</v>
      </c>
      <c r="U656">
        <v>2</v>
      </c>
      <c r="V656" t="s">
        <v>61</v>
      </c>
      <c r="W656">
        <v>2</v>
      </c>
      <c r="X656" t="s">
        <v>97</v>
      </c>
      <c r="Y656">
        <v>4</v>
      </c>
      <c r="Z656" t="s">
        <v>65</v>
      </c>
      <c r="AA656" t="s">
        <v>77</v>
      </c>
      <c r="AB656" s="4">
        <v>5204</v>
      </c>
      <c r="AC656" s="4" t="str">
        <f t="shared" si="156"/>
        <v>$4,000-$5,500</v>
      </c>
      <c r="AD656">
        <v>7790</v>
      </c>
      <c r="AE656" t="str">
        <f t="shared" si="157"/>
        <v>$2,094-$8,000</v>
      </c>
      <c r="AF656">
        <v>8</v>
      </c>
      <c r="AG656" t="str">
        <f t="shared" si="158"/>
        <v>7-9</v>
      </c>
      <c r="AH656" t="s">
        <v>67</v>
      </c>
      <c r="AI656" t="s">
        <v>71</v>
      </c>
      <c r="AJ656">
        <v>11</v>
      </c>
      <c r="AK656" t="str">
        <f t="shared" si="159"/>
        <v>11-12%</v>
      </c>
      <c r="AL656">
        <v>3</v>
      </c>
      <c r="AM656" t="s">
        <v>68</v>
      </c>
      <c r="AN656">
        <v>3</v>
      </c>
      <c r="AO656" t="s">
        <v>63</v>
      </c>
      <c r="AP656">
        <v>80</v>
      </c>
      <c r="AQ656">
        <v>2</v>
      </c>
      <c r="AR656">
        <v>13</v>
      </c>
      <c r="AS656" t="str">
        <f t="shared" si="160"/>
        <v>11-20</v>
      </c>
      <c r="AT656">
        <v>2</v>
      </c>
      <c r="AU656" t="str">
        <f t="shared" si="161"/>
        <v>0-2</v>
      </c>
      <c r="AV656">
        <v>3</v>
      </c>
      <c r="AW656" t="s">
        <v>79</v>
      </c>
      <c r="AX656">
        <v>5</v>
      </c>
      <c r="AY656" t="str">
        <f t="shared" si="150"/>
        <v>2-5</v>
      </c>
      <c r="AZ656">
        <v>4</v>
      </c>
      <c r="BA656" t="str">
        <f t="shared" si="162"/>
        <v>2-5</v>
      </c>
      <c r="BB656">
        <v>0</v>
      </c>
      <c r="BC656" t="str">
        <f t="shared" si="163"/>
        <v>0-1</v>
      </c>
      <c r="BD656">
        <v>4</v>
      </c>
      <c r="BE656" t="str">
        <f t="shared" si="164"/>
        <v>2-5</v>
      </c>
    </row>
    <row r="657" spans="1:57" x14ac:dyDescent="0.3">
      <c r="A657">
        <v>910</v>
      </c>
      <c r="B657">
        <v>33</v>
      </c>
      <c r="C657" t="str">
        <f t="shared" si="151"/>
        <v>26-35</v>
      </c>
      <c r="D657" t="s">
        <v>71</v>
      </c>
      <c r="E657">
        <f t="shared" si="152"/>
        <v>0</v>
      </c>
      <c r="F657" t="s">
        <v>57</v>
      </c>
      <c r="G657">
        <v>1075</v>
      </c>
      <c r="H657" t="str">
        <f t="shared" si="153"/>
        <v>1001-1499</v>
      </c>
      <c r="I657" t="s">
        <v>97</v>
      </c>
      <c r="J657">
        <v>3</v>
      </c>
      <c r="K657" t="str">
        <f t="shared" si="154"/>
        <v>1-5</v>
      </c>
      <c r="L657">
        <v>2</v>
      </c>
      <c r="M657" t="s">
        <v>59</v>
      </c>
      <c r="N657" t="s">
        <v>97</v>
      </c>
      <c r="O657">
        <v>1</v>
      </c>
      <c r="P657">
        <v>4</v>
      </c>
      <c r="Q657" t="s">
        <v>65</v>
      </c>
      <c r="R657" t="s">
        <v>75</v>
      </c>
      <c r="S657">
        <v>57</v>
      </c>
      <c r="T657" t="str">
        <f t="shared" si="155"/>
        <v>51-75</v>
      </c>
      <c r="U657">
        <v>3</v>
      </c>
      <c r="V657" t="s">
        <v>63</v>
      </c>
      <c r="W657">
        <v>1</v>
      </c>
      <c r="X657" t="s">
        <v>97</v>
      </c>
      <c r="Y657">
        <v>2</v>
      </c>
      <c r="Z657" t="s">
        <v>61</v>
      </c>
      <c r="AA657" t="s">
        <v>86</v>
      </c>
      <c r="AB657" s="4">
        <v>2277</v>
      </c>
      <c r="AC657" s="4" t="str">
        <f t="shared" si="156"/>
        <v>$1,000-$2,500</v>
      </c>
      <c r="AD657">
        <v>22650</v>
      </c>
      <c r="AE657" t="str">
        <f t="shared" si="157"/>
        <v>$22,001-$26,999</v>
      </c>
      <c r="AF657">
        <v>3</v>
      </c>
      <c r="AG657" t="str">
        <f t="shared" si="158"/>
        <v>2-3</v>
      </c>
      <c r="AH657" t="s">
        <v>67</v>
      </c>
      <c r="AI657" t="s">
        <v>56</v>
      </c>
      <c r="AJ657">
        <v>11</v>
      </c>
      <c r="AK657" t="str">
        <f t="shared" si="159"/>
        <v>11-12%</v>
      </c>
      <c r="AL657">
        <v>3</v>
      </c>
      <c r="AM657" t="s">
        <v>68</v>
      </c>
      <c r="AN657">
        <v>3</v>
      </c>
      <c r="AO657" t="s">
        <v>63</v>
      </c>
      <c r="AP657">
        <v>80</v>
      </c>
      <c r="AQ657">
        <v>1</v>
      </c>
      <c r="AR657">
        <v>7</v>
      </c>
      <c r="AS657" t="str">
        <f t="shared" si="160"/>
        <v>6-10</v>
      </c>
      <c r="AT657">
        <v>4</v>
      </c>
      <c r="AU657" t="str">
        <f t="shared" si="161"/>
        <v>3-4</v>
      </c>
      <c r="AV657">
        <v>4</v>
      </c>
      <c r="AW657" t="s">
        <v>94</v>
      </c>
      <c r="AX657">
        <v>4</v>
      </c>
      <c r="AY657" t="str">
        <f t="shared" si="150"/>
        <v>2-5</v>
      </c>
      <c r="AZ657">
        <v>3</v>
      </c>
      <c r="BA657" t="str">
        <f t="shared" si="162"/>
        <v>2-5</v>
      </c>
      <c r="BB657">
        <v>0</v>
      </c>
      <c r="BC657" t="str">
        <f t="shared" si="163"/>
        <v>0-1</v>
      </c>
      <c r="BD657">
        <v>3</v>
      </c>
      <c r="BE657" t="str">
        <f t="shared" si="164"/>
        <v>2-5</v>
      </c>
    </row>
    <row r="658" spans="1:57" x14ac:dyDescent="0.3">
      <c r="A658">
        <v>911</v>
      </c>
      <c r="B658">
        <v>32</v>
      </c>
      <c r="C658" t="str">
        <f t="shared" si="151"/>
        <v>26-35</v>
      </c>
      <c r="D658" t="s">
        <v>56</v>
      </c>
      <c r="E658">
        <f t="shared" si="152"/>
        <v>1</v>
      </c>
      <c r="F658" t="s">
        <v>57</v>
      </c>
      <c r="G658">
        <v>374</v>
      </c>
      <c r="H658" t="str">
        <f t="shared" si="153"/>
        <v>102-500</v>
      </c>
      <c r="I658" t="s">
        <v>73</v>
      </c>
      <c r="J658">
        <v>25</v>
      </c>
      <c r="K658" t="str">
        <f t="shared" si="154"/>
        <v>21-29</v>
      </c>
      <c r="L658">
        <v>4</v>
      </c>
      <c r="M658" t="s">
        <v>82</v>
      </c>
      <c r="N658" t="s">
        <v>60</v>
      </c>
      <c r="O658">
        <v>1</v>
      </c>
      <c r="P658">
        <v>1</v>
      </c>
      <c r="Q658" t="s">
        <v>69</v>
      </c>
      <c r="R658" t="s">
        <v>75</v>
      </c>
      <c r="S658">
        <v>87</v>
      </c>
      <c r="T658" t="str">
        <f t="shared" si="155"/>
        <v>76-100</v>
      </c>
      <c r="U658">
        <v>3</v>
      </c>
      <c r="V658" t="s">
        <v>63</v>
      </c>
      <c r="W658">
        <v>1</v>
      </c>
      <c r="X658" t="s">
        <v>81</v>
      </c>
      <c r="Y658">
        <v>4</v>
      </c>
      <c r="Z658" t="s">
        <v>65</v>
      </c>
      <c r="AA658" t="s">
        <v>66</v>
      </c>
      <c r="AB658" s="4">
        <v>2795</v>
      </c>
      <c r="AC658" s="4" t="str">
        <f t="shared" si="156"/>
        <v>$2,500-$4,000</v>
      </c>
      <c r="AD658">
        <v>18016</v>
      </c>
      <c r="AE658" t="str">
        <f t="shared" si="157"/>
        <v>$16,001-$22,000</v>
      </c>
      <c r="AF658">
        <v>1</v>
      </c>
      <c r="AG658" t="str">
        <f t="shared" si="158"/>
        <v>0-1</v>
      </c>
      <c r="AH658" t="s">
        <v>67</v>
      </c>
      <c r="AI658" t="s">
        <v>56</v>
      </c>
      <c r="AJ658">
        <v>24</v>
      </c>
      <c r="AK658" t="str">
        <f t="shared" si="159"/>
        <v>18-19%</v>
      </c>
      <c r="AL658">
        <v>4</v>
      </c>
      <c r="AM658" t="s">
        <v>78</v>
      </c>
      <c r="AN658">
        <v>3</v>
      </c>
      <c r="AO658" t="s">
        <v>63</v>
      </c>
      <c r="AP658">
        <v>80</v>
      </c>
      <c r="AQ658">
        <v>0</v>
      </c>
      <c r="AR658">
        <v>1</v>
      </c>
      <c r="AS658" t="str">
        <f t="shared" si="160"/>
        <v>0-2</v>
      </c>
      <c r="AT658">
        <v>2</v>
      </c>
      <c r="AU658" t="str">
        <f t="shared" si="161"/>
        <v>0-2</v>
      </c>
      <c r="AV658">
        <v>1</v>
      </c>
      <c r="AW658" t="s">
        <v>70</v>
      </c>
      <c r="AX658">
        <v>1</v>
      </c>
      <c r="AY658" t="str">
        <f t="shared" si="150"/>
        <v>0-1</v>
      </c>
      <c r="AZ658">
        <v>0</v>
      </c>
      <c r="BA658" t="str">
        <f t="shared" si="162"/>
        <v>0-1</v>
      </c>
      <c r="BB658">
        <v>0</v>
      </c>
      <c r="BC658" t="str">
        <f t="shared" si="163"/>
        <v>0-1</v>
      </c>
      <c r="BD658">
        <v>1</v>
      </c>
      <c r="BE658" t="str">
        <f t="shared" si="164"/>
        <v>0-1</v>
      </c>
    </row>
    <row r="659" spans="1:57" x14ac:dyDescent="0.3">
      <c r="A659">
        <v>912</v>
      </c>
      <c r="B659">
        <v>29</v>
      </c>
      <c r="C659" t="str">
        <f t="shared" si="151"/>
        <v>26-35</v>
      </c>
      <c r="D659" t="s">
        <v>71</v>
      </c>
      <c r="E659">
        <f t="shared" si="152"/>
        <v>0</v>
      </c>
      <c r="F659" t="s">
        <v>57</v>
      </c>
      <c r="G659">
        <v>1086</v>
      </c>
      <c r="H659" t="str">
        <f t="shared" si="153"/>
        <v>1001-1499</v>
      </c>
      <c r="I659" t="s">
        <v>73</v>
      </c>
      <c r="J659">
        <v>7</v>
      </c>
      <c r="K659" t="str">
        <f t="shared" si="154"/>
        <v>6-10</v>
      </c>
      <c r="L659">
        <v>1</v>
      </c>
      <c r="M659" t="s">
        <v>74</v>
      </c>
      <c r="N659" t="s">
        <v>83</v>
      </c>
      <c r="O659">
        <v>1</v>
      </c>
      <c r="P659">
        <v>1</v>
      </c>
      <c r="Q659" t="s">
        <v>69</v>
      </c>
      <c r="R659" t="s">
        <v>62</v>
      </c>
      <c r="S659">
        <v>62</v>
      </c>
      <c r="T659" t="str">
        <f t="shared" si="155"/>
        <v>51-75</v>
      </c>
      <c r="U659">
        <v>2</v>
      </c>
      <c r="V659" t="s">
        <v>61</v>
      </c>
      <c r="W659">
        <v>1</v>
      </c>
      <c r="X659" t="s">
        <v>81</v>
      </c>
      <c r="Y659">
        <v>4</v>
      </c>
      <c r="Z659" t="s">
        <v>65</v>
      </c>
      <c r="AA659" t="s">
        <v>86</v>
      </c>
      <c r="AB659" s="4">
        <v>2532</v>
      </c>
      <c r="AC659" s="4" t="str">
        <f t="shared" si="156"/>
        <v>$2,500-$4,000</v>
      </c>
      <c r="AD659">
        <v>6054</v>
      </c>
      <c r="AE659" t="str">
        <f t="shared" si="157"/>
        <v>$2,094-$8,000</v>
      </c>
      <c r="AF659">
        <v>6</v>
      </c>
      <c r="AG659" t="str">
        <f t="shared" si="158"/>
        <v>4-6</v>
      </c>
      <c r="AH659" t="s">
        <v>67</v>
      </c>
      <c r="AI659" t="s">
        <v>71</v>
      </c>
      <c r="AJ659">
        <v>14</v>
      </c>
      <c r="AK659" t="str">
        <f t="shared" si="159"/>
        <v>13-15%</v>
      </c>
      <c r="AL659">
        <v>3</v>
      </c>
      <c r="AM659" t="s">
        <v>68</v>
      </c>
      <c r="AN659">
        <v>3</v>
      </c>
      <c r="AO659" t="s">
        <v>63</v>
      </c>
      <c r="AP659">
        <v>80</v>
      </c>
      <c r="AQ659">
        <v>3</v>
      </c>
      <c r="AR659">
        <v>8</v>
      </c>
      <c r="AS659" t="str">
        <f t="shared" si="160"/>
        <v>6-10</v>
      </c>
      <c r="AT659">
        <v>5</v>
      </c>
      <c r="AU659" t="str">
        <f t="shared" si="161"/>
        <v>5-6</v>
      </c>
      <c r="AV659">
        <v>3</v>
      </c>
      <c r="AW659" t="s">
        <v>79</v>
      </c>
      <c r="AX659">
        <v>4</v>
      </c>
      <c r="AY659" t="str">
        <f t="shared" si="150"/>
        <v>2-5</v>
      </c>
      <c r="AZ659">
        <v>3</v>
      </c>
      <c r="BA659" t="str">
        <f t="shared" si="162"/>
        <v>2-5</v>
      </c>
      <c r="BB659">
        <v>0</v>
      </c>
      <c r="BC659" t="str">
        <f t="shared" si="163"/>
        <v>0-1</v>
      </c>
      <c r="BD659">
        <v>3</v>
      </c>
      <c r="BE659" t="str">
        <f t="shared" si="164"/>
        <v>2-5</v>
      </c>
    </row>
    <row r="660" spans="1:57" x14ac:dyDescent="0.3">
      <c r="A660">
        <v>913</v>
      </c>
      <c r="B660">
        <v>44</v>
      </c>
      <c r="C660" t="str">
        <f t="shared" si="151"/>
        <v>36-45</v>
      </c>
      <c r="D660" t="s">
        <v>71</v>
      </c>
      <c r="E660">
        <f t="shared" si="152"/>
        <v>0</v>
      </c>
      <c r="F660" t="s">
        <v>57</v>
      </c>
      <c r="G660">
        <v>661</v>
      </c>
      <c r="H660" t="str">
        <f t="shared" si="153"/>
        <v>501-1000</v>
      </c>
      <c r="I660" t="s">
        <v>73</v>
      </c>
      <c r="J660">
        <v>9</v>
      </c>
      <c r="K660" t="str">
        <f t="shared" si="154"/>
        <v>6-10</v>
      </c>
      <c r="L660">
        <v>2</v>
      </c>
      <c r="M660" t="s">
        <v>59</v>
      </c>
      <c r="N660" t="s">
        <v>60</v>
      </c>
      <c r="O660">
        <v>1</v>
      </c>
      <c r="P660">
        <v>2</v>
      </c>
      <c r="Q660" t="s">
        <v>61</v>
      </c>
      <c r="R660" t="s">
        <v>75</v>
      </c>
      <c r="S660">
        <v>61</v>
      </c>
      <c r="T660" t="str">
        <f t="shared" si="155"/>
        <v>51-75</v>
      </c>
      <c r="U660">
        <v>3</v>
      </c>
      <c r="V660" t="s">
        <v>63</v>
      </c>
      <c r="W660">
        <v>1</v>
      </c>
      <c r="X660" t="s">
        <v>76</v>
      </c>
      <c r="Y660">
        <v>1</v>
      </c>
      <c r="Z660" t="s">
        <v>69</v>
      </c>
      <c r="AA660" t="s">
        <v>77</v>
      </c>
      <c r="AB660" s="4">
        <v>2559</v>
      </c>
      <c r="AC660" s="4" t="str">
        <f t="shared" si="156"/>
        <v>$2,500-$4,000</v>
      </c>
      <c r="AD660">
        <v>7508</v>
      </c>
      <c r="AE660" t="str">
        <f t="shared" si="157"/>
        <v>$2,094-$8,000</v>
      </c>
      <c r="AF660">
        <v>1</v>
      </c>
      <c r="AG660" t="str">
        <f t="shared" si="158"/>
        <v>0-1</v>
      </c>
      <c r="AH660" t="s">
        <v>67</v>
      </c>
      <c r="AI660" t="s">
        <v>56</v>
      </c>
      <c r="AJ660">
        <v>13</v>
      </c>
      <c r="AK660" t="str">
        <f t="shared" si="159"/>
        <v>13-15%</v>
      </c>
      <c r="AL660">
        <v>3</v>
      </c>
      <c r="AM660" t="s">
        <v>68</v>
      </c>
      <c r="AN660">
        <v>4</v>
      </c>
      <c r="AO660" t="s">
        <v>65</v>
      </c>
      <c r="AP660">
        <v>80</v>
      </c>
      <c r="AQ660">
        <v>0</v>
      </c>
      <c r="AR660">
        <v>8</v>
      </c>
      <c r="AS660" t="str">
        <f t="shared" si="160"/>
        <v>6-10</v>
      </c>
      <c r="AT660">
        <v>0</v>
      </c>
      <c r="AU660" t="str">
        <f t="shared" si="161"/>
        <v>0-2</v>
      </c>
      <c r="AV660">
        <v>3</v>
      </c>
      <c r="AW660" t="s">
        <v>79</v>
      </c>
      <c r="AX660">
        <v>8</v>
      </c>
      <c r="AY660" t="str">
        <f t="shared" si="150"/>
        <v>6-10</v>
      </c>
      <c r="AZ660">
        <v>7</v>
      </c>
      <c r="BA660" t="str">
        <f t="shared" si="162"/>
        <v>6-10</v>
      </c>
      <c r="BB660">
        <v>7</v>
      </c>
      <c r="BC660" t="str">
        <f t="shared" si="163"/>
        <v>6-10</v>
      </c>
      <c r="BD660">
        <v>1</v>
      </c>
      <c r="BE660" t="str">
        <f t="shared" si="164"/>
        <v>0-1</v>
      </c>
    </row>
    <row r="661" spans="1:57" x14ac:dyDescent="0.3">
      <c r="A661">
        <v>916</v>
      </c>
      <c r="B661">
        <v>28</v>
      </c>
      <c r="C661" t="str">
        <f t="shared" si="151"/>
        <v>26-35</v>
      </c>
      <c r="D661" t="s">
        <v>71</v>
      </c>
      <c r="E661">
        <f t="shared" si="152"/>
        <v>0</v>
      </c>
      <c r="F661" t="s">
        <v>57</v>
      </c>
      <c r="G661">
        <v>821</v>
      </c>
      <c r="H661" t="str">
        <f t="shared" si="153"/>
        <v>501-1000</v>
      </c>
      <c r="I661" t="s">
        <v>58</v>
      </c>
      <c r="J661">
        <v>5</v>
      </c>
      <c r="K661" t="str">
        <f t="shared" si="154"/>
        <v>1-5</v>
      </c>
      <c r="L661">
        <v>4</v>
      </c>
      <c r="M661" t="s">
        <v>82</v>
      </c>
      <c r="N661" t="s">
        <v>83</v>
      </c>
      <c r="O661">
        <v>1</v>
      </c>
      <c r="P661">
        <v>1</v>
      </c>
      <c r="Q661" t="s">
        <v>69</v>
      </c>
      <c r="R661" t="s">
        <v>75</v>
      </c>
      <c r="S661">
        <v>98</v>
      </c>
      <c r="T661" t="str">
        <f t="shared" si="155"/>
        <v>76-100</v>
      </c>
      <c r="U661">
        <v>3</v>
      </c>
      <c r="V661" t="s">
        <v>63</v>
      </c>
      <c r="W661">
        <v>2</v>
      </c>
      <c r="X661" t="s">
        <v>64</v>
      </c>
      <c r="Y661">
        <v>4</v>
      </c>
      <c r="Z661" t="s">
        <v>65</v>
      </c>
      <c r="AA661" t="s">
        <v>66</v>
      </c>
      <c r="AB661" s="4">
        <v>4908</v>
      </c>
      <c r="AC661" s="4" t="str">
        <f t="shared" si="156"/>
        <v>$4,000-$5,500</v>
      </c>
      <c r="AD661">
        <v>24252</v>
      </c>
      <c r="AE661" t="str">
        <f t="shared" si="157"/>
        <v>$22,001-$26,999</v>
      </c>
      <c r="AF661">
        <v>1</v>
      </c>
      <c r="AG661" t="str">
        <f t="shared" si="158"/>
        <v>0-1</v>
      </c>
      <c r="AH661" t="s">
        <v>67</v>
      </c>
      <c r="AI661" t="s">
        <v>71</v>
      </c>
      <c r="AJ661">
        <v>14</v>
      </c>
      <c r="AK661" t="str">
        <f t="shared" si="159"/>
        <v>13-15%</v>
      </c>
      <c r="AL661">
        <v>3</v>
      </c>
      <c r="AM661" t="s">
        <v>68</v>
      </c>
      <c r="AN661">
        <v>2</v>
      </c>
      <c r="AO661" t="s">
        <v>61</v>
      </c>
      <c r="AP661">
        <v>80</v>
      </c>
      <c r="AQ661">
        <v>0</v>
      </c>
      <c r="AR661">
        <v>4</v>
      </c>
      <c r="AS661" t="str">
        <f t="shared" si="160"/>
        <v>3-5</v>
      </c>
      <c r="AT661">
        <v>3</v>
      </c>
      <c r="AU661" t="str">
        <f t="shared" si="161"/>
        <v>3-4</v>
      </c>
      <c r="AV661">
        <v>3</v>
      </c>
      <c r="AW661" t="s">
        <v>79</v>
      </c>
      <c r="AX661">
        <v>4</v>
      </c>
      <c r="AY661" t="str">
        <f t="shared" si="150"/>
        <v>2-5</v>
      </c>
      <c r="AZ661">
        <v>2</v>
      </c>
      <c r="BA661" t="str">
        <f t="shared" si="162"/>
        <v>2-5</v>
      </c>
      <c r="BB661">
        <v>0</v>
      </c>
      <c r="BC661" t="str">
        <f t="shared" si="163"/>
        <v>0-1</v>
      </c>
      <c r="BD661">
        <v>2</v>
      </c>
      <c r="BE661" t="str">
        <f t="shared" si="164"/>
        <v>2-5</v>
      </c>
    </row>
    <row r="662" spans="1:57" x14ac:dyDescent="0.3">
      <c r="A662">
        <v>918</v>
      </c>
      <c r="B662">
        <v>58</v>
      </c>
      <c r="C662" t="str">
        <f t="shared" si="151"/>
        <v>56+</v>
      </c>
      <c r="D662" t="s">
        <v>56</v>
      </c>
      <c r="E662">
        <f t="shared" si="152"/>
        <v>1</v>
      </c>
      <c r="F662" t="s">
        <v>72</v>
      </c>
      <c r="G662">
        <v>781</v>
      </c>
      <c r="H662" t="str">
        <f t="shared" si="153"/>
        <v>501-1000</v>
      </c>
      <c r="I662" t="s">
        <v>73</v>
      </c>
      <c r="J662">
        <v>2</v>
      </c>
      <c r="K662" t="str">
        <f t="shared" si="154"/>
        <v>1-5</v>
      </c>
      <c r="L662">
        <v>1</v>
      </c>
      <c r="M662" t="s">
        <v>74</v>
      </c>
      <c r="N662" t="s">
        <v>60</v>
      </c>
      <c r="O662">
        <v>1</v>
      </c>
      <c r="P662">
        <v>4</v>
      </c>
      <c r="Q662" t="s">
        <v>65</v>
      </c>
      <c r="R662" t="s">
        <v>75</v>
      </c>
      <c r="S662">
        <v>57</v>
      </c>
      <c r="T662" t="str">
        <f t="shared" si="155"/>
        <v>51-75</v>
      </c>
      <c r="U662">
        <v>2</v>
      </c>
      <c r="V662" t="s">
        <v>61</v>
      </c>
      <c r="W662">
        <v>1</v>
      </c>
      <c r="X662" t="s">
        <v>81</v>
      </c>
      <c r="Y662">
        <v>4</v>
      </c>
      <c r="Z662" t="s">
        <v>65</v>
      </c>
      <c r="AA662" t="s">
        <v>86</v>
      </c>
      <c r="AB662" s="4">
        <v>2380</v>
      </c>
      <c r="AC662" s="4" t="str">
        <f t="shared" si="156"/>
        <v>$1,000-$2,500</v>
      </c>
      <c r="AD662">
        <v>13384</v>
      </c>
      <c r="AE662" t="str">
        <f t="shared" si="157"/>
        <v>$8,001-$16,000</v>
      </c>
      <c r="AF662">
        <v>9</v>
      </c>
      <c r="AG662" t="str">
        <f t="shared" si="158"/>
        <v>7-9</v>
      </c>
      <c r="AH662" t="s">
        <v>67</v>
      </c>
      <c r="AI662" t="s">
        <v>56</v>
      </c>
      <c r="AJ662">
        <v>14</v>
      </c>
      <c r="AK662" t="str">
        <f t="shared" si="159"/>
        <v>13-15%</v>
      </c>
      <c r="AL662">
        <v>3</v>
      </c>
      <c r="AM662" t="s">
        <v>68</v>
      </c>
      <c r="AN662">
        <v>4</v>
      </c>
      <c r="AO662" t="s">
        <v>65</v>
      </c>
      <c r="AP662">
        <v>80</v>
      </c>
      <c r="AQ662">
        <v>1</v>
      </c>
      <c r="AR662">
        <v>3</v>
      </c>
      <c r="AS662" t="str">
        <f t="shared" si="160"/>
        <v>3-5</v>
      </c>
      <c r="AT662">
        <v>3</v>
      </c>
      <c r="AU662" t="str">
        <f t="shared" si="161"/>
        <v>3-4</v>
      </c>
      <c r="AV662">
        <v>2</v>
      </c>
      <c r="AW662" t="s">
        <v>84</v>
      </c>
      <c r="AX662">
        <v>1</v>
      </c>
      <c r="AY662" t="str">
        <f t="shared" si="150"/>
        <v>0-1</v>
      </c>
      <c r="AZ662">
        <v>0</v>
      </c>
      <c r="BA662" t="str">
        <f t="shared" si="162"/>
        <v>0-1</v>
      </c>
      <c r="BB662">
        <v>0</v>
      </c>
      <c r="BC662" t="str">
        <f t="shared" si="163"/>
        <v>0-1</v>
      </c>
      <c r="BD662">
        <v>0</v>
      </c>
      <c r="BE662" t="str">
        <f t="shared" si="164"/>
        <v>0-1</v>
      </c>
    </row>
    <row r="663" spans="1:57" x14ac:dyDescent="0.3">
      <c r="A663">
        <v>920</v>
      </c>
      <c r="B663">
        <v>43</v>
      </c>
      <c r="C663" t="str">
        <f t="shared" si="151"/>
        <v>36-45</v>
      </c>
      <c r="D663" t="s">
        <v>71</v>
      </c>
      <c r="E663">
        <f t="shared" si="152"/>
        <v>0</v>
      </c>
      <c r="F663" t="s">
        <v>57</v>
      </c>
      <c r="G663">
        <v>177</v>
      </c>
      <c r="H663" t="str">
        <f t="shared" si="153"/>
        <v>102-500</v>
      </c>
      <c r="I663" t="s">
        <v>73</v>
      </c>
      <c r="J663">
        <v>8</v>
      </c>
      <c r="K663" t="str">
        <f t="shared" si="154"/>
        <v>6-10</v>
      </c>
      <c r="L663">
        <v>3</v>
      </c>
      <c r="M663" t="s">
        <v>85</v>
      </c>
      <c r="N663" t="s">
        <v>60</v>
      </c>
      <c r="O663">
        <v>1</v>
      </c>
      <c r="P663">
        <v>1</v>
      </c>
      <c r="Q663" t="s">
        <v>69</v>
      </c>
      <c r="R663" t="s">
        <v>62</v>
      </c>
      <c r="S663">
        <v>55</v>
      </c>
      <c r="T663" t="str">
        <f t="shared" si="155"/>
        <v>51-75</v>
      </c>
      <c r="U663">
        <v>3</v>
      </c>
      <c r="V663" t="s">
        <v>63</v>
      </c>
      <c r="W663">
        <v>2</v>
      </c>
      <c r="X663" t="s">
        <v>87</v>
      </c>
      <c r="Y663">
        <v>2</v>
      </c>
      <c r="Z663" t="s">
        <v>61</v>
      </c>
      <c r="AA663" t="s">
        <v>86</v>
      </c>
      <c r="AB663" s="4">
        <v>4765</v>
      </c>
      <c r="AC663" s="4" t="str">
        <f t="shared" si="156"/>
        <v>$4,000-$5,500</v>
      </c>
      <c r="AD663">
        <v>23814</v>
      </c>
      <c r="AE663" t="str">
        <f t="shared" si="157"/>
        <v>$22,001-$26,999</v>
      </c>
      <c r="AF663">
        <v>4</v>
      </c>
      <c r="AG663" t="str">
        <f t="shared" si="158"/>
        <v>4-6</v>
      </c>
      <c r="AH663" t="s">
        <v>67</v>
      </c>
      <c r="AI663" t="s">
        <v>71</v>
      </c>
      <c r="AJ663">
        <v>21</v>
      </c>
      <c r="AK663" t="str">
        <f t="shared" si="159"/>
        <v>18-19%</v>
      </c>
      <c r="AL663">
        <v>4</v>
      </c>
      <c r="AM663" t="s">
        <v>78</v>
      </c>
      <c r="AN663">
        <v>3</v>
      </c>
      <c r="AO663" t="s">
        <v>63</v>
      </c>
      <c r="AP663">
        <v>80</v>
      </c>
      <c r="AQ663">
        <v>1</v>
      </c>
      <c r="AR663">
        <v>4</v>
      </c>
      <c r="AS663" t="str">
        <f t="shared" si="160"/>
        <v>3-5</v>
      </c>
      <c r="AT663">
        <v>2</v>
      </c>
      <c r="AU663" t="str">
        <f t="shared" si="161"/>
        <v>0-2</v>
      </c>
      <c r="AV663">
        <v>4</v>
      </c>
      <c r="AW663" t="s">
        <v>94</v>
      </c>
      <c r="AX663">
        <v>1</v>
      </c>
      <c r="AY663" t="str">
        <f t="shared" si="150"/>
        <v>0-1</v>
      </c>
      <c r="AZ663">
        <v>0</v>
      </c>
      <c r="BA663" t="str">
        <f t="shared" si="162"/>
        <v>0-1</v>
      </c>
      <c r="BB663">
        <v>0</v>
      </c>
      <c r="BC663" t="str">
        <f t="shared" si="163"/>
        <v>0-1</v>
      </c>
      <c r="BD663">
        <v>0</v>
      </c>
      <c r="BE663" t="str">
        <f t="shared" si="164"/>
        <v>0-1</v>
      </c>
    </row>
    <row r="664" spans="1:57" x14ac:dyDescent="0.3">
      <c r="A664">
        <v>922</v>
      </c>
      <c r="B664">
        <v>20</v>
      </c>
      <c r="C664" t="str">
        <f t="shared" si="151"/>
        <v>18-25</v>
      </c>
      <c r="D664" t="s">
        <v>56</v>
      </c>
      <c r="E664">
        <f t="shared" si="152"/>
        <v>1</v>
      </c>
      <c r="F664" t="s">
        <v>57</v>
      </c>
      <c r="G664">
        <v>500</v>
      </c>
      <c r="H664" t="str">
        <f t="shared" si="153"/>
        <v>102-500</v>
      </c>
      <c r="I664" t="s">
        <v>58</v>
      </c>
      <c r="J664">
        <v>2</v>
      </c>
      <c r="K664" t="str">
        <f t="shared" si="154"/>
        <v>1-5</v>
      </c>
      <c r="L664">
        <v>3</v>
      </c>
      <c r="M664" t="s">
        <v>85</v>
      </c>
      <c r="N664" t="s">
        <v>83</v>
      </c>
      <c r="O664">
        <v>1</v>
      </c>
      <c r="P664">
        <v>3</v>
      </c>
      <c r="Q664" t="s">
        <v>63</v>
      </c>
      <c r="R664" t="s">
        <v>62</v>
      </c>
      <c r="S664">
        <v>49</v>
      </c>
      <c r="T664" t="str">
        <f t="shared" si="155"/>
        <v>30-50</v>
      </c>
      <c r="U664">
        <v>2</v>
      </c>
      <c r="V664" t="s">
        <v>61</v>
      </c>
      <c r="W664">
        <v>1</v>
      </c>
      <c r="X664" t="s">
        <v>91</v>
      </c>
      <c r="Y664">
        <v>3</v>
      </c>
      <c r="Z664" t="s">
        <v>63</v>
      </c>
      <c r="AA664" t="s">
        <v>66</v>
      </c>
      <c r="AB664" s="4">
        <v>2044</v>
      </c>
      <c r="AC664" s="4" t="str">
        <f t="shared" si="156"/>
        <v>$1,000-$2,500</v>
      </c>
      <c r="AD664">
        <v>22052</v>
      </c>
      <c r="AE664" t="str">
        <f t="shared" si="157"/>
        <v>$22,001-$26,999</v>
      </c>
      <c r="AF664">
        <v>1</v>
      </c>
      <c r="AG664" t="str">
        <f t="shared" si="158"/>
        <v>0-1</v>
      </c>
      <c r="AH664" t="s">
        <v>67</v>
      </c>
      <c r="AI664" t="s">
        <v>71</v>
      </c>
      <c r="AJ664">
        <v>13</v>
      </c>
      <c r="AK664" t="str">
        <f t="shared" si="159"/>
        <v>13-15%</v>
      </c>
      <c r="AL664">
        <v>3</v>
      </c>
      <c r="AM664" t="s">
        <v>68</v>
      </c>
      <c r="AN664">
        <v>4</v>
      </c>
      <c r="AO664" t="s">
        <v>65</v>
      </c>
      <c r="AP664">
        <v>80</v>
      </c>
      <c r="AQ664">
        <v>0</v>
      </c>
      <c r="AR664">
        <v>2</v>
      </c>
      <c r="AS664" t="str">
        <f t="shared" si="160"/>
        <v>0-2</v>
      </c>
      <c r="AT664">
        <v>3</v>
      </c>
      <c r="AU664" t="str">
        <f t="shared" si="161"/>
        <v>3-4</v>
      </c>
      <c r="AV664">
        <v>2</v>
      </c>
      <c r="AW664" t="s">
        <v>84</v>
      </c>
      <c r="AX664">
        <v>2</v>
      </c>
      <c r="AY664" t="str">
        <f t="shared" si="150"/>
        <v>2-5</v>
      </c>
      <c r="AZ664">
        <v>2</v>
      </c>
      <c r="BA664" t="str">
        <f t="shared" si="162"/>
        <v>2-5</v>
      </c>
      <c r="BB664">
        <v>0</v>
      </c>
      <c r="BC664" t="str">
        <f t="shared" si="163"/>
        <v>0-1</v>
      </c>
      <c r="BD664">
        <v>2</v>
      </c>
      <c r="BE664" t="str">
        <f t="shared" si="164"/>
        <v>2-5</v>
      </c>
    </row>
    <row r="665" spans="1:57" x14ac:dyDescent="0.3">
      <c r="A665">
        <v>923</v>
      </c>
      <c r="B665">
        <v>21</v>
      </c>
      <c r="C665" t="str">
        <f t="shared" si="151"/>
        <v>18-25</v>
      </c>
      <c r="D665" t="s">
        <v>56</v>
      </c>
      <c r="E665">
        <f t="shared" si="152"/>
        <v>1</v>
      </c>
      <c r="F665" t="s">
        <v>57</v>
      </c>
      <c r="G665">
        <v>1427</v>
      </c>
      <c r="H665" t="str">
        <f t="shared" si="153"/>
        <v>1001-1499</v>
      </c>
      <c r="I665" t="s">
        <v>73</v>
      </c>
      <c r="J665">
        <v>18</v>
      </c>
      <c r="K665" t="str">
        <f t="shared" si="154"/>
        <v>11-20</v>
      </c>
      <c r="L665">
        <v>1</v>
      </c>
      <c r="M665" t="s">
        <v>74</v>
      </c>
      <c r="N665" t="s">
        <v>80</v>
      </c>
      <c r="O665">
        <v>1</v>
      </c>
      <c r="P665">
        <v>4</v>
      </c>
      <c r="Q665" t="s">
        <v>65</v>
      </c>
      <c r="R665" t="s">
        <v>62</v>
      </c>
      <c r="S665">
        <v>65</v>
      </c>
      <c r="T665" t="str">
        <f t="shared" si="155"/>
        <v>51-75</v>
      </c>
      <c r="U665">
        <v>3</v>
      </c>
      <c r="V665" t="s">
        <v>63</v>
      </c>
      <c r="W665">
        <v>1</v>
      </c>
      <c r="X665" t="s">
        <v>76</v>
      </c>
      <c r="Y665">
        <v>4</v>
      </c>
      <c r="Z665" t="s">
        <v>65</v>
      </c>
      <c r="AA665" t="s">
        <v>66</v>
      </c>
      <c r="AB665" s="4">
        <v>2693</v>
      </c>
      <c r="AC665" s="4" t="str">
        <f t="shared" si="156"/>
        <v>$2,500-$4,000</v>
      </c>
      <c r="AD665">
        <v>8870</v>
      </c>
      <c r="AE665" t="str">
        <f t="shared" si="157"/>
        <v>$8,001-$16,000</v>
      </c>
      <c r="AF665">
        <v>1</v>
      </c>
      <c r="AG665" t="str">
        <f t="shared" si="158"/>
        <v>0-1</v>
      </c>
      <c r="AH665" t="s">
        <v>67</v>
      </c>
      <c r="AI665" t="s">
        <v>71</v>
      </c>
      <c r="AJ665">
        <v>19</v>
      </c>
      <c r="AK665" t="str">
        <f t="shared" si="159"/>
        <v>18-19%</v>
      </c>
      <c r="AL665">
        <v>3</v>
      </c>
      <c r="AM665" t="s">
        <v>68</v>
      </c>
      <c r="AN665">
        <v>1</v>
      </c>
      <c r="AO665" t="s">
        <v>69</v>
      </c>
      <c r="AP665">
        <v>80</v>
      </c>
      <c r="AQ665">
        <v>0</v>
      </c>
      <c r="AR665">
        <v>1</v>
      </c>
      <c r="AS665" t="str">
        <f t="shared" si="160"/>
        <v>0-2</v>
      </c>
      <c r="AT665">
        <v>3</v>
      </c>
      <c r="AU665" t="str">
        <f t="shared" si="161"/>
        <v>3-4</v>
      </c>
      <c r="AV665">
        <v>2</v>
      </c>
      <c r="AW665" t="s">
        <v>84</v>
      </c>
      <c r="AX665">
        <v>1</v>
      </c>
      <c r="AY665" t="str">
        <f t="shared" si="150"/>
        <v>0-1</v>
      </c>
      <c r="AZ665">
        <v>0</v>
      </c>
      <c r="BA665" t="str">
        <f t="shared" si="162"/>
        <v>0-1</v>
      </c>
      <c r="BB665">
        <v>0</v>
      </c>
      <c r="BC665" t="str">
        <f t="shared" si="163"/>
        <v>0-1</v>
      </c>
      <c r="BD665">
        <v>0</v>
      </c>
      <c r="BE665" t="str">
        <f t="shared" si="164"/>
        <v>0-1</v>
      </c>
    </row>
    <row r="666" spans="1:57" x14ac:dyDescent="0.3">
      <c r="A666">
        <v>924</v>
      </c>
      <c r="B666">
        <v>36</v>
      </c>
      <c r="C666" t="str">
        <f t="shared" si="151"/>
        <v>36-45</v>
      </c>
      <c r="D666" t="s">
        <v>71</v>
      </c>
      <c r="E666">
        <f t="shared" si="152"/>
        <v>0</v>
      </c>
      <c r="F666" t="s">
        <v>57</v>
      </c>
      <c r="G666">
        <v>1425</v>
      </c>
      <c r="H666" t="str">
        <f t="shared" si="153"/>
        <v>1001-1499</v>
      </c>
      <c r="I666" t="s">
        <v>73</v>
      </c>
      <c r="J666">
        <v>14</v>
      </c>
      <c r="K666" t="str">
        <f t="shared" si="154"/>
        <v>11-20</v>
      </c>
      <c r="L666">
        <v>1</v>
      </c>
      <c r="M666" t="s">
        <v>74</v>
      </c>
      <c r="N666" t="s">
        <v>60</v>
      </c>
      <c r="O666">
        <v>1</v>
      </c>
      <c r="P666">
        <v>3</v>
      </c>
      <c r="Q666" t="s">
        <v>63</v>
      </c>
      <c r="R666" t="s">
        <v>75</v>
      </c>
      <c r="S666">
        <v>68</v>
      </c>
      <c r="T666" t="str">
        <f t="shared" si="155"/>
        <v>51-75</v>
      </c>
      <c r="U666">
        <v>3</v>
      </c>
      <c r="V666" t="s">
        <v>63</v>
      </c>
      <c r="W666">
        <v>2</v>
      </c>
      <c r="X666" t="s">
        <v>88</v>
      </c>
      <c r="Y666">
        <v>4</v>
      </c>
      <c r="Z666" t="s">
        <v>65</v>
      </c>
      <c r="AA666" t="s">
        <v>77</v>
      </c>
      <c r="AB666" s="4">
        <v>6586</v>
      </c>
      <c r="AC666" s="4" t="str">
        <f t="shared" si="156"/>
        <v>$5,500-$7,000</v>
      </c>
      <c r="AD666">
        <v>4821</v>
      </c>
      <c r="AE666" t="str">
        <f t="shared" si="157"/>
        <v>$2,094-$8,000</v>
      </c>
      <c r="AF666">
        <v>0</v>
      </c>
      <c r="AG666" t="str">
        <f t="shared" si="158"/>
        <v>0-1</v>
      </c>
      <c r="AH666" t="s">
        <v>67</v>
      </c>
      <c r="AI666" t="s">
        <v>56</v>
      </c>
      <c r="AJ666">
        <v>17</v>
      </c>
      <c r="AK666" t="str">
        <f t="shared" si="159"/>
        <v>16-17%</v>
      </c>
      <c r="AL666">
        <v>3</v>
      </c>
      <c r="AM666" t="s">
        <v>68</v>
      </c>
      <c r="AN666">
        <v>1</v>
      </c>
      <c r="AO666" t="s">
        <v>69</v>
      </c>
      <c r="AP666">
        <v>80</v>
      </c>
      <c r="AQ666">
        <v>1</v>
      </c>
      <c r="AR666">
        <v>17</v>
      </c>
      <c r="AS666" t="str">
        <f t="shared" si="160"/>
        <v>11-20</v>
      </c>
      <c r="AT666">
        <v>2</v>
      </c>
      <c r="AU666" t="str">
        <f t="shared" si="161"/>
        <v>0-2</v>
      </c>
      <c r="AV666">
        <v>2</v>
      </c>
      <c r="AW666" t="s">
        <v>84</v>
      </c>
      <c r="AX666">
        <v>16</v>
      </c>
      <c r="AY666" t="str">
        <f t="shared" si="150"/>
        <v>11-20</v>
      </c>
      <c r="AZ666">
        <v>8</v>
      </c>
      <c r="BA666" t="str">
        <f t="shared" si="162"/>
        <v>6-10</v>
      </c>
      <c r="BB666">
        <v>4</v>
      </c>
      <c r="BC666" t="str">
        <f t="shared" si="163"/>
        <v>2-5</v>
      </c>
      <c r="BD666">
        <v>11</v>
      </c>
      <c r="BE666" t="str">
        <f t="shared" si="164"/>
        <v>11-17</v>
      </c>
    </row>
    <row r="667" spans="1:57" x14ac:dyDescent="0.3">
      <c r="A667">
        <v>925</v>
      </c>
      <c r="B667">
        <v>47</v>
      </c>
      <c r="C667" t="str">
        <f t="shared" si="151"/>
        <v>46-55</v>
      </c>
      <c r="D667" t="s">
        <v>71</v>
      </c>
      <c r="E667">
        <f t="shared" si="152"/>
        <v>0</v>
      </c>
      <c r="F667" t="s">
        <v>57</v>
      </c>
      <c r="G667">
        <v>1454</v>
      </c>
      <c r="H667" t="str">
        <f t="shared" si="153"/>
        <v>1001-1499</v>
      </c>
      <c r="I667" t="s">
        <v>58</v>
      </c>
      <c r="J667">
        <v>2</v>
      </c>
      <c r="K667" t="str">
        <f t="shared" si="154"/>
        <v>1-5</v>
      </c>
      <c r="L667">
        <v>4</v>
      </c>
      <c r="M667" t="s">
        <v>82</v>
      </c>
      <c r="N667" t="s">
        <v>60</v>
      </c>
      <c r="O667">
        <v>1</v>
      </c>
      <c r="P667">
        <v>4</v>
      </c>
      <c r="Q667" t="s">
        <v>65</v>
      </c>
      <c r="R667" t="s">
        <v>62</v>
      </c>
      <c r="S667">
        <v>65</v>
      </c>
      <c r="T667" t="str">
        <f t="shared" si="155"/>
        <v>51-75</v>
      </c>
      <c r="U667">
        <v>2</v>
      </c>
      <c r="V667" t="s">
        <v>61</v>
      </c>
      <c r="W667">
        <v>1</v>
      </c>
      <c r="X667" t="s">
        <v>91</v>
      </c>
      <c r="Y667">
        <v>4</v>
      </c>
      <c r="Z667" t="s">
        <v>65</v>
      </c>
      <c r="AA667" t="s">
        <v>66</v>
      </c>
      <c r="AB667" s="4">
        <v>3294</v>
      </c>
      <c r="AC667" s="4" t="str">
        <f t="shared" si="156"/>
        <v>$2,500-$4,000</v>
      </c>
      <c r="AD667">
        <v>13137</v>
      </c>
      <c r="AE667" t="str">
        <f t="shared" si="157"/>
        <v>$8,001-$16,000</v>
      </c>
      <c r="AF667">
        <v>1</v>
      </c>
      <c r="AG667" t="str">
        <f t="shared" si="158"/>
        <v>0-1</v>
      </c>
      <c r="AH667" t="s">
        <v>67</v>
      </c>
      <c r="AI667" t="s">
        <v>56</v>
      </c>
      <c r="AJ667">
        <v>18</v>
      </c>
      <c r="AK667" t="str">
        <f t="shared" si="159"/>
        <v>18-19%</v>
      </c>
      <c r="AL667">
        <v>3</v>
      </c>
      <c r="AM667" t="s">
        <v>68</v>
      </c>
      <c r="AN667">
        <v>1</v>
      </c>
      <c r="AO667" t="s">
        <v>69</v>
      </c>
      <c r="AP667">
        <v>80</v>
      </c>
      <c r="AQ667">
        <v>0</v>
      </c>
      <c r="AR667">
        <v>3</v>
      </c>
      <c r="AS667" t="str">
        <f t="shared" si="160"/>
        <v>3-5</v>
      </c>
      <c r="AT667">
        <v>3</v>
      </c>
      <c r="AU667" t="str">
        <f t="shared" si="161"/>
        <v>3-4</v>
      </c>
      <c r="AV667">
        <v>2</v>
      </c>
      <c r="AW667" t="s">
        <v>84</v>
      </c>
      <c r="AX667">
        <v>3</v>
      </c>
      <c r="AY667" t="str">
        <f t="shared" si="150"/>
        <v>2-5</v>
      </c>
      <c r="AZ667">
        <v>2</v>
      </c>
      <c r="BA667" t="str">
        <f t="shared" si="162"/>
        <v>2-5</v>
      </c>
      <c r="BB667">
        <v>1</v>
      </c>
      <c r="BC667" t="str">
        <f t="shared" si="163"/>
        <v>0-1</v>
      </c>
      <c r="BD667">
        <v>2</v>
      </c>
      <c r="BE667" t="str">
        <f t="shared" si="164"/>
        <v>2-5</v>
      </c>
    </row>
    <row r="668" spans="1:57" x14ac:dyDescent="0.3">
      <c r="A668">
        <v>926</v>
      </c>
      <c r="B668">
        <v>22</v>
      </c>
      <c r="C668" t="str">
        <f t="shared" si="151"/>
        <v>18-25</v>
      </c>
      <c r="D668" t="s">
        <v>56</v>
      </c>
      <c r="E668">
        <f t="shared" si="152"/>
        <v>1</v>
      </c>
      <c r="F668" t="s">
        <v>57</v>
      </c>
      <c r="G668">
        <v>617</v>
      </c>
      <c r="H668" t="str">
        <f t="shared" si="153"/>
        <v>501-1000</v>
      </c>
      <c r="I668" t="s">
        <v>73</v>
      </c>
      <c r="J668">
        <v>3</v>
      </c>
      <c r="K668" t="str">
        <f t="shared" si="154"/>
        <v>1-5</v>
      </c>
      <c r="L668">
        <v>1</v>
      </c>
      <c r="M668" t="s">
        <v>74</v>
      </c>
      <c r="N668" t="s">
        <v>60</v>
      </c>
      <c r="O668">
        <v>1</v>
      </c>
      <c r="P668">
        <v>2</v>
      </c>
      <c r="Q668" t="s">
        <v>61</v>
      </c>
      <c r="R668" t="s">
        <v>62</v>
      </c>
      <c r="S668">
        <v>34</v>
      </c>
      <c r="T668" t="str">
        <f t="shared" si="155"/>
        <v>30-50</v>
      </c>
      <c r="U668">
        <v>3</v>
      </c>
      <c r="V668" t="s">
        <v>63</v>
      </c>
      <c r="W668">
        <v>2</v>
      </c>
      <c r="X668" t="s">
        <v>87</v>
      </c>
      <c r="Y668">
        <v>3</v>
      </c>
      <c r="Z668" t="s">
        <v>63</v>
      </c>
      <c r="AA668" t="s">
        <v>77</v>
      </c>
      <c r="AB668" s="4">
        <v>4171</v>
      </c>
      <c r="AC668" s="4" t="str">
        <f t="shared" si="156"/>
        <v>$4,000-$5,500</v>
      </c>
      <c r="AD668">
        <v>10022</v>
      </c>
      <c r="AE668" t="str">
        <f t="shared" si="157"/>
        <v>$8,001-$16,000</v>
      </c>
      <c r="AF668">
        <v>0</v>
      </c>
      <c r="AG668" t="str">
        <f t="shared" si="158"/>
        <v>0-1</v>
      </c>
      <c r="AH668" t="s">
        <v>67</v>
      </c>
      <c r="AI668" t="s">
        <v>56</v>
      </c>
      <c r="AJ668">
        <v>19</v>
      </c>
      <c r="AK668" t="str">
        <f t="shared" si="159"/>
        <v>18-19%</v>
      </c>
      <c r="AL668">
        <v>3</v>
      </c>
      <c r="AM668" t="s">
        <v>68</v>
      </c>
      <c r="AN668">
        <v>1</v>
      </c>
      <c r="AO668" t="s">
        <v>69</v>
      </c>
      <c r="AP668">
        <v>80</v>
      </c>
      <c r="AQ668">
        <v>1</v>
      </c>
      <c r="AR668">
        <v>4</v>
      </c>
      <c r="AS668" t="str">
        <f t="shared" si="160"/>
        <v>3-5</v>
      </c>
      <c r="AT668">
        <v>3</v>
      </c>
      <c r="AU668" t="str">
        <f t="shared" si="161"/>
        <v>3-4</v>
      </c>
      <c r="AV668">
        <v>4</v>
      </c>
      <c r="AW668" t="s">
        <v>94</v>
      </c>
      <c r="AX668">
        <v>3</v>
      </c>
      <c r="AY668" t="str">
        <f t="shared" si="150"/>
        <v>2-5</v>
      </c>
      <c r="AZ668">
        <v>2</v>
      </c>
      <c r="BA668" t="str">
        <f t="shared" si="162"/>
        <v>2-5</v>
      </c>
      <c r="BB668">
        <v>0</v>
      </c>
      <c r="BC668" t="str">
        <f t="shared" si="163"/>
        <v>0-1</v>
      </c>
      <c r="BD668">
        <v>2</v>
      </c>
      <c r="BE668" t="str">
        <f t="shared" si="164"/>
        <v>2-5</v>
      </c>
    </row>
    <row r="669" spans="1:57" x14ac:dyDescent="0.3">
      <c r="A669">
        <v>927</v>
      </c>
      <c r="B669">
        <v>41</v>
      </c>
      <c r="C669" t="str">
        <f t="shared" si="151"/>
        <v>36-45</v>
      </c>
      <c r="D669" t="s">
        <v>56</v>
      </c>
      <c r="E669">
        <f t="shared" si="152"/>
        <v>1</v>
      </c>
      <c r="F669" t="s">
        <v>57</v>
      </c>
      <c r="G669">
        <v>1085</v>
      </c>
      <c r="H669" t="str">
        <f t="shared" si="153"/>
        <v>1001-1499</v>
      </c>
      <c r="I669" t="s">
        <v>73</v>
      </c>
      <c r="J669">
        <v>2</v>
      </c>
      <c r="K669" t="str">
        <f t="shared" si="154"/>
        <v>1-5</v>
      </c>
      <c r="L669">
        <v>4</v>
      </c>
      <c r="M669" t="s">
        <v>82</v>
      </c>
      <c r="N669" t="s">
        <v>60</v>
      </c>
      <c r="O669">
        <v>1</v>
      </c>
      <c r="P669">
        <v>2</v>
      </c>
      <c r="Q669" t="s">
        <v>61</v>
      </c>
      <c r="R669" t="s">
        <v>62</v>
      </c>
      <c r="S669">
        <v>57</v>
      </c>
      <c r="T669" t="str">
        <f t="shared" si="155"/>
        <v>51-75</v>
      </c>
      <c r="U669">
        <v>1</v>
      </c>
      <c r="V669" t="s">
        <v>69</v>
      </c>
      <c r="W669">
        <v>1</v>
      </c>
      <c r="X669" t="s">
        <v>81</v>
      </c>
      <c r="Y669">
        <v>4</v>
      </c>
      <c r="Z669" t="s">
        <v>65</v>
      </c>
      <c r="AA669" t="s">
        <v>86</v>
      </c>
      <c r="AB669" s="4">
        <v>2778</v>
      </c>
      <c r="AC669" s="4" t="str">
        <f t="shared" si="156"/>
        <v>$2,500-$4,000</v>
      </c>
      <c r="AD669">
        <v>17725</v>
      </c>
      <c r="AE669" t="str">
        <f t="shared" si="157"/>
        <v>$16,001-$22,000</v>
      </c>
      <c r="AF669">
        <v>4</v>
      </c>
      <c r="AG669" t="str">
        <f t="shared" si="158"/>
        <v>4-6</v>
      </c>
      <c r="AH669" t="s">
        <v>67</v>
      </c>
      <c r="AI669" t="s">
        <v>56</v>
      </c>
      <c r="AJ669">
        <v>13</v>
      </c>
      <c r="AK669" t="str">
        <f t="shared" si="159"/>
        <v>13-15%</v>
      </c>
      <c r="AL669">
        <v>3</v>
      </c>
      <c r="AM669" t="s">
        <v>68</v>
      </c>
      <c r="AN669">
        <v>3</v>
      </c>
      <c r="AO669" t="s">
        <v>63</v>
      </c>
      <c r="AP669">
        <v>80</v>
      </c>
      <c r="AQ669">
        <v>1</v>
      </c>
      <c r="AR669">
        <v>10</v>
      </c>
      <c r="AS669" t="str">
        <f t="shared" si="160"/>
        <v>6-10</v>
      </c>
      <c r="AT669">
        <v>1</v>
      </c>
      <c r="AU669" t="str">
        <f t="shared" si="161"/>
        <v>0-2</v>
      </c>
      <c r="AV669">
        <v>2</v>
      </c>
      <c r="AW669" t="s">
        <v>84</v>
      </c>
      <c r="AX669">
        <v>7</v>
      </c>
      <c r="AY669" t="str">
        <f t="shared" si="150"/>
        <v>6-10</v>
      </c>
      <c r="AZ669">
        <v>7</v>
      </c>
      <c r="BA669" t="str">
        <f t="shared" si="162"/>
        <v>6-10</v>
      </c>
      <c r="BB669">
        <v>1</v>
      </c>
      <c r="BC669" t="str">
        <f t="shared" si="163"/>
        <v>0-1</v>
      </c>
      <c r="BD669">
        <v>0</v>
      </c>
      <c r="BE669" t="str">
        <f t="shared" si="164"/>
        <v>0-1</v>
      </c>
    </row>
    <row r="670" spans="1:57" x14ac:dyDescent="0.3">
      <c r="A670">
        <v>930</v>
      </c>
      <c r="B670">
        <v>28</v>
      </c>
      <c r="C670" t="str">
        <f t="shared" si="151"/>
        <v>26-35</v>
      </c>
      <c r="D670" t="s">
        <v>71</v>
      </c>
      <c r="E670">
        <f t="shared" si="152"/>
        <v>0</v>
      </c>
      <c r="F670" t="s">
        <v>57</v>
      </c>
      <c r="G670">
        <v>995</v>
      </c>
      <c r="H670" t="str">
        <f t="shared" si="153"/>
        <v>501-1000</v>
      </c>
      <c r="I670" t="s">
        <v>73</v>
      </c>
      <c r="J670">
        <v>9</v>
      </c>
      <c r="K670" t="str">
        <f t="shared" si="154"/>
        <v>6-10</v>
      </c>
      <c r="L670">
        <v>3</v>
      </c>
      <c r="M670" t="s">
        <v>85</v>
      </c>
      <c r="N670" t="s">
        <v>83</v>
      </c>
      <c r="O670">
        <v>1</v>
      </c>
      <c r="P670">
        <v>3</v>
      </c>
      <c r="Q670" t="s">
        <v>63</v>
      </c>
      <c r="R670" t="s">
        <v>62</v>
      </c>
      <c r="S670">
        <v>77</v>
      </c>
      <c r="T670" t="str">
        <f t="shared" si="155"/>
        <v>76-100</v>
      </c>
      <c r="U670">
        <v>3</v>
      </c>
      <c r="V670" t="s">
        <v>63</v>
      </c>
      <c r="W670">
        <v>1</v>
      </c>
      <c r="X670" t="s">
        <v>76</v>
      </c>
      <c r="Y670">
        <v>3</v>
      </c>
      <c r="Z670" t="s">
        <v>63</v>
      </c>
      <c r="AA670" t="s">
        <v>86</v>
      </c>
      <c r="AB670" s="4">
        <v>2377</v>
      </c>
      <c r="AC670" s="4" t="str">
        <f t="shared" si="156"/>
        <v>$1,000-$2,500</v>
      </c>
      <c r="AD670">
        <v>9834</v>
      </c>
      <c r="AE670" t="str">
        <f t="shared" si="157"/>
        <v>$8,001-$16,000</v>
      </c>
      <c r="AF670">
        <v>5</v>
      </c>
      <c r="AG670" t="str">
        <f t="shared" si="158"/>
        <v>4-6</v>
      </c>
      <c r="AH670" t="s">
        <v>67</v>
      </c>
      <c r="AI670" t="s">
        <v>71</v>
      </c>
      <c r="AJ670">
        <v>18</v>
      </c>
      <c r="AK670" t="str">
        <f t="shared" si="159"/>
        <v>18-19%</v>
      </c>
      <c r="AL670">
        <v>3</v>
      </c>
      <c r="AM670" t="s">
        <v>68</v>
      </c>
      <c r="AN670">
        <v>2</v>
      </c>
      <c r="AO670" t="s">
        <v>61</v>
      </c>
      <c r="AP670">
        <v>80</v>
      </c>
      <c r="AQ670">
        <v>1</v>
      </c>
      <c r="AR670">
        <v>6</v>
      </c>
      <c r="AS670" t="str">
        <f t="shared" si="160"/>
        <v>6-10</v>
      </c>
      <c r="AT670">
        <v>2</v>
      </c>
      <c r="AU670" t="str">
        <f t="shared" si="161"/>
        <v>0-2</v>
      </c>
      <c r="AV670">
        <v>3</v>
      </c>
      <c r="AW670" t="s">
        <v>79</v>
      </c>
      <c r="AX670">
        <v>2</v>
      </c>
      <c r="AY670" t="str">
        <f t="shared" si="150"/>
        <v>2-5</v>
      </c>
      <c r="AZ670">
        <v>2</v>
      </c>
      <c r="BA670" t="str">
        <f t="shared" si="162"/>
        <v>2-5</v>
      </c>
      <c r="BB670">
        <v>2</v>
      </c>
      <c r="BC670" t="str">
        <f t="shared" si="163"/>
        <v>2-5</v>
      </c>
      <c r="BD670">
        <v>2</v>
      </c>
      <c r="BE670" t="str">
        <f t="shared" si="164"/>
        <v>2-5</v>
      </c>
    </row>
    <row r="671" spans="1:57" x14ac:dyDescent="0.3">
      <c r="A671">
        <v>932</v>
      </c>
      <c r="B671">
        <v>39</v>
      </c>
      <c r="C671" t="str">
        <f t="shared" si="151"/>
        <v>36-45</v>
      </c>
      <c r="D671" t="s">
        <v>56</v>
      </c>
      <c r="E671">
        <f t="shared" si="152"/>
        <v>1</v>
      </c>
      <c r="F671" t="s">
        <v>57</v>
      </c>
      <c r="G671">
        <v>1122</v>
      </c>
      <c r="H671" t="str">
        <f t="shared" si="153"/>
        <v>1001-1499</v>
      </c>
      <c r="I671" t="s">
        <v>73</v>
      </c>
      <c r="J671">
        <v>6</v>
      </c>
      <c r="K671" t="str">
        <f t="shared" si="154"/>
        <v>6-10</v>
      </c>
      <c r="L671">
        <v>3</v>
      </c>
      <c r="M671" t="s">
        <v>85</v>
      </c>
      <c r="N671" t="s">
        <v>83</v>
      </c>
      <c r="O671">
        <v>1</v>
      </c>
      <c r="P671">
        <v>4</v>
      </c>
      <c r="Q671" t="s">
        <v>65</v>
      </c>
      <c r="R671" t="s">
        <v>75</v>
      </c>
      <c r="S671">
        <v>70</v>
      </c>
      <c r="T671" t="str">
        <f t="shared" si="155"/>
        <v>51-75</v>
      </c>
      <c r="U671">
        <v>3</v>
      </c>
      <c r="V671" t="s">
        <v>63</v>
      </c>
      <c r="W671">
        <v>1</v>
      </c>
      <c r="X671" t="s">
        <v>81</v>
      </c>
      <c r="Y671">
        <v>1</v>
      </c>
      <c r="Z671" t="s">
        <v>69</v>
      </c>
      <c r="AA671" t="s">
        <v>77</v>
      </c>
      <c r="AB671" s="4">
        <v>2404</v>
      </c>
      <c r="AC671" s="4" t="str">
        <f t="shared" si="156"/>
        <v>$1,000-$2,500</v>
      </c>
      <c r="AD671">
        <v>4303</v>
      </c>
      <c r="AE671" t="str">
        <f t="shared" si="157"/>
        <v>$2,094-$8,000</v>
      </c>
      <c r="AF671">
        <v>7</v>
      </c>
      <c r="AG671" t="str">
        <f t="shared" si="158"/>
        <v>7-9</v>
      </c>
      <c r="AH671" t="s">
        <v>67</v>
      </c>
      <c r="AI671" t="s">
        <v>56</v>
      </c>
      <c r="AJ671">
        <v>21</v>
      </c>
      <c r="AK671" t="str">
        <f t="shared" si="159"/>
        <v>18-19%</v>
      </c>
      <c r="AL671">
        <v>4</v>
      </c>
      <c r="AM671" t="s">
        <v>78</v>
      </c>
      <c r="AN671">
        <v>4</v>
      </c>
      <c r="AO671" t="s">
        <v>65</v>
      </c>
      <c r="AP671">
        <v>80</v>
      </c>
      <c r="AQ671">
        <v>0</v>
      </c>
      <c r="AR671">
        <v>8</v>
      </c>
      <c r="AS671" t="str">
        <f t="shared" si="160"/>
        <v>6-10</v>
      </c>
      <c r="AT671">
        <v>2</v>
      </c>
      <c r="AU671" t="str">
        <f t="shared" si="161"/>
        <v>0-2</v>
      </c>
      <c r="AV671">
        <v>1</v>
      </c>
      <c r="AW671" t="s">
        <v>70</v>
      </c>
      <c r="AX671">
        <v>2</v>
      </c>
      <c r="AY671" t="str">
        <f t="shared" si="150"/>
        <v>2-5</v>
      </c>
      <c r="AZ671">
        <v>2</v>
      </c>
      <c r="BA671" t="str">
        <f t="shared" si="162"/>
        <v>2-5</v>
      </c>
      <c r="BB671">
        <v>2</v>
      </c>
      <c r="BC671" t="str">
        <f t="shared" si="163"/>
        <v>2-5</v>
      </c>
      <c r="BD671">
        <v>2</v>
      </c>
      <c r="BE671" t="str">
        <f t="shared" si="164"/>
        <v>2-5</v>
      </c>
    </row>
    <row r="672" spans="1:57" x14ac:dyDescent="0.3">
      <c r="A672">
        <v>933</v>
      </c>
      <c r="B672">
        <v>27</v>
      </c>
      <c r="C672" t="str">
        <f t="shared" si="151"/>
        <v>26-35</v>
      </c>
      <c r="D672" t="s">
        <v>71</v>
      </c>
      <c r="E672">
        <f t="shared" si="152"/>
        <v>0</v>
      </c>
      <c r="F672" t="s">
        <v>57</v>
      </c>
      <c r="G672">
        <v>618</v>
      </c>
      <c r="H672" t="str">
        <f t="shared" si="153"/>
        <v>501-1000</v>
      </c>
      <c r="I672" t="s">
        <v>73</v>
      </c>
      <c r="J672">
        <v>4</v>
      </c>
      <c r="K672" t="str">
        <f t="shared" si="154"/>
        <v>1-5</v>
      </c>
      <c r="L672">
        <v>3</v>
      </c>
      <c r="M672" t="s">
        <v>85</v>
      </c>
      <c r="N672" t="s">
        <v>60</v>
      </c>
      <c r="O672">
        <v>1</v>
      </c>
      <c r="P672">
        <v>2</v>
      </c>
      <c r="Q672" t="s">
        <v>61</v>
      </c>
      <c r="R672" t="s">
        <v>62</v>
      </c>
      <c r="S672">
        <v>76</v>
      </c>
      <c r="T672" t="str">
        <f t="shared" si="155"/>
        <v>76-100</v>
      </c>
      <c r="U672">
        <v>3</v>
      </c>
      <c r="V672" t="s">
        <v>63</v>
      </c>
      <c r="W672">
        <v>1</v>
      </c>
      <c r="X672" t="s">
        <v>76</v>
      </c>
      <c r="Y672">
        <v>3</v>
      </c>
      <c r="Z672" t="s">
        <v>63</v>
      </c>
      <c r="AA672" t="s">
        <v>66</v>
      </c>
      <c r="AB672" s="4">
        <v>2318</v>
      </c>
      <c r="AC672" s="4" t="str">
        <f t="shared" si="156"/>
        <v>$1,000-$2,500</v>
      </c>
      <c r="AD672">
        <v>17808</v>
      </c>
      <c r="AE672" t="str">
        <f t="shared" si="157"/>
        <v>$16,001-$22,000</v>
      </c>
      <c r="AF672">
        <v>1</v>
      </c>
      <c r="AG672" t="str">
        <f t="shared" si="158"/>
        <v>0-1</v>
      </c>
      <c r="AH672" t="s">
        <v>67</v>
      </c>
      <c r="AI672" t="s">
        <v>71</v>
      </c>
      <c r="AJ672">
        <v>19</v>
      </c>
      <c r="AK672" t="str">
        <f t="shared" si="159"/>
        <v>18-19%</v>
      </c>
      <c r="AL672">
        <v>3</v>
      </c>
      <c r="AM672" t="s">
        <v>68</v>
      </c>
      <c r="AN672">
        <v>3</v>
      </c>
      <c r="AO672" t="s">
        <v>63</v>
      </c>
      <c r="AP672">
        <v>80</v>
      </c>
      <c r="AQ672">
        <v>0</v>
      </c>
      <c r="AR672">
        <v>1</v>
      </c>
      <c r="AS672" t="str">
        <f t="shared" si="160"/>
        <v>0-2</v>
      </c>
      <c r="AT672">
        <v>2</v>
      </c>
      <c r="AU672" t="str">
        <f t="shared" si="161"/>
        <v>0-2</v>
      </c>
      <c r="AV672">
        <v>3</v>
      </c>
      <c r="AW672" t="s">
        <v>79</v>
      </c>
      <c r="AX672">
        <v>1</v>
      </c>
      <c r="AY672" t="str">
        <f t="shared" si="150"/>
        <v>0-1</v>
      </c>
      <c r="AZ672">
        <v>1</v>
      </c>
      <c r="BA672" t="str">
        <f t="shared" si="162"/>
        <v>0-1</v>
      </c>
      <c r="BB672">
        <v>0</v>
      </c>
      <c r="BC672" t="str">
        <f t="shared" si="163"/>
        <v>0-1</v>
      </c>
      <c r="BD672">
        <v>0</v>
      </c>
      <c r="BE672" t="str">
        <f t="shared" si="164"/>
        <v>0-1</v>
      </c>
    </row>
    <row r="673" spans="1:57" x14ac:dyDescent="0.3">
      <c r="A673">
        <v>934</v>
      </c>
      <c r="B673">
        <v>34</v>
      </c>
      <c r="C673" t="str">
        <f t="shared" si="151"/>
        <v>26-35</v>
      </c>
      <c r="D673" t="s">
        <v>71</v>
      </c>
      <c r="E673">
        <f t="shared" si="152"/>
        <v>0</v>
      </c>
      <c r="F673" t="s">
        <v>57</v>
      </c>
      <c r="G673">
        <v>546</v>
      </c>
      <c r="H673" t="str">
        <f t="shared" si="153"/>
        <v>501-1000</v>
      </c>
      <c r="I673" t="s">
        <v>73</v>
      </c>
      <c r="J673">
        <v>10</v>
      </c>
      <c r="K673" t="str">
        <f t="shared" si="154"/>
        <v>6-10</v>
      </c>
      <c r="L673">
        <v>3</v>
      </c>
      <c r="M673" t="s">
        <v>85</v>
      </c>
      <c r="N673" t="s">
        <v>60</v>
      </c>
      <c r="O673">
        <v>1</v>
      </c>
      <c r="P673">
        <v>2</v>
      </c>
      <c r="Q673" t="s">
        <v>61</v>
      </c>
      <c r="R673" t="s">
        <v>75</v>
      </c>
      <c r="S673">
        <v>83</v>
      </c>
      <c r="T673" t="str">
        <f t="shared" si="155"/>
        <v>76-100</v>
      </c>
      <c r="U673">
        <v>3</v>
      </c>
      <c r="V673" t="s">
        <v>63</v>
      </c>
      <c r="W673">
        <v>1</v>
      </c>
      <c r="X673" t="s">
        <v>81</v>
      </c>
      <c r="Y673">
        <v>2</v>
      </c>
      <c r="Z673" t="s">
        <v>61</v>
      </c>
      <c r="AA673" t="s">
        <v>86</v>
      </c>
      <c r="AB673" s="4">
        <v>2008</v>
      </c>
      <c r="AC673" s="4" t="str">
        <f t="shared" si="156"/>
        <v>$1,000-$2,500</v>
      </c>
      <c r="AD673">
        <v>6896</v>
      </c>
      <c r="AE673" t="str">
        <f t="shared" si="157"/>
        <v>$2,094-$8,000</v>
      </c>
      <c r="AF673">
        <v>1</v>
      </c>
      <c r="AG673" t="str">
        <f t="shared" si="158"/>
        <v>0-1</v>
      </c>
      <c r="AH673" t="s">
        <v>67</v>
      </c>
      <c r="AI673" t="s">
        <v>71</v>
      </c>
      <c r="AJ673">
        <v>14</v>
      </c>
      <c r="AK673" t="str">
        <f t="shared" si="159"/>
        <v>13-15%</v>
      </c>
      <c r="AL673">
        <v>3</v>
      </c>
      <c r="AM673" t="s">
        <v>68</v>
      </c>
      <c r="AN673">
        <v>2</v>
      </c>
      <c r="AO673" t="s">
        <v>61</v>
      </c>
      <c r="AP673">
        <v>80</v>
      </c>
      <c r="AQ673">
        <v>2</v>
      </c>
      <c r="AR673">
        <v>1</v>
      </c>
      <c r="AS673" t="str">
        <f t="shared" si="160"/>
        <v>0-2</v>
      </c>
      <c r="AT673">
        <v>3</v>
      </c>
      <c r="AU673" t="str">
        <f t="shared" si="161"/>
        <v>3-4</v>
      </c>
      <c r="AV673">
        <v>3</v>
      </c>
      <c r="AW673" t="s">
        <v>79</v>
      </c>
      <c r="AX673">
        <v>1</v>
      </c>
      <c r="AY673" t="str">
        <f t="shared" si="150"/>
        <v>0-1</v>
      </c>
      <c r="AZ673">
        <v>0</v>
      </c>
      <c r="BA673" t="str">
        <f t="shared" si="162"/>
        <v>0-1</v>
      </c>
      <c r="BB673">
        <v>1</v>
      </c>
      <c r="BC673" t="str">
        <f t="shared" si="163"/>
        <v>0-1</v>
      </c>
      <c r="BD673">
        <v>0</v>
      </c>
      <c r="BE673" t="str">
        <f t="shared" si="164"/>
        <v>0-1</v>
      </c>
    </row>
    <row r="674" spans="1:57" x14ac:dyDescent="0.3">
      <c r="A674">
        <v>936</v>
      </c>
      <c r="B674">
        <v>42</v>
      </c>
      <c r="C674" t="str">
        <f t="shared" si="151"/>
        <v>36-45</v>
      </c>
      <c r="D674" t="s">
        <v>71</v>
      </c>
      <c r="E674">
        <f t="shared" si="152"/>
        <v>0</v>
      </c>
      <c r="F674" t="s">
        <v>57</v>
      </c>
      <c r="G674">
        <v>462</v>
      </c>
      <c r="H674" t="str">
        <f t="shared" si="153"/>
        <v>102-500</v>
      </c>
      <c r="I674" t="s">
        <v>58</v>
      </c>
      <c r="J674">
        <v>14</v>
      </c>
      <c r="K674" t="str">
        <f t="shared" si="154"/>
        <v>11-20</v>
      </c>
      <c r="L674">
        <v>2</v>
      </c>
      <c r="M674" t="s">
        <v>59</v>
      </c>
      <c r="N674" t="s">
        <v>83</v>
      </c>
      <c r="O674">
        <v>1</v>
      </c>
      <c r="P674">
        <v>3</v>
      </c>
      <c r="Q674" t="s">
        <v>63</v>
      </c>
      <c r="R674" t="s">
        <v>62</v>
      </c>
      <c r="S674">
        <v>68</v>
      </c>
      <c r="T674" t="str">
        <f t="shared" si="155"/>
        <v>51-75</v>
      </c>
      <c r="U674">
        <v>2</v>
      </c>
      <c r="V674" t="s">
        <v>61</v>
      </c>
      <c r="W674">
        <v>2</v>
      </c>
      <c r="X674" t="s">
        <v>64</v>
      </c>
      <c r="Y674">
        <v>3</v>
      </c>
      <c r="Z674" t="s">
        <v>63</v>
      </c>
      <c r="AA674" t="s">
        <v>66</v>
      </c>
      <c r="AB674" s="4">
        <v>6244</v>
      </c>
      <c r="AC674" s="4" t="str">
        <f t="shared" si="156"/>
        <v>$5,500-$7,000</v>
      </c>
      <c r="AD674">
        <v>7824</v>
      </c>
      <c r="AE674" t="str">
        <f t="shared" si="157"/>
        <v>$2,094-$8,000</v>
      </c>
      <c r="AF674">
        <v>7</v>
      </c>
      <c r="AG674" t="str">
        <f t="shared" si="158"/>
        <v>7-9</v>
      </c>
      <c r="AH674" t="s">
        <v>67</v>
      </c>
      <c r="AI674" t="s">
        <v>71</v>
      </c>
      <c r="AJ674">
        <v>17</v>
      </c>
      <c r="AK674" t="str">
        <f t="shared" si="159"/>
        <v>16-17%</v>
      </c>
      <c r="AL674">
        <v>3</v>
      </c>
      <c r="AM674" t="s">
        <v>68</v>
      </c>
      <c r="AN674">
        <v>1</v>
      </c>
      <c r="AO674" t="s">
        <v>69</v>
      </c>
      <c r="AP674">
        <v>80</v>
      </c>
      <c r="AQ674">
        <v>0</v>
      </c>
      <c r="AR674">
        <v>10</v>
      </c>
      <c r="AS674" t="str">
        <f t="shared" si="160"/>
        <v>6-10</v>
      </c>
      <c r="AT674">
        <v>6</v>
      </c>
      <c r="AU674" t="str">
        <f t="shared" si="161"/>
        <v>5-6</v>
      </c>
      <c r="AV674">
        <v>3</v>
      </c>
      <c r="AW674" t="s">
        <v>79</v>
      </c>
      <c r="AX674">
        <v>5</v>
      </c>
      <c r="AY674" t="str">
        <f t="shared" si="150"/>
        <v>2-5</v>
      </c>
      <c r="AZ674">
        <v>4</v>
      </c>
      <c r="BA674" t="str">
        <f t="shared" si="162"/>
        <v>2-5</v>
      </c>
      <c r="BB674">
        <v>0</v>
      </c>
      <c r="BC674" t="str">
        <f t="shared" si="163"/>
        <v>0-1</v>
      </c>
      <c r="BD674">
        <v>3</v>
      </c>
      <c r="BE674" t="str">
        <f t="shared" si="164"/>
        <v>2-5</v>
      </c>
    </row>
    <row r="675" spans="1:57" x14ac:dyDescent="0.3">
      <c r="A675">
        <v>939</v>
      </c>
      <c r="B675">
        <v>33</v>
      </c>
      <c r="C675" t="str">
        <f t="shared" si="151"/>
        <v>26-35</v>
      </c>
      <c r="D675" t="s">
        <v>71</v>
      </c>
      <c r="E675">
        <f t="shared" si="152"/>
        <v>0</v>
      </c>
      <c r="F675" t="s">
        <v>57</v>
      </c>
      <c r="G675">
        <v>1198</v>
      </c>
      <c r="H675" t="str">
        <f t="shared" si="153"/>
        <v>1001-1499</v>
      </c>
      <c r="I675" t="s">
        <v>73</v>
      </c>
      <c r="J675">
        <v>1</v>
      </c>
      <c r="K675" t="str">
        <f t="shared" si="154"/>
        <v>1-5</v>
      </c>
      <c r="L675">
        <v>4</v>
      </c>
      <c r="M675" t="s">
        <v>82</v>
      </c>
      <c r="N675" t="s">
        <v>80</v>
      </c>
      <c r="O675">
        <v>1</v>
      </c>
      <c r="P675">
        <v>3</v>
      </c>
      <c r="Q675" t="s">
        <v>63</v>
      </c>
      <c r="R675" t="s">
        <v>75</v>
      </c>
      <c r="S675">
        <v>100</v>
      </c>
      <c r="T675" t="str">
        <f t="shared" si="155"/>
        <v>76-100</v>
      </c>
      <c r="U675">
        <v>2</v>
      </c>
      <c r="V675" t="s">
        <v>61</v>
      </c>
      <c r="W675">
        <v>1</v>
      </c>
      <c r="X675" t="s">
        <v>76</v>
      </c>
      <c r="Y675">
        <v>1</v>
      </c>
      <c r="Z675" t="s">
        <v>69</v>
      </c>
      <c r="AA675" t="s">
        <v>66</v>
      </c>
      <c r="AB675" s="4">
        <v>2799</v>
      </c>
      <c r="AC675" s="4" t="str">
        <f t="shared" si="156"/>
        <v>$2,500-$4,000</v>
      </c>
      <c r="AD675">
        <v>3339</v>
      </c>
      <c r="AE675" t="str">
        <f t="shared" si="157"/>
        <v>$2,094-$8,000</v>
      </c>
      <c r="AF675">
        <v>3</v>
      </c>
      <c r="AG675" t="str">
        <f t="shared" si="158"/>
        <v>2-3</v>
      </c>
      <c r="AH675" t="s">
        <v>67</v>
      </c>
      <c r="AI675" t="s">
        <v>56</v>
      </c>
      <c r="AJ675">
        <v>11</v>
      </c>
      <c r="AK675" t="str">
        <f t="shared" si="159"/>
        <v>11-12%</v>
      </c>
      <c r="AL675">
        <v>3</v>
      </c>
      <c r="AM675" t="s">
        <v>68</v>
      </c>
      <c r="AN675">
        <v>2</v>
      </c>
      <c r="AO675" t="s">
        <v>61</v>
      </c>
      <c r="AP675">
        <v>80</v>
      </c>
      <c r="AQ675">
        <v>0</v>
      </c>
      <c r="AR675">
        <v>6</v>
      </c>
      <c r="AS675" t="str">
        <f t="shared" si="160"/>
        <v>6-10</v>
      </c>
      <c r="AT675">
        <v>1</v>
      </c>
      <c r="AU675" t="str">
        <f t="shared" si="161"/>
        <v>0-2</v>
      </c>
      <c r="AV675">
        <v>3</v>
      </c>
      <c r="AW675" t="s">
        <v>79</v>
      </c>
      <c r="AX675">
        <v>3</v>
      </c>
      <c r="AY675" t="str">
        <f t="shared" si="150"/>
        <v>2-5</v>
      </c>
      <c r="AZ675">
        <v>2</v>
      </c>
      <c r="BA675" t="str">
        <f t="shared" si="162"/>
        <v>2-5</v>
      </c>
      <c r="BB675">
        <v>0</v>
      </c>
      <c r="BC675" t="str">
        <f t="shared" si="163"/>
        <v>0-1</v>
      </c>
      <c r="BD675">
        <v>2</v>
      </c>
      <c r="BE675" t="str">
        <f t="shared" si="164"/>
        <v>2-5</v>
      </c>
    </row>
    <row r="676" spans="1:57" x14ac:dyDescent="0.3">
      <c r="A676">
        <v>940</v>
      </c>
      <c r="B676">
        <v>58</v>
      </c>
      <c r="C676" t="str">
        <f t="shared" si="151"/>
        <v>56+</v>
      </c>
      <c r="D676" t="s">
        <v>71</v>
      </c>
      <c r="E676">
        <f t="shared" si="152"/>
        <v>0</v>
      </c>
      <c r="F676" t="s">
        <v>57</v>
      </c>
      <c r="G676">
        <v>1272</v>
      </c>
      <c r="H676" t="str">
        <f t="shared" si="153"/>
        <v>1001-1499</v>
      </c>
      <c r="I676" t="s">
        <v>73</v>
      </c>
      <c r="J676">
        <v>5</v>
      </c>
      <c r="K676" t="str">
        <f t="shared" si="154"/>
        <v>1-5</v>
      </c>
      <c r="L676">
        <v>3</v>
      </c>
      <c r="M676" t="s">
        <v>85</v>
      </c>
      <c r="N676" t="s">
        <v>95</v>
      </c>
      <c r="O676">
        <v>1</v>
      </c>
      <c r="P676">
        <v>3</v>
      </c>
      <c r="Q676" t="s">
        <v>63</v>
      </c>
      <c r="R676" t="s">
        <v>62</v>
      </c>
      <c r="S676">
        <v>37</v>
      </c>
      <c r="T676" t="str">
        <f t="shared" si="155"/>
        <v>30-50</v>
      </c>
      <c r="U676">
        <v>2</v>
      </c>
      <c r="V676" t="s">
        <v>61</v>
      </c>
      <c r="W676">
        <v>3</v>
      </c>
      <c r="X676" t="s">
        <v>88</v>
      </c>
      <c r="Y676">
        <v>2</v>
      </c>
      <c r="Z676" t="s">
        <v>61</v>
      </c>
      <c r="AA676" t="s">
        <v>86</v>
      </c>
      <c r="AB676" s="4">
        <v>10552</v>
      </c>
      <c r="AC676" s="4" t="str">
        <f t="shared" si="156"/>
        <v>$10,000-$11,500</v>
      </c>
      <c r="AD676">
        <v>9255</v>
      </c>
      <c r="AE676" t="str">
        <f t="shared" si="157"/>
        <v>$8,001-$16,000</v>
      </c>
      <c r="AF676">
        <v>2</v>
      </c>
      <c r="AG676" t="str">
        <f t="shared" si="158"/>
        <v>2-3</v>
      </c>
      <c r="AH676" t="s">
        <v>67</v>
      </c>
      <c r="AI676" t="s">
        <v>56</v>
      </c>
      <c r="AJ676">
        <v>13</v>
      </c>
      <c r="AK676" t="str">
        <f t="shared" si="159"/>
        <v>13-15%</v>
      </c>
      <c r="AL676">
        <v>3</v>
      </c>
      <c r="AM676" t="s">
        <v>68</v>
      </c>
      <c r="AN676">
        <v>4</v>
      </c>
      <c r="AO676" t="s">
        <v>65</v>
      </c>
      <c r="AP676">
        <v>80</v>
      </c>
      <c r="AQ676">
        <v>1</v>
      </c>
      <c r="AR676">
        <v>24</v>
      </c>
      <c r="AS676" t="str">
        <f t="shared" si="160"/>
        <v>21-40</v>
      </c>
      <c r="AT676">
        <v>3</v>
      </c>
      <c r="AU676" t="str">
        <f t="shared" si="161"/>
        <v>3-4</v>
      </c>
      <c r="AV676">
        <v>3</v>
      </c>
      <c r="AW676" t="s">
        <v>79</v>
      </c>
      <c r="AX676">
        <v>6</v>
      </c>
      <c r="AY676" t="str">
        <f t="shared" si="150"/>
        <v>6-10</v>
      </c>
      <c r="AZ676">
        <v>0</v>
      </c>
      <c r="BA676" t="str">
        <f t="shared" si="162"/>
        <v>0-1</v>
      </c>
      <c r="BB676">
        <v>0</v>
      </c>
      <c r="BC676" t="str">
        <f t="shared" si="163"/>
        <v>0-1</v>
      </c>
      <c r="BD676">
        <v>4</v>
      </c>
      <c r="BE676" t="str">
        <f t="shared" si="164"/>
        <v>2-5</v>
      </c>
    </row>
    <row r="677" spans="1:57" x14ac:dyDescent="0.3">
      <c r="A677">
        <v>941</v>
      </c>
      <c r="B677">
        <v>31</v>
      </c>
      <c r="C677" t="str">
        <f t="shared" si="151"/>
        <v>26-35</v>
      </c>
      <c r="D677" t="s">
        <v>71</v>
      </c>
      <c r="E677">
        <f t="shared" si="152"/>
        <v>0</v>
      </c>
      <c r="F677" t="s">
        <v>57</v>
      </c>
      <c r="G677">
        <v>154</v>
      </c>
      <c r="H677" t="str">
        <f t="shared" si="153"/>
        <v>102-500</v>
      </c>
      <c r="I677" t="s">
        <v>58</v>
      </c>
      <c r="J677">
        <v>7</v>
      </c>
      <c r="K677" t="str">
        <f t="shared" si="154"/>
        <v>6-10</v>
      </c>
      <c r="L677">
        <v>4</v>
      </c>
      <c r="M677" t="s">
        <v>82</v>
      </c>
      <c r="N677" t="s">
        <v>60</v>
      </c>
      <c r="O677">
        <v>1</v>
      </c>
      <c r="P677">
        <v>2</v>
      </c>
      <c r="Q677" t="s">
        <v>61</v>
      </c>
      <c r="R677" t="s">
        <v>75</v>
      </c>
      <c r="S677">
        <v>41</v>
      </c>
      <c r="T677" t="str">
        <f t="shared" si="155"/>
        <v>30-50</v>
      </c>
      <c r="U677">
        <v>2</v>
      </c>
      <c r="V677" t="s">
        <v>61</v>
      </c>
      <c r="W677">
        <v>1</v>
      </c>
      <c r="X677" t="s">
        <v>91</v>
      </c>
      <c r="Y677">
        <v>3</v>
      </c>
      <c r="Z677" t="s">
        <v>63</v>
      </c>
      <c r="AA677" t="s">
        <v>77</v>
      </c>
      <c r="AB677" s="4">
        <v>2329</v>
      </c>
      <c r="AC677" s="4" t="str">
        <f t="shared" si="156"/>
        <v>$1,000-$2,500</v>
      </c>
      <c r="AD677">
        <v>11737</v>
      </c>
      <c r="AE677" t="str">
        <f t="shared" si="157"/>
        <v>$8,001-$16,000</v>
      </c>
      <c r="AF677">
        <v>3</v>
      </c>
      <c r="AG677" t="str">
        <f t="shared" si="158"/>
        <v>2-3</v>
      </c>
      <c r="AH677" t="s">
        <v>67</v>
      </c>
      <c r="AI677" t="s">
        <v>71</v>
      </c>
      <c r="AJ677">
        <v>15</v>
      </c>
      <c r="AK677" t="str">
        <f t="shared" si="159"/>
        <v>13-15%</v>
      </c>
      <c r="AL677">
        <v>3</v>
      </c>
      <c r="AM677" t="s">
        <v>68</v>
      </c>
      <c r="AN677">
        <v>2</v>
      </c>
      <c r="AO677" t="s">
        <v>61</v>
      </c>
      <c r="AP677">
        <v>80</v>
      </c>
      <c r="AQ677">
        <v>0</v>
      </c>
      <c r="AR677">
        <v>13</v>
      </c>
      <c r="AS677" t="str">
        <f t="shared" si="160"/>
        <v>11-20</v>
      </c>
      <c r="AT677">
        <v>2</v>
      </c>
      <c r="AU677" t="str">
        <f t="shared" si="161"/>
        <v>0-2</v>
      </c>
      <c r="AV677">
        <v>4</v>
      </c>
      <c r="AW677" t="s">
        <v>94</v>
      </c>
      <c r="AX677">
        <v>7</v>
      </c>
      <c r="AY677" t="str">
        <f t="shared" si="150"/>
        <v>6-10</v>
      </c>
      <c r="AZ677">
        <v>7</v>
      </c>
      <c r="BA677" t="str">
        <f t="shared" si="162"/>
        <v>6-10</v>
      </c>
      <c r="BB677">
        <v>5</v>
      </c>
      <c r="BC677" t="str">
        <f t="shared" si="163"/>
        <v>2-5</v>
      </c>
      <c r="BD677">
        <v>2</v>
      </c>
      <c r="BE677" t="str">
        <f t="shared" si="164"/>
        <v>2-5</v>
      </c>
    </row>
    <row r="678" spans="1:57" x14ac:dyDescent="0.3">
      <c r="A678">
        <v>942</v>
      </c>
      <c r="B678">
        <v>35</v>
      </c>
      <c r="C678" t="str">
        <f t="shared" si="151"/>
        <v>26-35</v>
      </c>
      <c r="D678" t="s">
        <v>71</v>
      </c>
      <c r="E678">
        <f t="shared" si="152"/>
        <v>0</v>
      </c>
      <c r="F678" t="s">
        <v>57</v>
      </c>
      <c r="G678">
        <v>1137</v>
      </c>
      <c r="H678" t="str">
        <f t="shared" si="153"/>
        <v>1001-1499</v>
      </c>
      <c r="I678" t="s">
        <v>73</v>
      </c>
      <c r="J678">
        <v>21</v>
      </c>
      <c r="K678" t="str">
        <f t="shared" si="154"/>
        <v>21-29</v>
      </c>
      <c r="L678">
        <v>1</v>
      </c>
      <c r="M678" t="s">
        <v>74</v>
      </c>
      <c r="N678" t="s">
        <v>60</v>
      </c>
      <c r="O678">
        <v>1</v>
      </c>
      <c r="P678">
        <v>4</v>
      </c>
      <c r="Q678" t="s">
        <v>65</v>
      </c>
      <c r="R678" t="s">
        <v>62</v>
      </c>
      <c r="S678">
        <v>51</v>
      </c>
      <c r="T678" t="str">
        <f t="shared" si="155"/>
        <v>51-75</v>
      </c>
      <c r="U678">
        <v>3</v>
      </c>
      <c r="V678" t="s">
        <v>63</v>
      </c>
      <c r="W678">
        <v>2</v>
      </c>
      <c r="X678" t="s">
        <v>88</v>
      </c>
      <c r="Y678">
        <v>4</v>
      </c>
      <c r="Z678" t="s">
        <v>65</v>
      </c>
      <c r="AA678" t="s">
        <v>77</v>
      </c>
      <c r="AB678" s="4">
        <v>4014</v>
      </c>
      <c r="AC678" s="4" t="str">
        <f t="shared" si="156"/>
        <v>$4,000-$5,500</v>
      </c>
      <c r="AD678">
        <v>19170</v>
      </c>
      <c r="AE678" t="str">
        <f t="shared" si="157"/>
        <v>$16,001-$22,000</v>
      </c>
      <c r="AF678">
        <v>1</v>
      </c>
      <c r="AG678" t="str">
        <f t="shared" si="158"/>
        <v>0-1</v>
      </c>
      <c r="AH678" t="s">
        <v>67</v>
      </c>
      <c r="AI678" t="s">
        <v>56</v>
      </c>
      <c r="AJ678">
        <v>25</v>
      </c>
      <c r="AK678" t="str">
        <f t="shared" si="159"/>
        <v>18-19%</v>
      </c>
      <c r="AL678">
        <v>4</v>
      </c>
      <c r="AM678" t="s">
        <v>78</v>
      </c>
      <c r="AN678">
        <v>4</v>
      </c>
      <c r="AO678" t="s">
        <v>65</v>
      </c>
      <c r="AP678">
        <v>80</v>
      </c>
      <c r="AQ678">
        <v>1</v>
      </c>
      <c r="AR678">
        <v>10</v>
      </c>
      <c r="AS678" t="str">
        <f t="shared" si="160"/>
        <v>6-10</v>
      </c>
      <c r="AT678">
        <v>2</v>
      </c>
      <c r="AU678" t="str">
        <f t="shared" si="161"/>
        <v>0-2</v>
      </c>
      <c r="AV678">
        <v>1</v>
      </c>
      <c r="AW678" t="s">
        <v>70</v>
      </c>
      <c r="AX678">
        <v>10</v>
      </c>
      <c r="AY678" t="str">
        <f t="shared" si="150"/>
        <v>6-10</v>
      </c>
      <c r="AZ678">
        <v>6</v>
      </c>
      <c r="BA678" t="str">
        <f t="shared" si="162"/>
        <v>6-10</v>
      </c>
      <c r="BB678">
        <v>0</v>
      </c>
      <c r="BC678" t="str">
        <f t="shared" si="163"/>
        <v>0-1</v>
      </c>
      <c r="BD678">
        <v>7</v>
      </c>
      <c r="BE678" t="str">
        <f t="shared" si="164"/>
        <v>6-10</v>
      </c>
    </row>
    <row r="679" spans="1:57" x14ac:dyDescent="0.3">
      <c r="A679">
        <v>944</v>
      </c>
      <c r="B679">
        <v>49</v>
      </c>
      <c r="C679" t="str">
        <f t="shared" si="151"/>
        <v>46-55</v>
      </c>
      <c r="D679" t="s">
        <v>71</v>
      </c>
      <c r="E679">
        <f t="shared" si="152"/>
        <v>0</v>
      </c>
      <c r="F679" t="s">
        <v>57</v>
      </c>
      <c r="G679">
        <v>527</v>
      </c>
      <c r="H679" t="str">
        <f t="shared" si="153"/>
        <v>501-1000</v>
      </c>
      <c r="I679" t="s">
        <v>73</v>
      </c>
      <c r="J679">
        <v>8</v>
      </c>
      <c r="K679" t="str">
        <f t="shared" si="154"/>
        <v>6-10</v>
      </c>
      <c r="L679">
        <v>2</v>
      </c>
      <c r="M679" t="s">
        <v>59</v>
      </c>
      <c r="N679" t="s">
        <v>80</v>
      </c>
      <c r="O679">
        <v>1</v>
      </c>
      <c r="P679">
        <v>1</v>
      </c>
      <c r="Q679" t="s">
        <v>69</v>
      </c>
      <c r="R679" t="s">
        <v>62</v>
      </c>
      <c r="S679">
        <v>51</v>
      </c>
      <c r="T679" t="str">
        <f t="shared" si="155"/>
        <v>51-75</v>
      </c>
      <c r="U679">
        <v>3</v>
      </c>
      <c r="V679" t="s">
        <v>63</v>
      </c>
      <c r="W679">
        <v>3</v>
      </c>
      <c r="X679" t="s">
        <v>81</v>
      </c>
      <c r="Y679">
        <v>2</v>
      </c>
      <c r="Z679" t="s">
        <v>61</v>
      </c>
      <c r="AA679" t="s">
        <v>77</v>
      </c>
      <c r="AB679" s="4">
        <v>7403</v>
      </c>
      <c r="AC679" s="4" t="str">
        <f t="shared" si="156"/>
        <v>$7,000-$8,500</v>
      </c>
      <c r="AD679">
        <v>22477</v>
      </c>
      <c r="AE679" t="str">
        <f t="shared" si="157"/>
        <v>$22,001-$26,999</v>
      </c>
      <c r="AF679">
        <v>4</v>
      </c>
      <c r="AG679" t="str">
        <f t="shared" si="158"/>
        <v>4-6</v>
      </c>
      <c r="AH679" t="s">
        <v>67</v>
      </c>
      <c r="AI679" t="s">
        <v>71</v>
      </c>
      <c r="AJ679">
        <v>11</v>
      </c>
      <c r="AK679" t="str">
        <f t="shared" si="159"/>
        <v>11-12%</v>
      </c>
      <c r="AL679">
        <v>3</v>
      </c>
      <c r="AM679" t="s">
        <v>68</v>
      </c>
      <c r="AN679">
        <v>3</v>
      </c>
      <c r="AO679" t="s">
        <v>63</v>
      </c>
      <c r="AP679">
        <v>80</v>
      </c>
      <c r="AQ679">
        <v>1</v>
      </c>
      <c r="AR679">
        <v>29</v>
      </c>
      <c r="AS679" t="str">
        <f t="shared" si="160"/>
        <v>21-40</v>
      </c>
      <c r="AT679">
        <v>3</v>
      </c>
      <c r="AU679" t="str">
        <f t="shared" si="161"/>
        <v>3-4</v>
      </c>
      <c r="AV679">
        <v>2</v>
      </c>
      <c r="AW679" t="s">
        <v>84</v>
      </c>
      <c r="AX679">
        <v>26</v>
      </c>
      <c r="AY679" t="str">
        <f t="shared" si="150"/>
        <v>21-40</v>
      </c>
      <c r="AZ679">
        <v>9</v>
      </c>
      <c r="BA679" t="str">
        <f t="shared" si="162"/>
        <v>6-10</v>
      </c>
      <c r="BB679">
        <v>1</v>
      </c>
      <c r="BC679" t="str">
        <f t="shared" si="163"/>
        <v>0-1</v>
      </c>
      <c r="BD679">
        <v>7</v>
      </c>
      <c r="BE679" t="str">
        <f t="shared" si="164"/>
        <v>6-10</v>
      </c>
    </row>
    <row r="680" spans="1:57" x14ac:dyDescent="0.3">
      <c r="A680">
        <v>945</v>
      </c>
      <c r="B680">
        <v>48</v>
      </c>
      <c r="C680" t="str">
        <f t="shared" si="151"/>
        <v>46-55</v>
      </c>
      <c r="D680" t="s">
        <v>71</v>
      </c>
      <c r="E680">
        <f t="shared" si="152"/>
        <v>0</v>
      </c>
      <c r="F680" t="s">
        <v>57</v>
      </c>
      <c r="G680">
        <v>1469</v>
      </c>
      <c r="H680" t="str">
        <f t="shared" si="153"/>
        <v>1001-1499</v>
      </c>
      <c r="I680" t="s">
        <v>73</v>
      </c>
      <c r="J680">
        <v>20</v>
      </c>
      <c r="K680" t="str">
        <f t="shared" si="154"/>
        <v>11-20</v>
      </c>
      <c r="L680">
        <v>4</v>
      </c>
      <c r="M680" t="s">
        <v>82</v>
      </c>
      <c r="N680" t="s">
        <v>83</v>
      </c>
      <c r="O680">
        <v>1</v>
      </c>
      <c r="P680">
        <v>4</v>
      </c>
      <c r="Q680" t="s">
        <v>65</v>
      </c>
      <c r="R680" t="s">
        <v>75</v>
      </c>
      <c r="S680">
        <v>51</v>
      </c>
      <c r="T680" t="str">
        <f t="shared" si="155"/>
        <v>51-75</v>
      </c>
      <c r="U680">
        <v>3</v>
      </c>
      <c r="V680" t="s">
        <v>63</v>
      </c>
      <c r="W680">
        <v>1</v>
      </c>
      <c r="X680" t="s">
        <v>76</v>
      </c>
      <c r="Y680">
        <v>3</v>
      </c>
      <c r="Z680" t="s">
        <v>63</v>
      </c>
      <c r="AA680" t="s">
        <v>77</v>
      </c>
      <c r="AB680" s="4">
        <v>2259</v>
      </c>
      <c r="AC680" s="4" t="str">
        <f t="shared" si="156"/>
        <v>$1,000-$2,500</v>
      </c>
      <c r="AD680">
        <v>5543</v>
      </c>
      <c r="AE680" t="str">
        <f t="shared" si="157"/>
        <v>$2,094-$8,000</v>
      </c>
      <c r="AF680">
        <v>4</v>
      </c>
      <c r="AG680" t="str">
        <f t="shared" si="158"/>
        <v>4-6</v>
      </c>
      <c r="AH680" t="s">
        <v>67</v>
      </c>
      <c r="AI680" t="s">
        <v>71</v>
      </c>
      <c r="AJ680">
        <v>17</v>
      </c>
      <c r="AK680" t="str">
        <f t="shared" si="159"/>
        <v>16-17%</v>
      </c>
      <c r="AL680">
        <v>3</v>
      </c>
      <c r="AM680" t="s">
        <v>68</v>
      </c>
      <c r="AN680">
        <v>1</v>
      </c>
      <c r="AO680" t="s">
        <v>69</v>
      </c>
      <c r="AP680">
        <v>80</v>
      </c>
      <c r="AQ680">
        <v>2</v>
      </c>
      <c r="AR680">
        <v>13</v>
      </c>
      <c r="AS680" t="str">
        <f t="shared" si="160"/>
        <v>11-20</v>
      </c>
      <c r="AT680">
        <v>2</v>
      </c>
      <c r="AU680" t="str">
        <f t="shared" si="161"/>
        <v>0-2</v>
      </c>
      <c r="AV680">
        <v>2</v>
      </c>
      <c r="AW680" t="s">
        <v>84</v>
      </c>
      <c r="AX680">
        <v>0</v>
      </c>
      <c r="AY680" t="str">
        <f t="shared" si="150"/>
        <v>0-1</v>
      </c>
      <c r="AZ680">
        <v>0</v>
      </c>
      <c r="BA680" t="str">
        <f t="shared" si="162"/>
        <v>0-1</v>
      </c>
      <c r="BB680">
        <v>0</v>
      </c>
      <c r="BC680" t="str">
        <f t="shared" si="163"/>
        <v>0-1</v>
      </c>
      <c r="BD680">
        <v>0</v>
      </c>
      <c r="BE680" t="str">
        <f t="shared" si="164"/>
        <v>0-1</v>
      </c>
    </row>
    <row r="681" spans="1:57" x14ac:dyDescent="0.3">
      <c r="A681">
        <v>947</v>
      </c>
      <c r="B681">
        <v>31</v>
      </c>
      <c r="C681" t="str">
        <f t="shared" si="151"/>
        <v>26-35</v>
      </c>
      <c r="D681" t="s">
        <v>71</v>
      </c>
      <c r="E681">
        <f t="shared" si="152"/>
        <v>0</v>
      </c>
      <c r="F681" t="s">
        <v>89</v>
      </c>
      <c r="G681">
        <v>1188</v>
      </c>
      <c r="H681" t="str">
        <f t="shared" si="153"/>
        <v>1001-1499</v>
      </c>
      <c r="I681" t="s">
        <v>58</v>
      </c>
      <c r="J681">
        <v>20</v>
      </c>
      <c r="K681" t="str">
        <f t="shared" si="154"/>
        <v>11-20</v>
      </c>
      <c r="L681">
        <v>2</v>
      </c>
      <c r="M681" t="s">
        <v>59</v>
      </c>
      <c r="N681" t="s">
        <v>93</v>
      </c>
      <c r="O681">
        <v>1</v>
      </c>
      <c r="P681">
        <v>4</v>
      </c>
      <c r="Q681" t="s">
        <v>65</v>
      </c>
      <c r="R681" t="s">
        <v>62</v>
      </c>
      <c r="S681">
        <v>45</v>
      </c>
      <c r="T681" t="str">
        <f t="shared" si="155"/>
        <v>30-50</v>
      </c>
      <c r="U681">
        <v>3</v>
      </c>
      <c r="V681" t="s">
        <v>63</v>
      </c>
      <c r="W681">
        <v>2</v>
      </c>
      <c r="X681" t="s">
        <v>64</v>
      </c>
      <c r="Y681">
        <v>3</v>
      </c>
      <c r="Z681" t="s">
        <v>63</v>
      </c>
      <c r="AA681" t="s">
        <v>77</v>
      </c>
      <c r="AB681" s="4">
        <v>6932</v>
      </c>
      <c r="AC681" s="4" t="str">
        <f t="shared" si="156"/>
        <v>$5,500-$7,000</v>
      </c>
      <c r="AD681">
        <v>24406</v>
      </c>
      <c r="AE681" t="str">
        <f t="shared" si="157"/>
        <v>$22,001-$26,999</v>
      </c>
      <c r="AF681">
        <v>1</v>
      </c>
      <c r="AG681" t="str">
        <f t="shared" si="158"/>
        <v>0-1</v>
      </c>
      <c r="AH681" t="s">
        <v>67</v>
      </c>
      <c r="AI681" t="s">
        <v>71</v>
      </c>
      <c r="AJ681">
        <v>13</v>
      </c>
      <c r="AK681" t="str">
        <f t="shared" si="159"/>
        <v>13-15%</v>
      </c>
      <c r="AL681">
        <v>3</v>
      </c>
      <c r="AM681" t="s">
        <v>68</v>
      </c>
      <c r="AN681">
        <v>4</v>
      </c>
      <c r="AO681" t="s">
        <v>65</v>
      </c>
      <c r="AP681">
        <v>80</v>
      </c>
      <c r="AQ681">
        <v>1</v>
      </c>
      <c r="AR681">
        <v>9</v>
      </c>
      <c r="AS681" t="str">
        <f t="shared" si="160"/>
        <v>6-10</v>
      </c>
      <c r="AT681">
        <v>2</v>
      </c>
      <c r="AU681" t="str">
        <f t="shared" si="161"/>
        <v>0-2</v>
      </c>
      <c r="AV681">
        <v>2</v>
      </c>
      <c r="AW681" t="s">
        <v>84</v>
      </c>
      <c r="AX681">
        <v>9</v>
      </c>
      <c r="AY681" t="str">
        <f t="shared" si="150"/>
        <v>6-10</v>
      </c>
      <c r="AZ681">
        <v>8</v>
      </c>
      <c r="BA681" t="str">
        <f t="shared" si="162"/>
        <v>6-10</v>
      </c>
      <c r="BB681">
        <v>0</v>
      </c>
      <c r="BC681" t="str">
        <f t="shared" si="163"/>
        <v>0-1</v>
      </c>
      <c r="BD681">
        <v>0</v>
      </c>
      <c r="BE681" t="str">
        <f t="shared" si="164"/>
        <v>0-1</v>
      </c>
    </row>
    <row r="682" spans="1:57" x14ac:dyDescent="0.3">
      <c r="A682">
        <v>949</v>
      </c>
      <c r="B682">
        <v>36</v>
      </c>
      <c r="C682" t="str">
        <f t="shared" si="151"/>
        <v>36-45</v>
      </c>
      <c r="D682" t="s">
        <v>71</v>
      </c>
      <c r="E682">
        <f t="shared" si="152"/>
        <v>0</v>
      </c>
      <c r="F682" t="s">
        <v>57</v>
      </c>
      <c r="G682">
        <v>188</v>
      </c>
      <c r="H682" t="str">
        <f t="shared" si="153"/>
        <v>102-500</v>
      </c>
      <c r="I682" t="s">
        <v>73</v>
      </c>
      <c r="J682">
        <v>7</v>
      </c>
      <c r="K682" t="str">
        <f t="shared" si="154"/>
        <v>6-10</v>
      </c>
      <c r="L682">
        <v>4</v>
      </c>
      <c r="M682" t="s">
        <v>82</v>
      </c>
      <c r="N682" t="s">
        <v>80</v>
      </c>
      <c r="O682">
        <v>1</v>
      </c>
      <c r="P682">
        <v>2</v>
      </c>
      <c r="Q682" t="s">
        <v>61</v>
      </c>
      <c r="R682" t="s">
        <v>75</v>
      </c>
      <c r="S682">
        <v>65</v>
      </c>
      <c r="T682" t="str">
        <f t="shared" si="155"/>
        <v>51-75</v>
      </c>
      <c r="U682">
        <v>3</v>
      </c>
      <c r="V682" t="s">
        <v>63</v>
      </c>
      <c r="W682">
        <v>1</v>
      </c>
      <c r="X682" t="s">
        <v>76</v>
      </c>
      <c r="Y682">
        <v>4</v>
      </c>
      <c r="Z682" t="s">
        <v>65</v>
      </c>
      <c r="AA682" t="s">
        <v>66</v>
      </c>
      <c r="AB682" s="4">
        <v>4678</v>
      </c>
      <c r="AC682" s="4" t="str">
        <f t="shared" si="156"/>
        <v>$4,000-$5,500</v>
      </c>
      <c r="AD682">
        <v>23293</v>
      </c>
      <c r="AE682" t="str">
        <f t="shared" si="157"/>
        <v>$22,001-$26,999</v>
      </c>
      <c r="AF682">
        <v>2</v>
      </c>
      <c r="AG682" t="str">
        <f t="shared" si="158"/>
        <v>2-3</v>
      </c>
      <c r="AH682" t="s">
        <v>67</v>
      </c>
      <c r="AI682" t="s">
        <v>71</v>
      </c>
      <c r="AJ682">
        <v>18</v>
      </c>
      <c r="AK682" t="str">
        <f t="shared" si="159"/>
        <v>18-19%</v>
      </c>
      <c r="AL682">
        <v>3</v>
      </c>
      <c r="AM682" t="s">
        <v>68</v>
      </c>
      <c r="AN682">
        <v>3</v>
      </c>
      <c r="AO682" t="s">
        <v>63</v>
      </c>
      <c r="AP682">
        <v>80</v>
      </c>
      <c r="AQ682">
        <v>0</v>
      </c>
      <c r="AR682">
        <v>8</v>
      </c>
      <c r="AS682" t="str">
        <f t="shared" si="160"/>
        <v>6-10</v>
      </c>
      <c r="AT682">
        <v>6</v>
      </c>
      <c r="AU682" t="str">
        <f t="shared" si="161"/>
        <v>5-6</v>
      </c>
      <c r="AV682">
        <v>3</v>
      </c>
      <c r="AW682" t="s">
        <v>79</v>
      </c>
      <c r="AX682">
        <v>6</v>
      </c>
      <c r="AY682" t="str">
        <f t="shared" si="150"/>
        <v>6-10</v>
      </c>
      <c r="AZ682">
        <v>2</v>
      </c>
      <c r="BA682" t="str">
        <f t="shared" si="162"/>
        <v>2-5</v>
      </c>
      <c r="BB682">
        <v>0</v>
      </c>
      <c r="BC682" t="str">
        <f t="shared" si="163"/>
        <v>0-1</v>
      </c>
      <c r="BD682">
        <v>1</v>
      </c>
      <c r="BE682" t="str">
        <f t="shared" si="164"/>
        <v>0-1</v>
      </c>
    </row>
    <row r="683" spans="1:57" x14ac:dyDescent="0.3">
      <c r="A683">
        <v>950</v>
      </c>
      <c r="B683">
        <v>38</v>
      </c>
      <c r="C683" t="str">
        <f t="shared" si="151"/>
        <v>36-45</v>
      </c>
      <c r="D683" t="s">
        <v>71</v>
      </c>
      <c r="E683">
        <f t="shared" si="152"/>
        <v>0</v>
      </c>
      <c r="F683" t="s">
        <v>57</v>
      </c>
      <c r="G683">
        <v>1333</v>
      </c>
      <c r="H683" t="str">
        <f t="shared" si="153"/>
        <v>1001-1499</v>
      </c>
      <c r="I683" t="s">
        <v>73</v>
      </c>
      <c r="J683">
        <v>1</v>
      </c>
      <c r="K683" t="str">
        <f t="shared" si="154"/>
        <v>1-5</v>
      </c>
      <c r="L683">
        <v>3</v>
      </c>
      <c r="M683" t="s">
        <v>85</v>
      </c>
      <c r="N683" t="s">
        <v>95</v>
      </c>
      <c r="O683">
        <v>1</v>
      </c>
      <c r="P683">
        <v>4</v>
      </c>
      <c r="Q683" t="s">
        <v>65</v>
      </c>
      <c r="R683" t="s">
        <v>62</v>
      </c>
      <c r="S683">
        <v>80</v>
      </c>
      <c r="T683" t="str">
        <f t="shared" si="155"/>
        <v>76-100</v>
      </c>
      <c r="U683">
        <v>3</v>
      </c>
      <c r="V683" t="s">
        <v>63</v>
      </c>
      <c r="W683">
        <v>3</v>
      </c>
      <c r="X683" t="s">
        <v>92</v>
      </c>
      <c r="Y683">
        <v>1</v>
      </c>
      <c r="Z683" t="s">
        <v>69</v>
      </c>
      <c r="AA683" t="s">
        <v>77</v>
      </c>
      <c r="AB683" s="4">
        <v>13582</v>
      </c>
      <c r="AC683" s="4" t="str">
        <f t="shared" si="156"/>
        <v>$13,000-$14,500</v>
      </c>
      <c r="AD683">
        <v>16292</v>
      </c>
      <c r="AE683" t="str">
        <f t="shared" si="157"/>
        <v>$16,001-$22,000</v>
      </c>
      <c r="AF683">
        <v>1</v>
      </c>
      <c r="AG683" t="str">
        <f t="shared" si="158"/>
        <v>0-1</v>
      </c>
      <c r="AH683" t="s">
        <v>67</v>
      </c>
      <c r="AI683" t="s">
        <v>71</v>
      </c>
      <c r="AJ683">
        <v>13</v>
      </c>
      <c r="AK683" t="str">
        <f t="shared" si="159"/>
        <v>13-15%</v>
      </c>
      <c r="AL683">
        <v>3</v>
      </c>
      <c r="AM683" t="s">
        <v>68</v>
      </c>
      <c r="AN683">
        <v>2</v>
      </c>
      <c r="AO683" t="s">
        <v>61</v>
      </c>
      <c r="AP683">
        <v>80</v>
      </c>
      <c r="AQ683">
        <v>1</v>
      </c>
      <c r="AR683">
        <v>15</v>
      </c>
      <c r="AS683" t="str">
        <f t="shared" si="160"/>
        <v>11-20</v>
      </c>
      <c r="AT683">
        <v>3</v>
      </c>
      <c r="AU683" t="str">
        <f t="shared" si="161"/>
        <v>3-4</v>
      </c>
      <c r="AV683">
        <v>3</v>
      </c>
      <c r="AW683" t="s">
        <v>79</v>
      </c>
      <c r="AX683">
        <v>15</v>
      </c>
      <c r="AY683" t="str">
        <f t="shared" si="150"/>
        <v>11-20</v>
      </c>
      <c r="AZ683">
        <v>12</v>
      </c>
      <c r="BA683" t="str">
        <f t="shared" si="162"/>
        <v>11-18</v>
      </c>
      <c r="BB683">
        <v>5</v>
      </c>
      <c r="BC683" t="str">
        <f t="shared" si="163"/>
        <v>2-5</v>
      </c>
      <c r="BD683">
        <v>11</v>
      </c>
      <c r="BE683" t="str">
        <f t="shared" si="164"/>
        <v>11-17</v>
      </c>
    </row>
    <row r="684" spans="1:57" x14ac:dyDescent="0.3">
      <c r="A684">
        <v>951</v>
      </c>
      <c r="B684">
        <v>32</v>
      </c>
      <c r="C684" t="str">
        <f t="shared" si="151"/>
        <v>26-35</v>
      </c>
      <c r="D684" t="s">
        <v>71</v>
      </c>
      <c r="E684">
        <f t="shared" si="152"/>
        <v>0</v>
      </c>
      <c r="F684" t="s">
        <v>89</v>
      </c>
      <c r="G684">
        <v>1184</v>
      </c>
      <c r="H684" t="str">
        <f t="shared" si="153"/>
        <v>1001-1499</v>
      </c>
      <c r="I684" t="s">
        <v>73</v>
      </c>
      <c r="J684">
        <v>1</v>
      </c>
      <c r="K684" t="str">
        <f t="shared" si="154"/>
        <v>1-5</v>
      </c>
      <c r="L684">
        <v>3</v>
      </c>
      <c r="M684" t="s">
        <v>85</v>
      </c>
      <c r="N684" t="s">
        <v>60</v>
      </c>
      <c r="O684">
        <v>1</v>
      </c>
      <c r="P684">
        <v>3</v>
      </c>
      <c r="Q684" t="s">
        <v>63</v>
      </c>
      <c r="R684" t="s">
        <v>62</v>
      </c>
      <c r="S684">
        <v>70</v>
      </c>
      <c r="T684" t="str">
        <f t="shared" si="155"/>
        <v>51-75</v>
      </c>
      <c r="U684">
        <v>2</v>
      </c>
      <c r="V684" t="s">
        <v>61</v>
      </c>
      <c r="W684">
        <v>1</v>
      </c>
      <c r="X684" t="s">
        <v>81</v>
      </c>
      <c r="Y684">
        <v>2</v>
      </c>
      <c r="Z684" t="s">
        <v>61</v>
      </c>
      <c r="AA684" t="s">
        <v>77</v>
      </c>
      <c r="AB684" s="4">
        <v>2332</v>
      </c>
      <c r="AC684" s="4" t="str">
        <f t="shared" si="156"/>
        <v>$1,000-$2,500</v>
      </c>
      <c r="AD684">
        <v>3974</v>
      </c>
      <c r="AE684" t="str">
        <f t="shared" si="157"/>
        <v>$2,094-$8,000</v>
      </c>
      <c r="AF684">
        <v>6</v>
      </c>
      <c r="AG684" t="str">
        <f t="shared" si="158"/>
        <v>4-6</v>
      </c>
      <c r="AH684" t="s">
        <v>67</v>
      </c>
      <c r="AI684" t="s">
        <v>71</v>
      </c>
      <c r="AJ684">
        <v>20</v>
      </c>
      <c r="AK684" t="str">
        <f t="shared" si="159"/>
        <v>18-19%</v>
      </c>
      <c r="AL684">
        <v>4</v>
      </c>
      <c r="AM684" t="s">
        <v>78</v>
      </c>
      <c r="AN684">
        <v>3</v>
      </c>
      <c r="AO684" t="s">
        <v>63</v>
      </c>
      <c r="AP684">
        <v>80</v>
      </c>
      <c r="AQ684">
        <v>0</v>
      </c>
      <c r="AR684">
        <v>5</v>
      </c>
      <c r="AS684" t="str">
        <f t="shared" si="160"/>
        <v>3-5</v>
      </c>
      <c r="AT684">
        <v>3</v>
      </c>
      <c r="AU684" t="str">
        <f t="shared" si="161"/>
        <v>3-4</v>
      </c>
      <c r="AV684">
        <v>3</v>
      </c>
      <c r="AW684" t="s">
        <v>79</v>
      </c>
      <c r="AX684">
        <v>3</v>
      </c>
      <c r="AY684" t="str">
        <f t="shared" si="150"/>
        <v>2-5</v>
      </c>
      <c r="AZ684">
        <v>0</v>
      </c>
      <c r="BA684" t="str">
        <f t="shared" si="162"/>
        <v>0-1</v>
      </c>
      <c r="BB684">
        <v>0</v>
      </c>
      <c r="BC684" t="str">
        <f t="shared" si="163"/>
        <v>0-1</v>
      </c>
      <c r="BD684">
        <v>2</v>
      </c>
      <c r="BE684" t="str">
        <f t="shared" si="164"/>
        <v>2-5</v>
      </c>
    </row>
    <row r="685" spans="1:57" x14ac:dyDescent="0.3">
      <c r="A685">
        <v>952</v>
      </c>
      <c r="B685">
        <v>25</v>
      </c>
      <c r="C685" t="str">
        <f t="shared" si="151"/>
        <v>18-25</v>
      </c>
      <c r="D685" t="s">
        <v>56</v>
      </c>
      <c r="E685">
        <f t="shared" si="152"/>
        <v>1</v>
      </c>
      <c r="F685" t="s">
        <v>57</v>
      </c>
      <c r="G685">
        <v>867</v>
      </c>
      <c r="H685" t="str">
        <f t="shared" si="153"/>
        <v>501-1000</v>
      </c>
      <c r="I685" t="s">
        <v>58</v>
      </c>
      <c r="J685">
        <v>19</v>
      </c>
      <c r="K685" t="str">
        <f t="shared" si="154"/>
        <v>11-20</v>
      </c>
      <c r="L685">
        <v>2</v>
      </c>
      <c r="M685" t="s">
        <v>59</v>
      </c>
      <c r="N685" t="s">
        <v>93</v>
      </c>
      <c r="O685">
        <v>1</v>
      </c>
      <c r="P685">
        <v>3</v>
      </c>
      <c r="Q685" t="s">
        <v>63</v>
      </c>
      <c r="R685" t="s">
        <v>75</v>
      </c>
      <c r="S685">
        <v>36</v>
      </c>
      <c r="T685" t="str">
        <f t="shared" si="155"/>
        <v>30-50</v>
      </c>
      <c r="U685">
        <v>2</v>
      </c>
      <c r="V685" t="s">
        <v>61</v>
      </c>
      <c r="W685">
        <v>1</v>
      </c>
      <c r="X685" t="s">
        <v>91</v>
      </c>
      <c r="Y685">
        <v>2</v>
      </c>
      <c r="Z685" t="s">
        <v>61</v>
      </c>
      <c r="AA685" t="s">
        <v>77</v>
      </c>
      <c r="AB685" s="4">
        <v>2413</v>
      </c>
      <c r="AC685" s="4" t="str">
        <f t="shared" si="156"/>
        <v>$1,000-$2,500</v>
      </c>
      <c r="AD685">
        <v>18798</v>
      </c>
      <c r="AE685" t="str">
        <f t="shared" si="157"/>
        <v>$16,001-$22,000</v>
      </c>
      <c r="AF685">
        <v>1</v>
      </c>
      <c r="AG685" t="str">
        <f t="shared" si="158"/>
        <v>0-1</v>
      </c>
      <c r="AH685" t="s">
        <v>67</v>
      </c>
      <c r="AI685" t="s">
        <v>56</v>
      </c>
      <c r="AJ685">
        <v>18</v>
      </c>
      <c r="AK685" t="str">
        <f t="shared" si="159"/>
        <v>18-19%</v>
      </c>
      <c r="AL685">
        <v>3</v>
      </c>
      <c r="AM685" t="s">
        <v>68</v>
      </c>
      <c r="AN685">
        <v>3</v>
      </c>
      <c r="AO685" t="s">
        <v>63</v>
      </c>
      <c r="AP685">
        <v>80</v>
      </c>
      <c r="AQ685">
        <v>3</v>
      </c>
      <c r="AR685">
        <v>1</v>
      </c>
      <c r="AS685" t="str">
        <f t="shared" si="160"/>
        <v>0-2</v>
      </c>
      <c r="AT685">
        <v>2</v>
      </c>
      <c r="AU685" t="str">
        <f t="shared" si="161"/>
        <v>0-2</v>
      </c>
      <c r="AV685">
        <v>3</v>
      </c>
      <c r="AW685" t="s">
        <v>79</v>
      </c>
      <c r="AX685">
        <v>1</v>
      </c>
      <c r="AY685" t="str">
        <f t="shared" si="150"/>
        <v>0-1</v>
      </c>
      <c r="AZ685">
        <v>0</v>
      </c>
      <c r="BA685" t="str">
        <f t="shared" si="162"/>
        <v>0-1</v>
      </c>
      <c r="BB685">
        <v>0</v>
      </c>
      <c r="BC685" t="str">
        <f t="shared" si="163"/>
        <v>0-1</v>
      </c>
      <c r="BD685">
        <v>0</v>
      </c>
      <c r="BE685" t="str">
        <f t="shared" si="164"/>
        <v>0-1</v>
      </c>
    </row>
    <row r="686" spans="1:57" x14ac:dyDescent="0.3">
      <c r="A686">
        <v>954</v>
      </c>
      <c r="B686">
        <v>40</v>
      </c>
      <c r="C686" t="str">
        <f t="shared" si="151"/>
        <v>36-45</v>
      </c>
      <c r="D686" t="s">
        <v>71</v>
      </c>
      <c r="E686">
        <f t="shared" si="152"/>
        <v>0</v>
      </c>
      <c r="F686" t="s">
        <v>57</v>
      </c>
      <c r="G686">
        <v>658</v>
      </c>
      <c r="H686" t="str">
        <f t="shared" si="153"/>
        <v>501-1000</v>
      </c>
      <c r="I686" t="s">
        <v>58</v>
      </c>
      <c r="J686">
        <v>10</v>
      </c>
      <c r="K686" t="str">
        <f t="shared" si="154"/>
        <v>6-10</v>
      </c>
      <c r="L686">
        <v>4</v>
      </c>
      <c r="M686" t="s">
        <v>82</v>
      </c>
      <c r="N686" t="s">
        <v>93</v>
      </c>
      <c r="O686">
        <v>1</v>
      </c>
      <c r="P686">
        <v>1</v>
      </c>
      <c r="Q686" t="s">
        <v>69</v>
      </c>
      <c r="R686" t="s">
        <v>75</v>
      </c>
      <c r="S686">
        <v>67</v>
      </c>
      <c r="T686" t="str">
        <f t="shared" si="155"/>
        <v>51-75</v>
      </c>
      <c r="U686">
        <v>2</v>
      </c>
      <c r="V686" t="s">
        <v>61</v>
      </c>
      <c r="W686">
        <v>3</v>
      </c>
      <c r="X686" t="s">
        <v>64</v>
      </c>
      <c r="Y686">
        <v>2</v>
      </c>
      <c r="Z686" t="s">
        <v>61</v>
      </c>
      <c r="AA686" t="s">
        <v>86</v>
      </c>
      <c r="AB686" s="4">
        <v>9705</v>
      </c>
      <c r="AC686" s="4" t="str">
        <f t="shared" si="156"/>
        <v>$8,500-$10,000</v>
      </c>
      <c r="AD686">
        <v>20652</v>
      </c>
      <c r="AE686" t="str">
        <f t="shared" si="157"/>
        <v>$16,001-$22,000</v>
      </c>
      <c r="AF686">
        <v>2</v>
      </c>
      <c r="AG686" t="str">
        <f t="shared" si="158"/>
        <v>2-3</v>
      </c>
      <c r="AH686" t="s">
        <v>67</v>
      </c>
      <c r="AI686" t="s">
        <v>71</v>
      </c>
      <c r="AJ686">
        <v>12</v>
      </c>
      <c r="AK686" t="str">
        <f t="shared" si="159"/>
        <v>11-12%</v>
      </c>
      <c r="AL686">
        <v>3</v>
      </c>
      <c r="AM686" t="s">
        <v>68</v>
      </c>
      <c r="AN686">
        <v>2</v>
      </c>
      <c r="AO686" t="s">
        <v>61</v>
      </c>
      <c r="AP686">
        <v>80</v>
      </c>
      <c r="AQ686">
        <v>1</v>
      </c>
      <c r="AR686">
        <v>11</v>
      </c>
      <c r="AS686" t="str">
        <f t="shared" si="160"/>
        <v>11-20</v>
      </c>
      <c r="AT686">
        <v>2</v>
      </c>
      <c r="AU686" t="str">
        <f t="shared" si="161"/>
        <v>0-2</v>
      </c>
      <c r="AV686">
        <v>2</v>
      </c>
      <c r="AW686" t="s">
        <v>84</v>
      </c>
      <c r="AX686">
        <v>1</v>
      </c>
      <c r="AY686" t="str">
        <f t="shared" si="150"/>
        <v>0-1</v>
      </c>
      <c r="AZ686">
        <v>0</v>
      </c>
      <c r="BA686" t="str">
        <f t="shared" si="162"/>
        <v>0-1</v>
      </c>
      <c r="BB686">
        <v>0</v>
      </c>
      <c r="BC686" t="str">
        <f t="shared" si="163"/>
        <v>0-1</v>
      </c>
      <c r="BD686">
        <v>0</v>
      </c>
      <c r="BE686" t="str">
        <f t="shared" si="164"/>
        <v>0-1</v>
      </c>
    </row>
    <row r="687" spans="1:57" x14ac:dyDescent="0.3">
      <c r="A687">
        <v>956</v>
      </c>
      <c r="B687">
        <v>26</v>
      </c>
      <c r="C687" t="str">
        <f t="shared" si="151"/>
        <v>26-35</v>
      </c>
      <c r="D687" t="s">
        <v>71</v>
      </c>
      <c r="E687">
        <f t="shared" si="152"/>
        <v>0</v>
      </c>
      <c r="F687" t="s">
        <v>72</v>
      </c>
      <c r="G687">
        <v>1283</v>
      </c>
      <c r="H687" t="str">
        <f t="shared" si="153"/>
        <v>1001-1499</v>
      </c>
      <c r="I687" t="s">
        <v>58</v>
      </c>
      <c r="J687">
        <v>1</v>
      </c>
      <c r="K687" t="str">
        <f t="shared" si="154"/>
        <v>1-5</v>
      </c>
      <c r="L687">
        <v>3</v>
      </c>
      <c r="M687" t="s">
        <v>85</v>
      </c>
      <c r="N687" t="s">
        <v>83</v>
      </c>
      <c r="O687">
        <v>1</v>
      </c>
      <c r="P687">
        <v>3</v>
      </c>
      <c r="Q687" t="s">
        <v>63</v>
      </c>
      <c r="R687" t="s">
        <v>75</v>
      </c>
      <c r="S687">
        <v>52</v>
      </c>
      <c r="T687" t="str">
        <f t="shared" si="155"/>
        <v>51-75</v>
      </c>
      <c r="U687">
        <v>2</v>
      </c>
      <c r="V687" t="s">
        <v>61</v>
      </c>
      <c r="W687">
        <v>2</v>
      </c>
      <c r="X687" t="s">
        <v>64</v>
      </c>
      <c r="Y687">
        <v>1</v>
      </c>
      <c r="Z687" t="s">
        <v>69</v>
      </c>
      <c r="AA687" t="s">
        <v>66</v>
      </c>
      <c r="AB687" s="4">
        <v>4294</v>
      </c>
      <c r="AC687" s="4" t="str">
        <f t="shared" si="156"/>
        <v>$4,000-$5,500</v>
      </c>
      <c r="AD687">
        <v>11148</v>
      </c>
      <c r="AE687" t="str">
        <f t="shared" si="157"/>
        <v>$8,001-$16,000</v>
      </c>
      <c r="AF687">
        <v>1</v>
      </c>
      <c r="AG687" t="str">
        <f t="shared" si="158"/>
        <v>0-1</v>
      </c>
      <c r="AH687" t="s">
        <v>67</v>
      </c>
      <c r="AI687" t="s">
        <v>71</v>
      </c>
      <c r="AJ687">
        <v>12</v>
      </c>
      <c r="AK687" t="str">
        <f t="shared" si="159"/>
        <v>11-12%</v>
      </c>
      <c r="AL687">
        <v>3</v>
      </c>
      <c r="AM687" t="s">
        <v>68</v>
      </c>
      <c r="AN687">
        <v>2</v>
      </c>
      <c r="AO687" t="s">
        <v>61</v>
      </c>
      <c r="AP687">
        <v>80</v>
      </c>
      <c r="AQ687">
        <v>0</v>
      </c>
      <c r="AR687">
        <v>7</v>
      </c>
      <c r="AS687" t="str">
        <f t="shared" si="160"/>
        <v>6-10</v>
      </c>
      <c r="AT687">
        <v>2</v>
      </c>
      <c r="AU687" t="str">
        <f t="shared" si="161"/>
        <v>0-2</v>
      </c>
      <c r="AV687">
        <v>3</v>
      </c>
      <c r="AW687" t="s">
        <v>79</v>
      </c>
      <c r="AX687">
        <v>7</v>
      </c>
      <c r="AY687" t="str">
        <f t="shared" si="150"/>
        <v>6-10</v>
      </c>
      <c r="AZ687">
        <v>7</v>
      </c>
      <c r="BA687" t="str">
        <f t="shared" si="162"/>
        <v>6-10</v>
      </c>
      <c r="BB687">
        <v>0</v>
      </c>
      <c r="BC687" t="str">
        <f t="shared" si="163"/>
        <v>0-1</v>
      </c>
      <c r="BD687">
        <v>7</v>
      </c>
      <c r="BE687" t="str">
        <f t="shared" si="164"/>
        <v>6-10</v>
      </c>
    </row>
    <row r="688" spans="1:57" x14ac:dyDescent="0.3">
      <c r="A688">
        <v>957</v>
      </c>
      <c r="B688">
        <v>41</v>
      </c>
      <c r="C688" t="str">
        <f t="shared" si="151"/>
        <v>36-45</v>
      </c>
      <c r="D688" t="s">
        <v>71</v>
      </c>
      <c r="E688">
        <f t="shared" si="152"/>
        <v>0</v>
      </c>
      <c r="F688" t="s">
        <v>57</v>
      </c>
      <c r="G688">
        <v>263</v>
      </c>
      <c r="H688" t="str">
        <f t="shared" si="153"/>
        <v>102-500</v>
      </c>
      <c r="I688" t="s">
        <v>73</v>
      </c>
      <c r="J688">
        <v>6</v>
      </c>
      <c r="K688" t="str">
        <f t="shared" si="154"/>
        <v>6-10</v>
      </c>
      <c r="L688">
        <v>3</v>
      </c>
      <c r="M688" t="s">
        <v>85</v>
      </c>
      <c r="N688" t="s">
        <v>83</v>
      </c>
      <c r="O688">
        <v>1</v>
      </c>
      <c r="P688">
        <v>4</v>
      </c>
      <c r="Q688" t="s">
        <v>65</v>
      </c>
      <c r="R688" t="s">
        <v>75</v>
      </c>
      <c r="S688">
        <v>59</v>
      </c>
      <c r="T688" t="str">
        <f t="shared" si="155"/>
        <v>51-75</v>
      </c>
      <c r="U688">
        <v>3</v>
      </c>
      <c r="V688" t="s">
        <v>63</v>
      </c>
      <c r="W688">
        <v>1</v>
      </c>
      <c r="X688" t="s">
        <v>81</v>
      </c>
      <c r="Y688">
        <v>1</v>
      </c>
      <c r="Z688" t="s">
        <v>69</v>
      </c>
      <c r="AA688" t="s">
        <v>66</v>
      </c>
      <c r="AB688" s="4">
        <v>4721</v>
      </c>
      <c r="AC688" s="4" t="str">
        <f t="shared" si="156"/>
        <v>$4,000-$5,500</v>
      </c>
      <c r="AD688">
        <v>3119</v>
      </c>
      <c r="AE688" t="str">
        <f t="shared" si="157"/>
        <v>$2,094-$8,000</v>
      </c>
      <c r="AF688">
        <v>2</v>
      </c>
      <c r="AG688" t="str">
        <f t="shared" si="158"/>
        <v>2-3</v>
      </c>
      <c r="AH688" t="s">
        <v>67</v>
      </c>
      <c r="AI688" t="s">
        <v>56</v>
      </c>
      <c r="AJ688">
        <v>13</v>
      </c>
      <c r="AK688" t="str">
        <f t="shared" si="159"/>
        <v>13-15%</v>
      </c>
      <c r="AL688">
        <v>3</v>
      </c>
      <c r="AM688" t="s">
        <v>68</v>
      </c>
      <c r="AN688">
        <v>3</v>
      </c>
      <c r="AO688" t="s">
        <v>63</v>
      </c>
      <c r="AP688">
        <v>80</v>
      </c>
      <c r="AQ688">
        <v>0</v>
      </c>
      <c r="AR688">
        <v>20</v>
      </c>
      <c r="AS688" t="str">
        <f t="shared" si="160"/>
        <v>11-20</v>
      </c>
      <c r="AT688">
        <v>3</v>
      </c>
      <c r="AU688" t="str">
        <f t="shared" si="161"/>
        <v>3-4</v>
      </c>
      <c r="AV688">
        <v>3</v>
      </c>
      <c r="AW688" t="s">
        <v>79</v>
      </c>
      <c r="AX688">
        <v>18</v>
      </c>
      <c r="AY688" t="str">
        <f t="shared" si="150"/>
        <v>11-20</v>
      </c>
      <c r="AZ688">
        <v>13</v>
      </c>
      <c r="BA688" t="str">
        <f t="shared" si="162"/>
        <v>11-18</v>
      </c>
      <c r="BB688">
        <v>2</v>
      </c>
      <c r="BC688" t="str">
        <f t="shared" si="163"/>
        <v>2-5</v>
      </c>
      <c r="BD688">
        <v>17</v>
      </c>
      <c r="BE688" t="str">
        <f t="shared" si="164"/>
        <v>11-17</v>
      </c>
    </row>
    <row r="689" spans="1:57" x14ac:dyDescent="0.3">
      <c r="A689">
        <v>958</v>
      </c>
      <c r="B689">
        <v>36</v>
      </c>
      <c r="C689" t="str">
        <f t="shared" si="151"/>
        <v>36-45</v>
      </c>
      <c r="D689" t="s">
        <v>71</v>
      </c>
      <c r="E689">
        <f t="shared" si="152"/>
        <v>0</v>
      </c>
      <c r="F689" t="s">
        <v>57</v>
      </c>
      <c r="G689">
        <v>938</v>
      </c>
      <c r="H689" t="str">
        <f t="shared" si="153"/>
        <v>501-1000</v>
      </c>
      <c r="I689" t="s">
        <v>73</v>
      </c>
      <c r="J689">
        <v>2</v>
      </c>
      <c r="K689" t="str">
        <f t="shared" si="154"/>
        <v>1-5</v>
      </c>
      <c r="L689">
        <v>4</v>
      </c>
      <c r="M689" t="s">
        <v>82</v>
      </c>
      <c r="N689" t="s">
        <v>83</v>
      </c>
      <c r="O689">
        <v>1</v>
      </c>
      <c r="P689">
        <v>3</v>
      </c>
      <c r="Q689" t="s">
        <v>63</v>
      </c>
      <c r="R689" t="s">
        <v>75</v>
      </c>
      <c r="S689">
        <v>79</v>
      </c>
      <c r="T689" t="str">
        <f t="shared" si="155"/>
        <v>76-100</v>
      </c>
      <c r="U689">
        <v>3</v>
      </c>
      <c r="V689" t="s">
        <v>63</v>
      </c>
      <c r="W689">
        <v>1</v>
      </c>
      <c r="X689" t="s">
        <v>81</v>
      </c>
      <c r="Y689">
        <v>3</v>
      </c>
      <c r="Z689" t="s">
        <v>63</v>
      </c>
      <c r="AA689" t="s">
        <v>66</v>
      </c>
      <c r="AB689" s="4">
        <v>2519</v>
      </c>
      <c r="AC689" s="4" t="str">
        <f t="shared" si="156"/>
        <v>$2,500-$4,000</v>
      </c>
      <c r="AD689">
        <v>12287</v>
      </c>
      <c r="AE689" t="str">
        <f t="shared" si="157"/>
        <v>$8,001-$16,000</v>
      </c>
      <c r="AF689">
        <v>4</v>
      </c>
      <c r="AG689" t="str">
        <f t="shared" si="158"/>
        <v>4-6</v>
      </c>
      <c r="AH689" t="s">
        <v>67</v>
      </c>
      <c r="AI689" t="s">
        <v>71</v>
      </c>
      <c r="AJ689">
        <v>21</v>
      </c>
      <c r="AK689" t="str">
        <f t="shared" si="159"/>
        <v>18-19%</v>
      </c>
      <c r="AL689">
        <v>4</v>
      </c>
      <c r="AM689" t="s">
        <v>78</v>
      </c>
      <c r="AN689">
        <v>3</v>
      </c>
      <c r="AO689" t="s">
        <v>63</v>
      </c>
      <c r="AP689">
        <v>80</v>
      </c>
      <c r="AQ689">
        <v>0</v>
      </c>
      <c r="AR689">
        <v>16</v>
      </c>
      <c r="AS689" t="str">
        <f t="shared" si="160"/>
        <v>11-20</v>
      </c>
      <c r="AT689">
        <v>6</v>
      </c>
      <c r="AU689" t="str">
        <f t="shared" si="161"/>
        <v>5-6</v>
      </c>
      <c r="AV689">
        <v>3</v>
      </c>
      <c r="AW689" t="s">
        <v>79</v>
      </c>
      <c r="AX689">
        <v>11</v>
      </c>
      <c r="AY689" t="str">
        <f t="shared" si="150"/>
        <v>11-20</v>
      </c>
      <c r="AZ689">
        <v>8</v>
      </c>
      <c r="BA689" t="str">
        <f t="shared" si="162"/>
        <v>6-10</v>
      </c>
      <c r="BB689">
        <v>3</v>
      </c>
      <c r="BC689" t="str">
        <f t="shared" si="163"/>
        <v>2-5</v>
      </c>
      <c r="BD689">
        <v>9</v>
      </c>
      <c r="BE689" t="str">
        <f t="shared" si="164"/>
        <v>6-10</v>
      </c>
    </row>
    <row r="690" spans="1:57" x14ac:dyDescent="0.3">
      <c r="A690">
        <v>959</v>
      </c>
      <c r="B690">
        <v>19</v>
      </c>
      <c r="C690" t="str">
        <f t="shared" si="151"/>
        <v>18-25</v>
      </c>
      <c r="D690" t="s">
        <v>56</v>
      </c>
      <c r="E690">
        <f t="shared" si="152"/>
        <v>1</v>
      </c>
      <c r="F690" t="s">
        <v>57</v>
      </c>
      <c r="G690">
        <v>419</v>
      </c>
      <c r="H690" t="str">
        <f t="shared" si="153"/>
        <v>102-500</v>
      </c>
      <c r="I690" t="s">
        <v>58</v>
      </c>
      <c r="J690">
        <v>21</v>
      </c>
      <c r="K690" t="str">
        <f t="shared" si="154"/>
        <v>21-29</v>
      </c>
      <c r="L690">
        <v>3</v>
      </c>
      <c r="M690" t="s">
        <v>85</v>
      </c>
      <c r="N690" t="s">
        <v>80</v>
      </c>
      <c r="O690">
        <v>1</v>
      </c>
      <c r="P690">
        <v>4</v>
      </c>
      <c r="Q690" t="s">
        <v>65</v>
      </c>
      <c r="R690" t="s">
        <v>75</v>
      </c>
      <c r="S690">
        <v>37</v>
      </c>
      <c r="T690" t="str">
        <f t="shared" si="155"/>
        <v>30-50</v>
      </c>
      <c r="U690">
        <v>2</v>
      </c>
      <c r="V690" t="s">
        <v>61</v>
      </c>
      <c r="W690">
        <v>1</v>
      </c>
      <c r="X690" t="s">
        <v>91</v>
      </c>
      <c r="Y690">
        <v>2</v>
      </c>
      <c r="Z690" t="s">
        <v>61</v>
      </c>
      <c r="AA690" t="s">
        <v>66</v>
      </c>
      <c r="AB690" s="4">
        <v>2121</v>
      </c>
      <c r="AC690" s="4" t="str">
        <f t="shared" si="156"/>
        <v>$1,000-$2,500</v>
      </c>
      <c r="AD690">
        <v>9947</v>
      </c>
      <c r="AE690" t="str">
        <f t="shared" si="157"/>
        <v>$8,001-$16,000</v>
      </c>
      <c r="AF690">
        <v>1</v>
      </c>
      <c r="AG690" t="str">
        <f t="shared" si="158"/>
        <v>0-1</v>
      </c>
      <c r="AH690" t="s">
        <v>67</v>
      </c>
      <c r="AI690" t="s">
        <v>56</v>
      </c>
      <c r="AJ690">
        <v>13</v>
      </c>
      <c r="AK690" t="str">
        <f t="shared" si="159"/>
        <v>13-15%</v>
      </c>
      <c r="AL690">
        <v>3</v>
      </c>
      <c r="AM690" t="s">
        <v>68</v>
      </c>
      <c r="AN690">
        <v>2</v>
      </c>
      <c r="AO690" t="s">
        <v>61</v>
      </c>
      <c r="AP690">
        <v>80</v>
      </c>
      <c r="AQ690">
        <v>0</v>
      </c>
      <c r="AR690">
        <v>1</v>
      </c>
      <c r="AS690" t="str">
        <f t="shared" si="160"/>
        <v>0-2</v>
      </c>
      <c r="AT690">
        <v>3</v>
      </c>
      <c r="AU690" t="str">
        <f t="shared" si="161"/>
        <v>3-4</v>
      </c>
      <c r="AV690">
        <v>4</v>
      </c>
      <c r="AW690" t="s">
        <v>94</v>
      </c>
      <c r="AX690">
        <v>1</v>
      </c>
      <c r="AY690" t="str">
        <f t="shared" si="150"/>
        <v>0-1</v>
      </c>
      <c r="AZ690">
        <v>0</v>
      </c>
      <c r="BA690" t="str">
        <f t="shared" si="162"/>
        <v>0-1</v>
      </c>
      <c r="BB690">
        <v>0</v>
      </c>
      <c r="BC690" t="str">
        <f t="shared" si="163"/>
        <v>0-1</v>
      </c>
      <c r="BD690">
        <v>0</v>
      </c>
      <c r="BE690" t="str">
        <f t="shared" si="164"/>
        <v>0-1</v>
      </c>
    </row>
    <row r="691" spans="1:57" x14ac:dyDescent="0.3">
      <c r="A691">
        <v>960</v>
      </c>
      <c r="B691">
        <v>20</v>
      </c>
      <c r="C691" t="str">
        <f t="shared" si="151"/>
        <v>18-25</v>
      </c>
      <c r="D691" t="s">
        <v>56</v>
      </c>
      <c r="E691">
        <f t="shared" si="152"/>
        <v>1</v>
      </c>
      <c r="F691" t="s">
        <v>57</v>
      </c>
      <c r="G691">
        <v>129</v>
      </c>
      <c r="H691" t="str">
        <f t="shared" si="153"/>
        <v>102-500</v>
      </c>
      <c r="I691" t="s">
        <v>73</v>
      </c>
      <c r="J691">
        <v>4</v>
      </c>
      <c r="K691" t="str">
        <f t="shared" si="154"/>
        <v>1-5</v>
      </c>
      <c r="L691">
        <v>3</v>
      </c>
      <c r="M691" t="s">
        <v>85</v>
      </c>
      <c r="N691" t="s">
        <v>95</v>
      </c>
      <c r="O691">
        <v>1</v>
      </c>
      <c r="P691">
        <v>1</v>
      </c>
      <c r="Q691" t="s">
        <v>69</v>
      </c>
      <c r="R691" t="s">
        <v>75</v>
      </c>
      <c r="S691">
        <v>84</v>
      </c>
      <c r="T691" t="str">
        <f t="shared" si="155"/>
        <v>76-100</v>
      </c>
      <c r="U691">
        <v>3</v>
      </c>
      <c r="V691" t="s">
        <v>63</v>
      </c>
      <c r="W691">
        <v>1</v>
      </c>
      <c r="X691" t="s">
        <v>81</v>
      </c>
      <c r="Y691">
        <v>1</v>
      </c>
      <c r="Z691" t="s">
        <v>69</v>
      </c>
      <c r="AA691" t="s">
        <v>66</v>
      </c>
      <c r="AB691" s="4">
        <v>2973</v>
      </c>
      <c r="AC691" s="4" t="str">
        <f t="shared" si="156"/>
        <v>$2,500-$4,000</v>
      </c>
      <c r="AD691">
        <v>13008</v>
      </c>
      <c r="AE691" t="str">
        <f t="shared" si="157"/>
        <v>$8,001-$16,000</v>
      </c>
      <c r="AF691">
        <v>1</v>
      </c>
      <c r="AG691" t="str">
        <f t="shared" si="158"/>
        <v>0-1</v>
      </c>
      <c r="AH691" t="s">
        <v>67</v>
      </c>
      <c r="AI691" t="s">
        <v>71</v>
      </c>
      <c r="AJ691">
        <v>19</v>
      </c>
      <c r="AK691" t="str">
        <f t="shared" si="159"/>
        <v>18-19%</v>
      </c>
      <c r="AL691">
        <v>3</v>
      </c>
      <c r="AM691" t="s">
        <v>68</v>
      </c>
      <c r="AN691">
        <v>2</v>
      </c>
      <c r="AO691" t="s">
        <v>61</v>
      </c>
      <c r="AP691">
        <v>80</v>
      </c>
      <c r="AQ691">
        <v>0</v>
      </c>
      <c r="AR691">
        <v>1</v>
      </c>
      <c r="AS691" t="str">
        <f t="shared" si="160"/>
        <v>0-2</v>
      </c>
      <c r="AT691">
        <v>2</v>
      </c>
      <c r="AU691" t="str">
        <f t="shared" si="161"/>
        <v>0-2</v>
      </c>
      <c r="AV691">
        <v>3</v>
      </c>
      <c r="AW691" t="s">
        <v>79</v>
      </c>
      <c r="AX691">
        <v>1</v>
      </c>
      <c r="AY691" t="str">
        <f t="shared" si="150"/>
        <v>0-1</v>
      </c>
      <c r="AZ691">
        <v>0</v>
      </c>
      <c r="BA691" t="str">
        <f t="shared" si="162"/>
        <v>0-1</v>
      </c>
      <c r="BB691">
        <v>0</v>
      </c>
      <c r="BC691" t="str">
        <f t="shared" si="163"/>
        <v>0-1</v>
      </c>
      <c r="BD691">
        <v>0</v>
      </c>
      <c r="BE691" t="str">
        <f t="shared" si="164"/>
        <v>0-1</v>
      </c>
    </row>
    <row r="692" spans="1:57" x14ac:dyDescent="0.3">
      <c r="A692">
        <v>961</v>
      </c>
      <c r="B692">
        <v>31</v>
      </c>
      <c r="C692" t="str">
        <f t="shared" si="151"/>
        <v>26-35</v>
      </c>
      <c r="D692" t="s">
        <v>71</v>
      </c>
      <c r="E692">
        <f t="shared" si="152"/>
        <v>0</v>
      </c>
      <c r="F692" t="s">
        <v>57</v>
      </c>
      <c r="G692">
        <v>616</v>
      </c>
      <c r="H692" t="str">
        <f t="shared" si="153"/>
        <v>501-1000</v>
      </c>
      <c r="I692" t="s">
        <v>73</v>
      </c>
      <c r="J692">
        <v>12</v>
      </c>
      <c r="K692" t="str">
        <f t="shared" si="154"/>
        <v>11-20</v>
      </c>
      <c r="L692">
        <v>3</v>
      </c>
      <c r="M692" t="s">
        <v>85</v>
      </c>
      <c r="N692" t="s">
        <v>83</v>
      </c>
      <c r="O692">
        <v>1</v>
      </c>
      <c r="P692">
        <v>4</v>
      </c>
      <c r="Q692" t="s">
        <v>65</v>
      </c>
      <c r="R692" t="s">
        <v>62</v>
      </c>
      <c r="S692">
        <v>41</v>
      </c>
      <c r="T692" t="str">
        <f t="shared" si="155"/>
        <v>30-50</v>
      </c>
      <c r="U692">
        <v>3</v>
      </c>
      <c r="V692" t="s">
        <v>63</v>
      </c>
      <c r="W692">
        <v>2</v>
      </c>
      <c r="X692" t="s">
        <v>88</v>
      </c>
      <c r="Y692">
        <v>4</v>
      </c>
      <c r="Z692" t="s">
        <v>65</v>
      </c>
      <c r="AA692" t="s">
        <v>77</v>
      </c>
      <c r="AB692" s="4">
        <v>5855</v>
      </c>
      <c r="AC692" s="4" t="str">
        <f t="shared" si="156"/>
        <v>$5,500-$7,000</v>
      </c>
      <c r="AD692">
        <v>17369</v>
      </c>
      <c r="AE692" t="str">
        <f t="shared" si="157"/>
        <v>$16,001-$22,000</v>
      </c>
      <c r="AF692">
        <v>0</v>
      </c>
      <c r="AG692" t="str">
        <f t="shared" si="158"/>
        <v>0-1</v>
      </c>
      <c r="AH692" t="s">
        <v>67</v>
      </c>
      <c r="AI692" t="s">
        <v>56</v>
      </c>
      <c r="AJ692">
        <v>11</v>
      </c>
      <c r="AK692" t="str">
        <f t="shared" si="159"/>
        <v>11-12%</v>
      </c>
      <c r="AL692">
        <v>3</v>
      </c>
      <c r="AM692" t="s">
        <v>68</v>
      </c>
      <c r="AN692">
        <v>3</v>
      </c>
      <c r="AO692" t="s">
        <v>63</v>
      </c>
      <c r="AP692">
        <v>80</v>
      </c>
      <c r="AQ692">
        <v>2</v>
      </c>
      <c r="AR692">
        <v>10</v>
      </c>
      <c r="AS692" t="str">
        <f t="shared" si="160"/>
        <v>6-10</v>
      </c>
      <c r="AT692">
        <v>2</v>
      </c>
      <c r="AU692" t="str">
        <f t="shared" si="161"/>
        <v>0-2</v>
      </c>
      <c r="AV692">
        <v>1</v>
      </c>
      <c r="AW692" t="s">
        <v>70</v>
      </c>
      <c r="AX692">
        <v>9</v>
      </c>
      <c r="AY692" t="str">
        <f t="shared" si="150"/>
        <v>6-10</v>
      </c>
      <c r="AZ692">
        <v>7</v>
      </c>
      <c r="BA692" t="str">
        <f t="shared" si="162"/>
        <v>6-10</v>
      </c>
      <c r="BB692">
        <v>8</v>
      </c>
      <c r="BC692" t="str">
        <f t="shared" si="163"/>
        <v>6-10</v>
      </c>
      <c r="BD692">
        <v>5</v>
      </c>
      <c r="BE692" t="str">
        <f t="shared" si="164"/>
        <v>2-5</v>
      </c>
    </row>
    <row r="693" spans="1:57" x14ac:dyDescent="0.3">
      <c r="A693">
        <v>964</v>
      </c>
      <c r="B693">
        <v>40</v>
      </c>
      <c r="C693" t="str">
        <f t="shared" si="151"/>
        <v>36-45</v>
      </c>
      <c r="D693" t="s">
        <v>71</v>
      </c>
      <c r="E693">
        <f t="shared" si="152"/>
        <v>0</v>
      </c>
      <c r="F693" t="s">
        <v>72</v>
      </c>
      <c r="G693">
        <v>1469</v>
      </c>
      <c r="H693" t="str">
        <f t="shared" si="153"/>
        <v>1001-1499</v>
      </c>
      <c r="I693" t="s">
        <v>73</v>
      </c>
      <c r="J693">
        <v>9</v>
      </c>
      <c r="K693" t="str">
        <f t="shared" si="154"/>
        <v>6-10</v>
      </c>
      <c r="L693">
        <v>4</v>
      </c>
      <c r="M693" t="s">
        <v>82</v>
      </c>
      <c r="N693" t="s">
        <v>83</v>
      </c>
      <c r="O693">
        <v>1</v>
      </c>
      <c r="P693">
        <v>4</v>
      </c>
      <c r="Q693" t="s">
        <v>65</v>
      </c>
      <c r="R693" t="s">
        <v>75</v>
      </c>
      <c r="S693">
        <v>35</v>
      </c>
      <c r="T693" t="str">
        <f t="shared" si="155"/>
        <v>30-50</v>
      </c>
      <c r="U693">
        <v>3</v>
      </c>
      <c r="V693" t="s">
        <v>63</v>
      </c>
      <c r="W693">
        <v>1</v>
      </c>
      <c r="X693" t="s">
        <v>76</v>
      </c>
      <c r="Y693">
        <v>2</v>
      </c>
      <c r="Z693" t="s">
        <v>61</v>
      </c>
      <c r="AA693" t="s">
        <v>86</v>
      </c>
      <c r="AB693" s="4">
        <v>3617</v>
      </c>
      <c r="AC693" s="4" t="str">
        <f t="shared" si="156"/>
        <v>$2,500-$4,000</v>
      </c>
      <c r="AD693">
        <v>25063</v>
      </c>
      <c r="AE693" t="str">
        <f t="shared" si="157"/>
        <v>$22,001-$26,999</v>
      </c>
      <c r="AF693">
        <v>8</v>
      </c>
      <c r="AG693" t="str">
        <f t="shared" si="158"/>
        <v>7-9</v>
      </c>
      <c r="AH693" t="s">
        <v>67</v>
      </c>
      <c r="AI693" t="s">
        <v>56</v>
      </c>
      <c r="AJ693">
        <v>14</v>
      </c>
      <c r="AK693" t="str">
        <f t="shared" si="159"/>
        <v>13-15%</v>
      </c>
      <c r="AL693">
        <v>3</v>
      </c>
      <c r="AM693" t="s">
        <v>68</v>
      </c>
      <c r="AN693">
        <v>4</v>
      </c>
      <c r="AO693" t="s">
        <v>65</v>
      </c>
      <c r="AP693">
        <v>80</v>
      </c>
      <c r="AQ693">
        <v>1</v>
      </c>
      <c r="AR693">
        <v>3</v>
      </c>
      <c r="AS693" t="str">
        <f t="shared" si="160"/>
        <v>3-5</v>
      </c>
      <c r="AT693">
        <v>2</v>
      </c>
      <c r="AU693" t="str">
        <f t="shared" si="161"/>
        <v>0-2</v>
      </c>
      <c r="AV693">
        <v>3</v>
      </c>
      <c r="AW693" t="s">
        <v>79</v>
      </c>
      <c r="AX693">
        <v>1</v>
      </c>
      <c r="AY693" t="str">
        <f t="shared" si="150"/>
        <v>0-1</v>
      </c>
      <c r="AZ693">
        <v>1</v>
      </c>
      <c r="BA693" t="str">
        <f t="shared" si="162"/>
        <v>0-1</v>
      </c>
      <c r="BB693">
        <v>0</v>
      </c>
      <c r="BC693" t="str">
        <f t="shared" si="163"/>
        <v>0-1</v>
      </c>
      <c r="BD693">
        <v>0</v>
      </c>
      <c r="BE693" t="str">
        <f t="shared" si="164"/>
        <v>0-1</v>
      </c>
    </row>
    <row r="694" spans="1:57" x14ac:dyDescent="0.3">
      <c r="A694">
        <v>966</v>
      </c>
      <c r="B694">
        <v>32</v>
      </c>
      <c r="C694" t="str">
        <f t="shared" si="151"/>
        <v>26-35</v>
      </c>
      <c r="D694" t="s">
        <v>71</v>
      </c>
      <c r="E694">
        <f t="shared" si="152"/>
        <v>0</v>
      </c>
      <c r="F694" t="s">
        <v>57</v>
      </c>
      <c r="G694">
        <v>498</v>
      </c>
      <c r="H694" t="str">
        <f t="shared" si="153"/>
        <v>102-500</v>
      </c>
      <c r="I694" t="s">
        <v>73</v>
      </c>
      <c r="J694">
        <v>3</v>
      </c>
      <c r="K694" t="str">
        <f t="shared" si="154"/>
        <v>1-5</v>
      </c>
      <c r="L694">
        <v>4</v>
      </c>
      <c r="M694" t="s">
        <v>82</v>
      </c>
      <c r="N694" t="s">
        <v>83</v>
      </c>
      <c r="O694">
        <v>1</v>
      </c>
      <c r="P694">
        <v>3</v>
      </c>
      <c r="Q694" t="s">
        <v>63</v>
      </c>
      <c r="R694" t="s">
        <v>62</v>
      </c>
      <c r="S694">
        <v>93</v>
      </c>
      <c r="T694" t="str">
        <f t="shared" si="155"/>
        <v>76-100</v>
      </c>
      <c r="U694">
        <v>3</v>
      </c>
      <c r="V694" t="s">
        <v>63</v>
      </c>
      <c r="W694">
        <v>2</v>
      </c>
      <c r="X694" t="s">
        <v>87</v>
      </c>
      <c r="Y694">
        <v>1</v>
      </c>
      <c r="Z694" t="s">
        <v>69</v>
      </c>
      <c r="AA694" t="s">
        <v>77</v>
      </c>
      <c r="AB694" s="4">
        <v>6725</v>
      </c>
      <c r="AC694" s="4" t="str">
        <f t="shared" si="156"/>
        <v>$5,500-$7,000</v>
      </c>
      <c r="AD694">
        <v>13554</v>
      </c>
      <c r="AE694" t="str">
        <f t="shared" si="157"/>
        <v>$8,001-$16,000</v>
      </c>
      <c r="AF694">
        <v>1</v>
      </c>
      <c r="AG694" t="str">
        <f t="shared" si="158"/>
        <v>0-1</v>
      </c>
      <c r="AH694" t="s">
        <v>67</v>
      </c>
      <c r="AI694" t="s">
        <v>71</v>
      </c>
      <c r="AJ694">
        <v>12</v>
      </c>
      <c r="AK694" t="str">
        <f t="shared" si="159"/>
        <v>11-12%</v>
      </c>
      <c r="AL694">
        <v>3</v>
      </c>
      <c r="AM694" t="s">
        <v>68</v>
      </c>
      <c r="AN694">
        <v>3</v>
      </c>
      <c r="AO694" t="s">
        <v>63</v>
      </c>
      <c r="AP694">
        <v>80</v>
      </c>
      <c r="AQ694">
        <v>1</v>
      </c>
      <c r="AR694">
        <v>8</v>
      </c>
      <c r="AS694" t="str">
        <f t="shared" si="160"/>
        <v>6-10</v>
      </c>
      <c r="AT694">
        <v>2</v>
      </c>
      <c r="AU694" t="str">
        <f t="shared" si="161"/>
        <v>0-2</v>
      </c>
      <c r="AV694">
        <v>4</v>
      </c>
      <c r="AW694" t="s">
        <v>94</v>
      </c>
      <c r="AX694">
        <v>8</v>
      </c>
      <c r="AY694" t="str">
        <f t="shared" si="150"/>
        <v>6-10</v>
      </c>
      <c r="AZ694">
        <v>7</v>
      </c>
      <c r="BA694" t="str">
        <f t="shared" si="162"/>
        <v>6-10</v>
      </c>
      <c r="BB694">
        <v>6</v>
      </c>
      <c r="BC694" t="str">
        <f t="shared" si="163"/>
        <v>6-10</v>
      </c>
      <c r="BD694">
        <v>3</v>
      </c>
      <c r="BE694" t="str">
        <f t="shared" si="164"/>
        <v>2-5</v>
      </c>
    </row>
    <row r="695" spans="1:57" x14ac:dyDescent="0.3">
      <c r="A695">
        <v>967</v>
      </c>
      <c r="B695">
        <v>36</v>
      </c>
      <c r="C695" t="str">
        <f t="shared" si="151"/>
        <v>36-45</v>
      </c>
      <c r="D695" t="s">
        <v>56</v>
      </c>
      <c r="E695">
        <f t="shared" si="152"/>
        <v>1</v>
      </c>
      <c r="F695" t="s">
        <v>57</v>
      </c>
      <c r="G695">
        <v>530</v>
      </c>
      <c r="H695" t="str">
        <f t="shared" si="153"/>
        <v>501-1000</v>
      </c>
      <c r="I695" t="s">
        <v>58</v>
      </c>
      <c r="J695">
        <v>3</v>
      </c>
      <c r="K695" t="str">
        <f t="shared" si="154"/>
        <v>1-5</v>
      </c>
      <c r="L695">
        <v>1</v>
      </c>
      <c r="M695" t="s">
        <v>74</v>
      </c>
      <c r="N695" t="s">
        <v>60</v>
      </c>
      <c r="O695">
        <v>1</v>
      </c>
      <c r="P695">
        <v>3</v>
      </c>
      <c r="Q695" t="s">
        <v>63</v>
      </c>
      <c r="R695" t="s">
        <v>75</v>
      </c>
      <c r="S695">
        <v>51</v>
      </c>
      <c r="T695" t="str">
        <f t="shared" si="155"/>
        <v>51-75</v>
      </c>
      <c r="U695">
        <v>2</v>
      </c>
      <c r="V695" t="s">
        <v>61</v>
      </c>
      <c r="W695">
        <v>3</v>
      </c>
      <c r="X695" t="s">
        <v>64</v>
      </c>
      <c r="Y695">
        <v>4</v>
      </c>
      <c r="Z695" t="s">
        <v>65</v>
      </c>
      <c r="AA695" t="s">
        <v>77</v>
      </c>
      <c r="AB695" s="4">
        <v>10325</v>
      </c>
      <c r="AC695" s="4" t="str">
        <f t="shared" si="156"/>
        <v>$10,000-$11,500</v>
      </c>
      <c r="AD695">
        <v>5518</v>
      </c>
      <c r="AE695" t="str">
        <f t="shared" si="157"/>
        <v>$2,094-$8,000</v>
      </c>
      <c r="AF695">
        <v>1</v>
      </c>
      <c r="AG695" t="str">
        <f t="shared" si="158"/>
        <v>0-1</v>
      </c>
      <c r="AH695" t="s">
        <v>67</v>
      </c>
      <c r="AI695" t="s">
        <v>56</v>
      </c>
      <c r="AJ695">
        <v>11</v>
      </c>
      <c r="AK695" t="str">
        <f t="shared" si="159"/>
        <v>11-12%</v>
      </c>
      <c r="AL695">
        <v>3</v>
      </c>
      <c r="AM695" t="s">
        <v>68</v>
      </c>
      <c r="AN695">
        <v>1</v>
      </c>
      <c r="AO695" t="s">
        <v>69</v>
      </c>
      <c r="AP695">
        <v>80</v>
      </c>
      <c r="AQ695">
        <v>1</v>
      </c>
      <c r="AR695">
        <v>16</v>
      </c>
      <c r="AS695" t="str">
        <f t="shared" si="160"/>
        <v>11-20</v>
      </c>
      <c r="AT695">
        <v>6</v>
      </c>
      <c r="AU695" t="str">
        <f t="shared" si="161"/>
        <v>5-6</v>
      </c>
      <c r="AV695">
        <v>3</v>
      </c>
      <c r="AW695" t="s">
        <v>79</v>
      </c>
      <c r="AX695">
        <v>16</v>
      </c>
      <c r="AY695" t="str">
        <f t="shared" si="150"/>
        <v>11-20</v>
      </c>
      <c r="AZ695">
        <v>7</v>
      </c>
      <c r="BA695" t="str">
        <f t="shared" si="162"/>
        <v>6-10</v>
      </c>
      <c r="BB695">
        <v>3</v>
      </c>
      <c r="BC695" t="str">
        <f t="shared" si="163"/>
        <v>2-5</v>
      </c>
      <c r="BD695">
        <v>7</v>
      </c>
      <c r="BE695" t="str">
        <f t="shared" si="164"/>
        <v>6-10</v>
      </c>
    </row>
    <row r="696" spans="1:57" x14ac:dyDescent="0.3">
      <c r="A696">
        <v>969</v>
      </c>
      <c r="B696">
        <v>33</v>
      </c>
      <c r="C696" t="str">
        <f t="shared" si="151"/>
        <v>26-35</v>
      </c>
      <c r="D696" t="s">
        <v>71</v>
      </c>
      <c r="E696">
        <f t="shared" si="152"/>
        <v>0</v>
      </c>
      <c r="F696" t="s">
        <v>57</v>
      </c>
      <c r="G696">
        <v>1069</v>
      </c>
      <c r="H696" t="str">
        <f t="shared" si="153"/>
        <v>1001-1499</v>
      </c>
      <c r="I696" t="s">
        <v>73</v>
      </c>
      <c r="J696">
        <v>1</v>
      </c>
      <c r="K696" t="str">
        <f t="shared" si="154"/>
        <v>1-5</v>
      </c>
      <c r="L696">
        <v>3</v>
      </c>
      <c r="M696" t="s">
        <v>85</v>
      </c>
      <c r="N696" t="s">
        <v>60</v>
      </c>
      <c r="O696">
        <v>1</v>
      </c>
      <c r="P696">
        <v>2</v>
      </c>
      <c r="Q696" t="s">
        <v>61</v>
      </c>
      <c r="R696" t="s">
        <v>62</v>
      </c>
      <c r="S696">
        <v>42</v>
      </c>
      <c r="T696" t="str">
        <f t="shared" si="155"/>
        <v>30-50</v>
      </c>
      <c r="U696">
        <v>2</v>
      </c>
      <c r="V696" t="s">
        <v>61</v>
      </c>
      <c r="W696">
        <v>2</v>
      </c>
      <c r="X696" t="s">
        <v>88</v>
      </c>
      <c r="Y696">
        <v>4</v>
      </c>
      <c r="Z696" t="s">
        <v>65</v>
      </c>
      <c r="AA696" t="s">
        <v>66</v>
      </c>
      <c r="AB696" s="4">
        <v>6949</v>
      </c>
      <c r="AC696" s="4" t="str">
        <f t="shared" si="156"/>
        <v>$5,500-$7,000</v>
      </c>
      <c r="AD696">
        <v>12291</v>
      </c>
      <c r="AE696" t="str">
        <f t="shared" si="157"/>
        <v>$8,001-$16,000</v>
      </c>
      <c r="AF696">
        <v>0</v>
      </c>
      <c r="AG696" t="str">
        <f t="shared" si="158"/>
        <v>0-1</v>
      </c>
      <c r="AH696" t="s">
        <v>67</v>
      </c>
      <c r="AI696" t="s">
        <v>71</v>
      </c>
      <c r="AJ696">
        <v>14</v>
      </c>
      <c r="AK696" t="str">
        <f t="shared" si="159"/>
        <v>13-15%</v>
      </c>
      <c r="AL696">
        <v>3</v>
      </c>
      <c r="AM696" t="s">
        <v>68</v>
      </c>
      <c r="AN696">
        <v>1</v>
      </c>
      <c r="AO696" t="s">
        <v>69</v>
      </c>
      <c r="AP696">
        <v>80</v>
      </c>
      <c r="AQ696">
        <v>0</v>
      </c>
      <c r="AR696">
        <v>6</v>
      </c>
      <c r="AS696" t="str">
        <f t="shared" si="160"/>
        <v>6-10</v>
      </c>
      <c r="AT696">
        <v>3</v>
      </c>
      <c r="AU696" t="str">
        <f t="shared" si="161"/>
        <v>3-4</v>
      </c>
      <c r="AV696">
        <v>3</v>
      </c>
      <c r="AW696" t="s">
        <v>79</v>
      </c>
      <c r="AX696">
        <v>5</v>
      </c>
      <c r="AY696" t="str">
        <f t="shared" si="150"/>
        <v>2-5</v>
      </c>
      <c r="AZ696">
        <v>0</v>
      </c>
      <c r="BA696" t="str">
        <f t="shared" si="162"/>
        <v>0-1</v>
      </c>
      <c r="BB696">
        <v>1</v>
      </c>
      <c r="BC696" t="str">
        <f t="shared" si="163"/>
        <v>0-1</v>
      </c>
      <c r="BD696">
        <v>4</v>
      </c>
      <c r="BE696" t="str">
        <f t="shared" si="164"/>
        <v>2-5</v>
      </c>
    </row>
    <row r="697" spans="1:57" x14ac:dyDescent="0.3">
      <c r="A697">
        <v>970</v>
      </c>
      <c r="B697">
        <v>37</v>
      </c>
      <c r="C697" t="str">
        <f t="shared" si="151"/>
        <v>36-45</v>
      </c>
      <c r="D697" t="s">
        <v>56</v>
      </c>
      <c r="E697">
        <f t="shared" si="152"/>
        <v>1</v>
      </c>
      <c r="F697" t="s">
        <v>57</v>
      </c>
      <c r="G697">
        <v>625</v>
      </c>
      <c r="H697" t="str">
        <f t="shared" si="153"/>
        <v>501-1000</v>
      </c>
      <c r="I697" t="s">
        <v>58</v>
      </c>
      <c r="J697">
        <v>1</v>
      </c>
      <c r="K697" t="str">
        <f t="shared" si="154"/>
        <v>1-5</v>
      </c>
      <c r="L697">
        <v>4</v>
      </c>
      <c r="M697" t="s">
        <v>82</v>
      </c>
      <c r="N697" t="s">
        <v>60</v>
      </c>
      <c r="O697">
        <v>1</v>
      </c>
      <c r="P697">
        <v>1</v>
      </c>
      <c r="Q697" t="s">
        <v>69</v>
      </c>
      <c r="R697" t="s">
        <v>75</v>
      </c>
      <c r="S697">
        <v>46</v>
      </c>
      <c r="T697" t="str">
        <f t="shared" si="155"/>
        <v>30-50</v>
      </c>
      <c r="U697">
        <v>2</v>
      </c>
      <c r="V697" t="s">
        <v>61</v>
      </c>
      <c r="W697">
        <v>3</v>
      </c>
      <c r="X697" t="s">
        <v>64</v>
      </c>
      <c r="Y697">
        <v>3</v>
      </c>
      <c r="Z697" t="s">
        <v>63</v>
      </c>
      <c r="AA697" t="s">
        <v>77</v>
      </c>
      <c r="AB697" s="4">
        <v>10609</v>
      </c>
      <c r="AC697" s="4" t="str">
        <f t="shared" si="156"/>
        <v>$10,000-$11,500</v>
      </c>
      <c r="AD697">
        <v>14922</v>
      </c>
      <c r="AE697" t="str">
        <f t="shared" si="157"/>
        <v>$8,001-$16,000</v>
      </c>
      <c r="AF697">
        <v>5</v>
      </c>
      <c r="AG697" t="str">
        <f t="shared" si="158"/>
        <v>4-6</v>
      </c>
      <c r="AH697" t="s">
        <v>67</v>
      </c>
      <c r="AI697" t="s">
        <v>71</v>
      </c>
      <c r="AJ697">
        <v>11</v>
      </c>
      <c r="AK697" t="str">
        <f t="shared" si="159"/>
        <v>11-12%</v>
      </c>
      <c r="AL697">
        <v>3</v>
      </c>
      <c r="AM697" t="s">
        <v>68</v>
      </c>
      <c r="AN697">
        <v>3</v>
      </c>
      <c r="AO697" t="s">
        <v>63</v>
      </c>
      <c r="AP697">
        <v>80</v>
      </c>
      <c r="AQ697">
        <v>0</v>
      </c>
      <c r="AR697">
        <v>17</v>
      </c>
      <c r="AS697" t="str">
        <f t="shared" si="160"/>
        <v>11-20</v>
      </c>
      <c r="AT697">
        <v>2</v>
      </c>
      <c r="AU697" t="str">
        <f t="shared" si="161"/>
        <v>0-2</v>
      </c>
      <c r="AV697">
        <v>1</v>
      </c>
      <c r="AW697" t="s">
        <v>70</v>
      </c>
      <c r="AX697">
        <v>14</v>
      </c>
      <c r="AY697" t="str">
        <f t="shared" si="150"/>
        <v>11-20</v>
      </c>
      <c r="AZ697">
        <v>1</v>
      </c>
      <c r="BA697" t="str">
        <f t="shared" si="162"/>
        <v>0-1</v>
      </c>
      <c r="BB697">
        <v>11</v>
      </c>
      <c r="BC697" t="str">
        <f t="shared" si="163"/>
        <v>11-15</v>
      </c>
      <c r="BD697">
        <v>7</v>
      </c>
      <c r="BE697" t="str">
        <f t="shared" si="164"/>
        <v>6-10</v>
      </c>
    </row>
    <row r="698" spans="1:57" x14ac:dyDescent="0.3">
      <c r="A698">
        <v>972</v>
      </c>
      <c r="B698">
        <v>45</v>
      </c>
      <c r="C698" t="str">
        <f t="shared" si="151"/>
        <v>36-45</v>
      </c>
      <c r="D698" t="s">
        <v>71</v>
      </c>
      <c r="E698">
        <f t="shared" si="152"/>
        <v>0</v>
      </c>
      <c r="F698" t="s">
        <v>89</v>
      </c>
      <c r="G698">
        <v>805</v>
      </c>
      <c r="H698" t="str">
        <f t="shared" si="153"/>
        <v>501-1000</v>
      </c>
      <c r="I698" t="s">
        <v>73</v>
      </c>
      <c r="J698">
        <v>4</v>
      </c>
      <c r="K698" t="str">
        <f t="shared" si="154"/>
        <v>1-5</v>
      </c>
      <c r="L698">
        <v>2</v>
      </c>
      <c r="M698" t="s">
        <v>59</v>
      </c>
      <c r="N698" t="s">
        <v>60</v>
      </c>
      <c r="O698">
        <v>1</v>
      </c>
      <c r="P698">
        <v>3</v>
      </c>
      <c r="Q698" t="s">
        <v>63</v>
      </c>
      <c r="R698" t="s">
        <v>75</v>
      </c>
      <c r="S698">
        <v>57</v>
      </c>
      <c r="T698" t="str">
        <f t="shared" si="155"/>
        <v>51-75</v>
      </c>
      <c r="U698">
        <v>3</v>
      </c>
      <c r="V698" t="s">
        <v>63</v>
      </c>
      <c r="W698">
        <v>2</v>
      </c>
      <c r="X698" t="s">
        <v>81</v>
      </c>
      <c r="Y698">
        <v>2</v>
      </c>
      <c r="Z698" t="s">
        <v>61</v>
      </c>
      <c r="AA698" t="s">
        <v>77</v>
      </c>
      <c r="AB698" s="4">
        <v>4447</v>
      </c>
      <c r="AC698" s="4" t="str">
        <f t="shared" si="156"/>
        <v>$4,000-$5,500</v>
      </c>
      <c r="AD698">
        <v>23163</v>
      </c>
      <c r="AE698" t="str">
        <f t="shared" si="157"/>
        <v>$22,001-$26,999</v>
      </c>
      <c r="AF698">
        <v>1</v>
      </c>
      <c r="AG698" t="str">
        <f t="shared" si="158"/>
        <v>0-1</v>
      </c>
      <c r="AH698" t="s">
        <v>67</v>
      </c>
      <c r="AI698" t="s">
        <v>71</v>
      </c>
      <c r="AJ698">
        <v>12</v>
      </c>
      <c r="AK698" t="str">
        <f t="shared" si="159"/>
        <v>11-12%</v>
      </c>
      <c r="AL698">
        <v>3</v>
      </c>
      <c r="AM698" t="s">
        <v>68</v>
      </c>
      <c r="AN698">
        <v>2</v>
      </c>
      <c r="AO698" t="s">
        <v>61</v>
      </c>
      <c r="AP698">
        <v>80</v>
      </c>
      <c r="AQ698">
        <v>0</v>
      </c>
      <c r="AR698">
        <v>9</v>
      </c>
      <c r="AS698" t="str">
        <f t="shared" si="160"/>
        <v>6-10</v>
      </c>
      <c r="AT698">
        <v>5</v>
      </c>
      <c r="AU698" t="str">
        <f t="shared" si="161"/>
        <v>5-6</v>
      </c>
      <c r="AV698">
        <v>2</v>
      </c>
      <c r="AW698" t="s">
        <v>84</v>
      </c>
      <c r="AX698">
        <v>9</v>
      </c>
      <c r="AY698" t="str">
        <f t="shared" si="150"/>
        <v>6-10</v>
      </c>
      <c r="AZ698">
        <v>7</v>
      </c>
      <c r="BA698" t="str">
        <f t="shared" si="162"/>
        <v>6-10</v>
      </c>
      <c r="BB698">
        <v>0</v>
      </c>
      <c r="BC698" t="str">
        <f t="shared" si="163"/>
        <v>0-1</v>
      </c>
      <c r="BD698">
        <v>8</v>
      </c>
      <c r="BE698" t="str">
        <f t="shared" si="164"/>
        <v>6-10</v>
      </c>
    </row>
    <row r="699" spans="1:57" x14ac:dyDescent="0.3">
      <c r="A699">
        <v>974</v>
      </c>
      <c r="B699">
        <v>29</v>
      </c>
      <c r="C699" t="str">
        <f t="shared" si="151"/>
        <v>26-35</v>
      </c>
      <c r="D699" t="s">
        <v>71</v>
      </c>
      <c r="E699">
        <f t="shared" si="152"/>
        <v>0</v>
      </c>
      <c r="F699" t="s">
        <v>72</v>
      </c>
      <c r="G699">
        <v>1404</v>
      </c>
      <c r="H699" t="str">
        <f t="shared" si="153"/>
        <v>1001-1499</v>
      </c>
      <c r="I699" t="s">
        <v>58</v>
      </c>
      <c r="J699">
        <v>20</v>
      </c>
      <c r="K699" t="str">
        <f t="shared" si="154"/>
        <v>11-20</v>
      </c>
      <c r="L699">
        <v>3</v>
      </c>
      <c r="M699" t="s">
        <v>85</v>
      </c>
      <c r="N699" t="s">
        <v>95</v>
      </c>
      <c r="O699">
        <v>1</v>
      </c>
      <c r="P699">
        <v>3</v>
      </c>
      <c r="Q699" t="s">
        <v>63</v>
      </c>
      <c r="R699" t="s">
        <v>62</v>
      </c>
      <c r="S699">
        <v>84</v>
      </c>
      <c r="T699" t="str">
        <f t="shared" si="155"/>
        <v>76-100</v>
      </c>
      <c r="U699">
        <v>3</v>
      </c>
      <c r="V699" t="s">
        <v>63</v>
      </c>
      <c r="W699">
        <v>1</v>
      </c>
      <c r="X699" t="s">
        <v>91</v>
      </c>
      <c r="Y699">
        <v>4</v>
      </c>
      <c r="Z699" t="s">
        <v>65</v>
      </c>
      <c r="AA699" t="s">
        <v>77</v>
      </c>
      <c r="AB699" s="4">
        <v>2157</v>
      </c>
      <c r="AC699" s="4" t="str">
        <f t="shared" si="156"/>
        <v>$1,000-$2,500</v>
      </c>
      <c r="AD699">
        <v>18203</v>
      </c>
      <c r="AE699" t="str">
        <f t="shared" si="157"/>
        <v>$16,001-$22,000</v>
      </c>
      <c r="AF699">
        <v>1</v>
      </c>
      <c r="AG699" t="str">
        <f t="shared" si="158"/>
        <v>0-1</v>
      </c>
      <c r="AH699" t="s">
        <v>67</v>
      </c>
      <c r="AI699" t="s">
        <v>71</v>
      </c>
      <c r="AJ699">
        <v>15</v>
      </c>
      <c r="AK699" t="str">
        <f t="shared" si="159"/>
        <v>13-15%</v>
      </c>
      <c r="AL699">
        <v>3</v>
      </c>
      <c r="AM699" t="s">
        <v>68</v>
      </c>
      <c r="AN699">
        <v>2</v>
      </c>
      <c r="AO699" t="s">
        <v>61</v>
      </c>
      <c r="AP699">
        <v>80</v>
      </c>
      <c r="AQ699">
        <v>1</v>
      </c>
      <c r="AR699">
        <v>3</v>
      </c>
      <c r="AS699" t="str">
        <f t="shared" si="160"/>
        <v>3-5</v>
      </c>
      <c r="AT699">
        <v>5</v>
      </c>
      <c r="AU699" t="str">
        <f t="shared" si="161"/>
        <v>5-6</v>
      </c>
      <c r="AV699">
        <v>3</v>
      </c>
      <c r="AW699" t="s">
        <v>79</v>
      </c>
      <c r="AX699">
        <v>3</v>
      </c>
      <c r="AY699" t="str">
        <f t="shared" si="150"/>
        <v>2-5</v>
      </c>
      <c r="AZ699">
        <v>1</v>
      </c>
      <c r="BA699" t="str">
        <f t="shared" si="162"/>
        <v>0-1</v>
      </c>
      <c r="BB699">
        <v>0</v>
      </c>
      <c r="BC699" t="str">
        <f t="shared" si="163"/>
        <v>0-1</v>
      </c>
      <c r="BD699">
        <v>2</v>
      </c>
      <c r="BE699" t="str">
        <f t="shared" si="164"/>
        <v>2-5</v>
      </c>
    </row>
    <row r="700" spans="1:57" x14ac:dyDescent="0.3">
      <c r="A700">
        <v>975</v>
      </c>
      <c r="B700">
        <v>35</v>
      </c>
      <c r="C700" t="str">
        <f t="shared" si="151"/>
        <v>26-35</v>
      </c>
      <c r="D700" t="s">
        <v>71</v>
      </c>
      <c r="E700">
        <f t="shared" si="152"/>
        <v>0</v>
      </c>
      <c r="F700" t="s">
        <v>57</v>
      </c>
      <c r="G700">
        <v>1219</v>
      </c>
      <c r="H700" t="str">
        <f t="shared" si="153"/>
        <v>1001-1499</v>
      </c>
      <c r="I700" t="s">
        <v>58</v>
      </c>
      <c r="J700">
        <v>18</v>
      </c>
      <c r="K700" t="str">
        <f t="shared" si="154"/>
        <v>11-20</v>
      </c>
      <c r="L700">
        <v>3</v>
      </c>
      <c r="M700" t="s">
        <v>85</v>
      </c>
      <c r="N700" t="s">
        <v>83</v>
      </c>
      <c r="O700">
        <v>1</v>
      </c>
      <c r="P700">
        <v>3</v>
      </c>
      <c r="Q700" t="s">
        <v>63</v>
      </c>
      <c r="R700" t="s">
        <v>62</v>
      </c>
      <c r="S700">
        <v>86</v>
      </c>
      <c r="T700" t="str">
        <f t="shared" si="155"/>
        <v>76-100</v>
      </c>
      <c r="U700">
        <v>3</v>
      </c>
      <c r="V700" t="s">
        <v>63</v>
      </c>
      <c r="W700">
        <v>2</v>
      </c>
      <c r="X700" t="s">
        <v>64</v>
      </c>
      <c r="Y700">
        <v>3</v>
      </c>
      <c r="Z700" t="s">
        <v>63</v>
      </c>
      <c r="AA700" t="s">
        <v>77</v>
      </c>
      <c r="AB700" s="4">
        <v>4601</v>
      </c>
      <c r="AC700" s="4" t="str">
        <f t="shared" si="156"/>
        <v>$4,000-$5,500</v>
      </c>
      <c r="AD700">
        <v>6179</v>
      </c>
      <c r="AE700" t="str">
        <f t="shared" si="157"/>
        <v>$2,094-$8,000</v>
      </c>
      <c r="AF700">
        <v>1</v>
      </c>
      <c r="AG700" t="str">
        <f t="shared" si="158"/>
        <v>0-1</v>
      </c>
      <c r="AH700" t="s">
        <v>67</v>
      </c>
      <c r="AI700" t="s">
        <v>71</v>
      </c>
      <c r="AJ700">
        <v>16</v>
      </c>
      <c r="AK700" t="str">
        <f t="shared" si="159"/>
        <v>16-17%</v>
      </c>
      <c r="AL700">
        <v>3</v>
      </c>
      <c r="AM700" t="s">
        <v>68</v>
      </c>
      <c r="AN700">
        <v>2</v>
      </c>
      <c r="AO700" t="s">
        <v>61</v>
      </c>
      <c r="AP700">
        <v>80</v>
      </c>
      <c r="AQ700">
        <v>0</v>
      </c>
      <c r="AR700">
        <v>5</v>
      </c>
      <c r="AS700" t="str">
        <f t="shared" si="160"/>
        <v>3-5</v>
      </c>
      <c r="AT700">
        <v>3</v>
      </c>
      <c r="AU700" t="str">
        <f t="shared" si="161"/>
        <v>3-4</v>
      </c>
      <c r="AV700">
        <v>3</v>
      </c>
      <c r="AW700" t="s">
        <v>79</v>
      </c>
      <c r="AX700">
        <v>5</v>
      </c>
      <c r="AY700" t="str">
        <f t="shared" si="150"/>
        <v>2-5</v>
      </c>
      <c r="AZ700">
        <v>2</v>
      </c>
      <c r="BA700" t="str">
        <f t="shared" si="162"/>
        <v>2-5</v>
      </c>
      <c r="BB700">
        <v>1</v>
      </c>
      <c r="BC700" t="str">
        <f t="shared" si="163"/>
        <v>0-1</v>
      </c>
      <c r="BD700">
        <v>0</v>
      </c>
      <c r="BE700" t="str">
        <f t="shared" si="164"/>
        <v>0-1</v>
      </c>
    </row>
    <row r="701" spans="1:57" x14ac:dyDescent="0.3">
      <c r="A701">
        <v>976</v>
      </c>
      <c r="B701">
        <v>52</v>
      </c>
      <c r="C701" t="str">
        <f t="shared" si="151"/>
        <v>46-55</v>
      </c>
      <c r="D701" t="s">
        <v>71</v>
      </c>
      <c r="E701">
        <f t="shared" si="152"/>
        <v>0</v>
      </c>
      <c r="F701" t="s">
        <v>57</v>
      </c>
      <c r="G701">
        <v>1053</v>
      </c>
      <c r="H701" t="str">
        <f t="shared" si="153"/>
        <v>1001-1499</v>
      </c>
      <c r="I701" t="s">
        <v>73</v>
      </c>
      <c r="J701">
        <v>1</v>
      </c>
      <c r="K701" t="str">
        <f t="shared" si="154"/>
        <v>1-5</v>
      </c>
      <c r="L701">
        <v>2</v>
      </c>
      <c r="M701" t="s">
        <v>59</v>
      </c>
      <c r="N701" t="s">
        <v>60</v>
      </c>
      <c r="O701">
        <v>1</v>
      </c>
      <c r="P701">
        <v>4</v>
      </c>
      <c r="Q701" t="s">
        <v>65</v>
      </c>
      <c r="R701" t="s">
        <v>75</v>
      </c>
      <c r="S701">
        <v>70</v>
      </c>
      <c r="T701" t="str">
        <f t="shared" si="155"/>
        <v>51-75</v>
      </c>
      <c r="U701">
        <v>3</v>
      </c>
      <c r="V701" t="s">
        <v>63</v>
      </c>
      <c r="W701">
        <v>4</v>
      </c>
      <c r="X701" t="s">
        <v>90</v>
      </c>
      <c r="Y701">
        <v>4</v>
      </c>
      <c r="Z701" t="s">
        <v>65</v>
      </c>
      <c r="AA701" t="s">
        <v>77</v>
      </c>
      <c r="AB701" s="4">
        <v>17099</v>
      </c>
      <c r="AC701" s="4" t="str">
        <f t="shared" si="156"/>
        <v>$16,000-$17,500</v>
      </c>
      <c r="AD701">
        <v>13829</v>
      </c>
      <c r="AE701" t="str">
        <f t="shared" si="157"/>
        <v>$8,001-$16,000</v>
      </c>
      <c r="AF701">
        <v>2</v>
      </c>
      <c r="AG701" t="str">
        <f t="shared" si="158"/>
        <v>2-3</v>
      </c>
      <c r="AH701" t="s">
        <v>67</v>
      </c>
      <c r="AI701" t="s">
        <v>71</v>
      </c>
      <c r="AJ701">
        <v>15</v>
      </c>
      <c r="AK701" t="str">
        <f t="shared" si="159"/>
        <v>13-15%</v>
      </c>
      <c r="AL701">
        <v>3</v>
      </c>
      <c r="AM701" t="s">
        <v>68</v>
      </c>
      <c r="AN701">
        <v>2</v>
      </c>
      <c r="AO701" t="s">
        <v>61</v>
      </c>
      <c r="AP701">
        <v>80</v>
      </c>
      <c r="AQ701">
        <v>1</v>
      </c>
      <c r="AR701">
        <v>26</v>
      </c>
      <c r="AS701" t="str">
        <f t="shared" si="160"/>
        <v>21-40</v>
      </c>
      <c r="AT701">
        <v>2</v>
      </c>
      <c r="AU701" t="str">
        <f t="shared" si="161"/>
        <v>0-2</v>
      </c>
      <c r="AV701">
        <v>2</v>
      </c>
      <c r="AW701" t="s">
        <v>84</v>
      </c>
      <c r="AX701">
        <v>9</v>
      </c>
      <c r="AY701" t="str">
        <f t="shared" si="150"/>
        <v>6-10</v>
      </c>
      <c r="AZ701">
        <v>8</v>
      </c>
      <c r="BA701" t="str">
        <f t="shared" si="162"/>
        <v>6-10</v>
      </c>
      <c r="BB701">
        <v>7</v>
      </c>
      <c r="BC701" t="str">
        <f t="shared" si="163"/>
        <v>6-10</v>
      </c>
      <c r="BD701">
        <v>8</v>
      </c>
      <c r="BE701" t="str">
        <f t="shared" si="164"/>
        <v>6-10</v>
      </c>
    </row>
    <row r="702" spans="1:57" x14ac:dyDescent="0.3">
      <c r="A702">
        <v>977</v>
      </c>
      <c r="B702">
        <v>58</v>
      </c>
      <c r="C702" t="str">
        <f t="shared" si="151"/>
        <v>56+</v>
      </c>
      <c r="D702" t="s">
        <v>56</v>
      </c>
      <c r="E702">
        <f t="shared" si="152"/>
        <v>1</v>
      </c>
      <c r="F702" t="s">
        <v>57</v>
      </c>
      <c r="G702">
        <v>289</v>
      </c>
      <c r="H702" t="str">
        <f t="shared" si="153"/>
        <v>102-500</v>
      </c>
      <c r="I702" t="s">
        <v>73</v>
      </c>
      <c r="J702">
        <v>2</v>
      </c>
      <c r="K702" t="str">
        <f t="shared" si="154"/>
        <v>1-5</v>
      </c>
      <c r="L702">
        <v>3</v>
      </c>
      <c r="M702" t="s">
        <v>85</v>
      </c>
      <c r="N702" t="s">
        <v>95</v>
      </c>
      <c r="O702">
        <v>1</v>
      </c>
      <c r="P702">
        <v>4</v>
      </c>
      <c r="Q702" t="s">
        <v>65</v>
      </c>
      <c r="R702" t="s">
        <v>75</v>
      </c>
      <c r="S702">
        <v>51</v>
      </c>
      <c r="T702" t="str">
        <f t="shared" si="155"/>
        <v>51-75</v>
      </c>
      <c r="U702">
        <v>3</v>
      </c>
      <c r="V702" t="s">
        <v>63</v>
      </c>
      <c r="W702">
        <v>1</v>
      </c>
      <c r="X702" t="s">
        <v>76</v>
      </c>
      <c r="Y702">
        <v>3</v>
      </c>
      <c r="Z702" t="s">
        <v>63</v>
      </c>
      <c r="AA702" t="s">
        <v>66</v>
      </c>
      <c r="AB702" s="4">
        <v>2479</v>
      </c>
      <c r="AC702" s="4" t="str">
        <f t="shared" si="156"/>
        <v>$1,000-$2,500</v>
      </c>
      <c r="AD702">
        <v>26227</v>
      </c>
      <c r="AE702" t="str">
        <f t="shared" si="157"/>
        <v>$22,001-$26,999</v>
      </c>
      <c r="AF702">
        <v>4</v>
      </c>
      <c r="AG702" t="str">
        <f t="shared" si="158"/>
        <v>4-6</v>
      </c>
      <c r="AH702" t="s">
        <v>67</v>
      </c>
      <c r="AI702" t="s">
        <v>71</v>
      </c>
      <c r="AJ702">
        <v>24</v>
      </c>
      <c r="AK702" t="str">
        <f t="shared" si="159"/>
        <v>18-19%</v>
      </c>
      <c r="AL702">
        <v>4</v>
      </c>
      <c r="AM702" t="s">
        <v>78</v>
      </c>
      <c r="AN702">
        <v>1</v>
      </c>
      <c r="AO702" t="s">
        <v>69</v>
      </c>
      <c r="AP702">
        <v>80</v>
      </c>
      <c r="AQ702">
        <v>0</v>
      </c>
      <c r="AR702">
        <v>7</v>
      </c>
      <c r="AS702" t="str">
        <f t="shared" si="160"/>
        <v>6-10</v>
      </c>
      <c r="AT702">
        <v>4</v>
      </c>
      <c r="AU702" t="str">
        <f t="shared" si="161"/>
        <v>3-4</v>
      </c>
      <c r="AV702">
        <v>3</v>
      </c>
      <c r="AW702" t="s">
        <v>79</v>
      </c>
      <c r="AX702">
        <v>1</v>
      </c>
      <c r="AY702" t="str">
        <f t="shared" si="150"/>
        <v>0-1</v>
      </c>
      <c r="AZ702">
        <v>0</v>
      </c>
      <c r="BA702" t="str">
        <f t="shared" si="162"/>
        <v>0-1</v>
      </c>
      <c r="BB702">
        <v>0</v>
      </c>
      <c r="BC702" t="str">
        <f t="shared" si="163"/>
        <v>0-1</v>
      </c>
      <c r="BD702">
        <v>0</v>
      </c>
      <c r="BE702" t="str">
        <f t="shared" si="164"/>
        <v>0-1</v>
      </c>
    </row>
    <row r="703" spans="1:57" x14ac:dyDescent="0.3">
      <c r="A703">
        <v>981</v>
      </c>
      <c r="B703">
        <v>53</v>
      </c>
      <c r="C703" t="str">
        <f t="shared" si="151"/>
        <v>46-55</v>
      </c>
      <c r="D703" t="s">
        <v>71</v>
      </c>
      <c r="E703">
        <f t="shared" si="152"/>
        <v>0</v>
      </c>
      <c r="F703" t="s">
        <v>57</v>
      </c>
      <c r="G703">
        <v>1376</v>
      </c>
      <c r="H703" t="str">
        <f t="shared" si="153"/>
        <v>1001-1499</v>
      </c>
      <c r="I703" t="s">
        <v>58</v>
      </c>
      <c r="J703">
        <v>2</v>
      </c>
      <c r="K703" t="str">
        <f t="shared" si="154"/>
        <v>1-5</v>
      </c>
      <c r="L703">
        <v>2</v>
      </c>
      <c r="M703" t="s">
        <v>59</v>
      </c>
      <c r="N703" t="s">
        <v>83</v>
      </c>
      <c r="O703">
        <v>1</v>
      </c>
      <c r="P703">
        <v>3</v>
      </c>
      <c r="Q703" t="s">
        <v>63</v>
      </c>
      <c r="R703" t="s">
        <v>75</v>
      </c>
      <c r="S703">
        <v>45</v>
      </c>
      <c r="T703" t="str">
        <f t="shared" si="155"/>
        <v>30-50</v>
      </c>
      <c r="U703">
        <v>3</v>
      </c>
      <c r="V703" t="s">
        <v>63</v>
      </c>
      <c r="W703">
        <v>4</v>
      </c>
      <c r="X703" t="s">
        <v>90</v>
      </c>
      <c r="Y703">
        <v>3</v>
      </c>
      <c r="Z703" t="s">
        <v>63</v>
      </c>
      <c r="AA703" t="s">
        <v>86</v>
      </c>
      <c r="AB703" s="4">
        <v>14852</v>
      </c>
      <c r="AC703" s="4" t="str">
        <f t="shared" si="156"/>
        <v>$14,500-$16,000</v>
      </c>
      <c r="AD703">
        <v>13938</v>
      </c>
      <c r="AE703" t="str">
        <f t="shared" si="157"/>
        <v>$8,001-$16,000</v>
      </c>
      <c r="AF703">
        <v>6</v>
      </c>
      <c r="AG703" t="str">
        <f t="shared" si="158"/>
        <v>4-6</v>
      </c>
      <c r="AH703" t="s">
        <v>67</v>
      </c>
      <c r="AI703" t="s">
        <v>71</v>
      </c>
      <c r="AJ703">
        <v>13</v>
      </c>
      <c r="AK703" t="str">
        <f t="shared" si="159"/>
        <v>13-15%</v>
      </c>
      <c r="AL703">
        <v>3</v>
      </c>
      <c r="AM703" t="s">
        <v>68</v>
      </c>
      <c r="AN703">
        <v>3</v>
      </c>
      <c r="AO703" t="s">
        <v>63</v>
      </c>
      <c r="AP703">
        <v>80</v>
      </c>
      <c r="AQ703">
        <v>1</v>
      </c>
      <c r="AR703">
        <v>22</v>
      </c>
      <c r="AS703" t="str">
        <f t="shared" si="160"/>
        <v>21-40</v>
      </c>
      <c r="AT703">
        <v>3</v>
      </c>
      <c r="AU703" t="str">
        <f t="shared" si="161"/>
        <v>3-4</v>
      </c>
      <c r="AV703">
        <v>4</v>
      </c>
      <c r="AW703" t="s">
        <v>94</v>
      </c>
      <c r="AX703">
        <v>17</v>
      </c>
      <c r="AY703" t="str">
        <f t="shared" si="150"/>
        <v>11-20</v>
      </c>
      <c r="AZ703">
        <v>13</v>
      </c>
      <c r="BA703" t="str">
        <f t="shared" si="162"/>
        <v>11-18</v>
      </c>
      <c r="BB703">
        <v>15</v>
      </c>
      <c r="BC703" t="str">
        <f t="shared" si="163"/>
        <v>11-15</v>
      </c>
      <c r="BD703">
        <v>2</v>
      </c>
      <c r="BE703" t="str">
        <f t="shared" si="164"/>
        <v>2-5</v>
      </c>
    </row>
    <row r="704" spans="1:57" x14ac:dyDescent="0.3">
      <c r="A704">
        <v>982</v>
      </c>
      <c r="B704">
        <v>30</v>
      </c>
      <c r="C704" t="str">
        <f t="shared" si="151"/>
        <v>26-35</v>
      </c>
      <c r="D704" t="s">
        <v>71</v>
      </c>
      <c r="E704">
        <f t="shared" si="152"/>
        <v>0</v>
      </c>
      <c r="F704" t="s">
        <v>57</v>
      </c>
      <c r="G704">
        <v>231</v>
      </c>
      <c r="H704" t="str">
        <f t="shared" si="153"/>
        <v>102-500</v>
      </c>
      <c r="I704" t="s">
        <v>58</v>
      </c>
      <c r="J704">
        <v>8</v>
      </c>
      <c r="K704" t="str">
        <f t="shared" si="154"/>
        <v>6-10</v>
      </c>
      <c r="L704">
        <v>2</v>
      </c>
      <c r="M704" t="s">
        <v>59</v>
      </c>
      <c r="N704" t="s">
        <v>80</v>
      </c>
      <c r="O704">
        <v>1</v>
      </c>
      <c r="P704">
        <v>3</v>
      </c>
      <c r="Q704" t="s">
        <v>63</v>
      </c>
      <c r="R704" t="s">
        <v>75</v>
      </c>
      <c r="S704">
        <v>62</v>
      </c>
      <c r="T704" t="str">
        <f t="shared" si="155"/>
        <v>51-75</v>
      </c>
      <c r="U704">
        <v>3</v>
      </c>
      <c r="V704" t="s">
        <v>63</v>
      </c>
      <c r="W704">
        <v>3</v>
      </c>
      <c r="X704" t="s">
        <v>64</v>
      </c>
      <c r="Y704">
        <v>3</v>
      </c>
      <c r="Z704" t="s">
        <v>63</v>
      </c>
      <c r="AA704" t="s">
        <v>86</v>
      </c>
      <c r="AB704" s="4">
        <v>7264</v>
      </c>
      <c r="AC704" s="4" t="str">
        <f t="shared" si="156"/>
        <v>$7,000-$8,500</v>
      </c>
      <c r="AD704">
        <v>9977</v>
      </c>
      <c r="AE704" t="str">
        <f t="shared" si="157"/>
        <v>$8,001-$16,000</v>
      </c>
      <c r="AF704">
        <v>5</v>
      </c>
      <c r="AG704" t="str">
        <f t="shared" si="158"/>
        <v>4-6</v>
      </c>
      <c r="AH704" t="s">
        <v>67</v>
      </c>
      <c r="AI704" t="s">
        <v>71</v>
      </c>
      <c r="AJ704">
        <v>11</v>
      </c>
      <c r="AK704" t="str">
        <f t="shared" si="159"/>
        <v>11-12%</v>
      </c>
      <c r="AL704">
        <v>3</v>
      </c>
      <c r="AM704" t="s">
        <v>68</v>
      </c>
      <c r="AN704">
        <v>1</v>
      </c>
      <c r="AO704" t="s">
        <v>69</v>
      </c>
      <c r="AP704">
        <v>80</v>
      </c>
      <c r="AQ704">
        <v>1</v>
      </c>
      <c r="AR704">
        <v>10</v>
      </c>
      <c r="AS704" t="str">
        <f t="shared" si="160"/>
        <v>6-10</v>
      </c>
      <c r="AT704">
        <v>2</v>
      </c>
      <c r="AU704" t="str">
        <f t="shared" si="161"/>
        <v>0-2</v>
      </c>
      <c r="AV704">
        <v>4</v>
      </c>
      <c r="AW704" t="s">
        <v>94</v>
      </c>
      <c r="AX704">
        <v>8</v>
      </c>
      <c r="AY704" t="str">
        <f t="shared" si="150"/>
        <v>6-10</v>
      </c>
      <c r="AZ704">
        <v>4</v>
      </c>
      <c r="BA704" t="str">
        <f t="shared" si="162"/>
        <v>2-5</v>
      </c>
      <c r="BB704">
        <v>7</v>
      </c>
      <c r="BC704" t="str">
        <f t="shared" si="163"/>
        <v>6-10</v>
      </c>
      <c r="BD704">
        <v>7</v>
      </c>
      <c r="BE704" t="str">
        <f t="shared" si="164"/>
        <v>6-10</v>
      </c>
    </row>
    <row r="705" spans="1:57" x14ac:dyDescent="0.3">
      <c r="A705">
        <v>983</v>
      </c>
      <c r="B705">
        <v>38</v>
      </c>
      <c r="C705" t="str">
        <f t="shared" si="151"/>
        <v>36-45</v>
      </c>
      <c r="D705" t="s">
        <v>71</v>
      </c>
      <c r="E705">
        <f t="shared" si="152"/>
        <v>0</v>
      </c>
      <c r="F705" t="s">
        <v>89</v>
      </c>
      <c r="G705">
        <v>152</v>
      </c>
      <c r="H705" t="str">
        <f t="shared" si="153"/>
        <v>102-500</v>
      </c>
      <c r="I705" t="s">
        <v>58</v>
      </c>
      <c r="J705">
        <v>10</v>
      </c>
      <c r="K705" t="str">
        <f t="shared" si="154"/>
        <v>6-10</v>
      </c>
      <c r="L705">
        <v>3</v>
      </c>
      <c r="M705" t="s">
        <v>85</v>
      </c>
      <c r="N705" t="s">
        <v>95</v>
      </c>
      <c r="O705">
        <v>1</v>
      </c>
      <c r="P705">
        <v>3</v>
      </c>
      <c r="Q705" t="s">
        <v>63</v>
      </c>
      <c r="R705" t="s">
        <v>62</v>
      </c>
      <c r="S705">
        <v>85</v>
      </c>
      <c r="T705" t="str">
        <f t="shared" si="155"/>
        <v>76-100</v>
      </c>
      <c r="U705">
        <v>3</v>
      </c>
      <c r="V705" t="s">
        <v>63</v>
      </c>
      <c r="W705">
        <v>2</v>
      </c>
      <c r="X705" t="s">
        <v>64</v>
      </c>
      <c r="Y705">
        <v>4</v>
      </c>
      <c r="Z705" t="s">
        <v>65</v>
      </c>
      <c r="AA705" t="s">
        <v>66</v>
      </c>
      <c r="AB705" s="4">
        <v>5666</v>
      </c>
      <c r="AC705" s="4" t="str">
        <f t="shared" si="156"/>
        <v>$5,500-$7,000</v>
      </c>
      <c r="AD705">
        <v>19899</v>
      </c>
      <c r="AE705" t="str">
        <f t="shared" si="157"/>
        <v>$16,001-$22,000</v>
      </c>
      <c r="AF705">
        <v>1</v>
      </c>
      <c r="AG705" t="str">
        <f t="shared" si="158"/>
        <v>0-1</v>
      </c>
      <c r="AH705" t="s">
        <v>67</v>
      </c>
      <c r="AI705" t="s">
        <v>56</v>
      </c>
      <c r="AJ705">
        <v>13</v>
      </c>
      <c r="AK705" t="str">
        <f t="shared" si="159"/>
        <v>13-15%</v>
      </c>
      <c r="AL705">
        <v>3</v>
      </c>
      <c r="AM705" t="s">
        <v>68</v>
      </c>
      <c r="AN705">
        <v>2</v>
      </c>
      <c r="AO705" t="s">
        <v>61</v>
      </c>
      <c r="AP705">
        <v>80</v>
      </c>
      <c r="AQ705">
        <v>0</v>
      </c>
      <c r="AR705">
        <v>6</v>
      </c>
      <c r="AS705" t="str">
        <f t="shared" si="160"/>
        <v>6-10</v>
      </c>
      <c r="AT705">
        <v>1</v>
      </c>
      <c r="AU705" t="str">
        <f t="shared" si="161"/>
        <v>0-2</v>
      </c>
      <c r="AV705">
        <v>3</v>
      </c>
      <c r="AW705" t="s">
        <v>79</v>
      </c>
      <c r="AX705">
        <v>5</v>
      </c>
      <c r="AY705" t="str">
        <f t="shared" si="150"/>
        <v>2-5</v>
      </c>
      <c r="AZ705">
        <v>3</v>
      </c>
      <c r="BA705" t="str">
        <f t="shared" si="162"/>
        <v>2-5</v>
      </c>
      <c r="BB705">
        <v>1</v>
      </c>
      <c r="BC705" t="str">
        <f t="shared" si="163"/>
        <v>0-1</v>
      </c>
      <c r="BD705">
        <v>3</v>
      </c>
      <c r="BE705" t="str">
        <f t="shared" si="164"/>
        <v>2-5</v>
      </c>
    </row>
    <row r="706" spans="1:57" x14ac:dyDescent="0.3">
      <c r="A706">
        <v>984</v>
      </c>
      <c r="B706">
        <v>35</v>
      </c>
      <c r="C706" t="str">
        <f t="shared" si="151"/>
        <v>26-35</v>
      </c>
      <c r="D706" t="s">
        <v>71</v>
      </c>
      <c r="E706">
        <f t="shared" si="152"/>
        <v>0</v>
      </c>
      <c r="F706" t="s">
        <v>57</v>
      </c>
      <c r="G706">
        <v>882</v>
      </c>
      <c r="H706" t="str">
        <f t="shared" si="153"/>
        <v>501-1000</v>
      </c>
      <c r="I706" t="s">
        <v>58</v>
      </c>
      <c r="J706">
        <v>3</v>
      </c>
      <c r="K706" t="str">
        <f t="shared" si="154"/>
        <v>1-5</v>
      </c>
      <c r="L706">
        <v>4</v>
      </c>
      <c r="M706" t="s">
        <v>82</v>
      </c>
      <c r="N706" t="s">
        <v>60</v>
      </c>
      <c r="O706">
        <v>1</v>
      </c>
      <c r="P706">
        <v>4</v>
      </c>
      <c r="Q706" t="s">
        <v>65</v>
      </c>
      <c r="R706" t="s">
        <v>75</v>
      </c>
      <c r="S706">
        <v>92</v>
      </c>
      <c r="T706" t="str">
        <f t="shared" si="155"/>
        <v>76-100</v>
      </c>
      <c r="U706">
        <v>3</v>
      </c>
      <c r="V706" t="s">
        <v>63</v>
      </c>
      <c r="W706">
        <v>3</v>
      </c>
      <c r="X706" t="s">
        <v>64</v>
      </c>
      <c r="Y706">
        <v>4</v>
      </c>
      <c r="Z706" t="s">
        <v>65</v>
      </c>
      <c r="AA706" t="s">
        <v>86</v>
      </c>
      <c r="AB706" s="4">
        <v>7823</v>
      </c>
      <c r="AC706" s="4" t="str">
        <f t="shared" si="156"/>
        <v>$7,000-$8,500</v>
      </c>
      <c r="AD706">
        <v>6812</v>
      </c>
      <c r="AE706" t="str">
        <f t="shared" si="157"/>
        <v>$2,094-$8,000</v>
      </c>
      <c r="AF706">
        <v>6</v>
      </c>
      <c r="AG706" t="str">
        <f t="shared" si="158"/>
        <v>4-6</v>
      </c>
      <c r="AH706" t="s">
        <v>67</v>
      </c>
      <c r="AI706" t="s">
        <v>71</v>
      </c>
      <c r="AJ706">
        <v>13</v>
      </c>
      <c r="AK706" t="str">
        <f t="shared" si="159"/>
        <v>13-15%</v>
      </c>
      <c r="AL706">
        <v>3</v>
      </c>
      <c r="AM706" t="s">
        <v>68</v>
      </c>
      <c r="AN706">
        <v>2</v>
      </c>
      <c r="AO706" t="s">
        <v>61</v>
      </c>
      <c r="AP706">
        <v>80</v>
      </c>
      <c r="AQ706">
        <v>1</v>
      </c>
      <c r="AR706">
        <v>12</v>
      </c>
      <c r="AS706" t="str">
        <f t="shared" si="160"/>
        <v>11-20</v>
      </c>
      <c r="AT706">
        <v>2</v>
      </c>
      <c r="AU706" t="str">
        <f t="shared" si="161"/>
        <v>0-2</v>
      </c>
      <c r="AV706">
        <v>3</v>
      </c>
      <c r="AW706" t="s">
        <v>79</v>
      </c>
      <c r="AX706">
        <v>10</v>
      </c>
      <c r="AY706" t="str">
        <f t="shared" ref="AY706:AY769" si="165">IF(AX706&lt;=1,"0-1",IF(AX706&lt;=5,"2-5",IF(AX706&lt;=10,"6-10",IF(AX706&lt;=20,"11-20","21-40"))))</f>
        <v>6-10</v>
      </c>
      <c r="AZ706">
        <v>9</v>
      </c>
      <c r="BA706" t="str">
        <f t="shared" si="162"/>
        <v>6-10</v>
      </c>
      <c r="BB706">
        <v>0</v>
      </c>
      <c r="BC706" t="str">
        <f t="shared" si="163"/>
        <v>0-1</v>
      </c>
      <c r="BD706">
        <v>8</v>
      </c>
      <c r="BE706" t="str">
        <f t="shared" si="164"/>
        <v>6-10</v>
      </c>
    </row>
    <row r="707" spans="1:57" x14ac:dyDescent="0.3">
      <c r="A707">
        <v>985</v>
      </c>
      <c r="B707">
        <v>39</v>
      </c>
      <c r="C707" t="str">
        <f t="shared" ref="C707:C770" si="166">IF(B707&lt;=25, "18-25", IF(B707&lt;=35, "26-35", IF(B707&lt;=45, "36-45", IF(B707&lt;=55, "46-55", "56+"))))</f>
        <v>36-45</v>
      </c>
      <c r="D707" t="s">
        <v>71</v>
      </c>
      <c r="E707">
        <f t="shared" ref="E707:E770" si="167">IF(D707="Yes",1,0)</f>
        <v>0</v>
      </c>
      <c r="F707" t="s">
        <v>57</v>
      </c>
      <c r="G707">
        <v>903</v>
      </c>
      <c r="H707" t="str">
        <f t="shared" ref="H707:H770" si="168">IF(G707&lt;=500,"102-500",IF(G707&lt;=1000,"501-1000","1001-1499"))</f>
        <v>501-1000</v>
      </c>
      <c r="I707" t="s">
        <v>58</v>
      </c>
      <c r="J707">
        <v>2</v>
      </c>
      <c r="K707" t="str">
        <f t="shared" ref="K707:K770" si="169">IF(J707&lt;=5,"1-5",IF(J707&lt;=10,"6-10",IF(J707&lt;=20,"11-20","21-29")))</f>
        <v>1-5</v>
      </c>
      <c r="L707">
        <v>5</v>
      </c>
      <c r="M707" t="s">
        <v>96</v>
      </c>
      <c r="N707" t="s">
        <v>60</v>
      </c>
      <c r="O707">
        <v>1</v>
      </c>
      <c r="P707">
        <v>1</v>
      </c>
      <c r="Q707" t="s">
        <v>69</v>
      </c>
      <c r="R707" t="s">
        <v>75</v>
      </c>
      <c r="S707">
        <v>41</v>
      </c>
      <c r="T707" t="str">
        <f t="shared" ref="T707:T770" si="170">IF(S707&lt;=50,"30-50",IF(S707&lt;=75,"51-75","76-100"))</f>
        <v>30-50</v>
      </c>
      <c r="U707">
        <v>4</v>
      </c>
      <c r="V707" t="s">
        <v>65</v>
      </c>
      <c r="W707">
        <v>3</v>
      </c>
      <c r="X707" t="s">
        <v>64</v>
      </c>
      <c r="Y707">
        <v>3</v>
      </c>
      <c r="Z707" t="s">
        <v>63</v>
      </c>
      <c r="AA707" t="s">
        <v>66</v>
      </c>
      <c r="AB707" s="4">
        <v>7880</v>
      </c>
      <c r="AC707" s="4" t="str">
        <f t="shared" ref="AC707:AC770" si="171">IF(AB707&lt;2500,"$1,000-$2,500",IF(AB707&lt;4000,"$2,500-$4,000",IF(AB707&lt;5500,"$4,000-$5,500",IF(AB707&lt;7000,"$5,500-$7,000",IF(AB707&lt;8500,"$7,000-$8,500",IF(AB707&lt;10000,"$8,500-$10,000",IF(AB707&lt;11500,"$10,000-$11,500",IF(AB707&lt;13000,"$11,500-$13,000",IF(AB707&lt;14500,"$13,000-$14,500",IF(AB707&lt;16000,"$14,500-$16,000",IF(AB707&lt;17500,"$16,000-$17,500",IF(AB707&lt;19000,"$17,500-$19,000",IF(AB707&lt;20500,"$19,000-$20,500",IF(AB707&lt;22000,"$20,500-$22,000",IF(AB707&lt;23500,"$22,000-$23,500",IF(AB707&lt;25000,"$23,500-$25,000",IF(AB707&lt;26500,"$25,000-$26,500",IF(AB707&lt;28000,"$26,500-$28,000",IF(AB707&lt;29500,"$28,000-$29,500","$29,500+")))))))))))))))))))</f>
        <v>$7,000-$8,500</v>
      </c>
      <c r="AD707">
        <v>2560</v>
      </c>
      <c r="AE707" t="str">
        <f t="shared" ref="AE707:AE770" si="172">IF(AD707&lt;=8000,"$2,094-$8,000",IF(AD707&lt;=16000,"$8,001-$16,000",IF(AD707&lt;=22000,"$16,001-$22,000","$22,001-$26,999")))</f>
        <v>$2,094-$8,000</v>
      </c>
      <c r="AF707">
        <v>0</v>
      </c>
      <c r="AG707" t="str">
        <f t="shared" ref="AG707:AG770" si="173">IF(AF707&lt;=1,"0-1",IF(AF707&lt;=3,"2-3",IF(AF707&lt;=6,"4-6","7-9")))</f>
        <v>0-1</v>
      </c>
      <c r="AH707" t="s">
        <v>67</v>
      </c>
      <c r="AI707" t="s">
        <v>71</v>
      </c>
      <c r="AJ707">
        <v>18</v>
      </c>
      <c r="AK707" t="str">
        <f t="shared" ref="AK707:AK770" si="174">IF(AJ707&lt;=12,"11-12%",IF(AJ707&lt;=15,"13-15%",IF(AJ707&lt;=17,"16-17%","18-19%")))</f>
        <v>18-19%</v>
      </c>
      <c r="AL707">
        <v>3</v>
      </c>
      <c r="AM707" t="s">
        <v>68</v>
      </c>
      <c r="AN707">
        <v>4</v>
      </c>
      <c r="AO707" t="s">
        <v>65</v>
      </c>
      <c r="AP707">
        <v>80</v>
      </c>
      <c r="AQ707">
        <v>0</v>
      </c>
      <c r="AR707">
        <v>9</v>
      </c>
      <c r="AS707" t="str">
        <f t="shared" ref="AS707:AS770" si="175">IF(AR707&lt;=2,"0-2",IF(AR707&lt;=5,"3-5",IF(AR707&lt;=10,"6-10",IF(AR707&lt;=20,"11-20","21-40"))))</f>
        <v>6-10</v>
      </c>
      <c r="AT707">
        <v>3</v>
      </c>
      <c r="AU707" t="str">
        <f t="shared" ref="AU707:AU770" si="176">IF(AT707&lt;=2,"0-2",IF(AT707&lt;=4,"3-4","5-6"))</f>
        <v>3-4</v>
      </c>
      <c r="AV707">
        <v>3</v>
      </c>
      <c r="AW707" t="s">
        <v>79</v>
      </c>
      <c r="AX707">
        <v>8</v>
      </c>
      <c r="AY707" t="str">
        <f t="shared" si="165"/>
        <v>6-10</v>
      </c>
      <c r="AZ707">
        <v>7</v>
      </c>
      <c r="BA707" t="str">
        <f t="shared" ref="BA707:BA770" si="177">IF(AZ707&lt;=1,"0-1",IF(AZ707&lt;=5,"2-5",IF(AZ707&lt;=10,"6-10","11-18")))</f>
        <v>6-10</v>
      </c>
      <c r="BB707">
        <v>0</v>
      </c>
      <c r="BC707" t="str">
        <f t="shared" ref="BC707:BC770" si="178">IF(BB707&lt;=1,"0-1",IF(BB707&lt;=5,"2-5",IF(BB707&lt;=10,"6-10","11-15")))</f>
        <v>0-1</v>
      </c>
      <c r="BD707">
        <v>7</v>
      </c>
      <c r="BE707" t="str">
        <f t="shared" ref="BE707:BE770" si="179">IF(BD707&lt;=1,"0-1",IF(BD707&lt;=5,"2-5",IF(BD707&lt;=10,"6-10","11-17")))</f>
        <v>6-10</v>
      </c>
    </row>
    <row r="708" spans="1:57" x14ac:dyDescent="0.3">
      <c r="A708">
        <v>986</v>
      </c>
      <c r="B708">
        <v>40</v>
      </c>
      <c r="C708" t="str">
        <f t="shared" si="166"/>
        <v>36-45</v>
      </c>
      <c r="D708" t="s">
        <v>56</v>
      </c>
      <c r="E708">
        <f t="shared" si="167"/>
        <v>1</v>
      </c>
      <c r="F708" t="s">
        <v>89</v>
      </c>
      <c r="G708">
        <v>1479</v>
      </c>
      <c r="H708" t="str">
        <f t="shared" si="168"/>
        <v>1001-1499</v>
      </c>
      <c r="I708" t="s">
        <v>58</v>
      </c>
      <c r="J708">
        <v>24</v>
      </c>
      <c r="K708" t="str">
        <f t="shared" si="169"/>
        <v>21-29</v>
      </c>
      <c r="L708">
        <v>3</v>
      </c>
      <c r="M708" t="s">
        <v>85</v>
      </c>
      <c r="N708" t="s">
        <v>60</v>
      </c>
      <c r="O708">
        <v>1</v>
      </c>
      <c r="P708">
        <v>2</v>
      </c>
      <c r="Q708" t="s">
        <v>61</v>
      </c>
      <c r="R708" t="s">
        <v>62</v>
      </c>
      <c r="S708">
        <v>100</v>
      </c>
      <c r="T708" t="str">
        <f t="shared" si="170"/>
        <v>76-100</v>
      </c>
      <c r="U708">
        <v>4</v>
      </c>
      <c r="V708" t="s">
        <v>65</v>
      </c>
      <c r="W708">
        <v>4</v>
      </c>
      <c r="X708" t="s">
        <v>64</v>
      </c>
      <c r="Y708">
        <v>2</v>
      </c>
      <c r="Z708" t="s">
        <v>61</v>
      </c>
      <c r="AA708" t="s">
        <v>66</v>
      </c>
      <c r="AB708" s="4">
        <v>13194</v>
      </c>
      <c r="AC708" s="4" t="str">
        <f t="shared" si="171"/>
        <v>$13,000-$14,500</v>
      </c>
      <c r="AD708">
        <v>17071</v>
      </c>
      <c r="AE708" t="str">
        <f t="shared" si="172"/>
        <v>$16,001-$22,000</v>
      </c>
      <c r="AF708">
        <v>4</v>
      </c>
      <c r="AG708" t="str">
        <f t="shared" si="173"/>
        <v>4-6</v>
      </c>
      <c r="AH708" t="s">
        <v>67</v>
      </c>
      <c r="AI708" t="s">
        <v>56</v>
      </c>
      <c r="AJ708">
        <v>16</v>
      </c>
      <c r="AK708" t="str">
        <f t="shared" si="174"/>
        <v>16-17%</v>
      </c>
      <c r="AL708">
        <v>3</v>
      </c>
      <c r="AM708" t="s">
        <v>68</v>
      </c>
      <c r="AN708">
        <v>4</v>
      </c>
      <c r="AO708" t="s">
        <v>65</v>
      </c>
      <c r="AP708">
        <v>80</v>
      </c>
      <c r="AQ708">
        <v>0</v>
      </c>
      <c r="AR708">
        <v>22</v>
      </c>
      <c r="AS708" t="str">
        <f t="shared" si="175"/>
        <v>21-40</v>
      </c>
      <c r="AT708">
        <v>2</v>
      </c>
      <c r="AU708" t="str">
        <f t="shared" si="176"/>
        <v>0-2</v>
      </c>
      <c r="AV708">
        <v>2</v>
      </c>
      <c r="AW708" t="s">
        <v>84</v>
      </c>
      <c r="AX708">
        <v>1</v>
      </c>
      <c r="AY708" t="str">
        <f t="shared" si="165"/>
        <v>0-1</v>
      </c>
      <c r="AZ708">
        <v>0</v>
      </c>
      <c r="BA708" t="str">
        <f t="shared" si="177"/>
        <v>0-1</v>
      </c>
      <c r="BB708">
        <v>0</v>
      </c>
      <c r="BC708" t="str">
        <f t="shared" si="178"/>
        <v>0-1</v>
      </c>
      <c r="BD708">
        <v>0</v>
      </c>
      <c r="BE708" t="str">
        <f t="shared" si="179"/>
        <v>0-1</v>
      </c>
    </row>
    <row r="709" spans="1:57" x14ac:dyDescent="0.3">
      <c r="A709">
        <v>987</v>
      </c>
      <c r="B709">
        <v>47</v>
      </c>
      <c r="C709" t="str">
        <f t="shared" si="166"/>
        <v>46-55</v>
      </c>
      <c r="D709" t="s">
        <v>71</v>
      </c>
      <c r="E709">
        <f t="shared" si="167"/>
        <v>0</v>
      </c>
      <c r="F709" t="s">
        <v>72</v>
      </c>
      <c r="G709">
        <v>1379</v>
      </c>
      <c r="H709" t="str">
        <f t="shared" si="168"/>
        <v>1001-1499</v>
      </c>
      <c r="I709" t="s">
        <v>73</v>
      </c>
      <c r="J709">
        <v>16</v>
      </c>
      <c r="K709" t="str">
        <f t="shared" si="169"/>
        <v>11-20</v>
      </c>
      <c r="L709">
        <v>4</v>
      </c>
      <c r="M709" t="s">
        <v>82</v>
      </c>
      <c r="N709" t="s">
        <v>83</v>
      </c>
      <c r="O709">
        <v>1</v>
      </c>
      <c r="P709">
        <v>3</v>
      </c>
      <c r="Q709" t="s">
        <v>63</v>
      </c>
      <c r="R709" t="s">
        <v>75</v>
      </c>
      <c r="S709">
        <v>64</v>
      </c>
      <c r="T709" t="str">
        <f t="shared" si="170"/>
        <v>51-75</v>
      </c>
      <c r="U709">
        <v>4</v>
      </c>
      <c r="V709" t="s">
        <v>65</v>
      </c>
      <c r="W709">
        <v>2</v>
      </c>
      <c r="X709" t="s">
        <v>87</v>
      </c>
      <c r="Y709">
        <v>3</v>
      </c>
      <c r="Z709" t="s">
        <v>63</v>
      </c>
      <c r="AA709" t="s">
        <v>86</v>
      </c>
      <c r="AB709" s="4">
        <v>5067</v>
      </c>
      <c r="AC709" s="4" t="str">
        <f t="shared" si="171"/>
        <v>$4,000-$5,500</v>
      </c>
      <c r="AD709">
        <v>6759</v>
      </c>
      <c r="AE709" t="str">
        <f t="shared" si="172"/>
        <v>$2,094-$8,000</v>
      </c>
      <c r="AF709">
        <v>1</v>
      </c>
      <c r="AG709" t="str">
        <f t="shared" si="173"/>
        <v>0-1</v>
      </c>
      <c r="AH709" t="s">
        <v>67</v>
      </c>
      <c r="AI709" t="s">
        <v>56</v>
      </c>
      <c r="AJ709">
        <v>19</v>
      </c>
      <c r="AK709" t="str">
        <f t="shared" si="174"/>
        <v>18-19%</v>
      </c>
      <c r="AL709">
        <v>3</v>
      </c>
      <c r="AM709" t="s">
        <v>68</v>
      </c>
      <c r="AN709">
        <v>3</v>
      </c>
      <c r="AO709" t="s">
        <v>63</v>
      </c>
      <c r="AP709">
        <v>80</v>
      </c>
      <c r="AQ709">
        <v>0</v>
      </c>
      <c r="AR709">
        <v>20</v>
      </c>
      <c r="AS709" t="str">
        <f t="shared" si="175"/>
        <v>11-20</v>
      </c>
      <c r="AT709">
        <v>3</v>
      </c>
      <c r="AU709" t="str">
        <f t="shared" si="176"/>
        <v>3-4</v>
      </c>
      <c r="AV709">
        <v>4</v>
      </c>
      <c r="AW709" t="s">
        <v>94</v>
      </c>
      <c r="AX709">
        <v>19</v>
      </c>
      <c r="AY709" t="str">
        <f t="shared" si="165"/>
        <v>11-20</v>
      </c>
      <c r="AZ709">
        <v>10</v>
      </c>
      <c r="BA709" t="str">
        <f t="shared" si="177"/>
        <v>6-10</v>
      </c>
      <c r="BB709">
        <v>2</v>
      </c>
      <c r="BC709" t="str">
        <f t="shared" si="178"/>
        <v>2-5</v>
      </c>
      <c r="BD709">
        <v>7</v>
      </c>
      <c r="BE709" t="str">
        <f t="shared" si="179"/>
        <v>6-10</v>
      </c>
    </row>
    <row r="710" spans="1:57" x14ac:dyDescent="0.3">
      <c r="A710">
        <v>990</v>
      </c>
      <c r="B710">
        <v>36</v>
      </c>
      <c r="C710" t="str">
        <f t="shared" si="166"/>
        <v>36-45</v>
      </c>
      <c r="D710" t="s">
        <v>71</v>
      </c>
      <c r="E710">
        <f t="shared" si="167"/>
        <v>0</v>
      </c>
      <c r="F710" t="s">
        <v>89</v>
      </c>
      <c r="G710">
        <v>1229</v>
      </c>
      <c r="H710" t="str">
        <f t="shared" si="168"/>
        <v>1001-1499</v>
      </c>
      <c r="I710" t="s">
        <v>58</v>
      </c>
      <c r="J710">
        <v>8</v>
      </c>
      <c r="K710" t="str">
        <f t="shared" si="169"/>
        <v>6-10</v>
      </c>
      <c r="L710">
        <v>4</v>
      </c>
      <c r="M710" t="s">
        <v>82</v>
      </c>
      <c r="N710" t="s">
        <v>95</v>
      </c>
      <c r="O710">
        <v>1</v>
      </c>
      <c r="P710">
        <v>1</v>
      </c>
      <c r="Q710" t="s">
        <v>69</v>
      </c>
      <c r="R710" t="s">
        <v>75</v>
      </c>
      <c r="S710">
        <v>84</v>
      </c>
      <c r="T710" t="str">
        <f t="shared" si="170"/>
        <v>76-100</v>
      </c>
      <c r="U710">
        <v>3</v>
      </c>
      <c r="V710" t="s">
        <v>63</v>
      </c>
      <c r="W710">
        <v>2</v>
      </c>
      <c r="X710" t="s">
        <v>64</v>
      </c>
      <c r="Y710">
        <v>4</v>
      </c>
      <c r="Z710" t="s">
        <v>65</v>
      </c>
      <c r="AA710" t="s">
        <v>86</v>
      </c>
      <c r="AB710" s="4">
        <v>5079</v>
      </c>
      <c r="AC710" s="4" t="str">
        <f t="shared" si="171"/>
        <v>$4,000-$5,500</v>
      </c>
      <c r="AD710">
        <v>25952</v>
      </c>
      <c r="AE710" t="str">
        <f t="shared" si="172"/>
        <v>$22,001-$26,999</v>
      </c>
      <c r="AF710">
        <v>4</v>
      </c>
      <c r="AG710" t="str">
        <f t="shared" si="173"/>
        <v>4-6</v>
      </c>
      <c r="AH710" t="s">
        <v>67</v>
      </c>
      <c r="AI710" t="s">
        <v>71</v>
      </c>
      <c r="AJ710">
        <v>13</v>
      </c>
      <c r="AK710" t="str">
        <f t="shared" si="174"/>
        <v>13-15%</v>
      </c>
      <c r="AL710">
        <v>3</v>
      </c>
      <c r="AM710" t="s">
        <v>68</v>
      </c>
      <c r="AN710">
        <v>4</v>
      </c>
      <c r="AO710" t="s">
        <v>65</v>
      </c>
      <c r="AP710">
        <v>80</v>
      </c>
      <c r="AQ710">
        <v>2</v>
      </c>
      <c r="AR710">
        <v>12</v>
      </c>
      <c r="AS710" t="str">
        <f t="shared" si="175"/>
        <v>11-20</v>
      </c>
      <c r="AT710">
        <v>3</v>
      </c>
      <c r="AU710" t="str">
        <f t="shared" si="176"/>
        <v>3-4</v>
      </c>
      <c r="AV710">
        <v>3</v>
      </c>
      <c r="AW710" t="s">
        <v>79</v>
      </c>
      <c r="AX710">
        <v>7</v>
      </c>
      <c r="AY710" t="str">
        <f t="shared" si="165"/>
        <v>6-10</v>
      </c>
      <c r="AZ710">
        <v>7</v>
      </c>
      <c r="BA710" t="str">
        <f t="shared" si="177"/>
        <v>6-10</v>
      </c>
      <c r="BB710">
        <v>0</v>
      </c>
      <c r="BC710" t="str">
        <f t="shared" si="178"/>
        <v>0-1</v>
      </c>
      <c r="BD710">
        <v>7</v>
      </c>
      <c r="BE710" t="str">
        <f t="shared" si="179"/>
        <v>6-10</v>
      </c>
    </row>
    <row r="711" spans="1:57" x14ac:dyDescent="0.3">
      <c r="A711">
        <v>991</v>
      </c>
      <c r="B711">
        <v>31</v>
      </c>
      <c r="C711" t="str">
        <f t="shared" si="166"/>
        <v>26-35</v>
      </c>
      <c r="D711" t="s">
        <v>56</v>
      </c>
      <c r="E711">
        <f t="shared" si="167"/>
        <v>1</v>
      </c>
      <c r="F711" t="s">
        <v>89</v>
      </c>
      <c r="G711">
        <v>335</v>
      </c>
      <c r="H711" t="str">
        <f t="shared" si="168"/>
        <v>102-500</v>
      </c>
      <c r="I711" t="s">
        <v>73</v>
      </c>
      <c r="J711">
        <v>9</v>
      </c>
      <c r="K711" t="str">
        <f t="shared" si="169"/>
        <v>6-10</v>
      </c>
      <c r="L711">
        <v>2</v>
      </c>
      <c r="M711" t="s">
        <v>59</v>
      </c>
      <c r="N711" t="s">
        <v>83</v>
      </c>
      <c r="O711">
        <v>1</v>
      </c>
      <c r="P711">
        <v>3</v>
      </c>
      <c r="Q711" t="s">
        <v>63</v>
      </c>
      <c r="R711" t="s">
        <v>75</v>
      </c>
      <c r="S711">
        <v>46</v>
      </c>
      <c r="T711" t="str">
        <f t="shared" si="170"/>
        <v>30-50</v>
      </c>
      <c r="U711">
        <v>2</v>
      </c>
      <c r="V711" t="s">
        <v>61</v>
      </c>
      <c r="W711">
        <v>1</v>
      </c>
      <c r="X711" t="s">
        <v>76</v>
      </c>
      <c r="Y711">
        <v>1</v>
      </c>
      <c r="Z711" t="s">
        <v>69</v>
      </c>
      <c r="AA711" t="s">
        <v>66</v>
      </c>
      <c r="AB711" s="4">
        <v>2321</v>
      </c>
      <c r="AC711" s="4" t="str">
        <f t="shared" si="171"/>
        <v>$1,000-$2,500</v>
      </c>
      <c r="AD711">
        <v>10322</v>
      </c>
      <c r="AE711" t="str">
        <f t="shared" si="172"/>
        <v>$8,001-$16,000</v>
      </c>
      <c r="AF711">
        <v>0</v>
      </c>
      <c r="AG711" t="str">
        <f t="shared" si="173"/>
        <v>0-1</v>
      </c>
      <c r="AH711" t="s">
        <v>67</v>
      </c>
      <c r="AI711" t="s">
        <v>56</v>
      </c>
      <c r="AJ711">
        <v>22</v>
      </c>
      <c r="AK711" t="str">
        <f t="shared" si="174"/>
        <v>18-19%</v>
      </c>
      <c r="AL711">
        <v>4</v>
      </c>
      <c r="AM711" t="s">
        <v>78</v>
      </c>
      <c r="AN711">
        <v>1</v>
      </c>
      <c r="AO711" t="s">
        <v>69</v>
      </c>
      <c r="AP711">
        <v>80</v>
      </c>
      <c r="AQ711">
        <v>0</v>
      </c>
      <c r="AR711">
        <v>4</v>
      </c>
      <c r="AS711" t="str">
        <f t="shared" si="175"/>
        <v>3-5</v>
      </c>
      <c r="AT711">
        <v>0</v>
      </c>
      <c r="AU711" t="str">
        <f t="shared" si="176"/>
        <v>0-2</v>
      </c>
      <c r="AV711">
        <v>3</v>
      </c>
      <c r="AW711" t="s">
        <v>79</v>
      </c>
      <c r="AX711">
        <v>3</v>
      </c>
      <c r="AY711" t="str">
        <f t="shared" si="165"/>
        <v>2-5</v>
      </c>
      <c r="AZ711">
        <v>2</v>
      </c>
      <c r="BA711" t="str">
        <f t="shared" si="177"/>
        <v>2-5</v>
      </c>
      <c r="BB711">
        <v>1</v>
      </c>
      <c r="BC711" t="str">
        <f t="shared" si="178"/>
        <v>0-1</v>
      </c>
      <c r="BD711">
        <v>2</v>
      </c>
      <c r="BE711" t="str">
        <f t="shared" si="179"/>
        <v>2-5</v>
      </c>
    </row>
    <row r="712" spans="1:57" x14ac:dyDescent="0.3">
      <c r="A712">
        <v>992</v>
      </c>
      <c r="B712">
        <v>33</v>
      </c>
      <c r="C712" t="str">
        <f t="shared" si="166"/>
        <v>26-35</v>
      </c>
      <c r="D712" t="s">
        <v>71</v>
      </c>
      <c r="E712">
        <f t="shared" si="167"/>
        <v>0</v>
      </c>
      <c r="F712" t="s">
        <v>89</v>
      </c>
      <c r="G712">
        <v>722</v>
      </c>
      <c r="H712" t="str">
        <f t="shared" si="168"/>
        <v>501-1000</v>
      </c>
      <c r="I712" t="s">
        <v>58</v>
      </c>
      <c r="J712">
        <v>17</v>
      </c>
      <c r="K712" t="str">
        <f t="shared" si="169"/>
        <v>11-20</v>
      </c>
      <c r="L712">
        <v>3</v>
      </c>
      <c r="M712" t="s">
        <v>85</v>
      </c>
      <c r="N712" t="s">
        <v>60</v>
      </c>
      <c r="O712">
        <v>1</v>
      </c>
      <c r="P712">
        <v>4</v>
      </c>
      <c r="Q712" t="s">
        <v>65</v>
      </c>
      <c r="R712" t="s">
        <v>75</v>
      </c>
      <c r="S712">
        <v>38</v>
      </c>
      <c r="T712" t="str">
        <f t="shared" si="170"/>
        <v>30-50</v>
      </c>
      <c r="U712">
        <v>3</v>
      </c>
      <c r="V712" t="s">
        <v>63</v>
      </c>
      <c r="W712">
        <v>4</v>
      </c>
      <c r="X712" t="s">
        <v>90</v>
      </c>
      <c r="Y712">
        <v>3</v>
      </c>
      <c r="Z712" t="s">
        <v>63</v>
      </c>
      <c r="AA712" t="s">
        <v>66</v>
      </c>
      <c r="AB712" s="4">
        <v>17444</v>
      </c>
      <c r="AC712" s="4" t="str">
        <f t="shared" si="171"/>
        <v>$16,000-$17,500</v>
      </c>
      <c r="AD712">
        <v>20489</v>
      </c>
      <c r="AE712" t="str">
        <f t="shared" si="172"/>
        <v>$16,001-$22,000</v>
      </c>
      <c r="AF712">
        <v>1</v>
      </c>
      <c r="AG712" t="str">
        <f t="shared" si="173"/>
        <v>0-1</v>
      </c>
      <c r="AH712" t="s">
        <v>67</v>
      </c>
      <c r="AI712" t="s">
        <v>71</v>
      </c>
      <c r="AJ712">
        <v>11</v>
      </c>
      <c r="AK712" t="str">
        <f t="shared" si="174"/>
        <v>11-12%</v>
      </c>
      <c r="AL712">
        <v>3</v>
      </c>
      <c r="AM712" t="s">
        <v>68</v>
      </c>
      <c r="AN712">
        <v>4</v>
      </c>
      <c r="AO712" t="s">
        <v>65</v>
      </c>
      <c r="AP712">
        <v>80</v>
      </c>
      <c r="AQ712">
        <v>0</v>
      </c>
      <c r="AR712">
        <v>10</v>
      </c>
      <c r="AS712" t="str">
        <f t="shared" si="175"/>
        <v>6-10</v>
      </c>
      <c r="AT712">
        <v>2</v>
      </c>
      <c r="AU712" t="str">
        <f t="shared" si="176"/>
        <v>0-2</v>
      </c>
      <c r="AV712">
        <v>3</v>
      </c>
      <c r="AW712" t="s">
        <v>79</v>
      </c>
      <c r="AX712">
        <v>10</v>
      </c>
      <c r="AY712" t="str">
        <f t="shared" si="165"/>
        <v>6-10</v>
      </c>
      <c r="AZ712">
        <v>8</v>
      </c>
      <c r="BA712" t="str">
        <f t="shared" si="177"/>
        <v>6-10</v>
      </c>
      <c r="BB712">
        <v>6</v>
      </c>
      <c r="BC712" t="str">
        <f t="shared" si="178"/>
        <v>6-10</v>
      </c>
      <c r="BD712">
        <v>0</v>
      </c>
      <c r="BE712" t="str">
        <f t="shared" si="179"/>
        <v>0-1</v>
      </c>
    </row>
    <row r="713" spans="1:57" x14ac:dyDescent="0.3">
      <c r="A713">
        <v>994</v>
      </c>
      <c r="B713">
        <v>29</v>
      </c>
      <c r="C713" t="str">
        <f t="shared" si="166"/>
        <v>26-35</v>
      </c>
      <c r="D713" t="s">
        <v>56</v>
      </c>
      <c r="E713">
        <f t="shared" si="167"/>
        <v>1</v>
      </c>
      <c r="F713" t="s">
        <v>57</v>
      </c>
      <c r="G713">
        <v>906</v>
      </c>
      <c r="H713" t="str">
        <f t="shared" si="168"/>
        <v>501-1000</v>
      </c>
      <c r="I713" t="s">
        <v>73</v>
      </c>
      <c r="J713">
        <v>10</v>
      </c>
      <c r="K713" t="str">
        <f t="shared" si="169"/>
        <v>6-10</v>
      </c>
      <c r="L713">
        <v>3</v>
      </c>
      <c r="M713" t="s">
        <v>85</v>
      </c>
      <c r="N713" t="s">
        <v>60</v>
      </c>
      <c r="O713">
        <v>1</v>
      </c>
      <c r="P713">
        <v>4</v>
      </c>
      <c r="Q713" t="s">
        <v>65</v>
      </c>
      <c r="R713" t="s">
        <v>62</v>
      </c>
      <c r="S713">
        <v>92</v>
      </c>
      <c r="T713" t="str">
        <f t="shared" si="170"/>
        <v>76-100</v>
      </c>
      <c r="U713">
        <v>2</v>
      </c>
      <c r="V713" t="s">
        <v>61</v>
      </c>
      <c r="W713">
        <v>1</v>
      </c>
      <c r="X713" t="s">
        <v>76</v>
      </c>
      <c r="Y713">
        <v>1</v>
      </c>
      <c r="Z713" t="s">
        <v>69</v>
      </c>
      <c r="AA713" t="s">
        <v>66</v>
      </c>
      <c r="AB713" s="4">
        <v>2404</v>
      </c>
      <c r="AC713" s="4" t="str">
        <f t="shared" si="171"/>
        <v>$1,000-$2,500</v>
      </c>
      <c r="AD713">
        <v>11479</v>
      </c>
      <c r="AE713" t="str">
        <f t="shared" si="172"/>
        <v>$8,001-$16,000</v>
      </c>
      <c r="AF713">
        <v>6</v>
      </c>
      <c r="AG713" t="str">
        <f t="shared" si="173"/>
        <v>4-6</v>
      </c>
      <c r="AH713" t="s">
        <v>67</v>
      </c>
      <c r="AI713" t="s">
        <v>56</v>
      </c>
      <c r="AJ713">
        <v>20</v>
      </c>
      <c r="AK713" t="str">
        <f t="shared" si="174"/>
        <v>18-19%</v>
      </c>
      <c r="AL713">
        <v>4</v>
      </c>
      <c r="AM713" t="s">
        <v>78</v>
      </c>
      <c r="AN713">
        <v>3</v>
      </c>
      <c r="AO713" t="s">
        <v>63</v>
      </c>
      <c r="AP713">
        <v>80</v>
      </c>
      <c r="AQ713">
        <v>0</v>
      </c>
      <c r="AR713">
        <v>3</v>
      </c>
      <c r="AS713" t="str">
        <f t="shared" si="175"/>
        <v>3-5</v>
      </c>
      <c r="AT713">
        <v>5</v>
      </c>
      <c r="AU713" t="str">
        <f t="shared" si="176"/>
        <v>5-6</v>
      </c>
      <c r="AV713">
        <v>3</v>
      </c>
      <c r="AW713" t="s">
        <v>79</v>
      </c>
      <c r="AX713">
        <v>0</v>
      </c>
      <c r="AY713" t="str">
        <f t="shared" si="165"/>
        <v>0-1</v>
      </c>
      <c r="AZ713">
        <v>0</v>
      </c>
      <c r="BA713" t="str">
        <f t="shared" si="177"/>
        <v>0-1</v>
      </c>
      <c r="BB713">
        <v>0</v>
      </c>
      <c r="BC713" t="str">
        <f t="shared" si="178"/>
        <v>0-1</v>
      </c>
      <c r="BD713">
        <v>0</v>
      </c>
      <c r="BE713" t="str">
        <f t="shared" si="179"/>
        <v>0-1</v>
      </c>
    </row>
    <row r="714" spans="1:57" x14ac:dyDescent="0.3">
      <c r="A714">
        <v>995</v>
      </c>
      <c r="B714">
        <v>33</v>
      </c>
      <c r="C714" t="str">
        <f t="shared" si="166"/>
        <v>26-35</v>
      </c>
      <c r="D714" t="s">
        <v>71</v>
      </c>
      <c r="E714">
        <f t="shared" si="167"/>
        <v>0</v>
      </c>
      <c r="F714" t="s">
        <v>57</v>
      </c>
      <c r="G714">
        <v>461</v>
      </c>
      <c r="H714" t="str">
        <f t="shared" si="168"/>
        <v>102-500</v>
      </c>
      <c r="I714" t="s">
        <v>73</v>
      </c>
      <c r="J714">
        <v>13</v>
      </c>
      <c r="K714" t="str">
        <f t="shared" si="169"/>
        <v>11-20</v>
      </c>
      <c r="L714">
        <v>1</v>
      </c>
      <c r="M714" t="s">
        <v>74</v>
      </c>
      <c r="N714" t="s">
        <v>60</v>
      </c>
      <c r="O714">
        <v>1</v>
      </c>
      <c r="P714">
        <v>2</v>
      </c>
      <c r="Q714" t="s">
        <v>61</v>
      </c>
      <c r="R714" t="s">
        <v>62</v>
      </c>
      <c r="S714">
        <v>53</v>
      </c>
      <c r="T714" t="str">
        <f t="shared" si="170"/>
        <v>51-75</v>
      </c>
      <c r="U714">
        <v>3</v>
      </c>
      <c r="V714" t="s">
        <v>63</v>
      </c>
      <c r="W714">
        <v>1</v>
      </c>
      <c r="X714" t="s">
        <v>76</v>
      </c>
      <c r="Y714">
        <v>4</v>
      </c>
      <c r="Z714" t="s">
        <v>65</v>
      </c>
      <c r="AA714" t="s">
        <v>66</v>
      </c>
      <c r="AB714" s="4">
        <v>3452</v>
      </c>
      <c r="AC714" s="4" t="str">
        <f t="shared" si="171"/>
        <v>$2,500-$4,000</v>
      </c>
      <c r="AD714">
        <v>17241</v>
      </c>
      <c r="AE714" t="str">
        <f t="shared" si="172"/>
        <v>$16,001-$22,000</v>
      </c>
      <c r="AF714">
        <v>3</v>
      </c>
      <c r="AG714" t="str">
        <f t="shared" si="173"/>
        <v>2-3</v>
      </c>
      <c r="AH714" t="s">
        <v>67</v>
      </c>
      <c r="AI714" t="s">
        <v>71</v>
      </c>
      <c r="AJ714">
        <v>18</v>
      </c>
      <c r="AK714" t="str">
        <f t="shared" si="174"/>
        <v>18-19%</v>
      </c>
      <c r="AL714">
        <v>3</v>
      </c>
      <c r="AM714" t="s">
        <v>68</v>
      </c>
      <c r="AN714">
        <v>1</v>
      </c>
      <c r="AO714" t="s">
        <v>69</v>
      </c>
      <c r="AP714">
        <v>80</v>
      </c>
      <c r="AQ714">
        <v>0</v>
      </c>
      <c r="AR714">
        <v>5</v>
      </c>
      <c r="AS714" t="str">
        <f t="shared" si="175"/>
        <v>3-5</v>
      </c>
      <c r="AT714">
        <v>4</v>
      </c>
      <c r="AU714" t="str">
        <f t="shared" si="176"/>
        <v>3-4</v>
      </c>
      <c r="AV714">
        <v>3</v>
      </c>
      <c r="AW714" t="s">
        <v>79</v>
      </c>
      <c r="AX714">
        <v>3</v>
      </c>
      <c r="AY714" t="str">
        <f t="shared" si="165"/>
        <v>2-5</v>
      </c>
      <c r="AZ714">
        <v>2</v>
      </c>
      <c r="BA714" t="str">
        <f t="shared" si="177"/>
        <v>2-5</v>
      </c>
      <c r="BB714">
        <v>0</v>
      </c>
      <c r="BC714" t="str">
        <f t="shared" si="178"/>
        <v>0-1</v>
      </c>
      <c r="BD714">
        <v>2</v>
      </c>
      <c r="BE714" t="str">
        <f t="shared" si="179"/>
        <v>2-5</v>
      </c>
    </row>
    <row r="715" spans="1:57" x14ac:dyDescent="0.3">
      <c r="A715">
        <v>996</v>
      </c>
      <c r="B715">
        <v>45</v>
      </c>
      <c r="C715" t="str">
        <f t="shared" si="166"/>
        <v>36-45</v>
      </c>
      <c r="D715" t="s">
        <v>71</v>
      </c>
      <c r="E715">
        <f t="shared" si="167"/>
        <v>0</v>
      </c>
      <c r="F715" t="s">
        <v>57</v>
      </c>
      <c r="G715">
        <v>974</v>
      </c>
      <c r="H715" t="str">
        <f t="shared" si="168"/>
        <v>501-1000</v>
      </c>
      <c r="I715" t="s">
        <v>73</v>
      </c>
      <c r="J715">
        <v>1</v>
      </c>
      <c r="K715" t="str">
        <f t="shared" si="169"/>
        <v>1-5</v>
      </c>
      <c r="L715">
        <v>4</v>
      </c>
      <c r="M715" t="s">
        <v>82</v>
      </c>
      <c r="N715" t="s">
        <v>83</v>
      </c>
      <c r="O715">
        <v>1</v>
      </c>
      <c r="P715">
        <v>4</v>
      </c>
      <c r="Q715" t="s">
        <v>65</v>
      </c>
      <c r="R715" t="s">
        <v>62</v>
      </c>
      <c r="S715">
        <v>91</v>
      </c>
      <c r="T715" t="str">
        <f t="shared" si="170"/>
        <v>76-100</v>
      </c>
      <c r="U715">
        <v>3</v>
      </c>
      <c r="V715" t="s">
        <v>63</v>
      </c>
      <c r="W715">
        <v>1</v>
      </c>
      <c r="X715" t="s">
        <v>81</v>
      </c>
      <c r="Y715">
        <v>4</v>
      </c>
      <c r="Z715" t="s">
        <v>65</v>
      </c>
      <c r="AA715" t="s">
        <v>86</v>
      </c>
      <c r="AB715" s="4">
        <v>2270</v>
      </c>
      <c r="AC715" s="4" t="str">
        <f t="shared" si="171"/>
        <v>$1,000-$2,500</v>
      </c>
      <c r="AD715">
        <v>11005</v>
      </c>
      <c r="AE715" t="str">
        <f t="shared" si="172"/>
        <v>$8,001-$16,000</v>
      </c>
      <c r="AF715">
        <v>3</v>
      </c>
      <c r="AG715" t="str">
        <f t="shared" si="173"/>
        <v>2-3</v>
      </c>
      <c r="AH715" t="s">
        <v>67</v>
      </c>
      <c r="AI715" t="s">
        <v>71</v>
      </c>
      <c r="AJ715">
        <v>14</v>
      </c>
      <c r="AK715" t="str">
        <f t="shared" si="174"/>
        <v>13-15%</v>
      </c>
      <c r="AL715">
        <v>3</v>
      </c>
      <c r="AM715" t="s">
        <v>68</v>
      </c>
      <c r="AN715">
        <v>4</v>
      </c>
      <c r="AO715" t="s">
        <v>65</v>
      </c>
      <c r="AP715">
        <v>80</v>
      </c>
      <c r="AQ715">
        <v>2</v>
      </c>
      <c r="AR715">
        <v>8</v>
      </c>
      <c r="AS715" t="str">
        <f t="shared" si="175"/>
        <v>6-10</v>
      </c>
      <c r="AT715">
        <v>2</v>
      </c>
      <c r="AU715" t="str">
        <f t="shared" si="176"/>
        <v>0-2</v>
      </c>
      <c r="AV715">
        <v>3</v>
      </c>
      <c r="AW715" t="s">
        <v>79</v>
      </c>
      <c r="AX715">
        <v>5</v>
      </c>
      <c r="AY715" t="str">
        <f t="shared" si="165"/>
        <v>2-5</v>
      </c>
      <c r="AZ715">
        <v>3</v>
      </c>
      <c r="BA715" t="str">
        <f t="shared" si="177"/>
        <v>2-5</v>
      </c>
      <c r="BB715">
        <v>0</v>
      </c>
      <c r="BC715" t="str">
        <f t="shared" si="178"/>
        <v>0-1</v>
      </c>
      <c r="BD715">
        <v>2</v>
      </c>
      <c r="BE715" t="str">
        <f t="shared" si="179"/>
        <v>2-5</v>
      </c>
    </row>
    <row r="716" spans="1:57" x14ac:dyDescent="0.3">
      <c r="A716">
        <v>997</v>
      </c>
      <c r="B716">
        <v>50</v>
      </c>
      <c r="C716" t="str">
        <f t="shared" si="166"/>
        <v>46-55</v>
      </c>
      <c r="D716" t="s">
        <v>71</v>
      </c>
      <c r="E716">
        <f t="shared" si="167"/>
        <v>0</v>
      </c>
      <c r="F716" t="s">
        <v>57</v>
      </c>
      <c r="G716">
        <v>1126</v>
      </c>
      <c r="H716" t="str">
        <f t="shared" si="168"/>
        <v>1001-1499</v>
      </c>
      <c r="I716" t="s">
        <v>73</v>
      </c>
      <c r="J716">
        <v>1</v>
      </c>
      <c r="K716" t="str">
        <f t="shared" si="169"/>
        <v>1-5</v>
      </c>
      <c r="L716">
        <v>2</v>
      </c>
      <c r="M716" t="s">
        <v>59</v>
      </c>
      <c r="N716" t="s">
        <v>83</v>
      </c>
      <c r="O716">
        <v>1</v>
      </c>
      <c r="P716">
        <v>4</v>
      </c>
      <c r="Q716" t="s">
        <v>65</v>
      </c>
      <c r="R716" t="s">
        <v>75</v>
      </c>
      <c r="S716">
        <v>66</v>
      </c>
      <c r="T716" t="str">
        <f t="shared" si="170"/>
        <v>51-75</v>
      </c>
      <c r="U716">
        <v>3</v>
      </c>
      <c r="V716" t="s">
        <v>63</v>
      </c>
      <c r="W716">
        <v>4</v>
      </c>
      <c r="X716" t="s">
        <v>92</v>
      </c>
      <c r="Y716">
        <v>4</v>
      </c>
      <c r="Z716" t="s">
        <v>65</v>
      </c>
      <c r="AA716" t="s">
        <v>86</v>
      </c>
      <c r="AB716" s="4">
        <v>17399</v>
      </c>
      <c r="AC716" s="4" t="str">
        <f t="shared" si="171"/>
        <v>$16,000-$17,500</v>
      </c>
      <c r="AD716">
        <v>6615</v>
      </c>
      <c r="AE716" t="str">
        <f t="shared" si="172"/>
        <v>$2,094-$8,000</v>
      </c>
      <c r="AF716">
        <v>9</v>
      </c>
      <c r="AG716" t="str">
        <f t="shared" si="173"/>
        <v>7-9</v>
      </c>
      <c r="AH716" t="s">
        <v>67</v>
      </c>
      <c r="AI716" t="s">
        <v>71</v>
      </c>
      <c r="AJ716">
        <v>22</v>
      </c>
      <c r="AK716" t="str">
        <f t="shared" si="174"/>
        <v>18-19%</v>
      </c>
      <c r="AL716">
        <v>4</v>
      </c>
      <c r="AM716" t="s">
        <v>78</v>
      </c>
      <c r="AN716">
        <v>3</v>
      </c>
      <c r="AO716" t="s">
        <v>63</v>
      </c>
      <c r="AP716">
        <v>80</v>
      </c>
      <c r="AQ716">
        <v>1</v>
      </c>
      <c r="AR716">
        <v>32</v>
      </c>
      <c r="AS716" t="str">
        <f t="shared" si="175"/>
        <v>21-40</v>
      </c>
      <c r="AT716">
        <v>1</v>
      </c>
      <c r="AU716" t="str">
        <f t="shared" si="176"/>
        <v>0-2</v>
      </c>
      <c r="AV716">
        <v>2</v>
      </c>
      <c r="AW716" t="s">
        <v>84</v>
      </c>
      <c r="AX716">
        <v>5</v>
      </c>
      <c r="AY716" t="str">
        <f t="shared" si="165"/>
        <v>2-5</v>
      </c>
      <c r="AZ716">
        <v>4</v>
      </c>
      <c r="BA716" t="str">
        <f t="shared" si="177"/>
        <v>2-5</v>
      </c>
      <c r="BB716">
        <v>1</v>
      </c>
      <c r="BC716" t="str">
        <f t="shared" si="178"/>
        <v>0-1</v>
      </c>
      <c r="BD716">
        <v>3</v>
      </c>
      <c r="BE716" t="str">
        <f t="shared" si="179"/>
        <v>2-5</v>
      </c>
    </row>
    <row r="717" spans="1:57" x14ac:dyDescent="0.3">
      <c r="A717">
        <v>998</v>
      </c>
      <c r="B717">
        <v>33</v>
      </c>
      <c r="C717" t="str">
        <f t="shared" si="166"/>
        <v>26-35</v>
      </c>
      <c r="D717" t="s">
        <v>71</v>
      </c>
      <c r="E717">
        <f t="shared" si="167"/>
        <v>0</v>
      </c>
      <c r="F717" t="s">
        <v>72</v>
      </c>
      <c r="G717">
        <v>827</v>
      </c>
      <c r="H717" t="str">
        <f t="shared" si="168"/>
        <v>501-1000</v>
      </c>
      <c r="I717" t="s">
        <v>73</v>
      </c>
      <c r="J717">
        <v>1</v>
      </c>
      <c r="K717" t="str">
        <f t="shared" si="169"/>
        <v>1-5</v>
      </c>
      <c r="L717">
        <v>4</v>
      </c>
      <c r="M717" t="s">
        <v>82</v>
      </c>
      <c r="N717" t="s">
        <v>80</v>
      </c>
      <c r="O717">
        <v>1</v>
      </c>
      <c r="P717">
        <v>3</v>
      </c>
      <c r="Q717" t="s">
        <v>63</v>
      </c>
      <c r="R717" t="s">
        <v>62</v>
      </c>
      <c r="S717">
        <v>84</v>
      </c>
      <c r="T717" t="str">
        <f t="shared" si="170"/>
        <v>76-100</v>
      </c>
      <c r="U717">
        <v>4</v>
      </c>
      <c r="V717" t="s">
        <v>65</v>
      </c>
      <c r="W717">
        <v>2</v>
      </c>
      <c r="X717" t="s">
        <v>88</v>
      </c>
      <c r="Y717">
        <v>2</v>
      </c>
      <c r="Z717" t="s">
        <v>61</v>
      </c>
      <c r="AA717" t="s">
        <v>77</v>
      </c>
      <c r="AB717" s="4">
        <v>5488</v>
      </c>
      <c r="AC717" s="4" t="str">
        <f t="shared" si="171"/>
        <v>$4,000-$5,500</v>
      </c>
      <c r="AD717">
        <v>20161</v>
      </c>
      <c r="AE717" t="str">
        <f t="shared" si="172"/>
        <v>$16,001-$22,000</v>
      </c>
      <c r="AF717">
        <v>1</v>
      </c>
      <c r="AG717" t="str">
        <f t="shared" si="173"/>
        <v>0-1</v>
      </c>
      <c r="AH717" t="s">
        <v>67</v>
      </c>
      <c r="AI717" t="s">
        <v>56</v>
      </c>
      <c r="AJ717">
        <v>13</v>
      </c>
      <c r="AK717" t="str">
        <f t="shared" si="174"/>
        <v>13-15%</v>
      </c>
      <c r="AL717">
        <v>3</v>
      </c>
      <c r="AM717" t="s">
        <v>68</v>
      </c>
      <c r="AN717">
        <v>1</v>
      </c>
      <c r="AO717" t="s">
        <v>69</v>
      </c>
      <c r="AP717">
        <v>80</v>
      </c>
      <c r="AQ717">
        <v>1</v>
      </c>
      <c r="AR717">
        <v>6</v>
      </c>
      <c r="AS717" t="str">
        <f t="shared" si="175"/>
        <v>6-10</v>
      </c>
      <c r="AT717">
        <v>2</v>
      </c>
      <c r="AU717" t="str">
        <f t="shared" si="176"/>
        <v>0-2</v>
      </c>
      <c r="AV717">
        <v>3</v>
      </c>
      <c r="AW717" t="s">
        <v>79</v>
      </c>
      <c r="AX717">
        <v>6</v>
      </c>
      <c r="AY717" t="str">
        <f t="shared" si="165"/>
        <v>6-10</v>
      </c>
      <c r="AZ717">
        <v>5</v>
      </c>
      <c r="BA717" t="str">
        <f t="shared" si="177"/>
        <v>2-5</v>
      </c>
      <c r="BB717">
        <v>1</v>
      </c>
      <c r="BC717" t="str">
        <f t="shared" si="178"/>
        <v>0-1</v>
      </c>
      <c r="BD717">
        <v>2</v>
      </c>
      <c r="BE717" t="str">
        <f t="shared" si="179"/>
        <v>2-5</v>
      </c>
    </row>
    <row r="718" spans="1:57" x14ac:dyDescent="0.3">
      <c r="A718">
        <v>999</v>
      </c>
      <c r="B718">
        <v>41</v>
      </c>
      <c r="C718" t="str">
        <f t="shared" si="166"/>
        <v>36-45</v>
      </c>
      <c r="D718" t="s">
        <v>71</v>
      </c>
      <c r="E718">
        <f t="shared" si="167"/>
        <v>0</v>
      </c>
      <c r="F718" t="s">
        <v>72</v>
      </c>
      <c r="G718">
        <v>840</v>
      </c>
      <c r="H718" t="str">
        <f t="shared" si="168"/>
        <v>501-1000</v>
      </c>
      <c r="I718" t="s">
        <v>73</v>
      </c>
      <c r="J718">
        <v>9</v>
      </c>
      <c r="K718" t="str">
        <f t="shared" si="169"/>
        <v>6-10</v>
      </c>
      <c r="L718">
        <v>3</v>
      </c>
      <c r="M718" t="s">
        <v>85</v>
      </c>
      <c r="N718" t="s">
        <v>83</v>
      </c>
      <c r="O718">
        <v>1</v>
      </c>
      <c r="P718">
        <v>1</v>
      </c>
      <c r="Q718" t="s">
        <v>69</v>
      </c>
      <c r="R718" t="s">
        <v>75</v>
      </c>
      <c r="S718">
        <v>64</v>
      </c>
      <c r="T718" t="str">
        <f t="shared" si="170"/>
        <v>51-75</v>
      </c>
      <c r="U718">
        <v>3</v>
      </c>
      <c r="V718" t="s">
        <v>63</v>
      </c>
      <c r="W718">
        <v>5</v>
      </c>
      <c r="X718" t="s">
        <v>92</v>
      </c>
      <c r="Y718">
        <v>3</v>
      </c>
      <c r="Z718" t="s">
        <v>63</v>
      </c>
      <c r="AA718" t="s">
        <v>86</v>
      </c>
      <c r="AB718" s="4">
        <v>19419</v>
      </c>
      <c r="AC718" s="4" t="str">
        <f t="shared" si="171"/>
        <v>$19,000-$20,500</v>
      </c>
      <c r="AD718">
        <v>3735</v>
      </c>
      <c r="AE718" t="str">
        <f t="shared" si="172"/>
        <v>$2,094-$8,000</v>
      </c>
      <c r="AF718">
        <v>2</v>
      </c>
      <c r="AG718" t="str">
        <f t="shared" si="173"/>
        <v>2-3</v>
      </c>
      <c r="AH718" t="s">
        <v>67</v>
      </c>
      <c r="AI718" t="s">
        <v>71</v>
      </c>
      <c r="AJ718">
        <v>17</v>
      </c>
      <c r="AK718" t="str">
        <f t="shared" si="174"/>
        <v>16-17%</v>
      </c>
      <c r="AL718">
        <v>3</v>
      </c>
      <c r="AM718" t="s">
        <v>68</v>
      </c>
      <c r="AN718">
        <v>2</v>
      </c>
      <c r="AO718" t="s">
        <v>61</v>
      </c>
      <c r="AP718">
        <v>80</v>
      </c>
      <c r="AQ718">
        <v>1</v>
      </c>
      <c r="AR718">
        <v>21</v>
      </c>
      <c r="AS718" t="str">
        <f t="shared" si="175"/>
        <v>21-40</v>
      </c>
      <c r="AT718">
        <v>2</v>
      </c>
      <c r="AU718" t="str">
        <f t="shared" si="176"/>
        <v>0-2</v>
      </c>
      <c r="AV718">
        <v>4</v>
      </c>
      <c r="AW718" t="s">
        <v>94</v>
      </c>
      <c r="AX718">
        <v>18</v>
      </c>
      <c r="AY718" t="str">
        <f t="shared" si="165"/>
        <v>11-20</v>
      </c>
      <c r="AZ718">
        <v>16</v>
      </c>
      <c r="BA718" t="str">
        <f t="shared" si="177"/>
        <v>11-18</v>
      </c>
      <c r="BB718">
        <v>0</v>
      </c>
      <c r="BC718" t="str">
        <f t="shared" si="178"/>
        <v>0-1</v>
      </c>
      <c r="BD718">
        <v>11</v>
      </c>
      <c r="BE718" t="str">
        <f t="shared" si="179"/>
        <v>11-17</v>
      </c>
    </row>
    <row r="719" spans="1:57" x14ac:dyDescent="0.3">
      <c r="A719">
        <v>1001</v>
      </c>
      <c r="B719">
        <v>27</v>
      </c>
      <c r="C719" t="str">
        <f t="shared" si="166"/>
        <v>26-35</v>
      </c>
      <c r="D719" t="s">
        <v>71</v>
      </c>
      <c r="E719">
        <f t="shared" si="167"/>
        <v>0</v>
      </c>
      <c r="F719" t="s">
        <v>57</v>
      </c>
      <c r="G719">
        <v>1134</v>
      </c>
      <c r="H719" t="str">
        <f t="shared" si="168"/>
        <v>1001-1499</v>
      </c>
      <c r="I719" t="s">
        <v>73</v>
      </c>
      <c r="J719">
        <v>16</v>
      </c>
      <c r="K719" t="str">
        <f t="shared" si="169"/>
        <v>11-20</v>
      </c>
      <c r="L719">
        <v>4</v>
      </c>
      <c r="M719" t="s">
        <v>82</v>
      </c>
      <c r="N719" t="s">
        <v>95</v>
      </c>
      <c r="O719">
        <v>1</v>
      </c>
      <c r="P719">
        <v>3</v>
      </c>
      <c r="Q719" t="s">
        <v>63</v>
      </c>
      <c r="R719" t="s">
        <v>62</v>
      </c>
      <c r="S719">
        <v>37</v>
      </c>
      <c r="T719" t="str">
        <f t="shared" si="170"/>
        <v>30-50</v>
      </c>
      <c r="U719">
        <v>3</v>
      </c>
      <c r="V719" t="s">
        <v>63</v>
      </c>
      <c r="W719">
        <v>1</v>
      </c>
      <c r="X719" t="s">
        <v>81</v>
      </c>
      <c r="Y719">
        <v>2</v>
      </c>
      <c r="Z719" t="s">
        <v>61</v>
      </c>
      <c r="AA719" t="s">
        <v>77</v>
      </c>
      <c r="AB719" s="4">
        <v>2811</v>
      </c>
      <c r="AC719" s="4" t="str">
        <f t="shared" si="171"/>
        <v>$2,500-$4,000</v>
      </c>
      <c r="AD719">
        <v>12086</v>
      </c>
      <c r="AE719" t="str">
        <f t="shared" si="172"/>
        <v>$8,001-$16,000</v>
      </c>
      <c r="AF719">
        <v>9</v>
      </c>
      <c r="AG719" t="str">
        <f t="shared" si="173"/>
        <v>7-9</v>
      </c>
      <c r="AH719" t="s">
        <v>67</v>
      </c>
      <c r="AI719" t="s">
        <v>71</v>
      </c>
      <c r="AJ719">
        <v>14</v>
      </c>
      <c r="AK719" t="str">
        <f t="shared" si="174"/>
        <v>13-15%</v>
      </c>
      <c r="AL719">
        <v>3</v>
      </c>
      <c r="AM719" t="s">
        <v>68</v>
      </c>
      <c r="AN719">
        <v>2</v>
      </c>
      <c r="AO719" t="s">
        <v>61</v>
      </c>
      <c r="AP719">
        <v>80</v>
      </c>
      <c r="AQ719">
        <v>1</v>
      </c>
      <c r="AR719">
        <v>4</v>
      </c>
      <c r="AS719" t="str">
        <f t="shared" si="175"/>
        <v>3-5</v>
      </c>
      <c r="AT719">
        <v>2</v>
      </c>
      <c r="AU719" t="str">
        <f t="shared" si="176"/>
        <v>0-2</v>
      </c>
      <c r="AV719">
        <v>3</v>
      </c>
      <c r="AW719" t="s">
        <v>79</v>
      </c>
      <c r="AX719">
        <v>2</v>
      </c>
      <c r="AY719" t="str">
        <f t="shared" si="165"/>
        <v>2-5</v>
      </c>
      <c r="AZ719">
        <v>2</v>
      </c>
      <c r="BA719" t="str">
        <f t="shared" si="177"/>
        <v>2-5</v>
      </c>
      <c r="BB719">
        <v>2</v>
      </c>
      <c r="BC719" t="str">
        <f t="shared" si="178"/>
        <v>2-5</v>
      </c>
      <c r="BD719">
        <v>2</v>
      </c>
      <c r="BE719" t="str">
        <f t="shared" si="179"/>
        <v>2-5</v>
      </c>
    </row>
    <row r="720" spans="1:57" x14ac:dyDescent="0.3">
      <c r="A720">
        <v>1002</v>
      </c>
      <c r="B720">
        <v>45</v>
      </c>
      <c r="C720" t="str">
        <f t="shared" si="166"/>
        <v>36-45</v>
      </c>
      <c r="D720" t="s">
        <v>71</v>
      </c>
      <c r="E720">
        <f t="shared" si="167"/>
        <v>0</v>
      </c>
      <c r="F720" t="s">
        <v>89</v>
      </c>
      <c r="G720">
        <v>248</v>
      </c>
      <c r="H720" t="str">
        <f t="shared" si="168"/>
        <v>102-500</v>
      </c>
      <c r="I720" t="s">
        <v>73</v>
      </c>
      <c r="J720">
        <v>23</v>
      </c>
      <c r="K720" t="str">
        <f t="shared" si="169"/>
        <v>21-29</v>
      </c>
      <c r="L720">
        <v>2</v>
      </c>
      <c r="M720" t="s">
        <v>59</v>
      </c>
      <c r="N720" t="s">
        <v>60</v>
      </c>
      <c r="O720">
        <v>1</v>
      </c>
      <c r="P720">
        <v>4</v>
      </c>
      <c r="Q720" t="s">
        <v>65</v>
      </c>
      <c r="R720" t="s">
        <v>75</v>
      </c>
      <c r="S720">
        <v>42</v>
      </c>
      <c r="T720" t="str">
        <f t="shared" si="170"/>
        <v>30-50</v>
      </c>
      <c r="U720">
        <v>3</v>
      </c>
      <c r="V720" t="s">
        <v>63</v>
      </c>
      <c r="W720">
        <v>2</v>
      </c>
      <c r="X720" t="s">
        <v>81</v>
      </c>
      <c r="Y720">
        <v>1</v>
      </c>
      <c r="Z720" t="s">
        <v>69</v>
      </c>
      <c r="AA720" t="s">
        <v>77</v>
      </c>
      <c r="AB720" s="4">
        <v>3633</v>
      </c>
      <c r="AC720" s="4" t="str">
        <f t="shared" si="171"/>
        <v>$2,500-$4,000</v>
      </c>
      <c r="AD720">
        <v>14039</v>
      </c>
      <c r="AE720" t="str">
        <f t="shared" si="172"/>
        <v>$8,001-$16,000</v>
      </c>
      <c r="AF720">
        <v>1</v>
      </c>
      <c r="AG720" t="str">
        <f t="shared" si="173"/>
        <v>0-1</v>
      </c>
      <c r="AH720" t="s">
        <v>67</v>
      </c>
      <c r="AI720" t="s">
        <v>56</v>
      </c>
      <c r="AJ720">
        <v>15</v>
      </c>
      <c r="AK720" t="str">
        <f t="shared" si="174"/>
        <v>13-15%</v>
      </c>
      <c r="AL720">
        <v>3</v>
      </c>
      <c r="AM720" t="s">
        <v>68</v>
      </c>
      <c r="AN720">
        <v>3</v>
      </c>
      <c r="AO720" t="s">
        <v>63</v>
      </c>
      <c r="AP720">
        <v>80</v>
      </c>
      <c r="AQ720">
        <v>1</v>
      </c>
      <c r="AR720">
        <v>9</v>
      </c>
      <c r="AS720" t="str">
        <f t="shared" si="175"/>
        <v>6-10</v>
      </c>
      <c r="AT720">
        <v>2</v>
      </c>
      <c r="AU720" t="str">
        <f t="shared" si="176"/>
        <v>0-2</v>
      </c>
      <c r="AV720">
        <v>3</v>
      </c>
      <c r="AW720" t="s">
        <v>79</v>
      </c>
      <c r="AX720">
        <v>9</v>
      </c>
      <c r="AY720" t="str">
        <f t="shared" si="165"/>
        <v>6-10</v>
      </c>
      <c r="AZ720">
        <v>8</v>
      </c>
      <c r="BA720" t="str">
        <f t="shared" si="177"/>
        <v>6-10</v>
      </c>
      <c r="BB720">
        <v>0</v>
      </c>
      <c r="BC720" t="str">
        <f t="shared" si="178"/>
        <v>0-1</v>
      </c>
      <c r="BD720">
        <v>8</v>
      </c>
      <c r="BE720" t="str">
        <f t="shared" si="179"/>
        <v>6-10</v>
      </c>
    </row>
    <row r="721" spans="1:57" x14ac:dyDescent="0.3">
      <c r="A721">
        <v>1003</v>
      </c>
      <c r="B721">
        <v>47</v>
      </c>
      <c r="C721" t="str">
        <f t="shared" si="166"/>
        <v>46-55</v>
      </c>
      <c r="D721" t="s">
        <v>71</v>
      </c>
      <c r="E721">
        <f t="shared" si="167"/>
        <v>0</v>
      </c>
      <c r="F721" t="s">
        <v>57</v>
      </c>
      <c r="G721">
        <v>955</v>
      </c>
      <c r="H721" t="str">
        <f t="shared" si="168"/>
        <v>501-1000</v>
      </c>
      <c r="I721" t="s">
        <v>58</v>
      </c>
      <c r="J721">
        <v>4</v>
      </c>
      <c r="K721" t="str">
        <f t="shared" si="169"/>
        <v>1-5</v>
      </c>
      <c r="L721">
        <v>2</v>
      </c>
      <c r="M721" t="s">
        <v>59</v>
      </c>
      <c r="N721" t="s">
        <v>60</v>
      </c>
      <c r="O721">
        <v>1</v>
      </c>
      <c r="P721">
        <v>4</v>
      </c>
      <c r="Q721" t="s">
        <v>65</v>
      </c>
      <c r="R721" t="s">
        <v>62</v>
      </c>
      <c r="S721">
        <v>83</v>
      </c>
      <c r="T721" t="str">
        <f t="shared" si="170"/>
        <v>76-100</v>
      </c>
      <c r="U721">
        <v>3</v>
      </c>
      <c r="V721" t="s">
        <v>63</v>
      </c>
      <c r="W721">
        <v>2</v>
      </c>
      <c r="X721" t="s">
        <v>64</v>
      </c>
      <c r="Y721">
        <v>4</v>
      </c>
      <c r="Z721" t="s">
        <v>65</v>
      </c>
      <c r="AA721" t="s">
        <v>66</v>
      </c>
      <c r="AB721" s="4">
        <v>4163</v>
      </c>
      <c r="AC721" s="4" t="str">
        <f t="shared" si="171"/>
        <v>$4,000-$5,500</v>
      </c>
      <c r="AD721">
        <v>8571</v>
      </c>
      <c r="AE721" t="str">
        <f t="shared" si="172"/>
        <v>$8,001-$16,000</v>
      </c>
      <c r="AF721">
        <v>1</v>
      </c>
      <c r="AG721" t="str">
        <f t="shared" si="173"/>
        <v>0-1</v>
      </c>
      <c r="AH721" t="s">
        <v>67</v>
      </c>
      <c r="AI721" t="s">
        <v>56</v>
      </c>
      <c r="AJ721">
        <v>17</v>
      </c>
      <c r="AK721" t="str">
        <f t="shared" si="174"/>
        <v>16-17%</v>
      </c>
      <c r="AL721">
        <v>3</v>
      </c>
      <c r="AM721" t="s">
        <v>68</v>
      </c>
      <c r="AN721">
        <v>3</v>
      </c>
      <c r="AO721" t="s">
        <v>63</v>
      </c>
      <c r="AP721">
        <v>80</v>
      </c>
      <c r="AQ721">
        <v>0</v>
      </c>
      <c r="AR721">
        <v>9</v>
      </c>
      <c r="AS721" t="str">
        <f t="shared" si="175"/>
        <v>6-10</v>
      </c>
      <c r="AT721">
        <v>0</v>
      </c>
      <c r="AU721" t="str">
        <f t="shared" si="176"/>
        <v>0-2</v>
      </c>
      <c r="AV721">
        <v>3</v>
      </c>
      <c r="AW721" t="s">
        <v>79</v>
      </c>
      <c r="AX721">
        <v>9</v>
      </c>
      <c r="AY721" t="str">
        <f t="shared" si="165"/>
        <v>6-10</v>
      </c>
      <c r="AZ721">
        <v>0</v>
      </c>
      <c r="BA721" t="str">
        <f t="shared" si="177"/>
        <v>0-1</v>
      </c>
      <c r="BB721">
        <v>0</v>
      </c>
      <c r="BC721" t="str">
        <f t="shared" si="178"/>
        <v>0-1</v>
      </c>
      <c r="BD721">
        <v>7</v>
      </c>
      <c r="BE721" t="str">
        <f t="shared" si="179"/>
        <v>6-10</v>
      </c>
    </row>
    <row r="722" spans="1:57" x14ac:dyDescent="0.3">
      <c r="A722">
        <v>1004</v>
      </c>
      <c r="B722">
        <v>30</v>
      </c>
      <c r="C722" t="str">
        <f t="shared" si="166"/>
        <v>26-35</v>
      </c>
      <c r="D722" t="s">
        <v>56</v>
      </c>
      <c r="E722">
        <f t="shared" si="167"/>
        <v>1</v>
      </c>
      <c r="F722" t="s">
        <v>57</v>
      </c>
      <c r="G722">
        <v>138</v>
      </c>
      <c r="H722" t="str">
        <f t="shared" si="168"/>
        <v>102-500</v>
      </c>
      <c r="I722" t="s">
        <v>73</v>
      </c>
      <c r="J722">
        <v>22</v>
      </c>
      <c r="K722" t="str">
        <f t="shared" si="169"/>
        <v>21-29</v>
      </c>
      <c r="L722">
        <v>3</v>
      </c>
      <c r="M722" t="s">
        <v>85</v>
      </c>
      <c r="N722" t="s">
        <v>60</v>
      </c>
      <c r="O722">
        <v>1</v>
      </c>
      <c r="P722">
        <v>1</v>
      </c>
      <c r="Q722" t="s">
        <v>69</v>
      </c>
      <c r="R722" t="s">
        <v>62</v>
      </c>
      <c r="S722">
        <v>48</v>
      </c>
      <c r="T722" t="str">
        <f t="shared" si="170"/>
        <v>30-50</v>
      </c>
      <c r="U722">
        <v>3</v>
      </c>
      <c r="V722" t="s">
        <v>63</v>
      </c>
      <c r="W722">
        <v>1</v>
      </c>
      <c r="X722" t="s">
        <v>76</v>
      </c>
      <c r="Y722">
        <v>3</v>
      </c>
      <c r="Z722" t="s">
        <v>63</v>
      </c>
      <c r="AA722" t="s">
        <v>77</v>
      </c>
      <c r="AB722" s="4">
        <v>2132</v>
      </c>
      <c r="AC722" s="4" t="str">
        <f t="shared" si="171"/>
        <v>$1,000-$2,500</v>
      </c>
      <c r="AD722">
        <v>11539</v>
      </c>
      <c r="AE722" t="str">
        <f t="shared" si="172"/>
        <v>$8,001-$16,000</v>
      </c>
      <c r="AF722">
        <v>4</v>
      </c>
      <c r="AG722" t="str">
        <f t="shared" si="173"/>
        <v>4-6</v>
      </c>
      <c r="AH722" t="s">
        <v>67</v>
      </c>
      <c r="AI722" t="s">
        <v>56</v>
      </c>
      <c r="AJ722">
        <v>11</v>
      </c>
      <c r="AK722" t="str">
        <f t="shared" si="174"/>
        <v>11-12%</v>
      </c>
      <c r="AL722">
        <v>3</v>
      </c>
      <c r="AM722" t="s">
        <v>68</v>
      </c>
      <c r="AN722">
        <v>2</v>
      </c>
      <c r="AO722" t="s">
        <v>61</v>
      </c>
      <c r="AP722">
        <v>80</v>
      </c>
      <c r="AQ722">
        <v>0</v>
      </c>
      <c r="AR722">
        <v>7</v>
      </c>
      <c r="AS722" t="str">
        <f t="shared" si="175"/>
        <v>6-10</v>
      </c>
      <c r="AT722">
        <v>2</v>
      </c>
      <c r="AU722" t="str">
        <f t="shared" si="176"/>
        <v>0-2</v>
      </c>
      <c r="AV722">
        <v>3</v>
      </c>
      <c r="AW722" t="s">
        <v>79</v>
      </c>
      <c r="AX722">
        <v>5</v>
      </c>
      <c r="AY722" t="str">
        <f t="shared" si="165"/>
        <v>2-5</v>
      </c>
      <c r="AZ722">
        <v>2</v>
      </c>
      <c r="BA722" t="str">
        <f t="shared" si="177"/>
        <v>2-5</v>
      </c>
      <c r="BB722">
        <v>0</v>
      </c>
      <c r="BC722" t="str">
        <f t="shared" si="178"/>
        <v>0-1</v>
      </c>
      <c r="BD722">
        <v>1</v>
      </c>
      <c r="BE722" t="str">
        <f t="shared" si="179"/>
        <v>0-1</v>
      </c>
    </row>
    <row r="723" spans="1:57" x14ac:dyDescent="0.3">
      <c r="A723">
        <v>1005</v>
      </c>
      <c r="B723">
        <v>50</v>
      </c>
      <c r="C723" t="str">
        <f t="shared" si="166"/>
        <v>46-55</v>
      </c>
      <c r="D723" t="s">
        <v>71</v>
      </c>
      <c r="E723">
        <f t="shared" si="167"/>
        <v>0</v>
      </c>
      <c r="F723" t="s">
        <v>57</v>
      </c>
      <c r="G723">
        <v>939</v>
      </c>
      <c r="H723" t="str">
        <f t="shared" si="168"/>
        <v>501-1000</v>
      </c>
      <c r="I723" t="s">
        <v>73</v>
      </c>
      <c r="J723">
        <v>24</v>
      </c>
      <c r="K723" t="str">
        <f t="shared" si="169"/>
        <v>21-29</v>
      </c>
      <c r="L723">
        <v>3</v>
      </c>
      <c r="M723" t="s">
        <v>85</v>
      </c>
      <c r="N723" t="s">
        <v>60</v>
      </c>
      <c r="O723">
        <v>1</v>
      </c>
      <c r="P723">
        <v>4</v>
      </c>
      <c r="Q723" t="s">
        <v>65</v>
      </c>
      <c r="R723" t="s">
        <v>75</v>
      </c>
      <c r="S723">
        <v>95</v>
      </c>
      <c r="T723" t="str">
        <f t="shared" si="170"/>
        <v>76-100</v>
      </c>
      <c r="U723">
        <v>3</v>
      </c>
      <c r="V723" t="s">
        <v>63</v>
      </c>
      <c r="W723">
        <v>4</v>
      </c>
      <c r="X723" t="s">
        <v>87</v>
      </c>
      <c r="Y723">
        <v>3</v>
      </c>
      <c r="Z723" t="s">
        <v>63</v>
      </c>
      <c r="AA723" t="s">
        <v>77</v>
      </c>
      <c r="AB723" s="4">
        <v>13973</v>
      </c>
      <c r="AC723" s="4" t="str">
        <f t="shared" si="171"/>
        <v>$13,000-$14,500</v>
      </c>
      <c r="AD723">
        <v>4161</v>
      </c>
      <c r="AE723" t="str">
        <f t="shared" si="172"/>
        <v>$2,094-$8,000</v>
      </c>
      <c r="AF723">
        <v>3</v>
      </c>
      <c r="AG723" t="str">
        <f t="shared" si="173"/>
        <v>2-3</v>
      </c>
      <c r="AH723" t="s">
        <v>67</v>
      </c>
      <c r="AI723" t="s">
        <v>56</v>
      </c>
      <c r="AJ723">
        <v>18</v>
      </c>
      <c r="AK723" t="str">
        <f t="shared" si="174"/>
        <v>18-19%</v>
      </c>
      <c r="AL723">
        <v>3</v>
      </c>
      <c r="AM723" t="s">
        <v>68</v>
      </c>
      <c r="AN723">
        <v>4</v>
      </c>
      <c r="AO723" t="s">
        <v>65</v>
      </c>
      <c r="AP723">
        <v>80</v>
      </c>
      <c r="AQ723">
        <v>1</v>
      </c>
      <c r="AR723">
        <v>22</v>
      </c>
      <c r="AS723" t="str">
        <f t="shared" si="175"/>
        <v>21-40</v>
      </c>
      <c r="AT723">
        <v>2</v>
      </c>
      <c r="AU723" t="str">
        <f t="shared" si="176"/>
        <v>0-2</v>
      </c>
      <c r="AV723">
        <v>3</v>
      </c>
      <c r="AW723" t="s">
        <v>79</v>
      </c>
      <c r="AX723">
        <v>12</v>
      </c>
      <c r="AY723" t="str">
        <f t="shared" si="165"/>
        <v>11-20</v>
      </c>
      <c r="AZ723">
        <v>11</v>
      </c>
      <c r="BA723" t="str">
        <f t="shared" si="177"/>
        <v>11-18</v>
      </c>
      <c r="BB723">
        <v>1</v>
      </c>
      <c r="BC723" t="str">
        <f t="shared" si="178"/>
        <v>0-1</v>
      </c>
      <c r="BD723">
        <v>5</v>
      </c>
      <c r="BE723" t="str">
        <f t="shared" si="179"/>
        <v>2-5</v>
      </c>
    </row>
    <row r="724" spans="1:57" x14ac:dyDescent="0.3">
      <c r="A724">
        <v>1006</v>
      </c>
      <c r="B724">
        <v>38</v>
      </c>
      <c r="C724" t="str">
        <f t="shared" si="166"/>
        <v>36-45</v>
      </c>
      <c r="D724" t="s">
        <v>71</v>
      </c>
      <c r="E724">
        <f t="shared" si="167"/>
        <v>0</v>
      </c>
      <c r="F724" t="s">
        <v>72</v>
      </c>
      <c r="G724">
        <v>1391</v>
      </c>
      <c r="H724" t="str">
        <f t="shared" si="168"/>
        <v>1001-1499</v>
      </c>
      <c r="I724" t="s">
        <v>73</v>
      </c>
      <c r="J724">
        <v>10</v>
      </c>
      <c r="K724" t="str">
        <f t="shared" si="169"/>
        <v>6-10</v>
      </c>
      <c r="L724">
        <v>1</v>
      </c>
      <c r="M724" t="s">
        <v>74</v>
      </c>
      <c r="N724" t="s">
        <v>83</v>
      </c>
      <c r="O724">
        <v>1</v>
      </c>
      <c r="P724">
        <v>3</v>
      </c>
      <c r="Q724" t="s">
        <v>63</v>
      </c>
      <c r="R724" t="s">
        <v>75</v>
      </c>
      <c r="S724">
        <v>66</v>
      </c>
      <c r="T724" t="str">
        <f t="shared" si="170"/>
        <v>51-75</v>
      </c>
      <c r="U724">
        <v>3</v>
      </c>
      <c r="V724" t="s">
        <v>63</v>
      </c>
      <c r="W724">
        <v>1</v>
      </c>
      <c r="X724" t="s">
        <v>76</v>
      </c>
      <c r="Y724">
        <v>3</v>
      </c>
      <c r="Z724" t="s">
        <v>63</v>
      </c>
      <c r="AA724" t="s">
        <v>77</v>
      </c>
      <c r="AB724" s="4">
        <v>2684</v>
      </c>
      <c r="AC724" s="4" t="str">
        <f t="shared" si="171"/>
        <v>$2,500-$4,000</v>
      </c>
      <c r="AD724">
        <v>12127</v>
      </c>
      <c r="AE724" t="str">
        <f t="shared" si="172"/>
        <v>$8,001-$16,000</v>
      </c>
      <c r="AF724">
        <v>0</v>
      </c>
      <c r="AG724" t="str">
        <f t="shared" si="173"/>
        <v>0-1</v>
      </c>
      <c r="AH724" t="s">
        <v>67</v>
      </c>
      <c r="AI724" t="s">
        <v>71</v>
      </c>
      <c r="AJ724">
        <v>17</v>
      </c>
      <c r="AK724" t="str">
        <f t="shared" si="174"/>
        <v>16-17%</v>
      </c>
      <c r="AL724">
        <v>3</v>
      </c>
      <c r="AM724" t="s">
        <v>68</v>
      </c>
      <c r="AN724">
        <v>2</v>
      </c>
      <c r="AO724" t="s">
        <v>61</v>
      </c>
      <c r="AP724">
        <v>80</v>
      </c>
      <c r="AQ724">
        <v>1</v>
      </c>
      <c r="AR724">
        <v>3</v>
      </c>
      <c r="AS724" t="str">
        <f t="shared" si="175"/>
        <v>3-5</v>
      </c>
      <c r="AT724">
        <v>0</v>
      </c>
      <c r="AU724" t="str">
        <f t="shared" si="176"/>
        <v>0-2</v>
      </c>
      <c r="AV724">
        <v>2</v>
      </c>
      <c r="AW724" t="s">
        <v>84</v>
      </c>
      <c r="AX724">
        <v>2</v>
      </c>
      <c r="AY724" t="str">
        <f t="shared" si="165"/>
        <v>2-5</v>
      </c>
      <c r="AZ724">
        <v>1</v>
      </c>
      <c r="BA724" t="str">
        <f t="shared" si="177"/>
        <v>0-1</v>
      </c>
      <c r="BB724">
        <v>0</v>
      </c>
      <c r="BC724" t="str">
        <f t="shared" si="178"/>
        <v>0-1</v>
      </c>
      <c r="BD724">
        <v>2</v>
      </c>
      <c r="BE724" t="str">
        <f t="shared" si="179"/>
        <v>2-5</v>
      </c>
    </row>
    <row r="725" spans="1:57" x14ac:dyDescent="0.3">
      <c r="A725">
        <v>1007</v>
      </c>
      <c r="B725">
        <v>46</v>
      </c>
      <c r="C725" t="str">
        <f t="shared" si="166"/>
        <v>46-55</v>
      </c>
      <c r="D725" t="s">
        <v>71</v>
      </c>
      <c r="E725">
        <f t="shared" si="167"/>
        <v>0</v>
      </c>
      <c r="F725" t="s">
        <v>57</v>
      </c>
      <c r="G725">
        <v>566</v>
      </c>
      <c r="H725" t="str">
        <f t="shared" si="168"/>
        <v>501-1000</v>
      </c>
      <c r="I725" t="s">
        <v>73</v>
      </c>
      <c r="J725">
        <v>7</v>
      </c>
      <c r="K725" t="str">
        <f t="shared" si="169"/>
        <v>6-10</v>
      </c>
      <c r="L725">
        <v>2</v>
      </c>
      <c r="M725" t="s">
        <v>59</v>
      </c>
      <c r="N725" t="s">
        <v>83</v>
      </c>
      <c r="O725">
        <v>1</v>
      </c>
      <c r="P725">
        <v>4</v>
      </c>
      <c r="Q725" t="s">
        <v>65</v>
      </c>
      <c r="R725" t="s">
        <v>75</v>
      </c>
      <c r="S725">
        <v>75</v>
      </c>
      <c r="T725" t="str">
        <f t="shared" si="170"/>
        <v>51-75</v>
      </c>
      <c r="U725">
        <v>3</v>
      </c>
      <c r="V725" t="s">
        <v>63</v>
      </c>
      <c r="W725">
        <v>3</v>
      </c>
      <c r="X725" t="s">
        <v>87</v>
      </c>
      <c r="Y725">
        <v>3</v>
      </c>
      <c r="Z725" t="s">
        <v>63</v>
      </c>
      <c r="AA725" t="s">
        <v>86</v>
      </c>
      <c r="AB725" s="4">
        <v>10845</v>
      </c>
      <c r="AC725" s="4" t="str">
        <f t="shared" si="171"/>
        <v>$10,000-$11,500</v>
      </c>
      <c r="AD725">
        <v>24208</v>
      </c>
      <c r="AE725" t="str">
        <f t="shared" si="172"/>
        <v>$22,001-$26,999</v>
      </c>
      <c r="AF725">
        <v>6</v>
      </c>
      <c r="AG725" t="str">
        <f t="shared" si="173"/>
        <v>4-6</v>
      </c>
      <c r="AH725" t="s">
        <v>67</v>
      </c>
      <c r="AI725" t="s">
        <v>71</v>
      </c>
      <c r="AJ725">
        <v>13</v>
      </c>
      <c r="AK725" t="str">
        <f t="shared" si="174"/>
        <v>13-15%</v>
      </c>
      <c r="AL725">
        <v>3</v>
      </c>
      <c r="AM725" t="s">
        <v>68</v>
      </c>
      <c r="AN725">
        <v>2</v>
      </c>
      <c r="AO725" t="s">
        <v>61</v>
      </c>
      <c r="AP725">
        <v>80</v>
      </c>
      <c r="AQ725">
        <v>1</v>
      </c>
      <c r="AR725">
        <v>13</v>
      </c>
      <c r="AS725" t="str">
        <f t="shared" si="175"/>
        <v>11-20</v>
      </c>
      <c r="AT725">
        <v>3</v>
      </c>
      <c r="AU725" t="str">
        <f t="shared" si="176"/>
        <v>3-4</v>
      </c>
      <c r="AV725">
        <v>3</v>
      </c>
      <c r="AW725" t="s">
        <v>79</v>
      </c>
      <c r="AX725">
        <v>8</v>
      </c>
      <c r="AY725" t="str">
        <f t="shared" si="165"/>
        <v>6-10</v>
      </c>
      <c r="AZ725">
        <v>7</v>
      </c>
      <c r="BA725" t="str">
        <f t="shared" si="177"/>
        <v>6-10</v>
      </c>
      <c r="BB725">
        <v>0</v>
      </c>
      <c r="BC725" t="str">
        <f t="shared" si="178"/>
        <v>0-1</v>
      </c>
      <c r="BD725">
        <v>7</v>
      </c>
      <c r="BE725" t="str">
        <f t="shared" si="179"/>
        <v>6-10</v>
      </c>
    </row>
    <row r="726" spans="1:57" x14ac:dyDescent="0.3">
      <c r="A726">
        <v>1009</v>
      </c>
      <c r="B726">
        <v>24</v>
      </c>
      <c r="C726" t="str">
        <f t="shared" si="166"/>
        <v>18-25</v>
      </c>
      <c r="D726" t="s">
        <v>71</v>
      </c>
      <c r="E726">
        <f t="shared" si="167"/>
        <v>0</v>
      </c>
      <c r="F726" t="s">
        <v>57</v>
      </c>
      <c r="G726">
        <v>1206</v>
      </c>
      <c r="H726" t="str">
        <f t="shared" si="168"/>
        <v>1001-1499</v>
      </c>
      <c r="I726" t="s">
        <v>73</v>
      </c>
      <c r="J726">
        <v>17</v>
      </c>
      <c r="K726" t="str">
        <f t="shared" si="169"/>
        <v>11-20</v>
      </c>
      <c r="L726">
        <v>1</v>
      </c>
      <c r="M726" t="s">
        <v>74</v>
      </c>
      <c r="N726" t="s">
        <v>83</v>
      </c>
      <c r="O726">
        <v>1</v>
      </c>
      <c r="P726">
        <v>4</v>
      </c>
      <c r="Q726" t="s">
        <v>65</v>
      </c>
      <c r="R726" t="s">
        <v>62</v>
      </c>
      <c r="S726">
        <v>41</v>
      </c>
      <c r="T726" t="str">
        <f t="shared" si="170"/>
        <v>30-50</v>
      </c>
      <c r="U726">
        <v>2</v>
      </c>
      <c r="V726" t="s">
        <v>61</v>
      </c>
      <c r="W726">
        <v>2</v>
      </c>
      <c r="X726" t="s">
        <v>87</v>
      </c>
      <c r="Y726">
        <v>3</v>
      </c>
      <c r="Z726" t="s">
        <v>63</v>
      </c>
      <c r="AA726" t="s">
        <v>86</v>
      </c>
      <c r="AB726" s="4">
        <v>4377</v>
      </c>
      <c r="AC726" s="4" t="str">
        <f t="shared" si="171"/>
        <v>$4,000-$5,500</v>
      </c>
      <c r="AD726">
        <v>24117</v>
      </c>
      <c r="AE726" t="str">
        <f t="shared" si="172"/>
        <v>$22,001-$26,999</v>
      </c>
      <c r="AF726">
        <v>1</v>
      </c>
      <c r="AG726" t="str">
        <f t="shared" si="173"/>
        <v>0-1</v>
      </c>
      <c r="AH726" t="s">
        <v>67</v>
      </c>
      <c r="AI726" t="s">
        <v>71</v>
      </c>
      <c r="AJ726">
        <v>15</v>
      </c>
      <c r="AK726" t="str">
        <f t="shared" si="174"/>
        <v>13-15%</v>
      </c>
      <c r="AL726">
        <v>3</v>
      </c>
      <c r="AM726" t="s">
        <v>68</v>
      </c>
      <c r="AN726">
        <v>2</v>
      </c>
      <c r="AO726" t="s">
        <v>61</v>
      </c>
      <c r="AP726">
        <v>80</v>
      </c>
      <c r="AQ726">
        <v>2</v>
      </c>
      <c r="AR726">
        <v>5</v>
      </c>
      <c r="AS726" t="str">
        <f t="shared" si="175"/>
        <v>3-5</v>
      </c>
      <c r="AT726">
        <v>6</v>
      </c>
      <c r="AU726" t="str">
        <f t="shared" si="176"/>
        <v>5-6</v>
      </c>
      <c r="AV726">
        <v>3</v>
      </c>
      <c r="AW726" t="s">
        <v>79</v>
      </c>
      <c r="AX726">
        <v>4</v>
      </c>
      <c r="AY726" t="str">
        <f t="shared" si="165"/>
        <v>2-5</v>
      </c>
      <c r="AZ726">
        <v>2</v>
      </c>
      <c r="BA726" t="str">
        <f t="shared" si="177"/>
        <v>2-5</v>
      </c>
      <c r="BB726">
        <v>3</v>
      </c>
      <c r="BC726" t="str">
        <f t="shared" si="178"/>
        <v>2-5</v>
      </c>
      <c r="BD726">
        <v>2</v>
      </c>
      <c r="BE726" t="str">
        <f t="shared" si="179"/>
        <v>2-5</v>
      </c>
    </row>
    <row r="727" spans="1:57" x14ac:dyDescent="0.3">
      <c r="A727">
        <v>1010</v>
      </c>
      <c r="B727">
        <v>35</v>
      </c>
      <c r="C727" t="str">
        <f t="shared" si="166"/>
        <v>26-35</v>
      </c>
      <c r="D727" t="s">
        <v>56</v>
      </c>
      <c r="E727">
        <f t="shared" si="167"/>
        <v>1</v>
      </c>
      <c r="F727" t="s">
        <v>57</v>
      </c>
      <c r="G727">
        <v>622</v>
      </c>
      <c r="H727" t="str">
        <f t="shared" si="168"/>
        <v>501-1000</v>
      </c>
      <c r="I727" t="s">
        <v>73</v>
      </c>
      <c r="J727">
        <v>14</v>
      </c>
      <c r="K727" t="str">
        <f t="shared" si="169"/>
        <v>11-20</v>
      </c>
      <c r="L727">
        <v>4</v>
      </c>
      <c r="M727" t="s">
        <v>82</v>
      </c>
      <c r="N727" t="s">
        <v>80</v>
      </c>
      <c r="O727">
        <v>1</v>
      </c>
      <c r="P727">
        <v>3</v>
      </c>
      <c r="Q727" t="s">
        <v>63</v>
      </c>
      <c r="R727" t="s">
        <v>75</v>
      </c>
      <c r="S727">
        <v>39</v>
      </c>
      <c r="T727" t="str">
        <f t="shared" si="170"/>
        <v>30-50</v>
      </c>
      <c r="U727">
        <v>2</v>
      </c>
      <c r="V727" t="s">
        <v>61</v>
      </c>
      <c r="W727">
        <v>1</v>
      </c>
      <c r="X727" t="s">
        <v>81</v>
      </c>
      <c r="Y727">
        <v>2</v>
      </c>
      <c r="Z727" t="s">
        <v>61</v>
      </c>
      <c r="AA727" t="s">
        <v>86</v>
      </c>
      <c r="AB727" s="4">
        <v>3743</v>
      </c>
      <c r="AC727" s="4" t="str">
        <f t="shared" si="171"/>
        <v>$2,500-$4,000</v>
      </c>
      <c r="AD727">
        <v>10074</v>
      </c>
      <c r="AE727" t="str">
        <f t="shared" si="172"/>
        <v>$8,001-$16,000</v>
      </c>
      <c r="AF727">
        <v>1</v>
      </c>
      <c r="AG727" t="str">
        <f t="shared" si="173"/>
        <v>0-1</v>
      </c>
      <c r="AH727" t="s">
        <v>67</v>
      </c>
      <c r="AI727" t="s">
        <v>56</v>
      </c>
      <c r="AJ727">
        <v>24</v>
      </c>
      <c r="AK727" t="str">
        <f t="shared" si="174"/>
        <v>18-19%</v>
      </c>
      <c r="AL727">
        <v>4</v>
      </c>
      <c r="AM727" t="s">
        <v>78</v>
      </c>
      <c r="AN727">
        <v>4</v>
      </c>
      <c r="AO727" t="s">
        <v>65</v>
      </c>
      <c r="AP727">
        <v>80</v>
      </c>
      <c r="AQ727">
        <v>1</v>
      </c>
      <c r="AR727">
        <v>5</v>
      </c>
      <c r="AS727" t="str">
        <f t="shared" si="175"/>
        <v>3-5</v>
      </c>
      <c r="AT727">
        <v>2</v>
      </c>
      <c r="AU727" t="str">
        <f t="shared" si="176"/>
        <v>0-2</v>
      </c>
      <c r="AV727">
        <v>1</v>
      </c>
      <c r="AW727" t="s">
        <v>70</v>
      </c>
      <c r="AX727">
        <v>4</v>
      </c>
      <c r="AY727" t="str">
        <f t="shared" si="165"/>
        <v>2-5</v>
      </c>
      <c r="AZ727">
        <v>2</v>
      </c>
      <c r="BA727" t="str">
        <f t="shared" si="177"/>
        <v>2-5</v>
      </c>
      <c r="BB727">
        <v>0</v>
      </c>
      <c r="BC727" t="str">
        <f t="shared" si="178"/>
        <v>0-1</v>
      </c>
      <c r="BD727">
        <v>2</v>
      </c>
      <c r="BE727" t="str">
        <f t="shared" si="179"/>
        <v>2-5</v>
      </c>
    </row>
    <row r="728" spans="1:57" x14ac:dyDescent="0.3">
      <c r="A728">
        <v>1011</v>
      </c>
      <c r="B728">
        <v>31</v>
      </c>
      <c r="C728" t="str">
        <f t="shared" si="166"/>
        <v>26-35</v>
      </c>
      <c r="D728" t="s">
        <v>71</v>
      </c>
      <c r="E728">
        <f t="shared" si="167"/>
        <v>0</v>
      </c>
      <c r="F728" t="s">
        <v>72</v>
      </c>
      <c r="G728">
        <v>853</v>
      </c>
      <c r="H728" t="str">
        <f t="shared" si="168"/>
        <v>501-1000</v>
      </c>
      <c r="I728" t="s">
        <v>73</v>
      </c>
      <c r="J728">
        <v>1</v>
      </c>
      <c r="K728" t="str">
        <f t="shared" si="169"/>
        <v>1-5</v>
      </c>
      <c r="L728">
        <v>1</v>
      </c>
      <c r="M728" t="s">
        <v>74</v>
      </c>
      <c r="N728" t="s">
        <v>60</v>
      </c>
      <c r="O728">
        <v>1</v>
      </c>
      <c r="P728">
        <v>3</v>
      </c>
      <c r="Q728" t="s">
        <v>63</v>
      </c>
      <c r="R728" t="s">
        <v>62</v>
      </c>
      <c r="S728">
        <v>96</v>
      </c>
      <c r="T728" t="str">
        <f t="shared" si="170"/>
        <v>76-100</v>
      </c>
      <c r="U728">
        <v>3</v>
      </c>
      <c r="V728" t="s">
        <v>63</v>
      </c>
      <c r="W728">
        <v>2</v>
      </c>
      <c r="X728" t="s">
        <v>87</v>
      </c>
      <c r="Y728">
        <v>1</v>
      </c>
      <c r="Z728" t="s">
        <v>69</v>
      </c>
      <c r="AA728" t="s">
        <v>77</v>
      </c>
      <c r="AB728" s="4">
        <v>4148</v>
      </c>
      <c r="AC728" s="4" t="str">
        <f t="shared" si="171"/>
        <v>$4,000-$5,500</v>
      </c>
      <c r="AD728">
        <v>11275</v>
      </c>
      <c r="AE728" t="str">
        <f t="shared" si="172"/>
        <v>$8,001-$16,000</v>
      </c>
      <c r="AF728">
        <v>1</v>
      </c>
      <c r="AG728" t="str">
        <f t="shared" si="173"/>
        <v>0-1</v>
      </c>
      <c r="AH728" t="s">
        <v>67</v>
      </c>
      <c r="AI728" t="s">
        <v>71</v>
      </c>
      <c r="AJ728">
        <v>12</v>
      </c>
      <c r="AK728" t="str">
        <f t="shared" si="174"/>
        <v>11-12%</v>
      </c>
      <c r="AL728">
        <v>3</v>
      </c>
      <c r="AM728" t="s">
        <v>68</v>
      </c>
      <c r="AN728">
        <v>3</v>
      </c>
      <c r="AO728" t="s">
        <v>63</v>
      </c>
      <c r="AP728">
        <v>80</v>
      </c>
      <c r="AQ728">
        <v>1</v>
      </c>
      <c r="AR728">
        <v>4</v>
      </c>
      <c r="AS728" t="str">
        <f t="shared" si="175"/>
        <v>3-5</v>
      </c>
      <c r="AT728">
        <v>1</v>
      </c>
      <c r="AU728" t="str">
        <f t="shared" si="176"/>
        <v>0-2</v>
      </c>
      <c r="AV728">
        <v>3</v>
      </c>
      <c r="AW728" t="s">
        <v>79</v>
      </c>
      <c r="AX728">
        <v>4</v>
      </c>
      <c r="AY728" t="str">
        <f t="shared" si="165"/>
        <v>2-5</v>
      </c>
      <c r="AZ728">
        <v>3</v>
      </c>
      <c r="BA728" t="str">
        <f t="shared" si="177"/>
        <v>2-5</v>
      </c>
      <c r="BB728">
        <v>0</v>
      </c>
      <c r="BC728" t="str">
        <f t="shared" si="178"/>
        <v>0-1</v>
      </c>
      <c r="BD728">
        <v>3</v>
      </c>
      <c r="BE728" t="str">
        <f t="shared" si="179"/>
        <v>2-5</v>
      </c>
    </row>
    <row r="729" spans="1:57" x14ac:dyDescent="0.3">
      <c r="A729">
        <v>1012</v>
      </c>
      <c r="B729">
        <v>18</v>
      </c>
      <c r="C729" t="str">
        <f t="shared" si="166"/>
        <v>18-25</v>
      </c>
      <c r="D729" t="s">
        <v>71</v>
      </c>
      <c r="E729">
        <f t="shared" si="167"/>
        <v>0</v>
      </c>
      <c r="F729" t="s">
        <v>89</v>
      </c>
      <c r="G729">
        <v>287</v>
      </c>
      <c r="H729" t="str">
        <f t="shared" si="168"/>
        <v>102-500</v>
      </c>
      <c r="I729" t="s">
        <v>73</v>
      </c>
      <c r="J729">
        <v>5</v>
      </c>
      <c r="K729" t="str">
        <f t="shared" si="169"/>
        <v>1-5</v>
      </c>
      <c r="L729">
        <v>2</v>
      </c>
      <c r="M729" t="s">
        <v>59</v>
      </c>
      <c r="N729" t="s">
        <v>60</v>
      </c>
      <c r="O729">
        <v>1</v>
      </c>
      <c r="P729">
        <v>2</v>
      </c>
      <c r="Q729" t="s">
        <v>61</v>
      </c>
      <c r="R729" t="s">
        <v>75</v>
      </c>
      <c r="S729">
        <v>73</v>
      </c>
      <c r="T729" t="str">
        <f t="shared" si="170"/>
        <v>51-75</v>
      </c>
      <c r="U729">
        <v>3</v>
      </c>
      <c r="V729" t="s">
        <v>63</v>
      </c>
      <c r="W729">
        <v>1</v>
      </c>
      <c r="X729" t="s">
        <v>76</v>
      </c>
      <c r="Y729">
        <v>4</v>
      </c>
      <c r="Z729" t="s">
        <v>65</v>
      </c>
      <c r="AA729" t="s">
        <v>66</v>
      </c>
      <c r="AB729" s="4">
        <v>1051</v>
      </c>
      <c r="AC729" s="4" t="str">
        <f t="shared" si="171"/>
        <v>$1,000-$2,500</v>
      </c>
      <c r="AD729">
        <v>13493</v>
      </c>
      <c r="AE729" t="str">
        <f t="shared" si="172"/>
        <v>$8,001-$16,000</v>
      </c>
      <c r="AF729">
        <v>1</v>
      </c>
      <c r="AG729" t="str">
        <f t="shared" si="173"/>
        <v>0-1</v>
      </c>
      <c r="AH729" t="s">
        <v>67</v>
      </c>
      <c r="AI729" t="s">
        <v>71</v>
      </c>
      <c r="AJ729">
        <v>15</v>
      </c>
      <c r="AK729" t="str">
        <f t="shared" si="174"/>
        <v>13-15%</v>
      </c>
      <c r="AL729">
        <v>3</v>
      </c>
      <c r="AM729" t="s">
        <v>68</v>
      </c>
      <c r="AN729">
        <v>4</v>
      </c>
      <c r="AO729" t="s">
        <v>65</v>
      </c>
      <c r="AP729">
        <v>80</v>
      </c>
      <c r="AQ729">
        <v>0</v>
      </c>
      <c r="AR729">
        <v>0</v>
      </c>
      <c r="AS729" t="str">
        <f t="shared" si="175"/>
        <v>0-2</v>
      </c>
      <c r="AT729">
        <v>2</v>
      </c>
      <c r="AU729" t="str">
        <f t="shared" si="176"/>
        <v>0-2</v>
      </c>
      <c r="AV729">
        <v>3</v>
      </c>
      <c r="AW729" t="s">
        <v>79</v>
      </c>
      <c r="AX729">
        <v>0</v>
      </c>
      <c r="AY729" t="str">
        <f t="shared" si="165"/>
        <v>0-1</v>
      </c>
      <c r="AZ729">
        <v>0</v>
      </c>
      <c r="BA729" t="str">
        <f t="shared" si="177"/>
        <v>0-1</v>
      </c>
      <c r="BB729">
        <v>0</v>
      </c>
      <c r="BC729" t="str">
        <f t="shared" si="178"/>
        <v>0-1</v>
      </c>
      <c r="BD729">
        <v>0</v>
      </c>
      <c r="BE729" t="str">
        <f t="shared" si="179"/>
        <v>0-1</v>
      </c>
    </row>
    <row r="730" spans="1:57" x14ac:dyDescent="0.3">
      <c r="A730">
        <v>1013</v>
      </c>
      <c r="B730">
        <v>54</v>
      </c>
      <c r="C730" t="str">
        <f t="shared" si="166"/>
        <v>46-55</v>
      </c>
      <c r="D730" t="s">
        <v>71</v>
      </c>
      <c r="E730">
        <f t="shared" si="167"/>
        <v>0</v>
      </c>
      <c r="F730" t="s">
        <v>57</v>
      </c>
      <c r="G730">
        <v>1441</v>
      </c>
      <c r="H730" t="str">
        <f t="shared" si="168"/>
        <v>1001-1499</v>
      </c>
      <c r="I730" t="s">
        <v>73</v>
      </c>
      <c r="J730">
        <v>17</v>
      </c>
      <c r="K730" t="str">
        <f t="shared" si="169"/>
        <v>11-20</v>
      </c>
      <c r="L730">
        <v>3</v>
      </c>
      <c r="M730" t="s">
        <v>85</v>
      </c>
      <c r="N730" t="s">
        <v>95</v>
      </c>
      <c r="O730">
        <v>1</v>
      </c>
      <c r="P730">
        <v>3</v>
      </c>
      <c r="Q730" t="s">
        <v>63</v>
      </c>
      <c r="R730" t="s">
        <v>62</v>
      </c>
      <c r="S730">
        <v>56</v>
      </c>
      <c r="T730" t="str">
        <f t="shared" si="170"/>
        <v>51-75</v>
      </c>
      <c r="U730">
        <v>3</v>
      </c>
      <c r="V730" t="s">
        <v>63</v>
      </c>
      <c r="W730">
        <v>3</v>
      </c>
      <c r="X730" t="s">
        <v>87</v>
      </c>
      <c r="Y730">
        <v>3</v>
      </c>
      <c r="Z730" t="s">
        <v>63</v>
      </c>
      <c r="AA730" t="s">
        <v>77</v>
      </c>
      <c r="AB730" s="4">
        <v>10739</v>
      </c>
      <c r="AC730" s="4" t="str">
        <f t="shared" si="171"/>
        <v>$10,000-$11,500</v>
      </c>
      <c r="AD730">
        <v>13943</v>
      </c>
      <c r="AE730" t="str">
        <f t="shared" si="172"/>
        <v>$8,001-$16,000</v>
      </c>
      <c r="AF730">
        <v>8</v>
      </c>
      <c r="AG730" t="str">
        <f t="shared" si="173"/>
        <v>7-9</v>
      </c>
      <c r="AH730" t="s">
        <v>67</v>
      </c>
      <c r="AI730" t="s">
        <v>71</v>
      </c>
      <c r="AJ730">
        <v>11</v>
      </c>
      <c r="AK730" t="str">
        <f t="shared" si="174"/>
        <v>11-12%</v>
      </c>
      <c r="AL730">
        <v>3</v>
      </c>
      <c r="AM730" t="s">
        <v>68</v>
      </c>
      <c r="AN730">
        <v>3</v>
      </c>
      <c r="AO730" t="s">
        <v>63</v>
      </c>
      <c r="AP730">
        <v>80</v>
      </c>
      <c r="AQ730">
        <v>1</v>
      </c>
      <c r="AR730">
        <v>22</v>
      </c>
      <c r="AS730" t="str">
        <f t="shared" si="175"/>
        <v>21-40</v>
      </c>
      <c r="AT730">
        <v>2</v>
      </c>
      <c r="AU730" t="str">
        <f t="shared" si="176"/>
        <v>0-2</v>
      </c>
      <c r="AV730">
        <v>3</v>
      </c>
      <c r="AW730" t="s">
        <v>79</v>
      </c>
      <c r="AX730">
        <v>10</v>
      </c>
      <c r="AY730" t="str">
        <f t="shared" si="165"/>
        <v>6-10</v>
      </c>
      <c r="AZ730">
        <v>7</v>
      </c>
      <c r="BA730" t="str">
        <f t="shared" si="177"/>
        <v>6-10</v>
      </c>
      <c r="BB730">
        <v>0</v>
      </c>
      <c r="BC730" t="str">
        <f t="shared" si="178"/>
        <v>0-1</v>
      </c>
      <c r="BD730">
        <v>8</v>
      </c>
      <c r="BE730" t="str">
        <f t="shared" si="179"/>
        <v>6-10</v>
      </c>
    </row>
    <row r="731" spans="1:57" x14ac:dyDescent="0.3">
      <c r="A731">
        <v>1014</v>
      </c>
      <c r="B731">
        <v>35</v>
      </c>
      <c r="C731" t="str">
        <f t="shared" si="166"/>
        <v>26-35</v>
      </c>
      <c r="D731" t="s">
        <v>71</v>
      </c>
      <c r="E731">
        <f t="shared" si="167"/>
        <v>0</v>
      </c>
      <c r="F731" t="s">
        <v>57</v>
      </c>
      <c r="G731">
        <v>583</v>
      </c>
      <c r="H731" t="str">
        <f t="shared" si="168"/>
        <v>501-1000</v>
      </c>
      <c r="I731" t="s">
        <v>73</v>
      </c>
      <c r="J731">
        <v>25</v>
      </c>
      <c r="K731" t="str">
        <f t="shared" si="169"/>
        <v>21-29</v>
      </c>
      <c r="L731">
        <v>4</v>
      </c>
      <c r="M731" t="s">
        <v>82</v>
      </c>
      <c r="N731" t="s">
        <v>83</v>
      </c>
      <c r="O731">
        <v>1</v>
      </c>
      <c r="P731">
        <v>3</v>
      </c>
      <c r="Q731" t="s">
        <v>63</v>
      </c>
      <c r="R731" t="s">
        <v>62</v>
      </c>
      <c r="S731">
        <v>57</v>
      </c>
      <c r="T731" t="str">
        <f t="shared" si="170"/>
        <v>51-75</v>
      </c>
      <c r="U731">
        <v>3</v>
      </c>
      <c r="V731" t="s">
        <v>63</v>
      </c>
      <c r="W731">
        <v>3</v>
      </c>
      <c r="X731" t="s">
        <v>88</v>
      </c>
      <c r="Y731">
        <v>3</v>
      </c>
      <c r="Z731" t="s">
        <v>63</v>
      </c>
      <c r="AA731" t="s">
        <v>86</v>
      </c>
      <c r="AB731" s="4">
        <v>10388</v>
      </c>
      <c r="AC731" s="4" t="str">
        <f t="shared" si="171"/>
        <v>$10,000-$11,500</v>
      </c>
      <c r="AD731">
        <v>6975</v>
      </c>
      <c r="AE731" t="str">
        <f t="shared" si="172"/>
        <v>$2,094-$8,000</v>
      </c>
      <c r="AF731">
        <v>1</v>
      </c>
      <c r="AG731" t="str">
        <f t="shared" si="173"/>
        <v>0-1</v>
      </c>
      <c r="AH731" t="s">
        <v>67</v>
      </c>
      <c r="AI731" t="s">
        <v>56</v>
      </c>
      <c r="AJ731">
        <v>11</v>
      </c>
      <c r="AK731" t="str">
        <f t="shared" si="174"/>
        <v>11-12%</v>
      </c>
      <c r="AL731">
        <v>3</v>
      </c>
      <c r="AM731" t="s">
        <v>68</v>
      </c>
      <c r="AN731">
        <v>3</v>
      </c>
      <c r="AO731" t="s">
        <v>63</v>
      </c>
      <c r="AP731">
        <v>80</v>
      </c>
      <c r="AQ731">
        <v>1</v>
      </c>
      <c r="AR731">
        <v>16</v>
      </c>
      <c r="AS731" t="str">
        <f t="shared" si="175"/>
        <v>11-20</v>
      </c>
      <c r="AT731">
        <v>3</v>
      </c>
      <c r="AU731" t="str">
        <f t="shared" si="176"/>
        <v>3-4</v>
      </c>
      <c r="AV731">
        <v>2</v>
      </c>
      <c r="AW731" t="s">
        <v>84</v>
      </c>
      <c r="AX731">
        <v>16</v>
      </c>
      <c r="AY731" t="str">
        <f t="shared" si="165"/>
        <v>11-20</v>
      </c>
      <c r="AZ731">
        <v>10</v>
      </c>
      <c r="BA731" t="str">
        <f t="shared" si="177"/>
        <v>6-10</v>
      </c>
      <c r="BB731">
        <v>10</v>
      </c>
      <c r="BC731" t="str">
        <f t="shared" si="178"/>
        <v>6-10</v>
      </c>
      <c r="BD731">
        <v>1</v>
      </c>
      <c r="BE731" t="str">
        <f t="shared" si="179"/>
        <v>0-1</v>
      </c>
    </row>
    <row r="732" spans="1:57" x14ac:dyDescent="0.3">
      <c r="A732">
        <v>1015</v>
      </c>
      <c r="B732">
        <v>30</v>
      </c>
      <c r="C732" t="str">
        <f t="shared" si="166"/>
        <v>26-35</v>
      </c>
      <c r="D732" t="s">
        <v>71</v>
      </c>
      <c r="E732">
        <f t="shared" si="167"/>
        <v>0</v>
      </c>
      <c r="F732" t="s">
        <v>57</v>
      </c>
      <c r="G732">
        <v>153</v>
      </c>
      <c r="H732" t="str">
        <f t="shared" si="168"/>
        <v>102-500</v>
      </c>
      <c r="I732" t="s">
        <v>73</v>
      </c>
      <c r="J732">
        <v>8</v>
      </c>
      <c r="K732" t="str">
        <f t="shared" si="169"/>
        <v>6-10</v>
      </c>
      <c r="L732">
        <v>2</v>
      </c>
      <c r="M732" t="s">
        <v>59</v>
      </c>
      <c r="N732" t="s">
        <v>60</v>
      </c>
      <c r="O732">
        <v>1</v>
      </c>
      <c r="P732">
        <v>2</v>
      </c>
      <c r="Q732" t="s">
        <v>61</v>
      </c>
      <c r="R732" t="s">
        <v>62</v>
      </c>
      <c r="S732">
        <v>73</v>
      </c>
      <c r="T732" t="str">
        <f t="shared" si="170"/>
        <v>51-75</v>
      </c>
      <c r="U732">
        <v>4</v>
      </c>
      <c r="V732" t="s">
        <v>65</v>
      </c>
      <c r="W732">
        <v>3</v>
      </c>
      <c r="X732" t="s">
        <v>92</v>
      </c>
      <c r="Y732">
        <v>1</v>
      </c>
      <c r="Z732" t="s">
        <v>69</v>
      </c>
      <c r="AA732" t="s">
        <v>77</v>
      </c>
      <c r="AB732" s="4">
        <v>11416</v>
      </c>
      <c r="AC732" s="4" t="str">
        <f t="shared" si="171"/>
        <v>$10,000-$11,500</v>
      </c>
      <c r="AD732">
        <v>17802</v>
      </c>
      <c r="AE732" t="str">
        <f t="shared" si="172"/>
        <v>$16,001-$22,000</v>
      </c>
      <c r="AF732">
        <v>0</v>
      </c>
      <c r="AG732" t="str">
        <f t="shared" si="173"/>
        <v>0-1</v>
      </c>
      <c r="AH732" t="s">
        <v>67</v>
      </c>
      <c r="AI732" t="s">
        <v>56</v>
      </c>
      <c r="AJ732">
        <v>12</v>
      </c>
      <c r="AK732" t="str">
        <f t="shared" si="174"/>
        <v>11-12%</v>
      </c>
      <c r="AL732">
        <v>3</v>
      </c>
      <c r="AM732" t="s">
        <v>68</v>
      </c>
      <c r="AN732">
        <v>3</v>
      </c>
      <c r="AO732" t="s">
        <v>63</v>
      </c>
      <c r="AP732">
        <v>80</v>
      </c>
      <c r="AQ732">
        <v>3</v>
      </c>
      <c r="AR732">
        <v>9</v>
      </c>
      <c r="AS732" t="str">
        <f t="shared" si="175"/>
        <v>6-10</v>
      </c>
      <c r="AT732">
        <v>4</v>
      </c>
      <c r="AU732" t="str">
        <f t="shared" si="176"/>
        <v>3-4</v>
      </c>
      <c r="AV732">
        <v>2</v>
      </c>
      <c r="AW732" t="s">
        <v>84</v>
      </c>
      <c r="AX732">
        <v>8</v>
      </c>
      <c r="AY732" t="str">
        <f t="shared" si="165"/>
        <v>6-10</v>
      </c>
      <c r="AZ732">
        <v>7</v>
      </c>
      <c r="BA732" t="str">
        <f t="shared" si="177"/>
        <v>6-10</v>
      </c>
      <c r="BB732">
        <v>1</v>
      </c>
      <c r="BC732" t="str">
        <f t="shared" si="178"/>
        <v>0-1</v>
      </c>
      <c r="BD732">
        <v>7</v>
      </c>
      <c r="BE732" t="str">
        <f t="shared" si="179"/>
        <v>6-10</v>
      </c>
    </row>
    <row r="733" spans="1:57" x14ac:dyDescent="0.3">
      <c r="A733">
        <v>1016</v>
      </c>
      <c r="B733">
        <v>20</v>
      </c>
      <c r="C733" t="str">
        <f t="shared" si="166"/>
        <v>18-25</v>
      </c>
      <c r="D733" t="s">
        <v>56</v>
      </c>
      <c r="E733">
        <f t="shared" si="167"/>
        <v>1</v>
      </c>
      <c r="F733" t="s">
        <v>57</v>
      </c>
      <c r="G733">
        <v>1097</v>
      </c>
      <c r="H733" t="str">
        <f t="shared" si="168"/>
        <v>1001-1499</v>
      </c>
      <c r="I733" t="s">
        <v>73</v>
      </c>
      <c r="J733">
        <v>11</v>
      </c>
      <c r="K733" t="str">
        <f t="shared" si="169"/>
        <v>11-20</v>
      </c>
      <c r="L733">
        <v>3</v>
      </c>
      <c r="M733" t="s">
        <v>85</v>
      </c>
      <c r="N733" t="s">
        <v>83</v>
      </c>
      <c r="O733">
        <v>1</v>
      </c>
      <c r="P733">
        <v>4</v>
      </c>
      <c r="Q733" t="s">
        <v>65</v>
      </c>
      <c r="R733" t="s">
        <v>62</v>
      </c>
      <c r="S733">
        <v>98</v>
      </c>
      <c r="T733" t="str">
        <f t="shared" si="170"/>
        <v>76-100</v>
      </c>
      <c r="U733">
        <v>2</v>
      </c>
      <c r="V733" t="s">
        <v>61</v>
      </c>
      <c r="W733">
        <v>1</v>
      </c>
      <c r="X733" t="s">
        <v>76</v>
      </c>
      <c r="Y733">
        <v>1</v>
      </c>
      <c r="Z733" t="s">
        <v>69</v>
      </c>
      <c r="AA733" t="s">
        <v>66</v>
      </c>
      <c r="AB733" s="4">
        <v>2600</v>
      </c>
      <c r="AC733" s="4" t="str">
        <f t="shared" si="171"/>
        <v>$2,500-$4,000</v>
      </c>
      <c r="AD733">
        <v>18275</v>
      </c>
      <c r="AE733" t="str">
        <f t="shared" si="172"/>
        <v>$16,001-$22,000</v>
      </c>
      <c r="AF733">
        <v>1</v>
      </c>
      <c r="AG733" t="str">
        <f t="shared" si="173"/>
        <v>0-1</v>
      </c>
      <c r="AH733" t="s">
        <v>67</v>
      </c>
      <c r="AI733" t="s">
        <v>56</v>
      </c>
      <c r="AJ733">
        <v>15</v>
      </c>
      <c r="AK733" t="str">
        <f t="shared" si="174"/>
        <v>13-15%</v>
      </c>
      <c r="AL733">
        <v>3</v>
      </c>
      <c r="AM733" t="s">
        <v>68</v>
      </c>
      <c r="AN733">
        <v>1</v>
      </c>
      <c r="AO733" t="s">
        <v>69</v>
      </c>
      <c r="AP733">
        <v>80</v>
      </c>
      <c r="AQ733">
        <v>0</v>
      </c>
      <c r="AR733">
        <v>1</v>
      </c>
      <c r="AS733" t="str">
        <f t="shared" si="175"/>
        <v>0-2</v>
      </c>
      <c r="AT733">
        <v>2</v>
      </c>
      <c r="AU733" t="str">
        <f t="shared" si="176"/>
        <v>0-2</v>
      </c>
      <c r="AV733">
        <v>3</v>
      </c>
      <c r="AW733" t="s">
        <v>79</v>
      </c>
      <c r="AX733">
        <v>1</v>
      </c>
      <c r="AY733" t="str">
        <f t="shared" si="165"/>
        <v>0-1</v>
      </c>
      <c r="AZ733">
        <v>0</v>
      </c>
      <c r="BA733" t="str">
        <f t="shared" si="177"/>
        <v>0-1</v>
      </c>
      <c r="BB733">
        <v>0</v>
      </c>
      <c r="BC733" t="str">
        <f t="shared" si="178"/>
        <v>0-1</v>
      </c>
      <c r="BD733">
        <v>0</v>
      </c>
      <c r="BE733" t="str">
        <f t="shared" si="179"/>
        <v>0-1</v>
      </c>
    </row>
    <row r="734" spans="1:57" x14ac:dyDescent="0.3">
      <c r="A734">
        <v>1017</v>
      </c>
      <c r="B734">
        <v>30</v>
      </c>
      <c r="C734" t="str">
        <f t="shared" si="166"/>
        <v>26-35</v>
      </c>
      <c r="D734" t="s">
        <v>56</v>
      </c>
      <c r="E734">
        <f t="shared" si="167"/>
        <v>1</v>
      </c>
      <c r="F734" t="s">
        <v>72</v>
      </c>
      <c r="G734">
        <v>109</v>
      </c>
      <c r="H734" t="str">
        <f t="shared" si="168"/>
        <v>102-500</v>
      </c>
      <c r="I734" t="s">
        <v>73</v>
      </c>
      <c r="J734">
        <v>5</v>
      </c>
      <c r="K734" t="str">
        <f t="shared" si="169"/>
        <v>1-5</v>
      </c>
      <c r="L734">
        <v>3</v>
      </c>
      <c r="M734" t="s">
        <v>85</v>
      </c>
      <c r="N734" t="s">
        <v>83</v>
      </c>
      <c r="O734">
        <v>1</v>
      </c>
      <c r="P734">
        <v>2</v>
      </c>
      <c r="Q734" t="s">
        <v>61</v>
      </c>
      <c r="R734" t="s">
        <v>62</v>
      </c>
      <c r="S734">
        <v>60</v>
      </c>
      <c r="T734" t="str">
        <f t="shared" si="170"/>
        <v>51-75</v>
      </c>
      <c r="U734">
        <v>3</v>
      </c>
      <c r="V734" t="s">
        <v>63</v>
      </c>
      <c r="W734">
        <v>1</v>
      </c>
      <c r="X734" t="s">
        <v>81</v>
      </c>
      <c r="Y734">
        <v>2</v>
      </c>
      <c r="Z734" t="s">
        <v>61</v>
      </c>
      <c r="AA734" t="s">
        <v>66</v>
      </c>
      <c r="AB734" s="4">
        <v>2422</v>
      </c>
      <c r="AC734" s="4" t="str">
        <f t="shared" si="171"/>
        <v>$1,000-$2,500</v>
      </c>
      <c r="AD734">
        <v>25725</v>
      </c>
      <c r="AE734" t="str">
        <f t="shared" si="172"/>
        <v>$22,001-$26,999</v>
      </c>
      <c r="AF734">
        <v>0</v>
      </c>
      <c r="AG734" t="str">
        <f t="shared" si="173"/>
        <v>0-1</v>
      </c>
      <c r="AH734" t="s">
        <v>67</v>
      </c>
      <c r="AI734" t="s">
        <v>71</v>
      </c>
      <c r="AJ734">
        <v>17</v>
      </c>
      <c r="AK734" t="str">
        <f t="shared" si="174"/>
        <v>16-17%</v>
      </c>
      <c r="AL734">
        <v>3</v>
      </c>
      <c r="AM734" t="s">
        <v>68</v>
      </c>
      <c r="AN734">
        <v>1</v>
      </c>
      <c r="AO734" t="s">
        <v>69</v>
      </c>
      <c r="AP734">
        <v>80</v>
      </c>
      <c r="AQ734">
        <v>0</v>
      </c>
      <c r="AR734">
        <v>4</v>
      </c>
      <c r="AS734" t="str">
        <f t="shared" si="175"/>
        <v>3-5</v>
      </c>
      <c r="AT734">
        <v>3</v>
      </c>
      <c r="AU734" t="str">
        <f t="shared" si="176"/>
        <v>3-4</v>
      </c>
      <c r="AV734">
        <v>3</v>
      </c>
      <c r="AW734" t="s">
        <v>79</v>
      </c>
      <c r="AX734">
        <v>3</v>
      </c>
      <c r="AY734" t="str">
        <f t="shared" si="165"/>
        <v>2-5</v>
      </c>
      <c r="AZ734">
        <v>2</v>
      </c>
      <c r="BA734" t="str">
        <f t="shared" si="177"/>
        <v>2-5</v>
      </c>
      <c r="BB734">
        <v>1</v>
      </c>
      <c r="BC734" t="str">
        <f t="shared" si="178"/>
        <v>0-1</v>
      </c>
      <c r="BD734">
        <v>2</v>
      </c>
      <c r="BE734" t="str">
        <f t="shared" si="179"/>
        <v>2-5</v>
      </c>
    </row>
    <row r="735" spans="1:57" x14ac:dyDescent="0.3">
      <c r="A735">
        <v>1018</v>
      </c>
      <c r="B735">
        <v>26</v>
      </c>
      <c r="C735" t="str">
        <f t="shared" si="166"/>
        <v>26-35</v>
      </c>
      <c r="D735" t="s">
        <v>71</v>
      </c>
      <c r="E735">
        <f t="shared" si="167"/>
        <v>0</v>
      </c>
      <c r="F735" t="s">
        <v>57</v>
      </c>
      <c r="G735">
        <v>1066</v>
      </c>
      <c r="H735" t="str">
        <f t="shared" si="168"/>
        <v>1001-1499</v>
      </c>
      <c r="I735" t="s">
        <v>73</v>
      </c>
      <c r="J735">
        <v>2</v>
      </c>
      <c r="K735" t="str">
        <f t="shared" si="169"/>
        <v>1-5</v>
      </c>
      <c r="L735">
        <v>2</v>
      </c>
      <c r="M735" t="s">
        <v>59</v>
      </c>
      <c r="N735" t="s">
        <v>83</v>
      </c>
      <c r="O735">
        <v>1</v>
      </c>
      <c r="P735">
        <v>4</v>
      </c>
      <c r="Q735" t="s">
        <v>65</v>
      </c>
      <c r="R735" t="s">
        <v>75</v>
      </c>
      <c r="S735">
        <v>32</v>
      </c>
      <c r="T735" t="str">
        <f t="shared" si="170"/>
        <v>30-50</v>
      </c>
      <c r="U735">
        <v>4</v>
      </c>
      <c r="V735" t="s">
        <v>65</v>
      </c>
      <c r="W735">
        <v>2</v>
      </c>
      <c r="X735" t="s">
        <v>87</v>
      </c>
      <c r="Y735">
        <v>4</v>
      </c>
      <c r="Z735" t="s">
        <v>65</v>
      </c>
      <c r="AA735" t="s">
        <v>77</v>
      </c>
      <c r="AB735" s="4">
        <v>5472</v>
      </c>
      <c r="AC735" s="4" t="str">
        <f t="shared" si="171"/>
        <v>$4,000-$5,500</v>
      </c>
      <c r="AD735">
        <v>3334</v>
      </c>
      <c r="AE735" t="str">
        <f t="shared" si="172"/>
        <v>$2,094-$8,000</v>
      </c>
      <c r="AF735">
        <v>1</v>
      </c>
      <c r="AG735" t="str">
        <f t="shared" si="173"/>
        <v>0-1</v>
      </c>
      <c r="AH735" t="s">
        <v>67</v>
      </c>
      <c r="AI735" t="s">
        <v>71</v>
      </c>
      <c r="AJ735">
        <v>12</v>
      </c>
      <c r="AK735" t="str">
        <f t="shared" si="174"/>
        <v>11-12%</v>
      </c>
      <c r="AL735">
        <v>3</v>
      </c>
      <c r="AM735" t="s">
        <v>68</v>
      </c>
      <c r="AN735">
        <v>2</v>
      </c>
      <c r="AO735" t="s">
        <v>61</v>
      </c>
      <c r="AP735">
        <v>80</v>
      </c>
      <c r="AQ735">
        <v>0</v>
      </c>
      <c r="AR735">
        <v>8</v>
      </c>
      <c r="AS735" t="str">
        <f t="shared" si="175"/>
        <v>6-10</v>
      </c>
      <c r="AT735">
        <v>2</v>
      </c>
      <c r="AU735" t="str">
        <f t="shared" si="176"/>
        <v>0-2</v>
      </c>
      <c r="AV735">
        <v>3</v>
      </c>
      <c r="AW735" t="s">
        <v>79</v>
      </c>
      <c r="AX735">
        <v>8</v>
      </c>
      <c r="AY735" t="str">
        <f t="shared" si="165"/>
        <v>6-10</v>
      </c>
      <c r="AZ735">
        <v>7</v>
      </c>
      <c r="BA735" t="str">
        <f t="shared" si="177"/>
        <v>6-10</v>
      </c>
      <c r="BB735">
        <v>1</v>
      </c>
      <c r="BC735" t="str">
        <f t="shared" si="178"/>
        <v>0-1</v>
      </c>
      <c r="BD735">
        <v>3</v>
      </c>
      <c r="BE735" t="str">
        <f t="shared" si="179"/>
        <v>2-5</v>
      </c>
    </row>
    <row r="736" spans="1:57" x14ac:dyDescent="0.3">
      <c r="A736">
        <v>1019</v>
      </c>
      <c r="B736">
        <v>22</v>
      </c>
      <c r="C736" t="str">
        <f t="shared" si="166"/>
        <v>18-25</v>
      </c>
      <c r="D736" t="s">
        <v>71</v>
      </c>
      <c r="E736">
        <f t="shared" si="167"/>
        <v>0</v>
      </c>
      <c r="F736" t="s">
        <v>57</v>
      </c>
      <c r="G736">
        <v>217</v>
      </c>
      <c r="H736" t="str">
        <f t="shared" si="168"/>
        <v>102-500</v>
      </c>
      <c r="I736" t="s">
        <v>73</v>
      </c>
      <c r="J736">
        <v>8</v>
      </c>
      <c r="K736" t="str">
        <f t="shared" si="169"/>
        <v>6-10</v>
      </c>
      <c r="L736">
        <v>1</v>
      </c>
      <c r="M736" t="s">
        <v>74</v>
      </c>
      <c r="N736" t="s">
        <v>60</v>
      </c>
      <c r="O736">
        <v>1</v>
      </c>
      <c r="P736">
        <v>2</v>
      </c>
      <c r="Q736" t="s">
        <v>61</v>
      </c>
      <c r="R736" t="s">
        <v>75</v>
      </c>
      <c r="S736">
        <v>94</v>
      </c>
      <c r="T736" t="str">
        <f t="shared" si="170"/>
        <v>76-100</v>
      </c>
      <c r="U736">
        <v>1</v>
      </c>
      <c r="V736" t="s">
        <v>69</v>
      </c>
      <c r="W736">
        <v>1</v>
      </c>
      <c r="X736" t="s">
        <v>81</v>
      </c>
      <c r="Y736">
        <v>1</v>
      </c>
      <c r="Z736" t="s">
        <v>69</v>
      </c>
      <c r="AA736" t="s">
        <v>77</v>
      </c>
      <c r="AB736" s="4">
        <v>2451</v>
      </c>
      <c r="AC736" s="4" t="str">
        <f t="shared" si="171"/>
        <v>$1,000-$2,500</v>
      </c>
      <c r="AD736">
        <v>6881</v>
      </c>
      <c r="AE736" t="str">
        <f t="shared" si="172"/>
        <v>$2,094-$8,000</v>
      </c>
      <c r="AF736">
        <v>1</v>
      </c>
      <c r="AG736" t="str">
        <f t="shared" si="173"/>
        <v>0-1</v>
      </c>
      <c r="AH736" t="s">
        <v>67</v>
      </c>
      <c r="AI736" t="s">
        <v>71</v>
      </c>
      <c r="AJ736">
        <v>15</v>
      </c>
      <c r="AK736" t="str">
        <f t="shared" si="174"/>
        <v>13-15%</v>
      </c>
      <c r="AL736">
        <v>3</v>
      </c>
      <c r="AM736" t="s">
        <v>68</v>
      </c>
      <c r="AN736">
        <v>1</v>
      </c>
      <c r="AO736" t="s">
        <v>69</v>
      </c>
      <c r="AP736">
        <v>80</v>
      </c>
      <c r="AQ736">
        <v>1</v>
      </c>
      <c r="AR736">
        <v>4</v>
      </c>
      <c r="AS736" t="str">
        <f t="shared" si="175"/>
        <v>3-5</v>
      </c>
      <c r="AT736">
        <v>3</v>
      </c>
      <c r="AU736" t="str">
        <f t="shared" si="176"/>
        <v>3-4</v>
      </c>
      <c r="AV736">
        <v>2</v>
      </c>
      <c r="AW736" t="s">
        <v>84</v>
      </c>
      <c r="AX736">
        <v>4</v>
      </c>
      <c r="AY736" t="str">
        <f t="shared" si="165"/>
        <v>2-5</v>
      </c>
      <c r="AZ736">
        <v>3</v>
      </c>
      <c r="BA736" t="str">
        <f t="shared" si="177"/>
        <v>2-5</v>
      </c>
      <c r="BB736">
        <v>1</v>
      </c>
      <c r="BC736" t="str">
        <f t="shared" si="178"/>
        <v>0-1</v>
      </c>
      <c r="BD736">
        <v>1</v>
      </c>
      <c r="BE736" t="str">
        <f t="shared" si="179"/>
        <v>0-1</v>
      </c>
    </row>
    <row r="737" spans="1:57" x14ac:dyDescent="0.3">
      <c r="A737">
        <v>1022</v>
      </c>
      <c r="B737">
        <v>48</v>
      </c>
      <c r="C737" t="str">
        <f t="shared" si="166"/>
        <v>46-55</v>
      </c>
      <c r="D737" t="s">
        <v>71</v>
      </c>
      <c r="E737">
        <f t="shared" si="167"/>
        <v>0</v>
      </c>
      <c r="F737" t="s">
        <v>57</v>
      </c>
      <c r="G737">
        <v>277</v>
      </c>
      <c r="H737" t="str">
        <f t="shared" si="168"/>
        <v>102-500</v>
      </c>
      <c r="I737" t="s">
        <v>73</v>
      </c>
      <c r="J737">
        <v>6</v>
      </c>
      <c r="K737" t="str">
        <f t="shared" si="169"/>
        <v>6-10</v>
      </c>
      <c r="L737">
        <v>3</v>
      </c>
      <c r="M737" t="s">
        <v>85</v>
      </c>
      <c r="N737" t="s">
        <v>60</v>
      </c>
      <c r="O737">
        <v>1</v>
      </c>
      <c r="P737">
        <v>1</v>
      </c>
      <c r="Q737" t="s">
        <v>69</v>
      </c>
      <c r="R737" t="s">
        <v>75</v>
      </c>
      <c r="S737">
        <v>97</v>
      </c>
      <c r="T737" t="str">
        <f t="shared" si="170"/>
        <v>76-100</v>
      </c>
      <c r="U737">
        <v>2</v>
      </c>
      <c r="V737" t="s">
        <v>61</v>
      </c>
      <c r="W737">
        <v>2</v>
      </c>
      <c r="X737" t="s">
        <v>88</v>
      </c>
      <c r="Y737">
        <v>3</v>
      </c>
      <c r="Z737" t="s">
        <v>63</v>
      </c>
      <c r="AA737" t="s">
        <v>66</v>
      </c>
      <c r="AB737" s="4">
        <v>4240</v>
      </c>
      <c r="AC737" s="4" t="str">
        <f t="shared" si="171"/>
        <v>$4,000-$5,500</v>
      </c>
      <c r="AD737">
        <v>13119</v>
      </c>
      <c r="AE737" t="str">
        <f t="shared" si="172"/>
        <v>$8,001-$16,000</v>
      </c>
      <c r="AF737">
        <v>2</v>
      </c>
      <c r="AG737" t="str">
        <f t="shared" si="173"/>
        <v>2-3</v>
      </c>
      <c r="AH737" t="s">
        <v>67</v>
      </c>
      <c r="AI737" t="s">
        <v>71</v>
      </c>
      <c r="AJ737">
        <v>13</v>
      </c>
      <c r="AK737" t="str">
        <f t="shared" si="174"/>
        <v>13-15%</v>
      </c>
      <c r="AL737">
        <v>3</v>
      </c>
      <c r="AM737" t="s">
        <v>68</v>
      </c>
      <c r="AN737">
        <v>4</v>
      </c>
      <c r="AO737" t="s">
        <v>65</v>
      </c>
      <c r="AP737">
        <v>80</v>
      </c>
      <c r="AQ737">
        <v>0</v>
      </c>
      <c r="AR737">
        <v>19</v>
      </c>
      <c r="AS737" t="str">
        <f t="shared" si="175"/>
        <v>11-20</v>
      </c>
      <c r="AT737">
        <v>0</v>
      </c>
      <c r="AU737" t="str">
        <f t="shared" si="176"/>
        <v>0-2</v>
      </c>
      <c r="AV737">
        <v>3</v>
      </c>
      <c r="AW737" t="s">
        <v>79</v>
      </c>
      <c r="AX737">
        <v>2</v>
      </c>
      <c r="AY737" t="str">
        <f t="shared" si="165"/>
        <v>2-5</v>
      </c>
      <c r="AZ737">
        <v>2</v>
      </c>
      <c r="BA737" t="str">
        <f t="shared" si="177"/>
        <v>2-5</v>
      </c>
      <c r="BB737">
        <v>2</v>
      </c>
      <c r="BC737" t="str">
        <f t="shared" si="178"/>
        <v>2-5</v>
      </c>
      <c r="BD737">
        <v>2</v>
      </c>
      <c r="BE737" t="str">
        <f t="shared" si="179"/>
        <v>2-5</v>
      </c>
    </row>
    <row r="738" spans="1:57" x14ac:dyDescent="0.3">
      <c r="A738">
        <v>1024</v>
      </c>
      <c r="B738">
        <v>48</v>
      </c>
      <c r="C738" t="str">
        <f t="shared" si="166"/>
        <v>46-55</v>
      </c>
      <c r="D738" t="s">
        <v>71</v>
      </c>
      <c r="E738">
        <f t="shared" si="167"/>
        <v>0</v>
      </c>
      <c r="F738" t="s">
        <v>57</v>
      </c>
      <c r="G738">
        <v>1355</v>
      </c>
      <c r="H738" t="str">
        <f t="shared" si="168"/>
        <v>1001-1499</v>
      </c>
      <c r="I738" t="s">
        <v>73</v>
      </c>
      <c r="J738">
        <v>4</v>
      </c>
      <c r="K738" t="str">
        <f t="shared" si="169"/>
        <v>1-5</v>
      </c>
      <c r="L738">
        <v>4</v>
      </c>
      <c r="M738" t="s">
        <v>82</v>
      </c>
      <c r="N738" t="s">
        <v>60</v>
      </c>
      <c r="O738">
        <v>1</v>
      </c>
      <c r="P738">
        <v>3</v>
      </c>
      <c r="Q738" t="s">
        <v>63</v>
      </c>
      <c r="R738" t="s">
        <v>75</v>
      </c>
      <c r="S738">
        <v>78</v>
      </c>
      <c r="T738" t="str">
        <f t="shared" si="170"/>
        <v>76-100</v>
      </c>
      <c r="U738">
        <v>2</v>
      </c>
      <c r="V738" t="s">
        <v>61</v>
      </c>
      <c r="W738">
        <v>3</v>
      </c>
      <c r="X738" t="s">
        <v>88</v>
      </c>
      <c r="Y738">
        <v>3</v>
      </c>
      <c r="Z738" t="s">
        <v>63</v>
      </c>
      <c r="AA738" t="s">
        <v>66</v>
      </c>
      <c r="AB738" s="4">
        <v>10999</v>
      </c>
      <c r="AC738" s="4" t="str">
        <f t="shared" si="171"/>
        <v>$10,000-$11,500</v>
      </c>
      <c r="AD738">
        <v>22245</v>
      </c>
      <c r="AE738" t="str">
        <f t="shared" si="172"/>
        <v>$22,001-$26,999</v>
      </c>
      <c r="AF738">
        <v>7</v>
      </c>
      <c r="AG738" t="str">
        <f t="shared" si="173"/>
        <v>7-9</v>
      </c>
      <c r="AH738" t="s">
        <v>67</v>
      </c>
      <c r="AI738" t="s">
        <v>71</v>
      </c>
      <c r="AJ738">
        <v>14</v>
      </c>
      <c r="AK738" t="str">
        <f t="shared" si="174"/>
        <v>13-15%</v>
      </c>
      <c r="AL738">
        <v>3</v>
      </c>
      <c r="AM738" t="s">
        <v>68</v>
      </c>
      <c r="AN738">
        <v>2</v>
      </c>
      <c r="AO738" t="s">
        <v>61</v>
      </c>
      <c r="AP738">
        <v>80</v>
      </c>
      <c r="AQ738">
        <v>0</v>
      </c>
      <c r="AR738">
        <v>27</v>
      </c>
      <c r="AS738" t="str">
        <f t="shared" si="175"/>
        <v>21-40</v>
      </c>
      <c r="AT738">
        <v>3</v>
      </c>
      <c r="AU738" t="str">
        <f t="shared" si="176"/>
        <v>3-4</v>
      </c>
      <c r="AV738">
        <v>3</v>
      </c>
      <c r="AW738" t="s">
        <v>79</v>
      </c>
      <c r="AX738">
        <v>15</v>
      </c>
      <c r="AY738" t="str">
        <f t="shared" si="165"/>
        <v>11-20</v>
      </c>
      <c r="AZ738">
        <v>11</v>
      </c>
      <c r="BA738" t="str">
        <f t="shared" si="177"/>
        <v>11-18</v>
      </c>
      <c r="BB738">
        <v>4</v>
      </c>
      <c r="BC738" t="str">
        <f t="shared" si="178"/>
        <v>2-5</v>
      </c>
      <c r="BD738">
        <v>8</v>
      </c>
      <c r="BE738" t="str">
        <f t="shared" si="179"/>
        <v>6-10</v>
      </c>
    </row>
    <row r="739" spans="1:57" x14ac:dyDescent="0.3">
      <c r="A739">
        <v>1025</v>
      </c>
      <c r="B739">
        <v>41</v>
      </c>
      <c r="C739" t="str">
        <f t="shared" si="166"/>
        <v>36-45</v>
      </c>
      <c r="D739" t="s">
        <v>71</v>
      </c>
      <c r="E739">
        <f t="shared" si="167"/>
        <v>0</v>
      </c>
      <c r="F739" t="s">
        <v>57</v>
      </c>
      <c r="G739">
        <v>549</v>
      </c>
      <c r="H739" t="str">
        <f t="shared" si="168"/>
        <v>501-1000</v>
      </c>
      <c r="I739" t="s">
        <v>73</v>
      </c>
      <c r="J739">
        <v>7</v>
      </c>
      <c r="K739" t="str">
        <f t="shared" si="169"/>
        <v>6-10</v>
      </c>
      <c r="L739">
        <v>2</v>
      </c>
      <c r="M739" t="s">
        <v>59</v>
      </c>
      <c r="N739" t="s">
        <v>83</v>
      </c>
      <c r="O739">
        <v>1</v>
      </c>
      <c r="P739">
        <v>4</v>
      </c>
      <c r="Q739" t="s">
        <v>65</v>
      </c>
      <c r="R739" t="s">
        <v>62</v>
      </c>
      <c r="S739">
        <v>42</v>
      </c>
      <c r="T739" t="str">
        <f t="shared" si="170"/>
        <v>30-50</v>
      </c>
      <c r="U739">
        <v>3</v>
      </c>
      <c r="V739" t="s">
        <v>63</v>
      </c>
      <c r="W739">
        <v>2</v>
      </c>
      <c r="X739" t="s">
        <v>87</v>
      </c>
      <c r="Y739">
        <v>3</v>
      </c>
      <c r="Z739" t="s">
        <v>63</v>
      </c>
      <c r="AA739" t="s">
        <v>66</v>
      </c>
      <c r="AB739" s="4">
        <v>5003</v>
      </c>
      <c r="AC739" s="4" t="str">
        <f t="shared" si="171"/>
        <v>$4,000-$5,500</v>
      </c>
      <c r="AD739">
        <v>23371</v>
      </c>
      <c r="AE739" t="str">
        <f t="shared" si="172"/>
        <v>$22,001-$26,999</v>
      </c>
      <c r="AF739">
        <v>6</v>
      </c>
      <c r="AG739" t="str">
        <f t="shared" si="173"/>
        <v>4-6</v>
      </c>
      <c r="AH739" t="s">
        <v>67</v>
      </c>
      <c r="AI739" t="s">
        <v>71</v>
      </c>
      <c r="AJ739">
        <v>14</v>
      </c>
      <c r="AK739" t="str">
        <f t="shared" si="174"/>
        <v>13-15%</v>
      </c>
      <c r="AL739">
        <v>3</v>
      </c>
      <c r="AM739" t="s">
        <v>68</v>
      </c>
      <c r="AN739">
        <v>2</v>
      </c>
      <c r="AO739" t="s">
        <v>61</v>
      </c>
      <c r="AP739">
        <v>80</v>
      </c>
      <c r="AQ739">
        <v>0</v>
      </c>
      <c r="AR739">
        <v>8</v>
      </c>
      <c r="AS739" t="str">
        <f t="shared" si="175"/>
        <v>6-10</v>
      </c>
      <c r="AT739">
        <v>6</v>
      </c>
      <c r="AU739" t="str">
        <f t="shared" si="176"/>
        <v>5-6</v>
      </c>
      <c r="AV739">
        <v>3</v>
      </c>
      <c r="AW739" t="s">
        <v>79</v>
      </c>
      <c r="AX739">
        <v>2</v>
      </c>
      <c r="AY739" t="str">
        <f t="shared" si="165"/>
        <v>2-5</v>
      </c>
      <c r="AZ739">
        <v>2</v>
      </c>
      <c r="BA739" t="str">
        <f t="shared" si="177"/>
        <v>2-5</v>
      </c>
      <c r="BB739">
        <v>2</v>
      </c>
      <c r="BC739" t="str">
        <f t="shared" si="178"/>
        <v>2-5</v>
      </c>
      <c r="BD739">
        <v>1</v>
      </c>
      <c r="BE739" t="str">
        <f t="shared" si="179"/>
        <v>0-1</v>
      </c>
    </row>
    <row r="740" spans="1:57" x14ac:dyDescent="0.3">
      <c r="A740">
        <v>1026</v>
      </c>
      <c r="B740">
        <v>39</v>
      </c>
      <c r="C740" t="str">
        <f t="shared" si="166"/>
        <v>36-45</v>
      </c>
      <c r="D740" t="s">
        <v>71</v>
      </c>
      <c r="E740">
        <f t="shared" si="167"/>
        <v>0</v>
      </c>
      <c r="F740" t="s">
        <v>57</v>
      </c>
      <c r="G740">
        <v>466</v>
      </c>
      <c r="H740" t="str">
        <f t="shared" si="168"/>
        <v>102-500</v>
      </c>
      <c r="I740" t="s">
        <v>73</v>
      </c>
      <c r="J740">
        <v>1</v>
      </c>
      <c r="K740" t="str">
        <f t="shared" si="169"/>
        <v>1-5</v>
      </c>
      <c r="L740">
        <v>1</v>
      </c>
      <c r="M740" t="s">
        <v>74</v>
      </c>
      <c r="N740" t="s">
        <v>60</v>
      </c>
      <c r="O740">
        <v>1</v>
      </c>
      <c r="P740">
        <v>4</v>
      </c>
      <c r="Q740" t="s">
        <v>65</v>
      </c>
      <c r="R740" t="s">
        <v>62</v>
      </c>
      <c r="S740">
        <v>65</v>
      </c>
      <c r="T740" t="str">
        <f t="shared" si="170"/>
        <v>51-75</v>
      </c>
      <c r="U740">
        <v>2</v>
      </c>
      <c r="V740" t="s">
        <v>61</v>
      </c>
      <c r="W740">
        <v>4</v>
      </c>
      <c r="X740" t="s">
        <v>87</v>
      </c>
      <c r="Y740">
        <v>4</v>
      </c>
      <c r="Z740" t="s">
        <v>65</v>
      </c>
      <c r="AA740" t="s">
        <v>77</v>
      </c>
      <c r="AB740" s="4">
        <v>12742</v>
      </c>
      <c r="AC740" s="4" t="str">
        <f t="shared" si="171"/>
        <v>$11,500-$13,000</v>
      </c>
      <c r="AD740">
        <v>7060</v>
      </c>
      <c r="AE740" t="str">
        <f t="shared" si="172"/>
        <v>$2,094-$8,000</v>
      </c>
      <c r="AF740">
        <v>1</v>
      </c>
      <c r="AG740" t="str">
        <f t="shared" si="173"/>
        <v>0-1</v>
      </c>
      <c r="AH740" t="s">
        <v>67</v>
      </c>
      <c r="AI740" t="s">
        <v>71</v>
      </c>
      <c r="AJ740">
        <v>16</v>
      </c>
      <c r="AK740" t="str">
        <f t="shared" si="174"/>
        <v>16-17%</v>
      </c>
      <c r="AL740">
        <v>3</v>
      </c>
      <c r="AM740" t="s">
        <v>68</v>
      </c>
      <c r="AN740">
        <v>3</v>
      </c>
      <c r="AO740" t="s">
        <v>63</v>
      </c>
      <c r="AP740">
        <v>80</v>
      </c>
      <c r="AQ740">
        <v>1</v>
      </c>
      <c r="AR740">
        <v>21</v>
      </c>
      <c r="AS740" t="str">
        <f t="shared" si="175"/>
        <v>21-40</v>
      </c>
      <c r="AT740">
        <v>3</v>
      </c>
      <c r="AU740" t="str">
        <f t="shared" si="176"/>
        <v>3-4</v>
      </c>
      <c r="AV740">
        <v>3</v>
      </c>
      <c r="AW740" t="s">
        <v>79</v>
      </c>
      <c r="AX740">
        <v>21</v>
      </c>
      <c r="AY740" t="str">
        <f t="shared" si="165"/>
        <v>21-40</v>
      </c>
      <c r="AZ740">
        <v>6</v>
      </c>
      <c r="BA740" t="str">
        <f t="shared" si="177"/>
        <v>6-10</v>
      </c>
      <c r="BB740">
        <v>11</v>
      </c>
      <c r="BC740" t="str">
        <f t="shared" si="178"/>
        <v>11-15</v>
      </c>
      <c r="BD740">
        <v>8</v>
      </c>
      <c r="BE740" t="str">
        <f t="shared" si="179"/>
        <v>6-10</v>
      </c>
    </row>
    <row r="741" spans="1:57" x14ac:dyDescent="0.3">
      <c r="A741">
        <v>1027</v>
      </c>
      <c r="B741">
        <v>27</v>
      </c>
      <c r="C741" t="str">
        <f t="shared" si="166"/>
        <v>26-35</v>
      </c>
      <c r="D741" t="s">
        <v>71</v>
      </c>
      <c r="E741">
        <f t="shared" si="167"/>
        <v>0</v>
      </c>
      <c r="F741" t="s">
        <v>57</v>
      </c>
      <c r="G741">
        <v>1055</v>
      </c>
      <c r="H741" t="str">
        <f t="shared" si="168"/>
        <v>1001-1499</v>
      </c>
      <c r="I741" t="s">
        <v>73</v>
      </c>
      <c r="J741">
        <v>2</v>
      </c>
      <c r="K741" t="str">
        <f t="shared" si="169"/>
        <v>1-5</v>
      </c>
      <c r="L741">
        <v>4</v>
      </c>
      <c r="M741" t="s">
        <v>82</v>
      </c>
      <c r="N741" t="s">
        <v>60</v>
      </c>
      <c r="O741">
        <v>1</v>
      </c>
      <c r="P741">
        <v>1</v>
      </c>
      <c r="Q741" t="s">
        <v>69</v>
      </c>
      <c r="R741" t="s">
        <v>62</v>
      </c>
      <c r="S741">
        <v>47</v>
      </c>
      <c r="T741" t="str">
        <f t="shared" si="170"/>
        <v>30-50</v>
      </c>
      <c r="U741">
        <v>3</v>
      </c>
      <c r="V741" t="s">
        <v>63</v>
      </c>
      <c r="W741">
        <v>2</v>
      </c>
      <c r="X741" t="s">
        <v>87</v>
      </c>
      <c r="Y741">
        <v>4</v>
      </c>
      <c r="Z741" t="s">
        <v>65</v>
      </c>
      <c r="AA741" t="s">
        <v>77</v>
      </c>
      <c r="AB741" s="4">
        <v>4227</v>
      </c>
      <c r="AC741" s="4" t="str">
        <f t="shared" si="171"/>
        <v>$4,000-$5,500</v>
      </c>
      <c r="AD741">
        <v>4658</v>
      </c>
      <c r="AE741" t="str">
        <f t="shared" si="172"/>
        <v>$2,094-$8,000</v>
      </c>
      <c r="AF741">
        <v>0</v>
      </c>
      <c r="AG741" t="str">
        <f t="shared" si="173"/>
        <v>0-1</v>
      </c>
      <c r="AH741" t="s">
        <v>67</v>
      </c>
      <c r="AI741" t="s">
        <v>71</v>
      </c>
      <c r="AJ741">
        <v>18</v>
      </c>
      <c r="AK741" t="str">
        <f t="shared" si="174"/>
        <v>18-19%</v>
      </c>
      <c r="AL741">
        <v>3</v>
      </c>
      <c r="AM741" t="s">
        <v>68</v>
      </c>
      <c r="AN741">
        <v>2</v>
      </c>
      <c r="AO741" t="s">
        <v>61</v>
      </c>
      <c r="AP741">
        <v>80</v>
      </c>
      <c r="AQ741">
        <v>1</v>
      </c>
      <c r="AR741">
        <v>4</v>
      </c>
      <c r="AS741" t="str">
        <f t="shared" si="175"/>
        <v>3-5</v>
      </c>
      <c r="AT741">
        <v>2</v>
      </c>
      <c r="AU741" t="str">
        <f t="shared" si="176"/>
        <v>0-2</v>
      </c>
      <c r="AV741">
        <v>3</v>
      </c>
      <c r="AW741" t="s">
        <v>79</v>
      </c>
      <c r="AX741">
        <v>3</v>
      </c>
      <c r="AY741" t="str">
        <f t="shared" si="165"/>
        <v>2-5</v>
      </c>
      <c r="AZ741">
        <v>2</v>
      </c>
      <c r="BA741" t="str">
        <f t="shared" si="177"/>
        <v>2-5</v>
      </c>
      <c r="BB741">
        <v>2</v>
      </c>
      <c r="BC741" t="str">
        <f t="shared" si="178"/>
        <v>2-5</v>
      </c>
      <c r="BD741">
        <v>2</v>
      </c>
      <c r="BE741" t="str">
        <f t="shared" si="179"/>
        <v>2-5</v>
      </c>
    </row>
    <row r="742" spans="1:57" x14ac:dyDescent="0.3">
      <c r="A742">
        <v>1028</v>
      </c>
      <c r="B742">
        <v>35</v>
      </c>
      <c r="C742" t="str">
        <f t="shared" si="166"/>
        <v>26-35</v>
      </c>
      <c r="D742" t="s">
        <v>71</v>
      </c>
      <c r="E742">
        <f t="shared" si="167"/>
        <v>0</v>
      </c>
      <c r="F742" t="s">
        <v>57</v>
      </c>
      <c r="G742">
        <v>802</v>
      </c>
      <c r="H742" t="str">
        <f t="shared" si="168"/>
        <v>501-1000</v>
      </c>
      <c r="I742" t="s">
        <v>73</v>
      </c>
      <c r="J742">
        <v>10</v>
      </c>
      <c r="K742" t="str">
        <f t="shared" si="169"/>
        <v>6-10</v>
      </c>
      <c r="L742">
        <v>3</v>
      </c>
      <c r="M742" t="s">
        <v>85</v>
      </c>
      <c r="N742" t="s">
        <v>80</v>
      </c>
      <c r="O742">
        <v>1</v>
      </c>
      <c r="P742">
        <v>2</v>
      </c>
      <c r="Q742" t="s">
        <v>61</v>
      </c>
      <c r="R742" t="s">
        <v>75</v>
      </c>
      <c r="S742">
        <v>45</v>
      </c>
      <c r="T742" t="str">
        <f t="shared" si="170"/>
        <v>30-50</v>
      </c>
      <c r="U742">
        <v>3</v>
      </c>
      <c r="V742" t="s">
        <v>63</v>
      </c>
      <c r="W742">
        <v>1</v>
      </c>
      <c r="X742" t="s">
        <v>81</v>
      </c>
      <c r="Y742">
        <v>4</v>
      </c>
      <c r="Z742" t="s">
        <v>65</v>
      </c>
      <c r="AA742" t="s">
        <v>86</v>
      </c>
      <c r="AB742" s="4">
        <v>3917</v>
      </c>
      <c r="AC742" s="4" t="str">
        <f t="shared" si="171"/>
        <v>$2,500-$4,000</v>
      </c>
      <c r="AD742">
        <v>9541</v>
      </c>
      <c r="AE742" t="str">
        <f t="shared" si="172"/>
        <v>$8,001-$16,000</v>
      </c>
      <c r="AF742">
        <v>1</v>
      </c>
      <c r="AG742" t="str">
        <f t="shared" si="173"/>
        <v>0-1</v>
      </c>
      <c r="AH742" t="s">
        <v>67</v>
      </c>
      <c r="AI742" t="s">
        <v>71</v>
      </c>
      <c r="AJ742">
        <v>20</v>
      </c>
      <c r="AK742" t="str">
        <f t="shared" si="174"/>
        <v>18-19%</v>
      </c>
      <c r="AL742">
        <v>4</v>
      </c>
      <c r="AM742" t="s">
        <v>78</v>
      </c>
      <c r="AN742">
        <v>1</v>
      </c>
      <c r="AO742" t="s">
        <v>69</v>
      </c>
      <c r="AP742">
        <v>80</v>
      </c>
      <c r="AQ742">
        <v>1</v>
      </c>
      <c r="AR742">
        <v>3</v>
      </c>
      <c r="AS742" t="str">
        <f t="shared" si="175"/>
        <v>3-5</v>
      </c>
      <c r="AT742">
        <v>4</v>
      </c>
      <c r="AU742" t="str">
        <f t="shared" si="176"/>
        <v>3-4</v>
      </c>
      <c r="AV742">
        <v>2</v>
      </c>
      <c r="AW742" t="s">
        <v>84</v>
      </c>
      <c r="AX742">
        <v>3</v>
      </c>
      <c r="AY742" t="str">
        <f t="shared" si="165"/>
        <v>2-5</v>
      </c>
      <c r="AZ742">
        <v>2</v>
      </c>
      <c r="BA742" t="str">
        <f t="shared" si="177"/>
        <v>2-5</v>
      </c>
      <c r="BB742">
        <v>1</v>
      </c>
      <c r="BC742" t="str">
        <f t="shared" si="178"/>
        <v>0-1</v>
      </c>
      <c r="BD742">
        <v>2</v>
      </c>
      <c r="BE742" t="str">
        <f t="shared" si="179"/>
        <v>2-5</v>
      </c>
    </row>
    <row r="743" spans="1:57" x14ac:dyDescent="0.3">
      <c r="A743">
        <v>1029</v>
      </c>
      <c r="B743">
        <v>42</v>
      </c>
      <c r="C743" t="str">
        <f t="shared" si="166"/>
        <v>36-45</v>
      </c>
      <c r="D743" t="s">
        <v>71</v>
      </c>
      <c r="E743">
        <f t="shared" si="167"/>
        <v>0</v>
      </c>
      <c r="F743" t="s">
        <v>57</v>
      </c>
      <c r="G743">
        <v>265</v>
      </c>
      <c r="H743" t="str">
        <f t="shared" si="168"/>
        <v>102-500</v>
      </c>
      <c r="I743" t="s">
        <v>58</v>
      </c>
      <c r="J743">
        <v>5</v>
      </c>
      <c r="K743" t="str">
        <f t="shared" si="169"/>
        <v>1-5</v>
      </c>
      <c r="L743">
        <v>2</v>
      </c>
      <c r="M743" t="s">
        <v>59</v>
      </c>
      <c r="N743" t="s">
        <v>93</v>
      </c>
      <c r="O743">
        <v>1</v>
      </c>
      <c r="P743">
        <v>4</v>
      </c>
      <c r="Q743" t="s">
        <v>65</v>
      </c>
      <c r="R743" t="s">
        <v>75</v>
      </c>
      <c r="S743">
        <v>90</v>
      </c>
      <c r="T743" t="str">
        <f t="shared" si="170"/>
        <v>76-100</v>
      </c>
      <c r="U743">
        <v>3</v>
      </c>
      <c r="V743" t="s">
        <v>63</v>
      </c>
      <c r="W743">
        <v>5</v>
      </c>
      <c r="X743" t="s">
        <v>90</v>
      </c>
      <c r="Y743">
        <v>3</v>
      </c>
      <c r="Z743" t="s">
        <v>63</v>
      </c>
      <c r="AA743" t="s">
        <v>77</v>
      </c>
      <c r="AB743" s="4">
        <v>18303</v>
      </c>
      <c r="AC743" s="4" t="str">
        <f t="shared" si="171"/>
        <v>$17,500-$19,000</v>
      </c>
      <c r="AD743">
        <v>7770</v>
      </c>
      <c r="AE743" t="str">
        <f t="shared" si="172"/>
        <v>$2,094-$8,000</v>
      </c>
      <c r="AF743">
        <v>6</v>
      </c>
      <c r="AG743" t="str">
        <f t="shared" si="173"/>
        <v>4-6</v>
      </c>
      <c r="AH743" t="s">
        <v>67</v>
      </c>
      <c r="AI743" t="s">
        <v>71</v>
      </c>
      <c r="AJ743">
        <v>13</v>
      </c>
      <c r="AK743" t="str">
        <f t="shared" si="174"/>
        <v>13-15%</v>
      </c>
      <c r="AL743">
        <v>3</v>
      </c>
      <c r="AM743" t="s">
        <v>68</v>
      </c>
      <c r="AN743">
        <v>2</v>
      </c>
      <c r="AO743" t="s">
        <v>61</v>
      </c>
      <c r="AP743">
        <v>80</v>
      </c>
      <c r="AQ743">
        <v>0</v>
      </c>
      <c r="AR743">
        <v>21</v>
      </c>
      <c r="AS743" t="str">
        <f t="shared" si="175"/>
        <v>21-40</v>
      </c>
      <c r="AT743">
        <v>3</v>
      </c>
      <c r="AU743" t="str">
        <f t="shared" si="176"/>
        <v>3-4</v>
      </c>
      <c r="AV743">
        <v>4</v>
      </c>
      <c r="AW743" t="s">
        <v>94</v>
      </c>
      <c r="AX743">
        <v>1</v>
      </c>
      <c r="AY743" t="str">
        <f t="shared" si="165"/>
        <v>0-1</v>
      </c>
      <c r="AZ743">
        <v>0</v>
      </c>
      <c r="BA743" t="str">
        <f t="shared" si="177"/>
        <v>0-1</v>
      </c>
      <c r="BB743">
        <v>0</v>
      </c>
      <c r="BC743" t="str">
        <f t="shared" si="178"/>
        <v>0-1</v>
      </c>
      <c r="BD743">
        <v>0</v>
      </c>
      <c r="BE743" t="str">
        <f t="shared" si="179"/>
        <v>0-1</v>
      </c>
    </row>
    <row r="744" spans="1:57" x14ac:dyDescent="0.3">
      <c r="A744">
        <v>1030</v>
      </c>
      <c r="B744">
        <v>50</v>
      </c>
      <c r="C744" t="str">
        <f t="shared" si="166"/>
        <v>46-55</v>
      </c>
      <c r="D744" t="s">
        <v>71</v>
      </c>
      <c r="E744">
        <f t="shared" si="167"/>
        <v>0</v>
      </c>
      <c r="F744" t="s">
        <v>57</v>
      </c>
      <c r="G744">
        <v>804</v>
      </c>
      <c r="H744" t="str">
        <f t="shared" si="168"/>
        <v>501-1000</v>
      </c>
      <c r="I744" t="s">
        <v>73</v>
      </c>
      <c r="J744">
        <v>9</v>
      </c>
      <c r="K744" t="str">
        <f t="shared" si="169"/>
        <v>6-10</v>
      </c>
      <c r="L744">
        <v>3</v>
      </c>
      <c r="M744" t="s">
        <v>85</v>
      </c>
      <c r="N744" t="s">
        <v>60</v>
      </c>
      <c r="O744">
        <v>1</v>
      </c>
      <c r="P744">
        <v>1</v>
      </c>
      <c r="Q744" t="s">
        <v>69</v>
      </c>
      <c r="R744" t="s">
        <v>75</v>
      </c>
      <c r="S744">
        <v>64</v>
      </c>
      <c r="T744" t="str">
        <f t="shared" si="170"/>
        <v>51-75</v>
      </c>
      <c r="U744">
        <v>3</v>
      </c>
      <c r="V744" t="s">
        <v>63</v>
      </c>
      <c r="W744">
        <v>1</v>
      </c>
      <c r="X744" t="s">
        <v>81</v>
      </c>
      <c r="Y744">
        <v>4</v>
      </c>
      <c r="Z744" t="s">
        <v>65</v>
      </c>
      <c r="AA744" t="s">
        <v>77</v>
      </c>
      <c r="AB744" s="4">
        <v>2380</v>
      </c>
      <c r="AC744" s="4" t="str">
        <f t="shared" si="171"/>
        <v>$1,000-$2,500</v>
      </c>
      <c r="AD744">
        <v>20165</v>
      </c>
      <c r="AE744" t="str">
        <f t="shared" si="172"/>
        <v>$16,001-$22,000</v>
      </c>
      <c r="AF744">
        <v>4</v>
      </c>
      <c r="AG744" t="str">
        <f t="shared" si="173"/>
        <v>4-6</v>
      </c>
      <c r="AH744" t="s">
        <v>67</v>
      </c>
      <c r="AI744" t="s">
        <v>71</v>
      </c>
      <c r="AJ744">
        <v>18</v>
      </c>
      <c r="AK744" t="str">
        <f t="shared" si="174"/>
        <v>18-19%</v>
      </c>
      <c r="AL744">
        <v>3</v>
      </c>
      <c r="AM744" t="s">
        <v>68</v>
      </c>
      <c r="AN744">
        <v>2</v>
      </c>
      <c r="AO744" t="s">
        <v>61</v>
      </c>
      <c r="AP744">
        <v>80</v>
      </c>
      <c r="AQ744">
        <v>0</v>
      </c>
      <c r="AR744">
        <v>8</v>
      </c>
      <c r="AS744" t="str">
        <f t="shared" si="175"/>
        <v>6-10</v>
      </c>
      <c r="AT744">
        <v>5</v>
      </c>
      <c r="AU744" t="str">
        <f t="shared" si="176"/>
        <v>5-6</v>
      </c>
      <c r="AV744">
        <v>3</v>
      </c>
      <c r="AW744" t="s">
        <v>79</v>
      </c>
      <c r="AX744">
        <v>1</v>
      </c>
      <c r="AY744" t="str">
        <f t="shared" si="165"/>
        <v>0-1</v>
      </c>
      <c r="AZ744">
        <v>0</v>
      </c>
      <c r="BA744" t="str">
        <f t="shared" si="177"/>
        <v>0-1</v>
      </c>
      <c r="BB744">
        <v>0</v>
      </c>
      <c r="BC744" t="str">
        <f t="shared" si="178"/>
        <v>0-1</v>
      </c>
      <c r="BD744">
        <v>0</v>
      </c>
      <c r="BE744" t="str">
        <f t="shared" si="179"/>
        <v>0-1</v>
      </c>
    </row>
    <row r="745" spans="1:57" x14ac:dyDescent="0.3">
      <c r="A745">
        <v>1032</v>
      </c>
      <c r="B745">
        <v>59</v>
      </c>
      <c r="C745" t="str">
        <f t="shared" si="166"/>
        <v>56+</v>
      </c>
      <c r="D745" t="s">
        <v>71</v>
      </c>
      <c r="E745">
        <f t="shared" si="167"/>
        <v>0</v>
      </c>
      <c r="F745" t="s">
        <v>57</v>
      </c>
      <c r="G745">
        <v>715</v>
      </c>
      <c r="H745" t="str">
        <f t="shared" si="168"/>
        <v>501-1000</v>
      </c>
      <c r="I745" t="s">
        <v>73</v>
      </c>
      <c r="J745">
        <v>2</v>
      </c>
      <c r="K745" t="str">
        <f t="shared" si="169"/>
        <v>1-5</v>
      </c>
      <c r="L745">
        <v>3</v>
      </c>
      <c r="M745" t="s">
        <v>85</v>
      </c>
      <c r="N745" t="s">
        <v>60</v>
      </c>
      <c r="O745">
        <v>1</v>
      </c>
      <c r="P745">
        <v>3</v>
      </c>
      <c r="Q745" t="s">
        <v>63</v>
      </c>
      <c r="R745" t="s">
        <v>62</v>
      </c>
      <c r="S745">
        <v>69</v>
      </c>
      <c r="T745" t="str">
        <f t="shared" si="170"/>
        <v>51-75</v>
      </c>
      <c r="U745">
        <v>2</v>
      </c>
      <c r="V745" t="s">
        <v>61</v>
      </c>
      <c r="W745">
        <v>4</v>
      </c>
      <c r="X745" t="s">
        <v>87</v>
      </c>
      <c r="Y745">
        <v>4</v>
      </c>
      <c r="Z745" t="s">
        <v>65</v>
      </c>
      <c r="AA745" t="s">
        <v>66</v>
      </c>
      <c r="AB745" s="4">
        <v>13726</v>
      </c>
      <c r="AC745" s="4" t="str">
        <f t="shared" si="171"/>
        <v>$13,000-$14,500</v>
      </c>
      <c r="AD745">
        <v>21829</v>
      </c>
      <c r="AE745" t="str">
        <f t="shared" si="172"/>
        <v>$16,001-$22,000</v>
      </c>
      <c r="AF745">
        <v>3</v>
      </c>
      <c r="AG745" t="str">
        <f t="shared" si="173"/>
        <v>2-3</v>
      </c>
      <c r="AH745" t="s">
        <v>67</v>
      </c>
      <c r="AI745" t="s">
        <v>56</v>
      </c>
      <c r="AJ745">
        <v>13</v>
      </c>
      <c r="AK745" t="str">
        <f t="shared" si="174"/>
        <v>13-15%</v>
      </c>
      <c r="AL745">
        <v>3</v>
      </c>
      <c r="AM745" t="s">
        <v>68</v>
      </c>
      <c r="AN745">
        <v>1</v>
      </c>
      <c r="AO745" t="s">
        <v>69</v>
      </c>
      <c r="AP745">
        <v>80</v>
      </c>
      <c r="AQ745">
        <v>0</v>
      </c>
      <c r="AR745">
        <v>30</v>
      </c>
      <c r="AS745" t="str">
        <f t="shared" si="175"/>
        <v>21-40</v>
      </c>
      <c r="AT745">
        <v>4</v>
      </c>
      <c r="AU745" t="str">
        <f t="shared" si="176"/>
        <v>3-4</v>
      </c>
      <c r="AV745">
        <v>3</v>
      </c>
      <c r="AW745" t="s">
        <v>79</v>
      </c>
      <c r="AX745">
        <v>5</v>
      </c>
      <c r="AY745" t="str">
        <f t="shared" si="165"/>
        <v>2-5</v>
      </c>
      <c r="AZ745">
        <v>3</v>
      </c>
      <c r="BA745" t="str">
        <f t="shared" si="177"/>
        <v>2-5</v>
      </c>
      <c r="BB745">
        <v>4</v>
      </c>
      <c r="BC745" t="str">
        <f t="shared" si="178"/>
        <v>2-5</v>
      </c>
      <c r="BD745">
        <v>3</v>
      </c>
      <c r="BE745" t="str">
        <f t="shared" si="179"/>
        <v>2-5</v>
      </c>
    </row>
    <row r="746" spans="1:57" x14ac:dyDescent="0.3">
      <c r="A746">
        <v>1033</v>
      </c>
      <c r="B746">
        <v>37</v>
      </c>
      <c r="C746" t="str">
        <f t="shared" si="166"/>
        <v>36-45</v>
      </c>
      <c r="D746" t="s">
        <v>56</v>
      </c>
      <c r="E746">
        <f t="shared" si="167"/>
        <v>1</v>
      </c>
      <c r="F746" t="s">
        <v>57</v>
      </c>
      <c r="G746">
        <v>1141</v>
      </c>
      <c r="H746" t="str">
        <f t="shared" si="168"/>
        <v>1001-1499</v>
      </c>
      <c r="I746" t="s">
        <v>73</v>
      </c>
      <c r="J746">
        <v>11</v>
      </c>
      <c r="K746" t="str">
        <f t="shared" si="169"/>
        <v>11-20</v>
      </c>
      <c r="L746">
        <v>2</v>
      </c>
      <c r="M746" t="s">
        <v>59</v>
      </c>
      <c r="N746" t="s">
        <v>83</v>
      </c>
      <c r="O746">
        <v>1</v>
      </c>
      <c r="P746">
        <v>1</v>
      </c>
      <c r="Q746" t="s">
        <v>69</v>
      </c>
      <c r="R746" t="s">
        <v>62</v>
      </c>
      <c r="S746">
        <v>61</v>
      </c>
      <c r="T746" t="str">
        <f t="shared" si="170"/>
        <v>51-75</v>
      </c>
      <c r="U746">
        <v>1</v>
      </c>
      <c r="V746" t="s">
        <v>69</v>
      </c>
      <c r="W746">
        <v>2</v>
      </c>
      <c r="X746" t="s">
        <v>88</v>
      </c>
      <c r="Y746">
        <v>2</v>
      </c>
      <c r="Z746" t="s">
        <v>61</v>
      </c>
      <c r="AA746" t="s">
        <v>77</v>
      </c>
      <c r="AB746" s="4">
        <v>4777</v>
      </c>
      <c r="AC746" s="4" t="str">
        <f t="shared" si="171"/>
        <v>$4,000-$5,500</v>
      </c>
      <c r="AD746">
        <v>14382</v>
      </c>
      <c r="AE746" t="str">
        <f t="shared" si="172"/>
        <v>$8,001-$16,000</v>
      </c>
      <c r="AF746">
        <v>5</v>
      </c>
      <c r="AG746" t="str">
        <f t="shared" si="173"/>
        <v>4-6</v>
      </c>
      <c r="AH746" t="s">
        <v>67</v>
      </c>
      <c r="AI746" t="s">
        <v>71</v>
      </c>
      <c r="AJ746">
        <v>15</v>
      </c>
      <c r="AK746" t="str">
        <f t="shared" si="174"/>
        <v>13-15%</v>
      </c>
      <c r="AL746">
        <v>3</v>
      </c>
      <c r="AM746" t="s">
        <v>68</v>
      </c>
      <c r="AN746">
        <v>1</v>
      </c>
      <c r="AO746" t="s">
        <v>69</v>
      </c>
      <c r="AP746">
        <v>80</v>
      </c>
      <c r="AQ746">
        <v>0</v>
      </c>
      <c r="AR746">
        <v>15</v>
      </c>
      <c r="AS746" t="str">
        <f t="shared" si="175"/>
        <v>11-20</v>
      </c>
      <c r="AT746">
        <v>2</v>
      </c>
      <c r="AU746" t="str">
        <f t="shared" si="176"/>
        <v>0-2</v>
      </c>
      <c r="AV746">
        <v>1</v>
      </c>
      <c r="AW746" t="s">
        <v>70</v>
      </c>
      <c r="AX746">
        <v>1</v>
      </c>
      <c r="AY746" t="str">
        <f t="shared" si="165"/>
        <v>0-1</v>
      </c>
      <c r="AZ746">
        <v>0</v>
      </c>
      <c r="BA746" t="str">
        <f t="shared" si="177"/>
        <v>0-1</v>
      </c>
      <c r="BB746">
        <v>0</v>
      </c>
      <c r="BC746" t="str">
        <f t="shared" si="178"/>
        <v>0-1</v>
      </c>
      <c r="BD746">
        <v>0</v>
      </c>
      <c r="BE746" t="str">
        <f t="shared" si="179"/>
        <v>0-1</v>
      </c>
    </row>
    <row r="747" spans="1:57" x14ac:dyDescent="0.3">
      <c r="A747">
        <v>1034</v>
      </c>
      <c r="B747">
        <v>55</v>
      </c>
      <c r="C747" t="str">
        <f t="shared" si="166"/>
        <v>46-55</v>
      </c>
      <c r="D747" t="s">
        <v>71</v>
      </c>
      <c r="E747">
        <f t="shared" si="167"/>
        <v>0</v>
      </c>
      <c r="F747" t="s">
        <v>72</v>
      </c>
      <c r="G747">
        <v>135</v>
      </c>
      <c r="H747" t="str">
        <f t="shared" si="168"/>
        <v>102-500</v>
      </c>
      <c r="I747" t="s">
        <v>73</v>
      </c>
      <c r="J747">
        <v>18</v>
      </c>
      <c r="K747" t="str">
        <f t="shared" si="169"/>
        <v>11-20</v>
      </c>
      <c r="L747">
        <v>4</v>
      </c>
      <c r="M747" t="s">
        <v>82</v>
      </c>
      <c r="N747" t="s">
        <v>83</v>
      </c>
      <c r="O747">
        <v>1</v>
      </c>
      <c r="P747">
        <v>3</v>
      </c>
      <c r="Q747" t="s">
        <v>63</v>
      </c>
      <c r="R747" t="s">
        <v>75</v>
      </c>
      <c r="S747">
        <v>62</v>
      </c>
      <c r="T747" t="str">
        <f t="shared" si="170"/>
        <v>51-75</v>
      </c>
      <c r="U747">
        <v>3</v>
      </c>
      <c r="V747" t="s">
        <v>63</v>
      </c>
      <c r="W747">
        <v>2</v>
      </c>
      <c r="X747" t="s">
        <v>88</v>
      </c>
      <c r="Y747">
        <v>2</v>
      </c>
      <c r="Z747" t="s">
        <v>61</v>
      </c>
      <c r="AA747" t="s">
        <v>77</v>
      </c>
      <c r="AB747" s="4">
        <v>6385</v>
      </c>
      <c r="AC747" s="4" t="str">
        <f t="shared" si="171"/>
        <v>$5,500-$7,000</v>
      </c>
      <c r="AD747">
        <v>12992</v>
      </c>
      <c r="AE747" t="str">
        <f t="shared" si="172"/>
        <v>$8,001-$16,000</v>
      </c>
      <c r="AF747">
        <v>3</v>
      </c>
      <c r="AG747" t="str">
        <f t="shared" si="173"/>
        <v>2-3</v>
      </c>
      <c r="AH747" t="s">
        <v>67</v>
      </c>
      <c r="AI747" t="s">
        <v>56</v>
      </c>
      <c r="AJ747">
        <v>14</v>
      </c>
      <c r="AK747" t="str">
        <f t="shared" si="174"/>
        <v>13-15%</v>
      </c>
      <c r="AL747">
        <v>3</v>
      </c>
      <c r="AM747" t="s">
        <v>68</v>
      </c>
      <c r="AN747">
        <v>4</v>
      </c>
      <c r="AO747" t="s">
        <v>65</v>
      </c>
      <c r="AP747">
        <v>80</v>
      </c>
      <c r="AQ747">
        <v>2</v>
      </c>
      <c r="AR747">
        <v>17</v>
      </c>
      <c r="AS747" t="str">
        <f t="shared" si="175"/>
        <v>11-20</v>
      </c>
      <c r="AT747">
        <v>3</v>
      </c>
      <c r="AU747" t="str">
        <f t="shared" si="176"/>
        <v>3-4</v>
      </c>
      <c r="AV747">
        <v>3</v>
      </c>
      <c r="AW747" t="s">
        <v>79</v>
      </c>
      <c r="AX747">
        <v>8</v>
      </c>
      <c r="AY747" t="str">
        <f t="shared" si="165"/>
        <v>6-10</v>
      </c>
      <c r="AZ747">
        <v>7</v>
      </c>
      <c r="BA747" t="str">
        <f t="shared" si="177"/>
        <v>6-10</v>
      </c>
      <c r="BB747">
        <v>6</v>
      </c>
      <c r="BC747" t="str">
        <f t="shared" si="178"/>
        <v>6-10</v>
      </c>
      <c r="BD747">
        <v>7</v>
      </c>
      <c r="BE747" t="str">
        <f t="shared" si="179"/>
        <v>6-10</v>
      </c>
    </row>
    <row r="748" spans="1:57" x14ac:dyDescent="0.3">
      <c r="A748">
        <v>1035</v>
      </c>
      <c r="B748">
        <v>41</v>
      </c>
      <c r="C748" t="str">
        <f t="shared" si="166"/>
        <v>36-45</v>
      </c>
      <c r="D748" t="s">
        <v>71</v>
      </c>
      <c r="E748">
        <f t="shared" si="167"/>
        <v>0</v>
      </c>
      <c r="F748" t="s">
        <v>89</v>
      </c>
      <c r="G748">
        <v>247</v>
      </c>
      <c r="H748" t="str">
        <f t="shared" si="168"/>
        <v>102-500</v>
      </c>
      <c r="I748" t="s">
        <v>73</v>
      </c>
      <c r="J748">
        <v>7</v>
      </c>
      <c r="K748" t="str">
        <f t="shared" si="169"/>
        <v>6-10</v>
      </c>
      <c r="L748">
        <v>1</v>
      </c>
      <c r="M748" t="s">
        <v>74</v>
      </c>
      <c r="N748" t="s">
        <v>60</v>
      </c>
      <c r="O748">
        <v>1</v>
      </c>
      <c r="P748">
        <v>2</v>
      </c>
      <c r="Q748" t="s">
        <v>61</v>
      </c>
      <c r="R748" t="s">
        <v>62</v>
      </c>
      <c r="S748">
        <v>55</v>
      </c>
      <c r="T748" t="str">
        <f t="shared" si="170"/>
        <v>51-75</v>
      </c>
      <c r="U748">
        <v>1</v>
      </c>
      <c r="V748" t="s">
        <v>69</v>
      </c>
      <c r="W748">
        <v>5</v>
      </c>
      <c r="X748" t="s">
        <v>92</v>
      </c>
      <c r="Y748">
        <v>3</v>
      </c>
      <c r="Z748" t="s">
        <v>63</v>
      </c>
      <c r="AA748" t="s">
        <v>86</v>
      </c>
      <c r="AB748" s="4">
        <v>19973</v>
      </c>
      <c r="AC748" s="4" t="str">
        <f t="shared" si="171"/>
        <v>$19,000-$20,500</v>
      </c>
      <c r="AD748">
        <v>20284</v>
      </c>
      <c r="AE748" t="str">
        <f t="shared" si="172"/>
        <v>$16,001-$22,000</v>
      </c>
      <c r="AF748">
        <v>1</v>
      </c>
      <c r="AG748" t="str">
        <f t="shared" si="173"/>
        <v>0-1</v>
      </c>
      <c r="AH748" t="s">
        <v>67</v>
      </c>
      <c r="AI748" t="s">
        <v>71</v>
      </c>
      <c r="AJ748">
        <v>22</v>
      </c>
      <c r="AK748" t="str">
        <f t="shared" si="174"/>
        <v>18-19%</v>
      </c>
      <c r="AL748">
        <v>4</v>
      </c>
      <c r="AM748" t="s">
        <v>78</v>
      </c>
      <c r="AN748">
        <v>2</v>
      </c>
      <c r="AO748" t="s">
        <v>61</v>
      </c>
      <c r="AP748">
        <v>80</v>
      </c>
      <c r="AQ748">
        <v>2</v>
      </c>
      <c r="AR748">
        <v>21</v>
      </c>
      <c r="AS748" t="str">
        <f t="shared" si="175"/>
        <v>21-40</v>
      </c>
      <c r="AT748">
        <v>3</v>
      </c>
      <c r="AU748" t="str">
        <f t="shared" si="176"/>
        <v>3-4</v>
      </c>
      <c r="AV748">
        <v>3</v>
      </c>
      <c r="AW748" t="s">
        <v>79</v>
      </c>
      <c r="AX748">
        <v>21</v>
      </c>
      <c r="AY748" t="str">
        <f t="shared" si="165"/>
        <v>21-40</v>
      </c>
      <c r="AZ748">
        <v>16</v>
      </c>
      <c r="BA748" t="str">
        <f t="shared" si="177"/>
        <v>11-18</v>
      </c>
      <c r="BB748">
        <v>5</v>
      </c>
      <c r="BC748" t="str">
        <f t="shared" si="178"/>
        <v>2-5</v>
      </c>
      <c r="BD748">
        <v>10</v>
      </c>
      <c r="BE748" t="str">
        <f t="shared" si="179"/>
        <v>6-10</v>
      </c>
    </row>
    <row r="749" spans="1:57" x14ac:dyDescent="0.3">
      <c r="A749">
        <v>1036</v>
      </c>
      <c r="B749">
        <v>38</v>
      </c>
      <c r="C749" t="str">
        <f t="shared" si="166"/>
        <v>36-45</v>
      </c>
      <c r="D749" t="s">
        <v>71</v>
      </c>
      <c r="E749">
        <f t="shared" si="167"/>
        <v>0</v>
      </c>
      <c r="F749" t="s">
        <v>57</v>
      </c>
      <c r="G749">
        <v>1035</v>
      </c>
      <c r="H749" t="str">
        <f t="shared" si="168"/>
        <v>1001-1499</v>
      </c>
      <c r="I749" t="s">
        <v>58</v>
      </c>
      <c r="J749">
        <v>3</v>
      </c>
      <c r="K749" t="str">
        <f t="shared" si="169"/>
        <v>1-5</v>
      </c>
      <c r="L749">
        <v>4</v>
      </c>
      <c r="M749" t="s">
        <v>82</v>
      </c>
      <c r="N749" t="s">
        <v>60</v>
      </c>
      <c r="O749">
        <v>1</v>
      </c>
      <c r="P749">
        <v>2</v>
      </c>
      <c r="Q749" t="s">
        <v>61</v>
      </c>
      <c r="R749" t="s">
        <v>75</v>
      </c>
      <c r="S749">
        <v>42</v>
      </c>
      <c r="T749" t="str">
        <f t="shared" si="170"/>
        <v>30-50</v>
      </c>
      <c r="U749">
        <v>3</v>
      </c>
      <c r="V749" t="s">
        <v>63</v>
      </c>
      <c r="W749">
        <v>2</v>
      </c>
      <c r="X749" t="s">
        <v>64</v>
      </c>
      <c r="Y749">
        <v>4</v>
      </c>
      <c r="Z749" t="s">
        <v>65</v>
      </c>
      <c r="AA749" t="s">
        <v>66</v>
      </c>
      <c r="AB749" s="4">
        <v>6861</v>
      </c>
      <c r="AC749" s="4" t="str">
        <f t="shared" si="171"/>
        <v>$5,500-$7,000</v>
      </c>
      <c r="AD749">
        <v>4981</v>
      </c>
      <c r="AE749" t="str">
        <f t="shared" si="172"/>
        <v>$2,094-$8,000</v>
      </c>
      <c r="AF749">
        <v>8</v>
      </c>
      <c r="AG749" t="str">
        <f t="shared" si="173"/>
        <v>7-9</v>
      </c>
      <c r="AH749" t="s">
        <v>67</v>
      </c>
      <c r="AI749" t="s">
        <v>56</v>
      </c>
      <c r="AJ749">
        <v>12</v>
      </c>
      <c r="AK749" t="str">
        <f t="shared" si="174"/>
        <v>11-12%</v>
      </c>
      <c r="AL749">
        <v>3</v>
      </c>
      <c r="AM749" t="s">
        <v>68</v>
      </c>
      <c r="AN749">
        <v>3</v>
      </c>
      <c r="AO749" t="s">
        <v>63</v>
      </c>
      <c r="AP749">
        <v>80</v>
      </c>
      <c r="AQ749">
        <v>0</v>
      </c>
      <c r="AR749">
        <v>19</v>
      </c>
      <c r="AS749" t="str">
        <f t="shared" si="175"/>
        <v>11-20</v>
      </c>
      <c r="AT749">
        <v>1</v>
      </c>
      <c r="AU749" t="str">
        <f t="shared" si="176"/>
        <v>0-2</v>
      </c>
      <c r="AV749">
        <v>3</v>
      </c>
      <c r="AW749" t="s">
        <v>79</v>
      </c>
      <c r="AX749">
        <v>1</v>
      </c>
      <c r="AY749" t="str">
        <f t="shared" si="165"/>
        <v>0-1</v>
      </c>
      <c r="AZ749">
        <v>0</v>
      </c>
      <c r="BA749" t="str">
        <f t="shared" si="177"/>
        <v>0-1</v>
      </c>
      <c r="BB749">
        <v>0</v>
      </c>
      <c r="BC749" t="str">
        <f t="shared" si="178"/>
        <v>0-1</v>
      </c>
      <c r="BD749">
        <v>0</v>
      </c>
      <c r="BE749" t="str">
        <f t="shared" si="179"/>
        <v>0-1</v>
      </c>
    </row>
    <row r="750" spans="1:57" x14ac:dyDescent="0.3">
      <c r="A750">
        <v>1037</v>
      </c>
      <c r="B750">
        <v>26</v>
      </c>
      <c r="C750" t="str">
        <f t="shared" si="166"/>
        <v>26-35</v>
      </c>
      <c r="D750" t="s">
        <v>56</v>
      </c>
      <c r="E750">
        <f t="shared" si="167"/>
        <v>1</v>
      </c>
      <c r="F750" t="s">
        <v>89</v>
      </c>
      <c r="G750">
        <v>265</v>
      </c>
      <c r="H750" t="str">
        <f t="shared" si="168"/>
        <v>102-500</v>
      </c>
      <c r="I750" t="s">
        <v>58</v>
      </c>
      <c r="J750">
        <v>29</v>
      </c>
      <c r="K750" t="str">
        <f t="shared" si="169"/>
        <v>21-29</v>
      </c>
      <c r="L750">
        <v>2</v>
      </c>
      <c r="M750" t="s">
        <v>59</v>
      </c>
      <c r="N750" t="s">
        <v>83</v>
      </c>
      <c r="O750">
        <v>1</v>
      </c>
      <c r="P750">
        <v>2</v>
      </c>
      <c r="Q750" t="s">
        <v>61</v>
      </c>
      <c r="R750" t="s">
        <v>75</v>
      </c>
      <c r="S750">
        <v>79</v>
      </c>
      <c r="T750" t="str">
        <f t="shared" si="170"/>
        <v>76-100</v>
      </c>
      <c r="U750">
        <v>1</v>
      </c>
      <c r="V750" t="s">
        <v>69</v>
      </c>
      <c r="W750">
        <v>2</v>
      </c>
      <c r="X750" t="s">
        <v>64</v>
      </c>
      <c r="Y750">
        <v>1</v>
      </c>
      <c r="Z750" t="s">
        <v>69</v>
      </c>
      <c r="AA750" t="s">
        <v>66</v>
      </c>
      <c r="AB750" s="4">
        <v>4969</v>
      </c>
      <c r="AC750" s="4" t="str">
        <f t="shared" si="171"/>
        <v>$4,000-$5,500</v>
      </c>
      <c r="AD750">
        <v>21813</v>
      </c>
      <c r="AE750" t="str">
        <f t="shared" si="172"/>
        <v>$16,001-$22,000</v>
      </c>
      <c r="AF750">
        <v>8</v>
      </c>
      <c r="AG750" t="str">
        <f t="shared" si="173"/>
        <v>7-9</v>
      </c>
      <c r="AH750" t="s">
        <v>67</v>
      </c>
      <c r="AI750" t="s">
        <v>71</v>
      </c>
      <c r="AJ750">
        <v>18</v>
      </c>
      <c r="AK750" t="str">
        <f t="shared" si="174"/>
        <v>18-19%</v>
      </c>
      <c r="AL750">
        <v>3</v>
      </c>
      <c r="AM750" t="s">
        <v>68</v>
      </c>
      <c r="AN750">
        <v>4</v>
      </c>
      <c r="AO750" t="s">
        <v>65</v>
      </c>
      <c r="AP750">
        <v>80</v>
      </c>
      <c r="AQ750">
        <v>0</v>
      </c>
      <c r="AR750">
        <v>7</v>
      </c>
      <c r="AS750" t="str">
        <f t="shared" si="175"/>
        <v>6-10</v>
      </c>
      <c r="AT750">
        <v>6</v>
      </c>
      <c r="AU750" t="str">
        <f t="shared" si="176"/>
        <v>5-6</v>
      </c>
      <c r="AV750">
        <v>3</v>
      </c>
      <c r="AW750" t="s">
        <v>79</v>
      </c>
      <c r="AX750">
        <v>2</v>
      </c>
      <c r="AY750" t="str">
        <f t="shared" si="165"/>
        <v>2-5</v>
      </c>
      <c r="AZ750">
        <v>2</v>
      </c>
      <c r="BA750" t="str">
        <f t="shared" si="177"/>
        <v>2-5</v>
      </c>
      <c r="BB750">
        <v>2</v>
      </c>
      <c r="BC750" t="str">
        <f t="shared" si="178"/>
        <v>2-5</v>
      </c>
      <c r="BD750">
        <v>2</v>
      </c>
      <c r="BE750" t="str">
        <f t="shared" si="179"/>
        <v>2-5</v>
      </c>
    </row>
    <row r="751" spans="1:57" x14ac:dyDescent="0.3">
      <c r="A751">
        <v>1038</v>
      </c>
      <c r="B751">
        <v>52</v>
      </c>
      <c r="C751" t="str">
        <f t="shared" si="166"/>
        <v>46-55</v>
      </c>
      <c r="D751" t="s">
        <v>56</v>
      </c>
      <c r="E751">
        <f t="shared" si="167"/>
        <v>1</v>
      </c>
      <c r="F751" t="s">
        <v>57</v>
      </c>
      <c r="G751">
        <v>266</v>
      </c>
      <c r="H751" t="str">
        <f t="shared" si="168"/>
        <v>102-500</v>
      </c>
      <c r="I751" t="s">
        <v>58</v>
      </c>
      <c r="J751">
        <v>2</v>
      </c>
      <c r="K751" t="str">
        <f t="shared" si="169"/>
        <v>1-5</v>
      </c>
      <c r="L751">
        <v>1</v>
      </c>
      <c r="M751" t="s">
        <v>74</v>
      </c>
      <c r="N751" t="s">
        <v>93</v>
      </c>
      <c r="O751">
        <v>1</v>
      </c>
      <c r="P751">
        <v>1</v>
      </c>
      <c r="Q751" t="s">
        <v>69</v>
      </c>
      <c r="R751" t="s">
        <v>62</v>
      </c>
      <c r="S751">
        <v>57</v>
      </c>
      <c r="T751" t="str">
        <f t="shared" si="170"/>
        <v>51-75</v>
      </c>
      <c r="U751">
        <v>1</v>
      </c>
      <c r="V751" t="s">
        <v>69</v>
      </c>
      <c r="W751">
        <v>5</v>
      </c>
      <c r="X751" t="s">
        <v>90</v>
      </c>
      <c r="Y751">
        <v>4</v>
      </c>
      <c r="Z751" t="s">
        <v>65</v>
      </c>
      <c r="AA751" t="s">
        <v>77</v>
      </c>
      <c r="AB751" s="4">
        <v>19845</v>
      </c>
      <c r="AC751" s="4" t="str">
        <f t="shared" si="171"/>
        <v>$19,000-$20,500</v>
      </c>
      <c r="AD751">
        <v>25846</v>
      </c>
      <c r="AE751" t="str">
        <f t="shared" si="172"/>
        <v>$22,001-$26,999</v>
      </c>
      <c r="AF751">
        <v>1</v>
      </c>
      <c r="AG751" t="str">
        <f t="shared" si="173"/>
        <v>0-1</v>
      </c>
      <c r="AH751" t="s">
        <v>67</v>
      </c>
      <c r="AI751" t="s">
        <v>71</v>
      </c>
      <c r="AJ751">
        <v>15</v>
      </c>
      <c r="AK751" t="str">
        <f t="shared" si="174"/>
        <v>13-15%</v>
      </c>
      <c r="AL751">
        <v>3</v>
      </c>
      <c r="AM751" t="s">
        <v>68</v>
      </c>
      <c r="AN751">
        <v>4</v>
      </c>
      <c r="AO751" t="s">
        <v>65</v>
      </c>
      <c r="AP751">
        <v>80</v>
      </c>
      <c r="AQ751">
        <v>1</v>
      </c>
      <c r="AR751">
        <v>33</v>
      </c>
      <c r="AS751" t="str">
        <f t="shared" si="175"/>
        <v>21-40</v>
      </c>
      <c r="AT751">
        <v>3</v>
      </c>
      <c r="AU751" t="str">
        <f t="shared" si="176"/>
        <v>3-4</v>
      </c>
      <c r="AV751">
        <v>3</v>
      </c>
      <c r="AW751" t="s">
        <v>79</v>
      </c>
      <c r="AX751">
        <v>32</v>
      </c>
      <c r="AY751" t="str">
        <f t="shared" si="165"/>
        <v>21-40</v>
      </c>
      <c r="AZ751">
        <v>14</v>
      </c>
      <c r="BA751" t="str">
        <f t="shared" si="177"/>
        <v>11-18</v>
      </c>
      <c r="BB751">
        <v>6</v>
      </c>
      <c r="BC751" t="str">
        <f t="shared" si="178"/>
        <v>6-10</v>
      </c>
      <c r="BD751">
        <v>9</v>
      </c>
      <c r="BE751" t="str">
        <f t="shared" si="179"/>
        <v>6-10</v>
      </c>
    </row>
    <row r="752" spans="1:57" x14ac:dyDescent="0.3">
      <c r="A752">
        <v>1039</v>
      </c>
      <c r="B752">
        <v>44</v>
      </c>
      <c r="C752" t="str">
        <f t="shared" si="166"/>
        <v>36-45</v>
      </c>
      <c r="D752" t="s">
        <v>71</v>
      </c>
      <c r="E752">
        <f t="shared" si="167"/>
        <v>0</v>
      </c>
      <c r="F752" t="s">
        <v>57</v>
      </c>
      <c r="G752">
        <v>1448</v>
      </c>
      <c r="H752" t="str">
        <f t="shared" si="168"/>
        <v>1001-1499</v>
      </c>
      <c r="I752" t="s">
        <v>58</v>
      </c>
      <c r="J752">
        <v>28</v>
      </c>
      <c r="K752" t="str">
        <f t="shared" si="169"/>
        <v>21-29</v>
      </c>
      <c r="L752">
        <v>3</v>
      </c>
      <c r="M752" t="s">
        <v>85</v>
      </c>
      <c r="N752" t="s">
        <v>83</v>
      </c>
      <c r="O752">
        <v>1</v>
      </c>
      <c r="P752">
        <v>4</v>
      </c>
      <c r="Q752" t="s">
        <v>65</v>
      </c>
      <c r="R752" t="s">
        <v>62</v>
      </c>
      <c r="S752">
        <v>53</v>
      </c>
      <c r="T752" t="str">
        <f t="shared" si="170"/>
        <v>51-75</v>
      </c>
      <c r="U752">
        <v>4</v>
      </c>
      <c r="V752" t="s">
        <v>65</v>
      </c>
      <c r="W752">
        <v>4</v>
      </c>
      <c r="X752" t="s">
        <v>64</v>
      </c>
      <c r="Y752">
        <v>4</v>
      </c>
      <c r="Z752" t="s">
        <v>65</v>
      </c>
      <c r="AA752" t="s">
        <v>77</v>
      </c>
      <c r="AB752" s="4">
        <v>13320</v>
      </c>
      <c r="AC752" s="4" t="str">
        <f t="shared" si="171"/>
        <v>$13,000-$14,500</v>
      </c>
      <c r="AD752">
        <v>11737</v>
      </c>
      <c r="AE752" t="str">
        <f t="shared" si="172"/>
        <v>$8,001-$16,000</v>
      </c>
      <c r="AF752">
        <v>3</v>
      </c>
      <c r="AG752" t="str">
        <f t="shared" si="173"/>
        <v>2-3</v>
      </c>
      <c r="AH752" t="s">
        <v>67</v>
      </c>
      <c r="AI752" t="s">
        <v>56</v>
      </c>
      <c r="AJ752">
        <v>18</v>
      </c>
      <c r="AK752" t="str">
        <f t="shared" si="174"/>
        <v>18-19%</v>
      </c>
      <c r="AL752">
        <v>3</v>
      </c>
      <c r="AM752" t="s">
        <v>68</v>
      </c>
      <c r="AN752">
        <v>3</v>
      </c>
      <c r="AO752" t="s">
        <v>63</v>
      </c>
      <c r="AP752">
        <v>80</v>
      </c>
      <c r="AQ752">
        <v>1</v>
      </c>
      <c r="AR752">
        <v>23</v>
      </c>
      <c r="AS752" t="str">
        <f t="shared" si="175"/>
        <v>21-40</v>
      </c>
      <c r="AT752">
        <v>2</v>
      </c>
      <c r="AU752" t="str">
        <f t="shared" si="176"/>
        <v>0-2</v>
      </c>
      <c r="AV752">
        <v>3</v>
      </c>
      <c r="AW752" t="s">
        <v>79</v>
      </c>
      <c r="AX752">
        <v>12</v>
      </c>
      <c r="AY752" t="str">
        <f t="shared" si="165"/>
        <v>11-20</v>
      </c>
      <c r="AZ752">
        <v>11</v>
      </c>
      <c r="BA752" t="str">
        <f t="shared" si="177"/>
        <v>11-18</v>
      </c>
      <c r="BB752">
        <v>11</v>
      </c>
      <c r="BC752" t="str">
        <f t="shared" si="178"/>
        <v>11-15</v>
      </c>
      <c r="BD752">
        <v>11</v>
      </c>
      <c r="BE752" t="str">
        <f t="shared" si="179"/>
        <v>11-17</v>
      </c>
    </row>
    <row r="753" spans="1:57" x14ac:dyDescent="0.3">
      <c r="A753">
        <v>1040</v>
      </c>
      <c r="B753">
        <v>50</v>
      </c>
      <c r="C753" t="str">
        <f t="shared" si="166"/>
        <v>46-55</v>
      </c>
      <c r="D753" t="s">
        <v>71</v>
      </c>
      <c r="E753">
        <f t="shared" si="167"/>
        <v>0</v>
      </c>
      <c r="F753" t="s">
        <v>89</v>
      </c>
      <c r="G753">
        <v>145</v>
      </c>
      <c r="H753" t="str">
        <f t="shared" si="168"/>
        <v>102-500</v>
      </c>
      <c r="I753" t="s">
        <v>58</v>
      </c>
      <c r="J753">
        <v>1</v>
      </c>
      <c r="K753" t="str">
        <f t="shared" si="169"/>
        <v>1-5</v>
      </c>
      <c r="L753">
        <v>3</v>
      </c>
      <c r="M753" t="s">
        <v>85</v>
      </c>
      <c r="N753" t="s">
        <v>60</v>
      </c>
      <c r="O753">
        <v>1</v>
      </c>
      <c r="P753">
        <v>4</v>
      </c>
      <c r="Q753" t="s">
        <v>65</v>
      </c>
      <c r="R753" t="s">
        <v>62</v>
      </c>
      <c r="S753">
        <v>95</v>
      </c>
      <c r="T753" t="str">
        <f t="shared" si="170"/>
        <v>76-100</v>
      </c>
      <c r="U753">
        <v>3</v>
      </c>
      <c r="V753" t="s">
        <v>63</v>
      </c>
      <c r="W753">
        <v>2</v>
      </c>
      <c r="X753" t="s">
        <v>64</v>
      </c>
      <c r="Y753">
        <v>3</v>
      </c>
      <c r="Z753" t="s">
        <v>63</v>
      </c>
      <c r="AA753" t="s">
        <v>77</v>
      </c>
      <c r="AB753" s="4">
        <v>6347</v>
      </c>
      <c r="AC753" s="4" t="str">
        <f t="shared" si="171"/>
        <v>$5,500-$7,000</v>
      </c>
      <c r="AD753">
        <v>24920</v>
      </c>
      <c r="AE753" t="str">
        <f t="shared" si="172"/>
        <v>$22,001-$26,999</v>
      </c>
      <c r="AF753">
        <v>0</v>
      </c>
      <c r="AG753" t="str">
        <f t="shared" si="173"/>
        <v>0-1</v>
      </c>
      <c r="AH753" t="s">
        <v>67</v>
      </c>
      <c r="AI753" t="s">
        <v>71</v>
      </c>
      <c r="AJ753">
        <v>12</v>
      </c>
      <c r="AK753" t="str">
        <f t="shared" si="174"/>
        <v>11-12%</v>
      </c>
      <c r="AL753">
        <v>3</v>
      </c>
      <c r="AM753" t="s">
        <v>68</v>
      </c>
      <c r="AN753">
        <v>1</v>
      </c>
      <c r="AO753" t="s">
        <v>69</v>
      </c>
      <c r="AP753">
        <v>80</v>
      </c>
      <c r="AQ753">
        <v>1</v>
      </c>
      <c r="AR753">
        <v>19</v>
      </c>
      <c r="AS753" t="str">
        <f t="shared" si="175"/>
        <v>11-20</v>
      </c>
      <c r="AT753">
        <v>3</v>
      </c>
      <c r="AU753" t="str">
        <f t="shared" si="176"/>
        <v>3-4</v>
      </c>
      <c r="AV753">
        <v>3</v>
      </c>
      <c r="AW753" t="s">
        <v>79</v>
      </c>
      <c r="AX753">
        <v>18</v>
      </c>
      <c r="AY753" t="str">
        <f t="shared" si="165"/>
        <v>11-20</v>
      </c>
      <c r="AZ753">
        <v>7</v>
      </c>
      <c r="BA753" t="str">
        <f t="shared" si="177"/>
        <v>6-10</v>
      </c>
      <c r="BB753">
        <v>0</v>
      </c>
      <c r="BC753" t="str">
        <f t="shared" si="178"/>
        <v>0-1</v>
      </c>
      <c r="BD753">
        <v>13</v>
      </c>
      <c r="BE753" t="str">
        <f t="shared" si="179"/>
        <v>11-17</v>
      </c>
    </row>
    <row r="754" spans="1:57" x14ac:dyDescent="0.3">
      <c r="A754">
        <v>1042</v>
      </c>
      <c r="B754">
        <v>36</v>
      </c>
      <c r="C754" t="str">
        <f t="shared" si="166"/>
        <v>36-45</v>
      </c>
      <c r="D754" t="s">
        <v>56</v>
      </c>
      <c r="E754">
        <f t="shared" si="167"/>
        <v>1</v>
      </c>
      <c r="F754" t="s">
        <v>57</v>
      </c>
      <c r="G754">
        <v>885</v>
      </c>
      <c r="H754" t="str">
        <f t="shared" si="168"/>
        <v>501-1000</v>
      </c>
      <c r="I754" t="s">
        <v>73</v>
      </c>
      <c r="J754">
        <v>16</v>
      </c>
      <c r="K754" t="str">
        <f t="shared" si="169"/>
        <v>11-20</v>
      </c>
      <c r="L754">
        <v>4</v>
      </c>
      <c r="M754" t="s">
        <v>82</v>
      </c>
      <c r="N754" t="s">
        <v>60</v>
      </c>
      <c r="O754">
        <v>1</v>
      </c>
      <c r="P754">
        <v>3</v>
      </c>
      <c r="Q754" t="s">
        <v>63</v>
      </c>
      <c r="R754" t="s">
        <v>62</v>
      </c>
      <c r="S754">
        <v>43</v>
      </c>
      <c r="T754" t="str">
        <f t="shared" si="170"/>
        <v>30-50</v>
      </c>
      <c r="U754">
        <v>4</v>
      </c>
      <c r="V754" t="s">
        <v>65</v>
      </c>
      <c r="W754">
        <v>1</v>
      </c>
      <c r="X754" t="s">
        <v>81</v>
      </c>
      <c r="Y754">
        <v>1</v>
      </c>
      <c r="Z754" t="s">
        <v>69</v>
      </c>
      <c r="AA754" t="s">
        <v>66</v>
      </c>
      <c r="AB754" s="4">
        <v>2743</v>
      </c>
      <c r="AC754" s="4" t="str">
        <f t="shared" si="171"/>
        <v>$2,500-$4,000</v>
      </c>
      <c r="AD754">
        <v>8269</v>
      </c>
      <c r="AE754" t="str">
        <f t="shared" si="172"/>
        <v>$8,001-$16,000</v>
      </c>
      <c r="AF754">
        <v>1</v>
      </c>
      <c r="AG754" t="str">
        <f t="shared" si="173"/>
        <v>0-1</v>
      </c>
      <c r="AH754" t="s">
        <v>67</v>
      </c>
      <c r="AI754" t="s">
        <v>71</v>
      </c>
      <c r="AJ754">
        <v>16</v>
      </c>
      <c r="AK754" t="str">
        <f t="shared" si="174"/>
        <v>16-17%</v>
      </c>
      <c r="AL754">
        <v>3</v>
      </c>
      <c r="AM754" t="s">
        <v>68</v>
      </c>
      <c r="AN754">
        <v>3</v>
      </c>
      <c r="AO754" t="s">
        <v>63</v>
      </c>
      <c r="AP754">
        <v>80</v>
      </c>
      <c r="AQ754">
        <v>0</v>
      </c>
      <c r="AR754">
        <v>18</v>
      </c>
      <c r="AS754" t="str">
        <f t="shared" si="175"/>
        <v>11-20</v>
      </c>
      <c r="AT754">
        <v>1</v>
      </c>
      <c r="AU754" t="str">
        <f t="shared" si="176"/>
        <v>0-2</v>
      </c>
      <c r="AV754">
        <v>3</v>
      </c>
      <c r="AW754" t="s">
        <v>79</v>
      </c>
      <c r="AX754">
        <v>17</v>
      </c>
      <c r="AY754" t="str">
        <f t="shared" si="165"/>
        <v>11-20</v>
      </c>
      <c r="AZ754">
        <v>13</v>
      </c>
      <c r="BA754" t="str">
        <f t="shared" si="177"/>
        <v>11-18</v>
      </c>
      <c r="BB754">
        <v>15</v>
      </c>
      <c r="BC754" t="str">
        <f t="shared" si="178"/>
        <v>11-15</v>
      </c>
      <c r="BD754">
        <v>14</v>
      </c>
      <c r="BE754" t="str">
        <f t="shared" si="179"/>
        <v>11-17</v>
      </c>
    </row>
    <row r="755" spans="1:57" x14ac:dyDescent="0.3">
      <c r="A755">
        <v>1043</v>
      </c>
      <c r="B755">
        <v>39</v>
      </c>
      <c r="C755" t="str">
        <f t="shared" si="166"/>
        <v>36-45</v>
      </c>
      <c r="D755" t="s">
        <v>71</v>
      </c>
      <c r="E755">
        <f t="shared" si="167"/>
        <v>0</v>
      </c>
      <c r="F755" t="s">
        <v>72</v>
      </c>
      <c r="G755">
        <v>945</v>
      </c>
      <c r="H755" t="str">
        <f t="shared" si="168"/>
        <v>501-1000</v>
      </c>
      <c r="I755" t="s">
        <v>73</v>
      </c>
      <c r="J755">
        <v>22</v>
      </c>
      <c r="K755" t="str">
        <f t="shared" si="169"/>
        <v>21-29</v>
      </c>
      <c r="L755">
        <v>3</v>
      </c>
      <c r="M755" t="s">
        <v>85</v>
      </c>
      <c r="N755" t="s">
        <v>83</v>
      </c>
      <c r="O755">
        <v>1</v>
      </c>
      <c r="P755">
        <v>4</v>
      </c>
      <c r="Q755" t="s">
        <v>65</v>
      </c>
      <c r="R755" t="s">
        <v>62</v>
      </c>
      <c r="S755">
        <v>82</v>
      </c>
      <c r="T755" t="str">
        <f t="shared" si="170"/>
        <v>76-100</v>
      </c>
      <c r="U755">
        <v>3</v>
      </c>
      <c r="V755" t="s">
        <v>63</v>
      </c>
      <c r="W755">
        <v>3</v>
      </c>
      <c r="X755" t="s">
        <v>87</v>
      </c>
      <c r="Y755">
        <v>1</v>
      </c>
      <c r="Z755" t="s">
        <v>69</v>
      </c>
      <c r="AA755" t="s">
        <v>66</v>
      </c>
      <c r="AB755" s="4">
        <v>10880</v>
      </c>
      <c r="AC755" s="4" t="str">
        <f t="shared" si="171"/>
        <v>$10,000-$11,500</v>
      </c>
      <c r="AD755">
        <v>5083</v>
      </c>
      <c r="AE755" t="str">
        <f t="shared" si="172"/>
        <v>$2,094-$8,000</v>
      </c>
      <c r="AF755">
        <v>1</v>
      </c>
      <c r="AG755" t="str">
        <f t="shared" si="173"/>
        <v>0-1</v>
      </c>
      <c r="AH755" t="s">
        <v>67</v>
      </c>
      <c r="AI755" t="s">
        <v>56</v>
      </c>
      <c r="AJ755">
        <v>13</v>
      </c>
      <c r="AK755" t="str">
        <f t="shared" si="174"/>
        <v>13-15%</v>
      </c>
      <c r="AL755">
        <v>3</v>
      </c>
      <c r="AM755" t="s">
        <v>68</v>
      </c>
      <c r="AN755">
        <v>3</v>
      </c>
      <c r="AO755" t="s">
        <v>63</v>
      </c>
      <c r="AP755">
        <v>80</v>
      </c>
      <c r="AQ755">
        <v>0</v>
      </c>
      <c r="AR755">
        <v>21</v>
      </c>
      <c r="AS755" t="str">
        <f t="shared" si="175"/>
        <v>21-40</v>
      </c>
      <c r="AT755">
        <v>2</v>
      </c>
      <c r="AU755" t="str">
        <f t="shared" si="176"/>
        <v>0-2</v>
      </c>
      <c r="AV755">
        <v>3</v>
      </c>
      <c r="AW755" t="s">
        <v>79</v>
      </c>
      <c r="AX755">
        <v>21</v>
      </c>
      <c r="AY755" t="str">
        <f t="shared" si="165"/>
        <v>21-40</v>
      </c>
      <c r="AZ755">
        <v>6</v>
      </c>
      <c r="BA755" t="str">
        <f t="shared" si="177"/>
        <v>6-10</v>
      </c>
      <c r="BB755">
        <v>2</v>
      </c>
      <c r="BC755" t="str">
        <f t="shared" si="178"/>
        <v>2-5</v>
      </c>
      <c r="BD755">
        <v>8</v>
      </c>
      <c r="BE755" t="str">
        <f t="shared" si="179"/>
        <v>6-10</v>
      </c>
    </row>
    <row r="756" spans="1:57" x14ac:dyDescent="0.3">
      <c r="A756">
        <v>1044</v>
      </c>
      <c r="B756">
        <v>33</v>
      </c>
      <c r="C756" t="str">
        <f t="shared" si="166"/>
        <v>26-35</v>
      </c>
      <c r="D756" t="s">
        <v>71</v>
      </c>
      <c r="E756">
        <f t="shared" si="167"/>
        <v>0</v>
      </c>
      <c r="F756" t="s">
        <v>89</v>
      </c>
      <c r="G756">
        <v>1038</v>
      </c>
      <c r="H756" t="str">
        <f t="shared" si="168"/>
        <v>1001-1499</v>
      </c>
      <c r="I756" t="s">
        <v>58</v>
      </c>
      <c r="J756">
        <v>8</v>
      </c>
      <c r="K756" t="str">
        <f t="shared" si="169"/>
        <v>6-10</v>
      </c>
      <c r="L756">
        <v>1</v>
      </c>
      <c r="M756" t="s">
        <v>74</v>
      </c>
      <c r="N756" t="s">
        <v>60</v>
      </c>
      <c r="O756">
        <v>1</v>
      </c>
      <c r="P756">
        <v>2</v>
      </c>
      <c r="Q756" t="s">
        <v>61</v>
      </c>
      <c r="R756" t="s">
        <v>62</v>
      </c>
      <c r="S756">
        <v>88</v>
      </c>
      <c r="T756" t="str">
        <f t="shared" si="170"/>
        <v>76-100</v>
      </c>
      <c r="U756">
        <v>2</v>
      </c>
      <c r="V756" t="s">
        <v>61</v>
      </c>
      <c r="W756">
        <v>1</v>
      </c>
      <c r="X756" t="s">
        <v>91</v>
      </c>
      <c r="Y756">
        <v>4</v>
      </c>
      <c r="Z756" t="s">
        <v>65</v>
      </c>
      <c r="AA756" t="s">
        <v>66</v>
      </c>
      <c r="AB756" s="4">
        <v>2342</v>
      </c>
      <c r="AC756" s="4" t="str">
        <f t="shared" si="171"/>
        <v>$1,000-$2,500</v>
      </c>
      <c r="AD756">
        <v>21437</v>
      </c>
      <c r="AE756" t="str">
        <f t="shared" si="172"/>
        <v>$16,001-$22,000</v>
      </c>
      <c r="AF756">
        <v>0</v>
      </c>
      <c r="AG756" t="str">
        <f t="shared" si="173"/>
        <v>0-1</v>
      </c>
      <c r="AH756" t="s">
        <v>67</v>
      </c>
      <c r="AI756" t="s">
        <v>71</v>
      </c>
      <c r="AJ756">
        <v>19</v>
      </c>
      <c r="AK756" t="str">
        <f t="shared" si="174"/>
        <v>18-19%</v>
      </c>
      <c r="AL756">
        <v>3</v>
      </c>
      <c r="AM756" t="s">
        <v>68</v>
      </c>
      <c r="AN756">
        <v>4</v>
      </c>
      <c r="AO756" t="s">
        <v>65</v>
      </c>
      <c r="AP756">
        <v>80</v>
      </c>
      <c r="AQ756">
        <v>0</v>
      </c>
      <c r="AR756">
        <v>3</v>
      </c>
      <c r="AS756" t="str">
        <f t="shared" si="175"/>
        <v>3-5</v>
      </c>
      <c r="AT756">
        <v>2</v>
      </c>
      <c r="AU756" t="str">
        <f t="shared" si="176"/>
        <v>0-2</v>
      </c>
      <c r="AV756">
        <v>2</v>
      </c>
      <c r="AW756" t="s">
        <v>84</v>
      </c>
      <c r="AX756">
        <v>2</v>
      </c>
      <c r="AY756" t="str">
        <f t="shared" si="165"/>
        <v>2-5</v>
      </c>
      <c r="AZ756">
        <v>2</v>
      </c>
      <c r="BA756" t="str">
        <f t="shared" si="177"/>
        <v>2-5</v>
      </c>
      <c r="BB756">
        <v>2</v>
      </c>
      <c r="BC756" t="str">
        <f t="shared" si="178"/>
        <v>2-5</v>
      </c>
      <c r="BD756">
        <v>2</v>
      </c>
      <c r="BE756" t="str">
        <f t="shared" si="179"/>
        <v>2-5</v>
      </c>
    </row>
    <row r="757" spans="1:57" x14ac:dyDescent="0.3">
      <c r="A757">
        <v>1045</v>
      </c>
      <c r="B757">
        <v>45</v>
      </c>
      <c r="C757" t="str">
        <f t="shared" si="166"/>
        <v>36-45</v>
      </c>
      <c r="D757" t="s">
        <v>71</v>
      </c>
      <c r="E757">
        <f t="shared" si="167"/>
        <v>0</v>
      </c>
      <c r="F757" t="s">
        <v>57</v>
      </c>
      <c r="G757">
        <v>1234</v>
      </c>
      <c r="H757" t="str">
        <f t="shared" si="168"/>
        <v>1001-1499</v>
      </c>
      <c r="I757" t="s">
        <v>58</v>
      </c>
      <c r="J757">
        <v>11</v>
      </c>
      <c r="K757" t="str">
        <f t="shared" si="169"/>
        <v>11-20</v>
      </c>
      <c r="L757">
        <v>2</v>
      </c>
      <c r="M757" t="s">
        <v>59</v>
      </c>
      <c r="N757" t="s">
        <v>60</v>
      </c>
      <c r="O757">
        <v>1</v>
      </c>
      <c r="P757">
        <v>4</v>
      </c>
      <c r="Q757" t="s">
        <v>65</v>
      </c>
      <c r="R757" t="s">
        <v>62</v>
      </c>
      <c r="S757">
        <v>90</v>
      </c>
      <c r="T757" t="str">
        <f t="shared" si="170"/>
        <v>76-100</v>
      </c>
      <c r="U757">
        <v>3</v>
      </c>
      <c r="V757" t="s">
        <v>63</v>
      </c>
      <c r="W757">
        <v>4</v>
      </c>
      <c r="X757" t="s">
        <v>90</v>
      </c>
      <c r="Y757">
        <v>4</v>
      </c>
      <c r="Z757" t="s">
        <v>65</v>
      </c>
      <c r="AA757" t="s">
        <v>77</v>
      </c>
      <c r="AB757" s="4">
        <v>17650</v>
      </c>
      <c r="AC757" s="4" t="str">
        <f t="shared" si="171"/>
        <v>$17,500-$19,000</v>
      </c>
      <c r="AD757">
        <v>5404</v>
      </c>
      <c r="AE757" t="str">
        <f t="shared" si="172"/>
        <v>$2,094-$8,000</v>
      </c>
      <c r="AF757">
        <v>3</v>
      </c>
      <c r="AG757" t="str">
        <f t="shared" si="173"/>
        <v>2-3</v>
      </c>
      <c r="AH757" t="s">
        <v>67</v>
      </c>
      <c r="AI757" t="s">
        <v>71</v>
      </c>
      <c r="AJ757">
        <v>13</v>
      </c>
      <c r="AK757" t="str">
        <f t="shared" si="174"/>
        <v>13-15%</v>
      </c>
      <c r="AL757">
        <v>3</v>
      </c>
      <c r="AM757" t="s">
        <v>68</v>
      </c>
      <c r="AN757">
        <v>2</v>
      </c>
      <c r="AO757" t="s">
        <v>61</v>
      </c>
      <c r="AP757">
        <v>80</v>
      </c>
      <c r="AQ757">
        <v>1</v>
      </c>
      <c r="AR757">
        <v>26</v>
      </c>
      <c r="AS757" t="str">
        <f t="shared" si="175"/>
        <v>21-40</v>
      </c>
      <c r="AT757">
        <v>4</v>
      </c>
      <c r="AU757" t="str">
        <f t="shared" si="176"/>
        <v>3-4</v>
      </c>
      <c r="AV757">
        <v>4</v>
      </c>
      <c r="AW757" t="s">
        <v>94</v>
      </c>
      <c r="AX757">
        <v>9</v>
      </c>
      <c r="AY757" t="str">
        <f t="shared" si="165"/>
        <v>6-10</v>
      </c>
      <c r="AZ757">
        <v>3</v>
      </c>
      <c r="BA757" t="str">
        <f t="shared" si="177"/>
        <v>2-5</v>
      </c>
      <c r="BB757">
        <v>1</v>
      </c>
      <c r="BC757" t="str">
        <f t="shared" si="178"/>
        <v>0-1</v>
      </c>
      <c r="BD757">
        <v>1</v>
      </c>
      <c r="BE757" t="str">
        <f t="shared" si="179"/>
        <v>0-1</v>
      </c>
    </row>
    <row r="758" spans="1:57" x14ac:dyDescent="0.3">
      <c r="A758">
        <v>1046</v>
      </c>
      <c r="B758">
        <v>32</v>
      </c>
      <c r="C758" t="str">
        <f t="shared" si="166"/>
        <v>26-35</v>
      </c>
      <c r="D758" t="s">
        <v>71</v>
      </c>
      <c r="E758">
        <f t="shared" si="167"/>
        <v>0</v>
      </c>
      <c r="F758" t="s">
        <v>89</v>
      </c>
      <c r="G758">
        <v>1109</v>
      </c>
      <c r="H758" t="str">
        <f t="shared" si="168"/>
        <v>1001-1499</v>
      </c>
      <c r="I758" t="s">
        <v>73</v>
      </c>
      <c r="J758">
        <v>29</v>
      </c>
      <c r="K758" t="str">
        <f t="shared" si="169"/>
        <v>21-29</v>
      </c>
      <c r="L758">
        <v>4</v>
      </c>
      <c r="M758" t="s">
        <v>82</v>
      </c>
      <c r="N758" t="s">
        <v>83</v>
      </c>
      <c r="O758">
        <v>1</v>
      </c>
      <c r="P758">
        <v>4</v>
      </c>
      <c r="Q758" t="s">
        <v>65</v>
      </c>
      <c r="R758" t="s">
        <v>62</v>
      </c>
      <c r="S758">
        <v>69</v>
      </c>
      <c r="T758" t="str">
        <f t="shared" si="170"/>
        <v>51-75</v>
      </c>
      <c r="U758">
        <v>3</v>
      </c>
      <c r="V758" t="s">
        <v>63</v>
      </c>
      <c r="W758">
        <v>1</v>
      </c>
      <c r="X758" t="s">
        <v>81</v>
      </c>
      <c r="Y758">
        <v>3</v>
      </c>
      <c r="Z758" t="s">
        <v>63</v>
      </c>
      <c r="AA758" t="s">
        <v>66</v>
      </c>
      <c r="AB758" s="4">
        <v>4025</v>
      </c>
      <c r="AC758" s="4" t="str">
        <f t="shared" si="171"/>
        <v>$4,000-$5,500</v>
      </c>
      <c r="AD758">
        <v>11135</v>
      </c>
      <c r="AE758" t="str">
        <f t="shared" si="172"/>
        <v>$8,001-$16,000</v>
      </c>
      <c r="AF758">
        <v>9</v>
      </c>
      <c r="AG758" t="str">
        <f t="shared" si="173"/>
        <v>7-9</v>
      </c>
      <c r="AH758" t="s">
        <v>67</v>
      </c>
      <c r="AI758" t="s">
        <v>71</v>
      </c>
      <c r="AJ758">
        <v>12</v>
      </c>
      <c r="AK758" t="str">
        <f t="shared" si="174"/>
        <v>11-12%</v>
      </c>
      <c r="AL758">
        <v>3</v>
      </c>
      <c r="AM758" t="s">
        <v>68</v>
      </c>
      <c r="AN758">
        <v>2</v>
      </c>
      <c r="AO758" t="s">
        <v>61</v>
      </c>
      <c r="AP758">
        <v>80</v>
      </c>
      <c r="AQ758">
        <v>0</v>
      </c>
      <c r="AR758">
        <v>10</v>
      </c>
      <c r="AS758" t="str">
        <f t="shared" si="175"/>
        <v>6-10</v>
      </c>
      <c r="AT758">
        <v>2</v>
      </c>
      <c r="AU758" t="str">
        <f t="shared" si="176"/>
        <v>0-2</v>
      </c>
      <c r="AV758">
        <v>3</v>
      </c>
      <c r="AW758" t="s">
        <v>79</v>
      </c>
      <c r="AX758">
        <v>8</v>
      </c>
      <c r="AY758" t="str">
        <f t="shared" si="165"/>
        <v>6-10</v>
      </c>
      <c r="AZ758">
        <v>7</v>
      </c>
      <c r="BA758" t="str">
        <f t="shared" si="177"/>
        <v>6-10</v>
      </c>
      <c r="BB758">
        <v>7</v>
      </c>
      <c r="BC758" t="str">
        <f t="shared" si="178"/>
        <v>6-10</v>
      </c>
      <c r="BD758">
        <v>7</v>
      </c>
      <c r="BE758" t="str">
        <f t="shared" si="179"/>
        <v>6-10</v>
      </c>
    </row>
    <row r="759" spans="1:57" x14ac:dyDescent="0.3">
      <c r="A759">
        <v>1047</v>
      </c>
      <c r="B759">
        <v>34</v>
      </c>
      <c r="C759" t="str">
        <f t="shared" si="166"/>
        <v>26-35</v>
      </c>
      <c r="D759" t="s">
        <v>71</v>
      </c>
      <c r="E759">
        <f t="shared" si="167"/>
        <v>0</v>
      </c>
      <c r="F759" t="s">
        <v>57</v>
      </c>
      <c r="G759">
        <v>216</v>
      </c>
      <c r="H759" t="str">
        <f t="shared" si="168"/>
        <v>102-500</v>
      </c>
      <c r="I759" t="s">
        <v>58</v>
      </c>
      <c r="J759">
        <v>1</v>
      </c>
      <c r="K759" t="str">
        <f t="shared" si="169"/>
        <v>1-5</v>
      </c>
      <c r="L759">
        <v>4</v>
      </c>
      <c r="M759" t="s">
        <v>82</v>
      </c>
      <c r="N759" t="s">
        <v>93</v>
      </c>
      <c r="O759">
        <v>1</v>
      </c>
      <c r="P759">
        <v>2</v>
      </c>
      <c r="Q759" t="s">
        <v>61</v>
      </c>
      <c r="R759" t="s">
        <v>75</v>
      </c>
      <c r="S759">
        <v>75</v>
      </c>
      <c r="T759" t="str">
        <f t="shared" si="170"/>
        <v>51-75</v>
      </c>
      <c r="U759">
        <v>4</v>
      </c>
      <c r="V759" t="s">
        <v>65</v>
      </c>
      <c r="W759">
        <v>2</v>
      </c>
      <c r="X759" t="s">
        <v>64</v>
      </c>
      <c r="Y759">
        <v>4</v>
      </c>
      <c r="Z759" t="s">
        <v>65</v>
      </c>
      <c r="AA759" t="s">
        <v>86</v>
      </c>
      <c r="AB759" s="4">
        <v>9725</v>
      </c>
      <c r="AC759" s="4" t="str">
        <f t="shared" si="171"/>
        <v>$8,500-$10,000</v>
      </c>
      <c r="AD759">
        <v>12278</v>
      </c>
      <c r="AE759" t="str">
        <f t="shared" si="172"/>
        <v>$8,001-$16,000</v>
      </c>
      <c r="AF759">
        <v>0</v>
      </c>
      <c r="AG759" t="str">
        <f t="shared" si="173"/>
        <v>0-1</v>
      </c>
      <c r="AH759" t="s">
        <v>67</v>
      </c>
      <c r="AI759" t="s">
        <v>71</v>
      </c>
      <c r="AJ759">
        <v>11</v>
      </c>
      <c r="AK759" t="str">
        <f t="shared" si="174"/>
        <v>11-12%</v>
      </c>
      <c r="AL759">
        <v>3</v>
      </c>
      <c r="AM759" t="s">
        <v>68</v>
      </c>
      <c r="AN759">
        <v>4</v>
      </c>
      <c r="AO759" t="s">
        <v>65</v>
      </c>
      <c r="AP759">
        <v>80</v>
      </c>
      <c r="AQ759">
        <v>1</v>
      </c>
      <c r="AR759">
        <v>16</v>
      </c>
      <c r="AS759" t="str">
        <f t="shared" si="175"/>
        <v>11-20</v>
      </c>
      <c r="AT759">
        <v>2</v>
      </c>
      <c r="AU759" t="str">
        <f t="shared" si="176"/>
        <v>0-2</v>
      </c>
      <c r="AV759">
        <v>2</v>
      </c>
      <c r="AW759" t="s">
        <v>84</v>
      </c>
      <c r="AX759">
        <v>15</v>
      </c>
      <c r="AY759" t="str">
        <f t="shared" si="165"/>
        <v>11-20</v>
      </c>
      <c r="AZ759">
        <v>1</v>
      </c>
      <c r="BA759" t="str">
        <f t="shared" si="177"/>
        <v>0-1</v>
      </c>
      <c r="BB759">
        <v>0</v>
      </c>
      <c r="BC759" t="str">
        <f t="shared" si="178"/>
        <v>0-1</v>
      </c>
      <c r="BD759">
        <v>9</v>
      </c>
      <c r="BE759" t="str">
        <f t="shared" si="179"/>
        <v>6-10</v>
      </c>
    </row>
    <row r="760" spans="1:57" x14ac:dyDescent="0.3">
      <c r="A760">
        <v>1048</v>
      </c>
      <c r="B760">
        <v>59</v>
      </c>
      <c r="C760" t="str">
        <f t="shared" si="166"/>
        <v>56+</v>
      </c>
      <c r="D760" t="s">
        <v>71</v>
      </c>
      <c r="E760">
        <f t="shared" si="167"/>
        <v>0</v>
      </c>
      <c r="F760" t="s">
        <v>57</v>
      </c>
      <c r="G760">
        <v>1089</v>
      </c>
      <c r="H760" t="str">
        <f t="shared" si="168"/>
        <v>1001-1499</v>
      </c>
      <c r="I760" t="s">
        <v>58</v>
      </c>
      <c r="J760">
        <v>1</v>
      </c>
      <c r="K760" t="str">
        <f t="shared" si="169"/>
        <v>1-5</v>
      </c>
      <c r="L760">
        <v>2</v>
      </c>
      <c r="M760" t="s">
        <v>59</v>
      </c>
      <c r="N760" t="s">
        <v>95</v>
      </c>
      <c r="O760">
        <v>1</v>
      </c>
      <c r="P760">
        <v>2</v>
      </c>
      <c r="Q760" t="s">
        <v>61</v>
      </c>
      <c r="R760" t="s">
        <v>75</v>
      </c>
      <c r="S760">
        <v>66</v>
      </c>
      <c r="T760" t="str">
        <f t="shared" si="170"/>
        <v>51-75</v>
      </c>
      <c r="U760">
        <v>3</v>
      </c>
      <c r="V760" t="s">
        <v>63</v>
      </c>
      <c r="W760">
        <v>3</v>
      </c>
      <c r="X760" t="s">
        <v>90</v>
      </c>
      <c r="Y760">
        <v>4</v>
      </c>
      <c r="Z760" t="s">
        <v>65</v>
      </c>
      <c r="AA760" t="s">
        <v>77</v>
      </c>
      <c r="AB760" s="4">
        <v>11904</v>
      </c>
      <c r="AC760" s="4" t="str">
        <f t="shared" si="171"/>
        <v>$11,500-$13,000</v>
      </c>
      <c r="AD760">
        <v>11038</v>
      </c>
      <c r="AE760" t="str">
        <f t="shared" si="172"/>
        <v>$8,001-$16,000</v>
      </c>
      <c r="AF760">
        <v>3</v>
      </c>
      <c r="AG760" t="str">
        <f t="shared" si="173"/>
        <v>2-3</v>
      </c>
      <c r="AH760" t="s">
        <v>67</v>
      </c>
      <c r="AI760" t="s">
        <v>56</v>
      </c>
      <c r="AJ760">
        <v>14</v>
      </c>
      <c r="AK760" t="str">
        <f t="shared" si="174"/>
        <v>13-15%</v>
      </c>
      <c r="AL760">
        <v>3</v>
      </c>
      <c r="AM760" t="s">
        <v>68</v>
      </c>
      <c r="AN760">
        <v>3</v>
      </c>
      <c r="AO760" t="s">
        <v>63</v>
      </c>
      <c r="AP760">
        <v>80</v>
      </c>
      <c r="AQ760">
        <v>1</v>
      </c>
      <c r="AR760">
        <v>14</v>
      </c>
      <c r="AS760" t="str">
        <f t="shared" si="175"/>
        <v>11-20</v>
      </c>
      <c r="AT760">
        <v>1</v>
      </c>
      <c r="AU760" t="str">
        <f t="shared" si="176"/>
        <v>0-2</v>
      </c>
      <c r="AV760">
        <v>1</v>
      </c>
      <c r="AW760" t="s">
        <v>70</v>
      </c>
      <c r="AX760">
        <v>6</v>
      </c>
      <c r="AY760" t="str">
        <f t="shared" si="165"/>
        <v>6-10</v>
      </c>
      <c r="AZ760">
        <v>4</v>
      </c>
      <c r="BA760" t="str">
        <f t="shared" si="177"/>
        <v>2-5</v>
      </c>
      <c r="BB760">
        <v>0</v>
      </c>
      <c r="BC760" t="str">
        <f t="shared" si="178"/>
        <v>0-1</v>
      </c>
      <c r="BD760">
        <v>4</v>
      </c>
      <c r="BE760" t="str">
        <f t="shared" si="179"/>
        <v>2-5</v>
      </c>
    </row>
    <row r="761" spans="1:57" x14ac:dyDescent="0.3">
      <c r="A761">
        <v>1049</v>
      </c>
      <c r="B761">
        <v>45</v>
      </c>
      <c r="C761" t="str">
        <f t="shared" si="166"/>
        <v>36-45</v>
      </c>
      <c r="D761" t="s">
        <v>71</v>
      </c>
      <c r="E761">
        <f t="shared" si="167"/>
        <v>0</v>
      </c>
      <c r="F761" t="s">
        <v>57</v>
      </c>
      <c r="G761">
        <v>788</v>
      </c>
      <c r="H761" t="str">
        <f t="shared" si="168"/>
        <v>501-1000</v>
      </c>
      <c r="I761" t="s">
        <v>97</v>
      </c>
      <c r="J761">
        <v>24</v>
      </c>
      <c r="K761" t="str">
        <f t="shared" si="169"/>
        <v>21-29</v>
      </c>
      <c r="L761">
        <v>4</v>
      </c>
      <c r="M761" t="s">
        <v>82</v>
      </c>
      <c r="N761" t="s">
        <v>83</v>
      </c>
      <c r="O761">
        <v>1</v>
      </c>
      <c r="P761">
        <v>2</v>
      </c>
      <c r="Q761" t="s">
        <v>61</v>
      </c>
      <c r="R761" t="s">
        <v>75</v>
      </c>
      <c r="S761">
        <v>36</v>
      </c>
      <c r="T761" t="str">
        <f t="shared" si="170"/>
        <v>30-50</v>
      </c>
      <c r="U761">
        <v>3</v>
      </c>
      <c r="V761" t="s">
        <v>63</v>
      </c>
      <c r="W761">
        <v>1</v>
      </c>
      <c r="X761" t="s">
        <v>97</v>
      </c>
      <c r="Y761">
        <v>2</v>
      </c>
      <c r="Z761" t="s">
        <v>61</v>
      </c>
      <c r="AA761" t="s">
        <v>66</v>
      </c>
      <c r="AB761" s="4">
        <v>2177</v>
      </c>
      <c r="AC761" s="4" t="str">
        <f t="shared" si="171"/>
        <v>$1,000-$2,500</v>
      </c>
      <c r="AD761">
        <v>8318</v>
      </c>
      <c r="AE761" t="str">
        <f t="shared" si="172"/>
        <v>$8,001-$16,000</v>
      </c>
      <c r="AF761">
        <v>1</v>
      </c>
      <c r="AG761" t="str">
        <f t="shared" si="173"/>
        <v>0-1</v>
      </c>
      <c r="AH761" t="s">
        <v>67</v>
      </c>
      <c r="AI761" t="s">
        <v>71</v>
      </c>
      <c r="AJ761">
        <v>16</v>
      </c>
      <c r="AK761" t="str">
        <f t="shared" si="174"/>
        <v>16-17%</v>
      </c>
      <c r="AL761">
        <v>3</v>
      </c>
      <c r="AM761" t="s">
        <v>68</v>
      </c>
      <c r="AN761">
        <v>1</v>
      </c>
      <c r="AO761" t="s">
        <v>69</v>
      </c>
      <c r="AP761">
        <v>80</v>
      </c>
      <c r="AQ761">
        <v>0</v>
      </c>
      <c r="AR761">
        <v>6</v>
      </c>
      <c r="AS761" t="str">
        <f t="shared" si="175"/>
        <v>6-10</v>
      </c>
      <c r="AT761">
        <v>3</v>
      </c>
      <c r="AU761" t="str">
        <f t="shared" si="176"/>
        <v>3-4</v>
      </c>
      <c r="AV761">
        <v>3</v>
      </c>
      <c r="AW761" t="s">
        <v>79</v>
      </c>
      <c r="AX761">
        <v>6</v>
      </c>
      <c r="AY761" t="str">
        <f t="shared" si="165"/>
        <v>6-10</v>
      </c>
      <c r="AZ761">
        <v>3</v>
      </c>
      <c r="BA761" t="str">
        <f t="shared" si="177"/>
        <v>2-5</v>
      </c>
      <c r="BB761">
        <v>0</v>
      </c>
      <c r="BC761" t="str">
        <f t="shared" si="178"/>
        <v>0-1</v>
      </c>
      <c r="BD761">
        <v>4</v>
      </c>
      <c r="BE761" t="str">
        <f t="shared" si="179"/>
        <v>2-5</v>
      </c>
    </row>
    <row r="762" spans="1:57" x14ac:dyDescent="0.3">
      <c r="A762">
        <v>1050</v>
      </c>
      <c r="B762">
        <v>53</v>
      </c>
      <c r="C762" t="str">
        <f t="shared" si="166"/>
        <v>46-55</v>
      </c>
      <c r="D762" t="s">
        <v>71</v>
      </c>
      <c r="E762">
        <f t="shared" si="167"/>
        <v>0</v>
      </c>
      <c r="F762" t="s">
        <v>72</v>
      </c>
      <c r="G762">
        <v>124</v>
      </c>
      <c r="H762" t="str">
        <f t="shared" si="168"/>
        <v>102-500</v>
      </c>
      <c r="I762" t="s">
        <v>58</v>
      </c>
      <c r="J762">
        <v>2</v>
      </c>
      <c r="K762" t="str">
        <f t="shared" si="169"/>
        <v>1-5</v>
      </c>
      <c r="L762">
        <v>3</v>
      </c>
      <c r="M762" t="s">
        <v>85</v>
      </c>
      <c r="N762" t="s">
        <v>93</v>
      </c>
      <c r="O762">
        <v>1</v>
      </c>
      <c r="P762">
        <v>3</v>
      </c>
      <c r="Q762" t="s">
        <v>63</v>
      </c>
      <c r="R762" t="s">
        <v>62</v>
      </c>
      <c r="S762">
        <v>38</v>
      </c>
      <c r="T762" t="str">
        <f t="shared" si="170"/>
        <v>30-50</v>
      </c>
      <c r="U762">
        <v>2</v>
      </c>
      <c r="V762" t="s">
        <v>61</v>
      </c>
      <c r="W762">
        <v>3</v>
      </c>
      <c r="X762" t="s">
        <v>64</v>
      </c>
      <c r="Y762">
        <v>2</v>
      </c>
      <c r="Z762" t="s">
        <v>61</v>
      </c>
      <c r="AA762" t="s">
        <v>77</v>
      </c>
      <c r="AB762" s="4">
        <v>7525</v>
      </c>
      <c r="AC762" s="4" t="str">
        <f t="shared" si="171"/>
        <v>$7,000-$8,500</v>
      </c>
      <c r="AD762">
        <v>23537</v>
      </c>
      <c r="AE762" t="str">
        <f t="shared" si="172"/>
        <v>$22,001-$26,999</v>
      </c>
      <c r="AF762">
        <v>2</v>
      </c>
      <c r="AG762" t="str">
        <f t="shared" si="173"/>
        <v>2-3</v>
      </c>
      <c r="AH762" t="s">
        <v>67</v>
      </c>
      <c r="AI762" t="s">
        <v>71</v>
      </c>
      <c r="AJ762">
        <v>12</v>
      </c>
      <c r="AK762" t="str">
        <f t="shared" si="174"/>
        <v>11-12%</v>
      </c>
      <c r="AL762">
        <v>3</v>
      </c>
      <c r="AM762" t="s">
        <v>68</v>
      </c>
      <c r="AN762">
        <v>1</v>
      </c>
      <c r="AO762" t="s">
        <v>69</v>
      </c>
      <c r="AP762">
        <v>80</v>
      </c>
      <c r="AQ762">
        <v>1</v>
      </c>
      <c r="AR762">
        <v>30</v>
      </c>
      <c r="AS762" t="str">
        <f t="shared" si="175"/>
        <v>21-40</v>
      </c>
      <c r="AT762">
        <v>2</v>
      </c>
      <c r="AU762" t="str">
        <f t="shared" si="176"/>
        <v>0-2</v>
      </c>
      <c r="AV762">
        <v>3</v>
      </c>
      <c r="AW762" t="s">
        <v>79</v>
      </c>
      <c r="AX762">
        <v>15</v>
      </c>
      <c r="AY762" t="str">
        <f t="shared" si="165"/>
        <v>11-20</v>
      </c>
      <c r="AZ762">
        <v>7</v>
      </c>
      <c r="BA762" t="str">
        <f t="shared" si="177"/>
        <v>6-10</v>
      </c>
      <c r="BB762">
        <v>6</v>
      </c>
      <c r="BC762" t="str">
        <f t="shared" si="178"/>
        <v>6-10</v>
      </c>
      <c r="BD762">
        <v>12</v>
      </c>
      <c r="BE762" t="str">
        <f t="shared" si="179"/>
        <v>11-17</v>
      </c>
    </row>
    <row r="763" spans="1:57" x14ac:dyDescent="0.3">
      <c r="A763">
        <v>1052</v>
      </c>
      <c r="B763">
        <v>36</v>
      </c>
      <c r="C763" t="str">
        <f t="shared" si="166"/>
        <v>36-45</v>
      </c>
      <c r="D763" t="s">
        <v>56</v>
      </c>
      <c r="E763">
        <f t="shared" si="167"/>
        <v>1</v>
      </c>
      <c r="F763" t="s">
        <v>57</v>
      </c>
      <c r="G763">
        <v>660</v>
      </c>
      <c r="H763" t="str">
        <f t="shared" si="168"/>
        <v>501-1000</v>
      </c>
      <c r="I763" t="s">
        <v>73</v>
      </c>
      <c r="J763">
        <v>15</v>
      </c>
      <c r="K763" t="str">
        <f t="shared" si="169"/>
        <v>11-20</v>
      </c>
      <c r="L763">
        <v>3</v>
      </c>
      <c r="M763" t="s">
        <v>85</v>
      </c>
      <c r="N763" t="s">
        <v>80</v>
      </c>
      <c r="O763">
        <v>1</v>
      </c>
      <c r="P763">
        <v>1</v>
      </c>
      <c r="Q763" t="s">
        <v>69</v>
      </c>
      <c r="R763" t="s">
        <v>75</v>
      </c>
      <c r="S763">
        <v>81</v>
      </c>
      <c r="T763" t="str">
        <f t="shared" si="170"/>
        <v>76-100</v>
      </c>
      <c r="U763">
        <v>3</v>
      </c>
      <c r="V763" t="s">
        <v>63</v>
      </c>
      <c r="W763">
        <v>2</v>
      </c>
      <c r="X763" t="s">
        <v>81</v>
      </c>
      <c r="Y763">
        <v>3</v>
      </c>
      <c r="Z763" t="s">
        <v>63</v>
      </c>
      <c r="AA763" t="s">
        <v>86</v>
      </c>
      <c r="AB763" s="4">
        <v>4834</v>
      </c>
      <c r="AC763" s="4" t="str">
        <f t="shared" si="171"/>
        <v>$4,000-$5,500</v>
      </c>
      <c r="AD763">
        <v>7858</v>
      </c>
      <c r="AE763" t="str">
        <f t="shared" si="172"/>
        <v>$2,094-$8,000</v>
      </c>
      <c r="AF763">
        <v>7</v>
      </c>
      <c r="AG763" t="str">
        <f t="shared" si="173"/>
        <v>7-9</v>
      </c>
      <c r="AH763" t="s">
        <v>67</v>
      </c>
      <c r="AI763" t="s">
        <v>71</v>
      </c>
      <c r="AJ763">
        <v>14</v>
      </c>
      <c r="AK763" t="str">
        <f t="shared" si="174"/>
        <v>13-15%</v>
      </c>
      <c r="AL763">
        <v>3</v>
      </c>
      <c r="AM763" t="s">
        <v>68</v>
      </c>
      <c r="AN763">
        <v>2</v>
      </c>
      <c r="AO763" t="s">
        <v>61</v>
      </c>
      <c r="AP763">
        <v>80</v>
      </c>
      <c r="AQ763">
        <v>1</v>
      </c>
      <c r="AR763">
        <v>9</v>
      </c>
      <c r="AS763" t="str">
        <f t="shared" si="175"/>
        <v>6-10</v>
      </c>
      <c r="AT763">
        <v>3</v>
      </c>
      <c r="AU763" t="str">
        <f t="shared" si="176"/>
        <v>3-4</v>
      </c>
      <c r="AV763">
        <v>2</v>
      </c>
      <c r="AW763" t="s">
        <v>84</v>
      </c>
      <c r="AX763">
        <v>1</v>
      </c>
      <c r="AY763" t="str">
        <f t="shared" si="165"/>
        <v>0-1</v>
      </c>
      <c r="AZ763">
        <v>0</v>
      </c>
      <c r="BA763" t="str">
        <f t="shared" si="177"/>
        <v>0-1</v>
      </c>
      <c r="BB763">
        <v>0</v>
      </c>
      <c r="BC763" t="str">
        <f t="shared" si="178"/>
        <v>0-1</v>
      </c>
      <c r="BD763">
        <v>0</v>
      </c>
      <c r="BE763" t="str">
        <f t="shared" si="179"/>
        <v>0-1</v>
      </c>
    </row>
    <row r="764" spans="1:57" x14ac:dyDescent="0.3">
      <c r="A764">
        <v>1053</v>
      </c>
      <c r="B764">
        <v>26</v>
      </c>
      <c r="C764" t="str">
        <f t="shared" si="166"/>
        <v>26-35</v>
      </c>
      <c r="D764" t="s">
        <v>56</v>
      </c>
      <c r="E764">
        <f t="shared" si="167"/>
        <v>1</v>
      </c>
      <c r="F764" t="s">
        <v>72</v>
      </c>
      <c r="G764">
        <v>342</v>
      </c>
      <c r="H764" t="str">
        <f t="shared" si="168"/>
        <v>102-500</v>
      </c>
      <c r="I764" t="s">
        <v>73</v>
      </c>
      <c r="J764">
        <v>2</v>
      </c>
      <c r="K764" t="str">
        <f t="shared" si="169"/>
        <v>1-5</v>
      </c>
      <c r="L764">
        <v>3</v>
      </c>
      <c r="M764" t="s">
        <v>85</v>
      </c>
      <c r="N764" t="s">
        <v>60</v>
      </c>
      <c r="O764">
        <v>1</v>
      </c>
      <c r="P764">
        <v>1</v>
      </c>
      <c r="Q764" t="s">
        <v>69</v>
      </c>
      <c r="R764" t="s">
        <v>75</v>
      </c>
      <c r="S764">
        <v>57</v>
      </c>
      <c r="T764" t="str">
        <f t="shared" si="170"/>
        <v>51-75</v>
      </c>
      <c r="U764">
        <v>3</v>
      </c>
      <c r="V764" t="s">
        <v>63</v>
      </c>
      <c r="W764">
        <v>1</v>
      </c>
      <c r="X764" t="s">
        <v>76</v>
      </c>
      <c r="Y764">
        <v>1</v>
      </c>
      <c r="Z764" t="s">
        <v>69</v>
      </c>
      <c r="AA764" t="s">
        <v>77</v>
      </c>
      <c r="AB764" s="4">
        <v>2042</v>
      </c>
      <c r="AC764" s="4" t="str">
        <f t="shared" si="171"/>
        <v>$1,000-$2,500</v>
      </c>
      <c r="AD764">
        <v>15346</v>
      </c>
      <c r="AE764" t="str">
        <f t="shared" si="172"/>
        <v>$8,001-$16,000</v>
      </c>
      <c r="AF764">
        <v>6</v>
      </c>
      <c r="AG764" t="str">
        <f t="shared" si="173"/>
        <v>4-6</v>
      </c>
      <c r="AH764" t="s">
        <v>67</v>
      </c>
      <c r="AI764" t="s">
        <v>56</v>
      </c>
      <c r="AJ764">
        <v>14</v>
      </c>
      <c r="AK764" t="str">
        <f t="shared" si="174"/>
        <v>13-15%</v>
      </c>
      <c r="AL764">
        <v>3</v>
      </c>
      <c r="AM764" t="s">
        <v>68</v>
      </c>
      <c r="AN764">
        <v>2</v>
      </c>
      <c r="AO764" t="s">
        <v>61</v>
      </c>
      <c r="AP764">
        <v>80</v>
      </c>
      <c r="AQ764">
        <v>1</v>
      </c>
      <c r="AR764">
        <v>6</v>
      </c>
      <c r="AS764" t="str">
        <f t="shared" si="175"/>
        <v>6-10</v>
      </c>
      <c r="AT764">
        <v>2</v>
      </c>
      <c r="AU764" t="str">
        <f t="shared" si="176"/>
        <v>0-2</v>
      </c>
      <c r="AV764">
        <v>3</v>
      </c>
      <c r="AW764" t="s">
        <v>79</v>
      </c>
      <c r="AX764">
        <v>3</v>
      </c>
      <c r="AY764" t="str">
        <f t="shared" si="165"/>
        <v>2-5</v>
      </c>
      <c r="AZ764">
        <v>2</v>
      </c>
      <c r="BA764" t="str">
        <f t="shared" si="177"/>
        <v>2-5</v>
      </c>
      <c r="BB764">
        <v>1</v>
      </c>
      <c r="BC764" t="str">
        <f t="shared" si="178"/>
        <v>0-1</v>
      </c>
      <c r="BD764">
        <v>2</v>
      </c>
      <c r="BE764" t="str">
        <f t="shared" si="179"/>
        <v>2-5</v>
      </c>
    </row>
    <row r="765" spans="1:57" x14ac:dyDescent="0.3">
      <c r="A765">
        <v>1055</v>
      </c>
      <c r="B765">
        <v>34</v>
      </c>
      <c r="C765" t="str">
        <f t="shared" si="166"/>
        <v>26-35</v>
      </c>
      <c r="D765" t="s">
        <v>71</v>
      </c>
      <c r="E765">
        <f t="shared" si="167"/>
        <v>0</v>
      </c>
      <c r="F765" t="s">
        <v>57</v>
      </c>
      <c r="G765">
        <v>1333</v>
      </c>
      <c r="H765" t="str">
        <f t="shared" si="168"/>
        <v>1001-1499</v>
      </c>
      <c r="I765" t="s">
        <v>58</v>
      </c>
      <c r="J765">
        <v>10</v>
      </c>
      <c r="K765" t="str">
        <f t="shared" si="169"/>
        <v>6-10</v>
      </c>
      <c r="L765">
        <v>4</v>
      </c>
      <c r="M765" t="s">
        <v>82</v>
      </c>
      <c r="N765" t="s">
        <v>60</v>
      </c>
      <c r="O765">
        <v>1</v>
      </c>
      <c r="P765">
        <v>3</v>
      </c>
      <c r="Q765" t="s">
        <v>63</v>
      </c>
      <c r="R765" t="s">
        <v>62</v>
      </c>
      <c r="S765">
        <v>87</v>
      </c>
      <c r="T765" t="str">
        <f t="shared" si="170"/>
        <v>76-100</v>
      </c>
      <c r="U765">
        <v>3</v>
      </c>
      <c r="V765" t="s">
        <v>63</v>
      </c>
      <c r="W765">
        <v>1</v>
      </c>
      <c r="X765" t="s">
        <v>91</v>
      </c>
      <c r="Y765">
        <v>3</v>
      </c>
      <c r="Z765" t="s">
        <v>63</v>
      </c>
      <c r="AA765" t="s">
        <v>77</v>
      </c>
      <c r="AB765" s="4">
        <v>2220</v>
      </c>
      <c r="AC765" s="4" t="str">
        <f t="shared" si="171"/>
        <v>$1,000-$2,500</v>
      </c>
      <c r="AD765">
        <v>18410</v>
      </c>
      <c r="AE765" t="str">
        <f t="shared" si="172"/>
        <v>$16,001-$22,000</v>
      </c>
      <c r="AF765">
        <v>1</v>
      </c>
      <c r="AG765" t="str">
        <f t="shared" si="173"/>
        <v>0-1</v>
      </c>
      <c r="AH765" t="s">
        <v>67</v>
      </c>
      <c r="AI765" t="s">
        <v>56</v>
      </c>
      <c r="AJ765">
        <v>19</v>
      </c>
      <c r="AK765" t="str">
        <f t="shared" si="174"/>
        <v>18-19%</v>
      </c>
      <c r="AL765">
        <v>3</v>
      </c>
      <c r="AM765" t="s">
        <v>68</v>
      </c>
      <c r="AN765">
        <v>4</v>
      </c>
      <c r="AO765" t="s">
        <v>65</v>
      </c>
      <c r="AP765">
        <v>80</v>
      </c>
      <c r="AQ765">
        <v>1</v>
      </c>
      <c r="AR765">
        <v>1</v>
      </c>
      <c r="AS765" t="str">
        <f t="shared" si="175"/>
        <v>0-2</v>
      </c>
      <c r="AT765">
        <v>2</v>
      </c>
      <c r="AU765" t="str">
        <f t="shared" si="176"/>
        <v>0-2</v>
      </c>
      <c r="AV765">
        <v>3</v>
      </c>
      <c r="AW765" t="s">
        <v>79</v>
      </c>
      <c r="AX765">
        <v>1</v>
      </c>
      <c r="AY765" t="str">
        <f t="shared" si="165"/>
        <v>0-1</v>
      </c>
      <c r="AZ765">
        <v>1</v>
      </c>
      <c r="BA765" t="str">
        <f t="shared" si="177"/>
        <v>0-1</v>
      </c>
      <c r="BB765">
        <v>0</v>
      </c>
      <c r="BC765" t="str">
        <f t="shared" si="178"/>
        <v>0-1</v>
      </c>
      <c r="BD765">
        <v>0</v>
      </c>
      <c r="BE765" t="str">
        <f t="shared" si="179"/>
        <v>0-1</v>
      </c>
    </row>
    <row r="766" spans="1:57" x14ac:dyDescent="0.3">
      <c r="A766">
        <v>1056</v>
      </c>
      <c r="B766">
        <v>28</v>
      </c>
      <c r="C766" t="str">
        <f t="shared" si="166"/>
        <v>26-35</v>
      </c>
      <c r="D766" t="s">
        <v>71</v>
      </c>
      <c r="E766">
        <f t="shared" si="167"/>
        <v>0</v>
      </c>
      <c r="F766" t="s">
        <v>57</v>
      </c>
      <c r="G766">
        <v>1144</v>
      </c>
      <c r="H766" t="str">
        <f t="shared" si="168"/>
        <v>1001-1499</v>
      </c>
      <c r="I766" t="s">
        <v>58</v>
      </c>
      <c r="J766">
        <v>10</v>
      </c>
      <c r="K766" t="str">
        <f t="shared" si="169"/>
        <v>6-10</v>
      </c>
      <c r="L766">
        <v>1</v>
      </c>
      <c r="M766" t="s">
        <v>74</v>
      </c>
      <c r="N766" t="s">
        <v>83</v>
      </c>
      <c r="O766">
        <v>1</v>
      </c>
      <c r="P766">
        <v>4</v>
      </c>
      <c r="Q766" t="s">
        <v>65</v>
      </c>
      <c r="R766" t="s">
        <v>75</v>
      </c>
      <c r="S766">
        <v>74</v>
      </c>
      <c r="T766" t="str">
        <f t="shared" si="170"/>
        <v>51-75</v>
      </c>
      <c r="U766">
        <v>3</v>
      </c>
      <c r="V766" t="s">
        <v>63</v>
      </c>
      <c r="W766">
        <v>1</v>
      </c>
      <c r="X766" t="s">
        <v>91</v>
      </c>
      <c r="Y766">
        <v>2</v>
      </c>
      <c r="Z766" t="s">
        <v>61</v>
      </c>
      <c r="AA766" t="s">
        <v>77</v>
      </c>
      <c r="AB766" s="4">
        <v>1052</v>
      </c>
      <c r="AC766" s="4" t="str">
        <f t="shared" si="171"/>
        <v>$1,000-$2,500</v>
      </c>
      <c r="AD766">
        <v>23384</v>
      </c>
      <c r="AE766" t="str">
        <f t="shared" si="172"/>
        <v>$22,001-$26,999</v>
      </c>
      <c r="AF766">
        <v>1</v>
      </c>
      <c r="AG766" t="str">
        <f t="shared" si="173"/>
        <v>0-1</v>
      </c>
      <c r="AH766" t="s">
        <v>67</v>
      </c>
      <c r="AI766" t="s">
        <v>71</v>
      </c>
      <c r="AJ766">
        <v>22</v>
      </c>
      <c r="AK766" t="str">
        <f t="shared" si="174"/>
        <v>18-19%</v>
      </c>
      <c r="AL766">
        <v>4</v>
      </c>
      <c r="AM766" t="s">
        <v>78</v>
      </c>
      <c r="AN766">
        <v>2</v>
      </c>
      <c r="AO766" t="s">
        <v>61</v>
      </c>
      <c r="AP766">
        <v>80</v>
      </c>
      <c r="AQ766">
        <v>0</v>
      </c>
      <c r="AR766">
        <v>1</v>
      </c>
      <c r="AS766" t="str">
        <f t="shared" si="175"/>
        <v>0-2</v>
      </c>
      <c r="AT766">
        <v>5</v>
      </c>
      <c r="AU766" t="str">
        <f t="shared" si="176"/>
        <v>5-6</v>
      </c>
      <c r="AV766">
        <v>3</v>
      </c>
      <c r="AW766" t="s">
        <v>79</v>
      </c>
      <c r="AX766">
        <v>1</v>
      </c>
      <c r="AY766" t="str">
        <f t="shared" si="165"/>
        <v>0-1</v>
      </c>
      <c r="AZ766">
        <v>0</v>
      </c>
      <c r="BA766" t="str">
        <f t="shared" si="177"/>
        <v>0-1</v>
      </c>
      <c r="BB766">
        <v>0</v>
      </c>
      <c r="BC766" t="str">
        <f t="shared" si="178"/>
        <v>0-1</v>
      </c>
      <c r="BD766">
        <v>0</v>
      </c>
      <c r="BE766" t="str">
        <f t="shared" si="179"/>
        <v>0-1</v>
      </c>
    </row>
    <row r="767" spans="1:57" x14ac:dyDescent="0.3">
      <c r="A767">
        <v>1060</v>
      </c>
      <c r="B767">
        <v>38</v>
      </c>
      <c r="C767" t="str">
        <f t="shared" si="166"/>
        <v>36-45</v>
      </c>
      <c r="D767" t="s">
        <v>71</v>
      </c>
      <c r="E767">
        <f t="shared" si="167"/>
        <v>0</v>
      </c>
      <c r="F767" t="s">
        <v>72</v>
      </c>
      <c r="G767">
        <v>1186</v>
      </c>
      <c r="H767" t="str">
        <f t="shared" si="168"/>
        <v>1001-1499</v>
      </c>
      <c r="I767" t="s">
        <v>73</v>
      </c>
      <c r="J767">
        <v>3</v>
      </c>
      <c r="K767" t="str">
        <f t="shared" si="169"/>
        <v>1-5</v>
      </c>
      <c r="L767">
        <v>4</v>
      </c>
      <c r="M767" t="s">
        <v>82</v>
      </c>
      <c r="N767" t="s">
        <v>80</v>
      </c>
      <c r="O767">
        <v>1</v>
      </c>
      <c r="P767">
        <v>3</v>
      </c>
      <c r="Q767" t="s">
        <v>63</v>
      </c>
      <c r="R767" t="s">
        <v>75</v>
      </c>
      <c r="S767">
        <v>44</v>
      </c>
      <c r="T767" t="str">
        <f t="shared" si="170"/>
        <v>30-50</v>
      </c>
      <c r="U767">
        <v>3</v>
      </c>
      <c r="V767" t="s">
        <v>63</v>
      </c>
      <c r="W767">
        <v>1</v>
      </c>
      <c r="X767" t="s">
        <v>76</v>
      </c>
      <c r="Y767">
        <v>3</v>
      </c>
      <c r="Z767" t="s">
        <v>63</v>
      </c>
      <c r="AA767" t="s">
        <v>77</v>
      </c>
      <c r="AB767" s="4">
        <v>2821</v>
      </c>
      <c r="AC767" s="4" t="str">
        <f t="shared" si="171"/>
        <v>$2,500-$4,000</v>
      </c>
      <c r="AD767">
        <v>2997</v>
      </c>
      <c r="AE767" t="str">
        <f t="shared" si="172"/>
        <v>$2,094-$8,000</v>
      </c>
      <c r="AF767">
        <v>3</v>
      </c>
      <c r="AG767" t="str">
        <f t="shared" si="173"/>
        <v>2-3</v>
      </c>
      <c r="AH767" t="s">
        <v>67</v>
      </c>
      <c r="AI767" t="s">
        <v>71</v>
      </c>
      <c r="AJ767">
        <v>16</v>
      </c>
      <c r="AK767" t="str">
        <f t="shared" si="174"/>
        <v>16-17%</v>
      </c>
      <c r="AL767">
        <v>3</v>
      </c>
      <c r="AM767" t="s">
        <v>68</v>
      </c>
      <c r="AN767">
        <v>1</v>
      </c>
      <c r="AO767" t="s">
        <v>69</v>
      </c>
      <c r="AP767">
        <v>80</v>
      </c>
      <c r="AQ767">
        <v>1</v>
      </c>
      <c r="AR767">
        <v>8</v>
      </c>
      <c r="AS767" t="str">
        <f t="shared" si="175"/>
        <v>6-10</v>
      </c>
      <c r="AT767">
        <v>2</v>
      </c>
      <c r="AU767" t="str">
        <f t="shared" si="176"/>
        <v>0-2</v>
      </c>
      <c r="AV767">
        <v>3</v>
      </c>
      <c r="AW767" t="s">
        <v>79</v>
      </c>
      <c r="AX767">
        <v>2</v>
      </c>
      <c r="AY767" t="str">
        <f t="shared" si="165"/>
        <v>2-5</v>
      </c>
      <c r="AZ767">
        <v>2</v>
      </c>
      <c r="BA767" t="str">
        <f t="shared" si="177"/>
        <v>2-5</v>
      </c>
      <c r="BB767">
        <v>2</v>
      </c>
      <c r="BC767" t="str">
        <f t="shared" si="178"/>
        <v>2-5</v>
      </c>
      <c r="BD767">
        <v>2</v>
      </c>
      <c r="BE767" t="str">
        <f t="shared" si="179"/>
        <v>2-5</v>
      </c>
    </row>
    <row r="768" spans="1:57" x14ac:dyDescent="0.3">
      <c r="A768">
        <v>1061</v>
      </c>
      <c r="B768">
        <v>50</v>
      </c>
      <c r="C768" t="str">
        <f t="shared" si="166"/>
        <v>46-55</v>
      </c>
      <c r="D768" t="s">
        <v>71</v>
      </c>
      <c r="E768">
        <f t="shared" si="167"/>
        <v>0</v>
      </c>
      <c r="F768" t="s">
        <v>57</v>
      </c>
      <c r="G768">
        <v>1464</v>
      </c>
      <c r="H768" t="str">
        <f t="shared" si="168"/>
        <v>1001-1499</v>
      </c>
      <c r="I768" t="s">
        <v>73</v>
      </c>
      <c r="J768">
        <v>2</v>
      </c>
      <c r="K768" t="str">
        <f t="shared" si="169"/>
        <v>1-5</v>
      </c>
      <c r="L768">
        <v>4</v>
      </c>
      <c r="M768" t="s">
        <v>82</v>
      </c>
      <c r="N768" t="s">
        <v>83</v>
      </c>
      <c r="O768">
        <v>1</v>
      </c>
      <c r="P768">
        <v>2</v>
      </c>
      <c r="Q768" t="s">
        <v>61</v>
      </c>
      <c r="R768" t="s">
        <v>75</v>
      </c>
      <c r="S768">
        <v>62</v>
      </c>
      <c r="T768" t="str">
        <f t="shared" si="170"/>
        <v>51-75</v>
      </c>
      <c r="U768">
        <v>3</v>
      </c>
      <c r="V768" t="s">
        <v>63</v>
      </c>
      <c r="W768">
        <v>5</v>
      </c>
      <c r="X768" t="s">
        <v>92</v>
      </c>
      <c r="Y768">
        <v>3</v>
      </c>
      <c r="Z768" t="s">
        <v>63</v>
      </c>
      <c r="AA768" t="s">
        <v>77</v>
      </c>
      <c r="AB768" s="4">
        <v>19237</v>
      </c>
      <c r="AC768" s="4" t="str">
        <f t="shared" si="171"/>
        <v>$19,000-$20,500</v>
      </c>
      <c r="AD768">
        <v>12853</v>
      </c>
      <c r="AE768" t="str">
        <f t="shared" si="172"/>
        <v>$8,001-$16,000</v>
      </c>
      <c r="AF768">
        <v>2</v>
      </c>
      <c r="AG768" t="str">
        <f t="shared" si="173"/>
        <v>2-3</v>
      </c>
      <c r="AH768" t="s">
        <v>67</v>
      </c>
      <c r="AI768" t="s">
        <v>56</v>
      </c>
      <c r="AJ768">
        <v>11</v>
      </c>
      <c r="AK768" t="str">
        <f t="shared" si="174"/>
        <v>11-12%</v>
      </c>
      <c r="AL768">
        <v>3</v>
      </c>
      <c r="AM768" t="s">
        <v>68</v>
      </c>
      <c r="AN768">
        <v>4</v>
      </c>
      <c r="AO768" t="s">
        <v>65</v>
      </c>
      <c r="AP768">
        <v>80</v>
      </c>
      <c r="AQ768">
        <v>1</v>
      </c>
      <c r="AR768">
        <v>29</v>
      </c>
      <c r="AS768" t="str">
        <f t="shared" si="175"/>
        <v>21-40</v>
      </c>
      <c r="AT768">
        <v>2</v>
      </c>
      <c r="AU768" t="str">
        <f t="shared" si="176"/>
        <v>0-2</v>
      </c>
      <c r="AV768">
        <v>2</v>
      </c>
      <c r="AW768" t="s">
        <v>84</v>
      </c>
      <c r="AX768">
        <v>8</v>
      </c>
      <c r="AY768" t="str">
        <f t="shared" si="165"/>
        <v>6-10</v>
      </c>
      <c r="AZ768">
        <v>1</v>
      </c>
      <c r="BA768" t="str">
        <f t="shared" si="177"/>
        <v>0-1</v>
      </c>
      <c r="BB768">
        <v>7</v>
      </c>
      <c r="BC768" t="str">
        <f t="shared" si="178"/>
        <v>6-10</v>
      </c>
      <c r="BD768">
        <v>7</v>
      </c>
      <c r="BE768" t="str">
        <f t="shared" si="179"/>
        <v>6-10</v>
      </c>
    </row>
    <row r="769" spans="1:57" x14ac:dyDescent="0.3">
      <c r="A769">
        <v>1062</v>
      </c>
      <c r="B769">
        <v>37</v>
      </c>
      <c r="C769" t="str">
        <f t="shared" si="166"/>
        <v>36-45</v>
      </c>
      <c r="D769" t="s">
        <v>71</v>
      </c>
      <c r="E769">
        <f t="shared" si="167"/>
        <v>0</v>
      </c>
      <c r="F769" t="s">
        <v>57</v>
      </c>
      <c r="G769">
        <v>124</v>
      </c>
      <c r="H769" t="str">
        <f t="shared" si="168"/>
        <v>102-500</v>
      </c>
      <c r="I769" t="s">
        <v>73</v>
      </c>
      <c r="J769">
        <v>3</v>
      </c>
      <c r="K769" t="str">
        <f t="shared" si="169"/>
        <v>1-5</v>
      </c>
      <c r="L769">
        <v>3</v>
      </c>
      <c r="M769" t="s">
        <v>85</v>
      </c>
      <c r="N769" t="s">
        <v>80</v>
      </c>
      <c r="O769">
        <v>1</v>
      </c>
      <c r="P769">
        <v>4</v>
      </c>
      <c r="Q769" t="s">
        <v>65</v>
      </c>
      <c r="R769" t="s">
        <v>62</v>
      </c>
      <c r="S769">
        <v>35</v>
      </c>
      <c r="T769" t="str">
        <f t="shared" si="170"/>
        <v>30-50</v>
      </c>
      <c r="U769">
        <v>3</v>
      </c>
      <c r="V769" t="s">
        <v>63</v>
      </c>
      <c r="W769">
        <v>2</v>
      </c>
      <c r="X769" t="s">
        <v>88</v>
      </c>
      <c r="Y769">
        <v>2</v>
      </c>
      <c r="Z769" t="s">
        <v>61</v>
      </c>
      <c r="AA769" t="s">
        <v>66</v>
      </c>
      <c r="AB769" s="4">
        <v>4107</v>
      </c>
      <c r="AC769" s="4" t="str">
        <f t="shared" si="171"/>
        <v>$4,000-$5,500</v>
      </c>
      <c r="AD769">
        <v>13848</v>
      </c>
      <c r="AE769" t="str">
        <f t="shared" si="172"/>
        <v>$8,001-$16,000</v>
      </c>
      <c r="AF769">
        <v>3</v>
      </c>
      <c r="AG769" t="str">
        <f t="shared" si="173"/>
        <v>2-3</v>
      </c>
      <c r="AH769" t="s">
        <v>67</v>
      </c>
      <c r="AI769" t="s">
        <v>71</v>
      </c>
      <c r="AJ769">
        <v>15</v>
      </c>
      <c r="AK769" t="str">
        <f t="shared" si="174"/>
        <v>13-15%</v>
      </c>
      <c r="AL769">
        <v>3</v>
      </c>
      <c r="AM769" t="s">
        <v>68</v>
      </c>
      <c r="AN769">
        <v>1</v>
      </c>
      <c r="AO769" t="s">
        <v>69</v>
      </c>
      <c r="AP769">
        <v>80</v>
      </c>
      <c r="AQ769">
        <v>0</v>
      </c>
      <c r="AR769">
        <v>8</v>
      </c>
      <c r="AS769" t="str">
        <f t="shared" si="175"/>
        <v>6-10</v>
      </c>
      <c r="AT769">
        <v>3</v>
      </c>
      <c r="AU769" t="str">
        <f t="shared" si="176"/>
        <v>3-4</v>
      </c>
      <c r="AV769">
        <v>2</v>
      </c>
      <c r="AW769" t="s">
        <v>84</v>
      </c>
      <c r="AX769">
        <v>4</v>
      </c>
      <c r="AY769" t="str">
        <f t="shared" si="165"/>
        <v>2-5</v>
      </c>
      <c r="AZ769">
        <v>3</v>
      </c>
      <c r="BA769" t="str">
        <f t="shared" si="177"/>
        <v>2-5</v>
      </c>
      <c r="BB769">
        <v>0</v>
      </c>
      <c r="BC769" t="str">
        <f t="shared" si="178"/>
        <v>0-1</v>
      </c>
      <c r="BD769">
        <v>1</v>
      </c>
      <c r="BE769" t="str">
        <f t="shared" si="179"/>
        <v>0-1</v>
      </c>
    </row>
    <row r="770" spans="1:57" x14ac:dyDescent="0.3">
      <c r="A770">
        <v>1066</v>
      </c>
      <c r="B770">
        <v>40</v>
      </c>
      <c r="C770" t="str">
        <f t="shared" si="166"/>
        <v>36-45</v>
      </c>
      <c r="D770" t="s">
        <v>71</v>
      </c>
      <c r="E770">
        <f t="shared" si="167"/>
        <v>0</v>
      </c>
      <c r="F770" t="s">
        <v>57</v>
      </c>
      <c r="G770">
        <v>300</v>
      </c>
      <c r="H770" t="str">
        <f t="shared" si="168"/>
        <v>102-500</v>
      </c>
      <c r="I770" t="s">
        <v>58</v>
      </c>
      <c r="J770">
        <v>26</v>
      </c>
      <c r="K770" t="str">
        <f t="shared" si="169"/>
        <v>21-29</v>
      </c>
      <c r="L770">
        <v>3</v>
      </c>
      <c r="M770" t="s">
        <v>85</v>
      </c>
      <c r="N770" t="s">
        <v>93</v>
      </c>
      <c r="O770">
        <v>1</v>
      </c>
      <c r="P770">
        <v>3</v>
      </c>
      <c r="Q770" t="s">
        <v>63</v>
      </c>
      <c r="R770" t="s">
        <v>75</v>
      </c>
      <c r="S770">
        <v>74</v>
      </c>
      <c r="T770" t="str">
        <f t="shared" si="170"/>
        <v>51-75</v>
      </c>
      <c r="U770">
        <v>3</v>
      </c>
      <c r="V770" t="s">
        <v>63</v>
      </c>
      <c r="W770">
        <v>2</v>
      </c>
      <c r="X770" t="s">
        <v>64</v>
      </c>
      <c r="Y770">
        <v>1</v>
      </c>
      <c r="Z770" t="s">
        <v>69</v>
      </c>
      <c r="AA770" t="s">
        <v>77</v>
      </c>
      <c r="AB770" s="4">
        <v>8396</v>
      </c>
      <c r="AC770" s="4" t="str">
        <f t="shared" si="171"/>
        <v>$7,000-$8,500</v>
      </c>
      <c r="AD770">
        <v>22217</v>
      </c>
      <c r="AE770" t="str">
        <f t="shared" si="172"/>
        <v>$22,001-$26,999</v>
      </c>
      <c r="AF770">
        <v>1</v>
      </c>
      <c r="AG770" t="str">
        <f t="shared" si="173"/>
        <v>0-1</v>
      </c>
      <c r="AH770" t="s">
        <v>67</v>
      </c>
      <c r="AI770" t="s">
        <v>71</v>
      </c>
      <c r="AJ770">
        <v>14</v>
      </c>
      <c r="AK770" t="str">
        <f t="shared" si="174"/>
        <v>13-15%</v>
      </c>
      <c r="AL770">
        <v>3</v>
      </c>
      <c r="AM770" t="s">
        <v>68</v>
      </c>
      <c r="AN770">
        <v>2</v>
      </c>
      <c r="AO770" t="s">
        <v>61</v>
      </c>
      <c r="AP770">
        <v>80</v>
      </c>
      <c r="AQ770">
        <v>1</v>
      </c>
      <c r="AR770">
        <v>8</v>
      </c>
      <c r="AS770" t="str">
        <f t="shared" si="175"/>
        <v>6-10</v>
      </c>
      <c r="AT770">
        <v>3</v>
      </c>
      <c r="AU770" t="str">
        <f t="shared" si="176"/>
        <v>3-4</v>
      </c>
      <c r="AV770">
        <v>2</v>
      </c>
      <c r="AW770" t="s">
        <v>84</v>
      </c>
      <c r="AX770">
        <v>7</v>
      </c>
      <c r="AY770" t="str">
        <f t="shared" ref="AY770:AY833" si="180">IF(AX770&lt;=1,"0-1",IF(AX770&lt;=5,"2-5",IF(AX770&lt;=10,"6-10",IF(AX770&lt;=20,"11-20","21-40"))))</f>
        <v>6-10</v>
      </c>
      <c r="AZ770">
        <v>7</v>
      </c>
      <c r="BA770" t="str">
        <f t="shared" si="177"/>
        <v>6-10</v>
      </c>
      <c r="BB770">
        <v>7</v>
      </c>
      <c r="BC770" t="str">
        <f t="shared" si="178"/>
        <v>6-10</v>
      </c>
      <c r="BD770">
        <v>5</v>
      </c>
      <c r="BE770" t="str">
        <f t="shared" si="179"/>
        <v>2-5</v>
      </c>
    </row>
    <row r="771" spans="1:57" x14ac:dyDescent="0.3">
      <c r="A771">
        <v>1068</v>
      </c>
      <c r="B771">
        <v>26</v>
      </c>
      <c r="C771" t="str">
        <f t="shared" ref="C771:C834" si="181">IF(B771&lt;=25, "18-25", IF(B771&lt;=35, "26-35", IF(B771&lt;=45, "36-45", IF(B771&lt;=55, "46-55", "56+"))))</f>
        <v>26-35</v>
      </c>
      <c r="D771" t="s">
        <v>71</v>
      </c>
      <c r="E771">
        <f t="shared" ref="E771:E834" si="182">IF(D771="Yes",1,0)</f>
        <v>0</v>
      </c>
      <c r="F771" t="s">
        <v>72</v>
      </c>
      <c r="G771">
        <v>921</v>
      </c>
      <c r="H771" t="str">
        <f t="shared" ref="H771:H834" si="183">IF(G771&lt;=500,"102-500",IF(G771&lt;=1000,"501-1000","1001-1499"))</f>
        <v>501-1000</v>
      </c>
      <c r="I771" t="s">
        <v>73</v>
      </c>
      <c r="J771">
        <v>1</v>
      </c>
      <c r="K771" t="str">
        <f t="shared" ref="K771:K834" si="184">IF(J771&lt;=5,"1-5",IF(J771&lt;=10,"6-10",IF(J771&lt;=20,"11-20","21-29")))</f>
        <v>1-5</v>
      </c>
      <c r="L771">
        <v>1</v>
      </c>
      <c r="M771" t="s">
        <v>74</v>
      </c>
      <c r="N771" t="s">
        <v>83</v>
      </c>
      <c r="O771">
        <v>1</v>
      </c>
      <c r="P771">
        <v>1</v>
      </c>
      <c r="Q771" t="s">
        <v>69</v>
      </c>
      <c r="R771" t="s">
        <v>62</v>
      </c>
      <c r="S771">
        <v>66</v>
      </c>
      <c r="T771" t="str">
        <f t="shared" ref="T771:T834" si="185">IF(S771&lt;=50,"30-50",IF(S771&lt;=75,"51-75","76-100"))</f>
        <v>51-75</v>
      </c>
      <c r="U771">
        <v>2</v>
      </c>
      <c r="V771" t="s">
        <v>61</v>
      </c>
      <c r="W771">
        <v>1</v>
      </c>
      <c r="X771" t="s">
        <v>76</v>
      </c>
      <c r="Y771">
        <v>3</v>
      </c>
      <c r="Z771" t="s">
        <v>63</v>
      </c>
      <c r="AA771" t="s">
        <v>86</v>
      </c>
      <c r="AB771" s="4">
        <v>2007</v>
      </c>
      <c r="AC771" s="4" t="str">
        <f t="shared" ref="AC771:AC834" si="186">IF(AB771&lt;2500,"$1,000-$2,500",IF(AB771&lt;4000,"$2,500-$4,000",IF(AB771&lt;5500,"$4,000-$5,500",IF(AB771&lt;7000,"$5,500-$7,000",IF(AB771&lt;8500,"$7,000-$8,500",IF(AB771&lt;10000,"$8,500-$10,000",IF(AB771&lt;11500,"$10,000-$11,500",IF(AB771&lt;13000,"$11,500-$13,000",IF(AB771&lt;14500,"$13,000-$14,500",IF(AB771&lt;16000,"$14,500-$16,000",IF(AB771&lt;17500,"$16,000-$17,500",IF(AB771&lt;19000,"$17,500-$19,000",IF(AB771&lt;20500,"$19,000-$20,500",IF(AB771&lt;22000,"$20,500-$22,000",IF(AB771&lt;23500,"$22,000-$23,500",IF(AB771&lt;25000,"$23,500-$25,000",IF(AB771&lt;26500,"$25,000-$26,500",IF(AB771&lt;28000,"$26,500-$28,000",IF(AB771&lt;29500,"$28,000-$29,500","$29,500+")))))))))))))))))))</f>
        <v>$1,000-$2,500</v>
      </c>
      <c r="AD771">
        <v>25265</v>
      </c>
      <c r="AE771" t="str">
        <f t="shared" ref="AE771:AE834" si="187">IF(AD771&lt;=8000,"$2,094-$8,000",IF(AD771&lt;=16000,"$8,001-$16,000",IF(AD771&lt;=22000,"$16,001-$22,000","$22,001-$26,999")))</f>
        <v>$22,001-$26,999</v>
      </c>
      <c r="AF771">
        <v>1</v>
      </c>
      <c r="AG771" t="str">
        <f t="shared" ref="AG771:AG834" si="188">IF(AF771&lt;=1,"0-1",IF(AF771&lt;=3,"2-3",IF(AF771&lt;=6,"4-6","7-9")))</f>
        <v>0-1</v>
      </c>
      <c r="AH771" t="s">
        <v>67</v>
      </c>
      <c r="AI771" t="s">
        <v>71</v>
      </c>
      <c r="AJ771">
        <v>13</v>
      </c>
      <c r="AK771" t="str">
        <f t="shared" ref="AK771:AK834" si="189">IF(AJ771&lt;=12,"11-12%",IF(AJ771&lt;=15,"13-15%",IF(AJ771&lt;=17,"16-17%","18-19%")))</f>
        <v>13-15%</v>
      </c>
      <c r="AL771">
        <v>3</v>
      </c>
      <c r="AM771" t="s">
        <v>68</v>
      </c>
      <c r="AN771">
        <v>3</v>
      </c>
      <c r="AO771" t="s">
        <v>63</v>
      </c>
      <c r="AP771">
        <v>80</v>
      </c>
      <c r="AQ771">
        <v>2</v>
      </c>
      <c r="AR771">
        <v>5</v>
      </c>
      <c r="AS771" t="str">
        <f t="shared" ref="AS771:AS834" si="190">IF(AR771&lt;=2,"0-2",IF(AR771&lt;=5,"3-5",IF(AR771&lt;=10,"6-10",IF(AR771&lt;=20,"11-20","21-40"))))</f>
        <v>3-5</v>
      </c>
      <c r="AT771">
        <v>5</v>
      </c>
      <c r="AU771" t="str">
        <f t="shared" ref="AU771:AU834" si="191">IF(AT771&lt;=2,"0-2",IF(AT771&lt;=4,"3-4","5-6"))</f>
        <v>5-6</v>
      </c>
      <c r="AV771">
        <v>3</v>
      </c>
      <c r="AW771" t="s">
        <v>79</v>
      </c>
      <c r="AX771">
        <v>5</v>
      </c>
      <c r="AY771" t="str">
        <f t="shared" si="180"/>
        <v>2-5</v>
      </c>
      <c r="AZ771">
        <v>3</v>
      </c>
      <c r="BA771" t="str">
        <f t="shared" ref="BA771:BA834" si="192">IF(AZ771&lt;=1,"0-1",IF(AZ771&lt;=5,"2-5",IF(AZ771&lt;=10,"6-10","11-18")))</f>
        <v>2-5</v>
      </c>
      <c r="BB771">
        <v>1</v>
      </c>
      <c r="BC771" t="str">
        <f t="shared" ref="BC771:BC834" si="193">IF(BB771&lt;=1,"0-1",IF(BB771&lt;=5,"2-5",IF(BB771&lt;=10,"6-10","11-15")))</f>
        <v>0-1</v>
      </c>
      <c r="BD771">
        <v>3</v>
      </c>
      <c r="BE771" t="str">
        <f t="shared" ref="BE771:BE834" si="194">IF(BD771&lt;=1,"0-1",IF(BD771&lt;=5,"2-5",IF(BD771&lt;=10,"6-10","11-17")))</f>
        <v>2-5</v>
      </c>
    </row>
    <row r="772" spans="1:57" x14ac:dyDescent="0.3">
      <c r="A772">
        <v>1069</v>
      </c>
      <c r="B772">
        <v>46</v>
      </c>
      <c r="C772" t="str">
        <f t="shared" si="181"/>
        <v>46-55</v>
      </c>
      <c r="D772" t="s">
        <v>71</v>
      </c>
      <c r="E772">
        <f t="shared" si="182"/>
        <v>0</v>
      </c>
      <c r="F772" t="s">
        <v>57</v>
      </c>
      <c r="G772">
        <v>430</v>
      </c>
      <c r="H772" t="str">
        <f t="shared" si="183"/>
        <v>102-500</v>
      </c>
      <c r="I772" t="s">
        <v>73</v>
      </c>
      <c r="J772">
        <v>1</v>
      </c>
      <c r="K772" t="str">
        <f t="shared" si="184"/>
        <v>1-5</v>
      </c>
      <c r="L772">
        <v>4</v>
      </c>
      <c r="M772" t="s">
        <v>82</v>
      </c>
      <c r="N772" t="s">
        <v>83</v>
      </c>
      <c r="O772">
        <v>1</v>
      </c>
      <c r="P772">
        <v>4</v>
      </c>
      <c r="Q772" t="s">
        <v>65</v>
      </c>
      <c r="R772" t="s">
        <v>75</v>
      </c>
      <c r="S772">
        <v>40</v>
      </c>
      <c r="T772" t="str">
        <f t="shared" si="185"/>
        <v>30-50</v>
      </c>
      <c r="U772">
        <v>3</v>
      </c>
      <c r="V772" t="s">
        <v>63</v>
      </c>
      <c r="W772">
        <v>5</v>
      </c>
      <c r="X772" t="s">
        <v>92</v>
      </c>
      <c r="Y772">
        <v>4</v>
      </c>
      <c r="Z772" t="s">
        <v>65</v>
      </c>
      <c r="AA772" t="s">
        <v>86</v>
      </c>
      <c r="AB772" s="4">
        <v>19627</v>
      </c>
      <c r="AC772" s="4" t="str">
        <f t="shared" si="186"/>
        <v>$19,000-$20,500</v>
      </c>
      <c r="AD772">
        <v>21445</v>
      </c>
      <c r="AE772" t="str">
        <f t="shared" si="187"/>
        <v>$16,001-$22,000</v>
      </c>
      <c r="AF772">
        <v>9</v>
      </c>
      <c r="AG772" t="str">
        <f t="shared" si="188"/>
        <v>7-9</v>
      </c>
      <c r="AH772" t="s">
        <v>67</v>
      </c>
      <c r="AI772" t="s">
        <v>71</v>
      </c>
      <c r="AJ772">
        <v>17</v>
      </c>
      <c r="AK772" t="str">
        <f t="shared" si="189"/>
        <v>16-17%</v>
      </c>
      <c r="AL772">
        <v>3</v>
      </c>
      <c r="AM772" t="s">
        <v>68</v>
      </c>
      <c r="AN772">
        <v>4</v>
      </c>
      <c r="AO772" t="s">
        <v>65</v>
      </c>
      <c r="AP772">
        <v>80</v>
      </c>
      <c r="AQ772">
        <v>2</v>
      </c>
      <c r="AR772">
        <v>23</v>
      </c>
      <c r="AS772" t="str">
        <f t="shared" si="190"/>
        <v>21-40</v>
      </c>
      <c r="AT772">
        <v>0</v>
      </c>
      <c r="AU772" t="str">
        <f t="shared" si="191"/>
        <v>0-2</v>
      </c>
      <c r="AV772">
        <v>3</v>
      </c>
      <c r="AW772" t="s">
        <v>79</v>
      </c>
      <c r="AX772">
        <v>2</v>
      </c>
      <c r="AY772" t="str">
        <f t="shared" si="180"/>
        <v>2-5</v>
      </c>
      <c r="AZ772">
        <v>2</v>
      </c>
      <c r="BA772" t="str">
        <f t="shared" si="192"/>
        <v>2-5</v>
      </c>
      <c r="BB772">
        <v>2</v>
      </c>
      <c r="BC772" t="str">
        <f t="shared" si="193"/>
        <v>2-5</v>
      </c>
      <c r="BD772">
        <v>2</v>
      </c>
      <c r="BE772" t="str">
        <f t="shared" si="194"/>
        <v>2-5</v>
      </c>
    </row>
    <row r="773" spans="1:57" x14ac:dyDescent="0.3">
      <c r="A773">
        <v>1070</v>
      </c>
      <c r="B773">
        <v>54</v>
      </c>
      <c r="C773" t="str">
        <f t="shared" si="181"/>
        <v>46-55</v>
      </c>
      <c r="D773" t="s">
        <v>71</v>
      </c>
      <c r="E773">
        <f t="shared" si="182"/>
        <v>0</v>
      </c>
      <c r="F773" t="s">
        <v>57</v>
      </c>
      <c r="G773">
        <v>1082</v>
      </c>
      <c r="H773" t="str">
        <f t="shared" si="183"/>
        <v>1001-1499</v>
      </c>
      <c r="I773" t="s">
        <v>58</v>
      </c>
      <c r="J773">
        <v>2</v>
      </c>
      <c r="K773" t="str">
        <f t="shared" si="184"/>
        <v>1-5</v>
      </c>
      <c r="L773">
        <v>4</v>
      </c>
      <c r="M773" t="s">
        <v>82</v>
      </c>
      <c r="N773" t="s">
        <v>60</v>
      </c>
      <c r="O773">
        <v>1</v>
      </c>
      <c r="P773">
        <v>3</v>
      </c>
      <c r="Q773" t="s">
        <v>63</v>
      </c>
      <c r="R773" t="s">
        <v>62</v>
      </c>
      <c r="S773">
        <v>41</v>
      </c>
      <c r="T773" t="str">
        <f t="shared" si="185"/>
        <v>30-50</v>
      </c>
      <c r="U773">
        <v>2</v>
      </c>
      <c r="V773" t="s">
        <v>61</v>
      </c>
      <c r="W773">
        <v>3</v>
      </c>
      <c r="X773" t="s">
        <v>64</v>
      </c>
      <c r="Y773">
        <v>3</v>
      </c>
      <c r="Z773" t="s">
        <v>63</v>
      </c>
      <c r="AA773" t="s">
        <v>77</v>
      </c>
      <c r="AB773" s="4">
        <v>10686</v>
      </c>
      <c r="AC773" s="4" t="str">
        <f t="shared" si="186"/>
        <v>$10,000-$11,500</v>
      </c>
      <c r="AD773">
        <v>8392</v>
      </c>
      <c r="AE773" t="str">
        <f t="shared" si="187"/>
        <v>$8,001-$16,000</v>
      </c>
      <c r="AF773">
        <v>6</v>
      </c>
      <c r="AG773" t="str">
        <f t="shared" si="188"/>
        <v>4-6</v>
      </c>
      <c r="AH773" t="s">
        <v>67</v>
      </c>
      <c r="AI773" t="s">
        <v>71</v>
      </c>
      <c r="AJ773">
        <v>11</v>
      </c>
      <c r="AK773" t="str">
        <f t="shared" si="189"/>
        <v>11-12%</v>
      </c>
      <c r="AL773">
        <v>3</v>
      </c>
      <c r="AM773" t="s">
        <v>68</v>
      </c>
      <c r="AN773">
        <v>2</v>
      </c>
      <c r="AO773" t="s">
        <v>61</v>
      </c>
      <c r="AP773">
        <v>80</v>
      </c>
      <c r="AQ773">
        <v>1</v>
      </c>
      <c r="AR773">
        <v>13</v>
      </c>
      <c r="AS773" t="str">
        <f t="shared" si="190"/>
        <v>11-20</v>
      </c>
      <c r="AT773">
        <v>4</v>
      </c>
      <c r="AU773" t="str">
        <f t="shared" si="191"/>
        <v>3-4</v>
      </c>
      <c r="AV773">
        <v>3</v>
      </c>
      <c r="AW773" t="s">
        <v>79</v>
      </c>
      <c r="AX773">
        <v>9</v>
      </c>
      <c r="AY773" t="str">
        <f t="shared" si="180"/>
        <v>6-10</v>
      </c>
      <c r="AZ773">
        <v>4</v>
      </c>
      <c r="BA773" t="str">
        <f t="shared" si="192"/>
        <v>2-5</v>
      </c>
      <c r="BB773">
        <v>7</v>
      </c>
      <c r="BC773" t="str">
        <f t="shared" si="193"/>
        <v>6-10</v>
      </c>
      <c r="BD773">
        <v>0</v>
      </c>
      <c r="BE773" t="str">
        <f t="shared" si="194"/>
        <v>0-1</v>
      </c>
    </row>
    <row r="774" spans="1:57" x14ac:dyDescent="0.3">
      <c r="A774">
        <v>1071</v>
      </c>
      <c r="B774">
        <v>56</v>
      </c>
      <c r="C774" t="str">
        <f t="shared" si="181"/>
        <v>56+</v>
      </c>
      <c r="D774" t="s">
        <v>71</v>
      </c>
      <c r="E774">
        <f t="shared" si="182"/>
        <v>0</v>
      </c>
      <c r="F774" t="s">
        <v>72</v>
      </c>
      <c r="G774">
        <v>1240</v>
      </c>
      <c r="H774" t="str">
        <f t="shared" si="183"/>
        <v>1001-1499</v>
      </c>
      <c r="I774" t="s">
        <v>73</v>
      </c>
      <c r="J774">
        <v>9</v>
      </c>
      <c r="K774" t="str">
        <f t="shared" si="184"/>
        <v>6-10</v>
      </c>
      <c r="L774">
        <v>3</v>
      </c>
      <c r="M774" t="s">
        <v>85</v>
      </c>
      <c r="N774" t="s">
        <v>83</v>
      </c>
      <c r="O774">
        <v>1</v>
      </c>
      <c r="P774">
        <v>1</v>
      </c>
      <c r="Q774" t="s">
        <v>69</v>
      </c>
      <c r="R774" t="s">
        <v>62</v>
      </c>
      <c r="S774">
        <v>63</v>
      </c>
      <c r="T774" t="str">
        <f t="shared" si="185"/>
        <v>51-75</v>
      </c>
      <c r="U774">
        <v>3</v>
      </c>
      <c r="V774" t="s">
        <v>63</v>
      </c>
      <c r="W774">
        <v>1</v>
      </c>
      <c r="X774" t="s">
        <v>76</v>
      </c>
      <c r="Y774">
        <v>3</v>
      </c>
      <c r="Z774" t="s">
        <v>63</v>
      </c>
      <c r="AA774" t="s">
        <v>77</v>
      </c>
      <c r="AB774" s="4">
        <v>2942</v>
      </c>
      <c r="AC774" s="4" t="str">
        <f t="shared" si="186"/>
        <v>$2,500-$4,000</v>
      </c>
      <c r="AD774">
        <v>12154</v>
      </c>
      <c r="AE774" t="str">
        <f t="shared" si="187"/>
        <v>$8,001-$16,000</v>
      </c>
      <c r="AF774">
        <v>2</v>
      </c>
      <c r="AG774" t="str">
        <f t="shared" si="188"/>
        <v>2-3</v>
      </c>
      <c r="AH774" t="s">
        <v>67</v>
      </c>
      <c r="AI774" t="s">
        <v>71</v>
      </c>
      <c r="AJ774">
        <v>19</v>
      </c>
      <c r="AK774" t="str">
        <f t="shared" si="189"/>
        <v>18-19%</v>
      </c>
      <c r="AL774">
        <v>3</v>
      </c>
      <c r="AM774" t="s">
        <v>68</v>
      </c>
      <c r="AN774">
        <v>2</v>
      </c>
      <c r="AO774" t="s">
        <v>61</v>
      </c>
      <c r="AP774">
        <v>80</v>
      </c>
      <c r="AQ774">
        <v>1</v>
      </c>
      <c r="AR774">
        <v>18</v>
      </c>
      <c r="AS774" t="str">
        <f t="shared" si="190"/>
        <v>11-20</v>
      </c>
      <c r="AT774">
        <v>4</v>
      </c>
      <c r="AU774" t="str">
        <f t="shared" si="191"/>
        <v>3-4</v>
      </c>
      <c r="AV774">
        <v>3</v>
      </c>
      <c r="AW774" t="s">
        <v>79</v>
      </c>
      <c r="AX774">
        <v>5</v>
      </c>
      <c r="AY774" t="str">
        <f t="shared" si="180"/>
        <v>2-5</v>
      </c>
      <c r="AZ774">
        <v>4</v>
      </c>
      <c r="BA774" t="str">
        <f t="shared" si="192"/>
        <v>2-5</v>
      </c>
      <c r="BB774">
        <v>0</v>
      </c>
      <c r="BC774" t="str">
        <f t="shared" si="193"/>
        <v>0-1</v>
      </c>
      <c r="BD774">
        <v>3</v>
      </c>
      <c r="BE774" t="str">
        <f t="shared" si="194"/>
        <v>2-5</v>
      </c>
    </row>
    <row r="775" spans="1:57" x14ac:dyDescent="0.3">
      <c r="A775">
        <v>1073</v>
      </c>
      <c r="B775">
        <v>36</v>
      </c>
      <c r="C775" t="str">
        <f t="shared" si="181"/>
        <v>36-45</v>
      </c>
      <c r="D775" t="s">
        <v>71</v>
      </c>
      <c r="E775">
        <f t="shared" si="182"/>
        <v>0</v>
      </c>
      <c r="F775" t="s">
        <v>57</v>
      </c>
      <c r="G775">
        <v>796</v>
      </c>
      <c r="H775" t="str">
        <f t="shared" si="183"/>
        <v>501-1000</v>
      </c>
      <c r="I775" t="s">
        <v>73</v>
      </c>
      <c r="J775">
        <v>12</v>
      </c>
      <c r="K775" t="str">
        <f t="shared" si="184"/>
        <v>11-20</v>
      </c>
      <c r="L775">
        <v>5</v>
      </c>
      <c r="M775" t="s">
        <v>96</v>
      </c>
      <c r="N775" t="s">
        <v>83</v>
      </c>
      <c r="O775">
        <v>1</v>
      </c>
      <c r="P775">
        <v>4</v>
      </c>
      <c r="Q775" t="s">
        <v>65</v>
      </c>
      <c r="R775" t="s">
        <v>62</v>
      </c>
      <c r="S775">
        <v>51</v>
      </c>
      <c r="T775" t="str">
        <f t="shared" si="185"/>
        <v>51-75</v>
      </c>
      <c r="U775">
        <v>2</v>
      </c>
      <c r="V775" t="s">
        <v>61</v>
      </c>
      <c r="W775">
        <v>3</v>
      </c>
      <c r="X775" t="s">
        <v>87</v>
      </c>
      <c r="Y775">
        <v>4</v>
      </c>
      <c r="Z775" t="s">
        <v>65</v>
      </c>
      <c r="AA775" t="s">
        <v>66</v>
      </c>
      <c r="AB775" s="4">
        <v>8858</v>
      </c>
      <c r="AC775" s="4" t="str">
        <f t="shared" si="186"/>
        <v>$8,500-$10,000</v>
      </c>
      <c r="AD775">
        <v>15669</v>
      </c>
      <c r="AE775" t="str">
        <f t="shared" si="187"/>
        <v>$8,001-$16,000</v>
      </c>
      <c r="AF775">
        <v>0</v>
      </c>
      <c r="AG775" t="str">
        <f t="shared" si="188"/>
        <v>0-1</v>
      </c>
      <c r="AH775" t="s">
        <v>67</v>
      </c>
      <c r="AI775" t="s">
        <v>71</v>
      </c>
      <c r="AJ775">
        <v>11</v>
      </c>
      <c r="AK775" t="str">
        <f t="shared" si="189"/>
        <v>11-12%</v>
      </c>
      <c r="AL775">
        <v>3</v>
      </c>
      <c r="AM775" t="s">
        <v>68</v>
      </c>
      <c r="AN775">
        <v>2</v>
      </c>
      <c r="AO775" t="s">
        <v>61</v>
      </c>
      <c r="AP775">
        <v>80</v>
      </c>
      <c r="AQ775">
        <v>0</v>
      </c>
      <c r="AR775">
        <v>15</v>
      </c>
      <c r="AS775" t="str">
        <f t="shared" si="190"/>
        <v>11-20</v>
      </c>
      <c r="AT775">
        <v>2</v>
      </c>
      <c r="AU775" t="str">
        <f t="shared" si="191"/>
        <v>0-2</v>
      </c>
      <c r="AV775">
        <v>2</v>
      </c>
      <c r="AW775" t="s">
        <v>84</v>
      </c>
      <c r="AX775">
        <v>14</v>
      </c>
      <c r="AY775" t="str">
        <f t="shared" si="180"/>
        <v>11-20</v>
      </c>
      <c r="AZ775">
        <v>8</v>
      </c>
      <c r="BA775" t="str">
        <f t="shared" si="192"/>
        <v>6-10</v>
      </c>
      <c r="BB775">
        <v>7</v>
      </c>
      <c r="BC775" t="str">
        <f t="shared" si="193"/>
        <v>6-10</v>
      </c>
      <c r="BD775">
        <v>8</v>
      </c>
      <c r="BE775" t="str">
        <f t="shared" si="194"/>
        <v>6-10</v>
      </c>
    </row>
    <row r="776" spans="1:57" x14ac:dyDescent="0.3">
      <c r="A776">
        <v>1074</v>
      </c>
      <c r="B776">
        <v>55</v>
      </c>
      <c r="C776" t="str">
        <f t="shared" si="181"/>
        <v>46-55</v>
      </c>
      <c r="D776" t="s">
        <v>71</v>
      </c>
      <c r="E776">
        <f t="shared" si="182"/>
        <v>0</v>
      </c>
      <c r="F776" t="s">
        <v>89</v>
      </c>
      <c r="G776">
        <v>444</v>
      </c>
      <c r="H776" t="str">
        <f t="shared" si="183"/>
        <v>102-500</v>
      </c>
      <c r="I776" t="s">
        <v>73</v>
      </c>
      <c r="J776">
        <v>2</v>
      </c>
      <c r="K776" t="str">
        <f t="shared" si="184"/>
        <v>1-5</v>
      </c>
      <c r="L776">
        <v>1</v>
      </c>
      <c r="M776" t="s">
        <v>74</v>
      </c>
      <c r="N776" t="s">
        <v>83</v>
      </c>
      <c r="O776">
        <v>1</v>
      </c>
      <c r="P776">
        <v>3</v>
      </c>
      <c r="Q776" t="s">
        <v>63</v>
      </c>
      <c r="R776" t="s">
        <v>75</v>
      </c>
      <c r="S776">
        <v>40</v>
      </c>
      <c r="T776" t="str">
        <f t="shared" si="185"/>
        <v>30-50</v>
      </c>
      <c r="U776">
        <v>2</v>
      </c>
      <c r="V776" t="s">
        <v>61</v>
      </c>
      <c r="W776">
        <v>4</v>
      </c>
      <c r="X776" t="s">
        <v>90</v>
      </c>
      <c r="Y776">
        <v>1</v>
      </c>
      <c r="Z776" t="s">
        <v>69</v>
      </c>
      <c r="AA776" t="s">
        <v>66</v>
      </c>
      <c r="AB776" s="4">
        <v>16756</v>
      </c>
      <c r="AC776" s="4" t="str">
        <f t="shared" si="186"/>
        <v>$16,000-$17,500</v>
      </c>
      <c r="AD776">
        <v>17323</v>
      </c>
      <c r="AE776" t="str">
        <f t="shared" si="187"/>
        <v>$16,001-$22,000</v>
      </c>
      <c r="AF776">
        <v>7</v>
      </c>
      <c r="AG776" t="str">
        <f t="shared" si="188"/>
        <v>7-9</v>
      </c>
      <c r="AH776" t="s">
        <v>67</v>
      </c>
      <c r="AI776" t="s">
        <v>71</v>
      </c>
      <c r="AJ776">
        <v>15</v>
      </c>
      <c r="AK776" t="str">
        <f t="shared" si="189"/>
        <v>13-15%</v>
      </c>
      <c r="AL776">
        <v>3</v>
      </c>
      <c r="AM776" t="s">
        <v>68</v>
      </c>
      <c r="AN776">
        <v>2</v>
      </c>
      <c r="AO776" t="s">
        <v>61</v>
      </c>
      <c r="AP776">
        <v>80</v>
      </c>
      <c r="AQ776">
        <v>0</v>
      </c>
      <c r="AR776">
        <v>31</v>
      </c>
      <c r="AS776" t="str">
        <f t="shared" si="190"/>
        <v>21-40</v>
      </c>
      <c r="AT776">
        <v>3</v>
      </c>
      <c r="AU776" t="str">
        <f t="shared" si="191"/>
        <v>3-4</v>
      </c>
      <c r="AV776">
        <v>4</v>
      </c>
      <c r="AW776" t="s">
        <v>94</v>
      </c>
      <c r="AX776">
        <v>9</v>
      </c>
      <c r="AY776" t="str">
        <f t="shared" si="180"/>
        <v>6-10</v>
      </c>
      <c r="AZ776">
        <v>7</v>
      </c>
      <c r="BA776" t="str">
        <f t="shared" si="192"/>
        <v>6-10</v>
      </c>
      <c r="BB776">
        <v>6</v>
      </c>
      <c r="BC776" t="str">
        <f t="shared" si="193"/>
        <v>6-10</v>
      </c>
      <c r="BD776">
        <v>2</v>
      </c>
      <c r="BE776" t="str">
        <f t="shared" si="194"/>
        <v>2-5</v>
      </c>
    </row>
    <row r="777" spans="1:57" x14ac:dyDescent="0.3">
      <c r="A777">
        <v>1076</v>
      </c>
      <c r="B777">
        <v>43</v>
      </c>
      <c r="C777" t="str">
        <f t="shared" si="181"/>
        <v>36-45</v>
      </c>
      <c r="D777" t="s">
        <v>71</v>
      </c>
      <c r="E777">
        <f t="shared" si="182"/>
        <v>0</v>
      </c>
      <c r="F777" t="s">
        <v>57</v>
      </c>
      <c r="G777">
        <v>415</v>
      </c>
      <c r="H777" t="str">
        <f t="shared" si="183"/>
        <v>102-500</v>
      </c>
      <c r="I777" t="s">
        <v>58</v>
      </c>
      <c r="J777">
        <v>25</v>
      </c>
      <c r="K777" t="str">
        <f t="shared" si="184"/>
        <v>21-29</v>
      </c>
      <c r="L777">
        <v>3</v>
      </c>
      <c r="M777" t="s">
        <v>85</v>
      </c>
      <c r="N777" t="s">
        <v>83</v>
      </c>
      <c r="O777">
        <v>1</v>
      </c>
      <c r="P777">
        <v>3</v>
      </c>
      <c r="Q777" t="s">
        <v>63</v>
      </c>
      <c r="R777" t="s">
        <v>75</v>
      </c>
      <c r="S777">
        <v>79</v>
      </c>
      <c r="T777" t="str">
        <f t="shared" si="185"/>
        <v>76-100</v>
      </c>
      <c r="U777">
        <v>2</v>
      </c>
      <c r="V777" t="s">
        <v>61</v>
      </c>
      <c r="W777">
        <v>3</v>
      </c>
      <c r="X777" t="s">
        <v>64</v>
      </c>
      <c r="Y777">
        <v>4</v>
      </c>
      <c r="Z777" t="s">
        <v>65</v>
      </c>
      <c r="AA777" t="s">
        <v>86</v>
      </c>
      <c r="AB777" s="4">
        <v>10798</v>
      </c>
      <c r="AC777" s="4" t="str">
        <f t="shared" si="186"/>
        <v>$10,000-$11,500</v>
      </c>
      <c r="AD777">
        <v>5268</v>
      </c>
      <c r="AE777" t="str">
        <f t="shared" si="187"/>
        <v>$2,094-$8,000</v>
      </c>
      <c r="AF777">
        <v>5</v>
      </c>
      <c r="AG777" t="str">
        <f t="shared" si="188"/>
        <v>4-6</v>
      </c>
      <c r="AH777" t="s">
        <v>67</v>
      </c>
      <c r="AI777" t="s">
        <v>71</v>
      </c>
      <c r="AJ777">
        <v>13</v>
      </c>
      <c r="AK777" t="str">
        <f t="shared" si="189"/>
        <v>13-15%</v>
      </c>
      <c r="AL777">
        <v>3</v>
      </c>
      <c r="AM777" t="s">
        <v>68</v>
      </c>
      <c r="AN777">
        <v>3</v>
      </c>
      <c r="AO777" t="s">
        <v>63</v>
      </c>
      <c r="AP777">
        <v>80</v>
      </c>
      <c r="AQ777">
        <v>1</v>
      </c>
      <c r="AR777">
        <v>18</v>
      </c>
      <c r="AS777" t="str">
        <f t="shared" si="190"/>
        <v>11-20</v>
      </c>
      <c r="AT777">
        <v>5</v>
      </c>
      <c r="AU777" t="str">
        <f t="shared" si="191"/>
        <v>5-6</v>
      </c>
      <c r="AV777">
        <v>3</v>
      </c>
      <c r="AW777" t="s">
        <v>79</v>
      </c>
      <c r="AX777">
        <v>1</v>
      </c>
      <c r="AY777" t="str">
        <f t="shared" si="180"/>
        <v>0-1</v>
      </c>
      <c r="AZ777">
        <v>0</v>
      </c>
      <c r="BA777" t="str">
        <f t="shared" si="192"/>
        <v>0-1</v>
      </c>
      <c r="BB777">
        <v>0</v>
      </c>
      <c r="BC777" t="str">
        <f t="shared" si="193"/>
        <v>0-1</v>
      </c>
      <c r="BD777">
        <v>0</v>
      </c>
      <c r="BE777" t="str">
        <f t="shared" si="194"/>
        <v>0-1</v>
      </c>
    </row>
    <row r="778" spans="1:57" x14ac:dyDescent="0.3">
      <c r="A778">
        <v>1077</v>
      </c>
      <c r="B778">
        <v>20</v>
      </c>
      <c r="C778" t="str">
        <f t="shared" si="181"/>
        <v>18-25</v>
      </c>
      <c r="D778" t="s">
        <v>56</v>
      </c>
      <c r="E778">
        <f t="shared" si="182"/>
        <v>1</v>
      </c>
      <c r="F778" t="s">
        <v>72</v>
      </c>
      <c r="G778">
        <v>769</v>
      </c>
      <c r="H778" t="str">
        <f t="shared" si="183"/>
        <v>501-1000</v>
      </c>
      <c r="I778" t="s">
        <v>58</v>
      </c>
      <c r="J778">
        <v>9</v>
      </c>
      <c r="K778" t="str">
        <f t="shared" si="184"/>
        <v>6-10</v>
      </c>
      <c r="L778">
        <v>3</v>
      </c>
      <c r="M778" t="s">
        <v>85</v>
      </c>
      <c r="N778" t="s">
        <v>93</v>
      </c>
      <c r="O778">
        <v>1</v>
      </c>
      <c r="P778">
        <v>4</v>
      </c>
      <c r="Q778" t="s">
        <v>65</v>
      </c>
      <c r="R778" t="s">
        <v>62</v>
      </c>
      <c r="S778">
        <v>54</v>
      </c>
      <c r="T778" t="str">
        <f t="shared" si="185"/>
        <v>51-75</v>
      </c>
      <c r="U778">
        <v>3</v>
      </c>
      <c r="V778" t="s">
        <v>63</v>
      </c>
      <c r="W778">
        <v>1</v>
      </c>
      <c r="X778" t="s">
        <v>91</v>
      </c>
      <c r="Y778">
        <v>4</v>
      </c>
      <c r="Z778" t="s">
        <v>65</v>
      </c>
      <c r="AA778" t="s">
        <v>66</v>
      </c>
      <c r="AB778" s="4">
        <v>2323</v>
      </c>
      <c r="AC778" s="4" t="str">
        <f t="shared" si="186"/>
        <v>$1,000-$2,500</v>
      </c>
      <c r="AD778">
        <v>17205</v>
      </c>
      <c r="AE778" t="str">
        <f t="shared" si="187"/>
        <v>$16,001-$22,000</v>
      </c>
      <c r="AF778">
        <v>1</v>
      </c>
      <c r="AG778" t="str">
        <f t="shared" si="188"/>
        <v>0-1</v>
      </c>
      <c r="AH778" t="s">
        <v>67</v>
      </c>
      <c r="AI778" t="s">
        <v>56</v>
      </c>
      <c r="AJ778">
        <v>14</v>
      </c>
      <c r="AK778" t="str">
        <f t="shared" si="189"/>
        <v>13-15%</v>
      </c>
      <c r="AL778">
        <v>3</v>
      </c>
      <c r="AM778" t="s">
        <v>68</v>
      </c>
      <c r="AN778">
        <v>2</v>
      </c>
      <c r="AO778" t="s">
        <v>61</v>
      </c>
      <c r="AP778">
        <v>80</v>
      </c>
      <c r="AQ778">
        <v>0</v>
      </c>
      <c r="AR778">
        <v>2</v>
      </c>
      <c r="AS778" t="str">
        <f t="shared" si="190"/>
        <v>0-2</v>
      </c>
      <c r="AT778">
        <v>3</v>
      </c>
      <c r="AU778" t="str">
        <f t="shared" si="191"/>
        <v>3-4</v>
      </c>
      <c r="AV778">
        <v>3</v>
      </c>
      <c r="AW778" t="s">
        <v>79</v>
      </c>
      <c r="AX778">
        <v>2</v>
      </c>
      <c r="AY778" t="str">
        <f t="shared" si="180"/>
        <v>2-5</v>
      </c>
      <c r="AZ778">
        <v>2</v>
      </c>
      <c r="BA778" t="str">
        <f t="shared" si="192"/>
        <v>2-5</v>
      </c>
      <c r="BB778">
        <v>0</v>
      </c>
      <c r="BC778" t="str">
        <f t="shared" si="193"/>
        <v>0-1</v>
      </c>
      <c r="BD778">
        <v>2</v>
      </c>
      <c r="BE778" t="str">
        <f t="shared" si="194"/>
        <v>2-5</v>
      </c>
    </row>
    <row r="779" spans="1:57" x14ac:dyDescent="0.3">
      <c r="A779">
        <v>1079</v>
      </c>
      <c r="B779">
        <v>21</v>
      </c>
      <c r="C779" t="str">
        <f t="shared" si="181"/>
        <v>18-25</v>
      </c>
      <c r="D779" t="s">
        <v>56</v>
      </c>
      <c r="E779">
        <f t="shared" si="182"/>
        <v>1</v>
      </c>
      <c r="F779" t="s">
        <v>57</v>
      </c>
      <c r="G779">
        <v>1334</v>
      </c>
      <c r="H779" t="str">
        <f t="shared" si="183"/>
        <v>1001-1499</v>
      </c>
      <c r="I779" t="s">
        <v>73</v>
      </c>
      <c r="J779">
        <v>10</v>
      </c>
      <c r="K779" t="str">
        <f t="shared" si="184"/>
        <v>6-10</v>
      </c>
      <c r="L779">
        <v>3</v>
      </c>
      <c r="M779" t="s">
        <v>85</v>
      </c>
      <c r="N779" t="s">
        <v>60</v>
      </c>
      <c r="O779">
        <v>1</v>
      </c>
      <c r="P779">
        <v>3</v>
      </c>
      <c r="Q779" t="s">
        <v>63</v>
      </c>
      <c r="R779" t="s">
        <v>62</v>
      </c>
      <c r="S779">
        <v>36</v>
      </c>
      <c r="T779" t="str">
        <f t="shared" si="185"/>
        <v>30-50</v>
      </c>
      <c r="U779">
        <v>2</v>
      </c>
      <c r="V779" t="s">
        <v>61</v>
      </c>
      <c r="W779">
        <v>1</v>
      </c>
      <c r="X779" t="s">
        <v>81</v>
      </c>
      <c r="Y779">
        <v>1</v>
      </c>
      <c r="Z779" t="s">
        <v>69</v>
      </c>
      <c r="AA779" t="s">
        <v>66</v>
      </c>
      <c r="AB779" s="4">
        <v>1416</v>
      </c>
      <c r="AC779" s="4" t="str">
        <f t="shared" si="186"/>
        <v>$1,000-$2,500</v>
      </c>
      <c r="AD779">
        <v>17258</v>
      </c>
      <c r="AE779" t="str">
        <f t="shared" si="187"/>
        <v>$16,001-$22,000</v>
      </c>
      <c r="AF779">
        <v>1</v>
      </c>
      <c r="AG779" t="str">
        <f t="shared" si="188"/>
        <v>0-1</v>
      </c>
      <c r="AH779" t="s">
        <v>67</v>
      </c>
      <c r="AI779" t="s">
        <v>71</v>
      </c>
      <c r="AJ779">
        <v>13</v>
      </c>
      <c r="AK779" t="str">
        <f t="shared" si="189"/>
        <v>13-15%</v>
      </c>
      <c r="AL779">
        <v>3</v>
      </c>
      <c r="AM779" t="s">
        <v>68</v>
      </c>
      <c r="AN779">
        <v>1</v>
      </c>
      <c r="AO779" t="s">
        <v>69</v>
      </c>
      <c r="AP779">
        <v>80</v>
      </c>
      <c r="AQ779">
        <v>0</v>
      </c>
      <c r="AR779">
        <v>1</v>
      </c>
      <c r="AS779" t="str">
        <f t="shared" si="190"/>
        <v>0-2</v>
      </c>
      <c r="AT779">
        <v>6</v>
      </c>
      <c r="AU779" t="str">
        <f t="shared" si="191"/>
        <v>5-6</v>
      </c>
      <c r="AV779">
        <v>2</v>
      </c>
      <c r="AW779" t="s">
        <v>84</v>
      </c>
      <c r="AX779">
        <v>1</v>
      </c>
      <c r="AY779" t="str">
        <f t="shared" si="180"/>
        <v>0-1</v>
      </c>
      <c r="AZ779">
        <v>0</v>
      </c>
      <c r="BA779" t="str">
        <f t="shared" si="192"/>
        <v>0-1</v>
      </c>
      <c r="BB779">
        <v>1</v>
      </c>
      <c r="BC779" t="str">
        <f t="shared" si="193"/>
        <v>0-1</v>
      </c>
      <c r="BD779">
        <v>0</v>
      </c>
      <c r="BE779" t="str">
        <f t="shared" si="194"/>
        <v>0-1</v>
      </c>
    </row>
    <row r="780" spans="1:57" x14ac:dyDescent="0.3">
      <c r="A780">
        <v>1080</v>
      </c>
      <c r="B780">
        <v>46</v>
      </c>
      <c r="C780" t="str">
        <f t="shared" si="181"/>
        <v>46-55</v>
      </c>
      <c r="D780" t="s">
        <v>71</v>
      </c>
      <c r="E780">
        <f t="shared" si="182"/>
        <v>0</v>
      </c>
      <c r="F780" t="s">
        <v>57</v>
      </c>
      <c r="G780">
        <v>1003</v>
      </c>
      <c r="H780" t="str">
        <f t="shared" si="183"/>
        <v>1001-1499</v>
      </c>
      <c r="I780" t="s">
        <v>73</v>
      </c>
      <c r="J780">
        <v>8</v>
      </c>
      <c r="K780" t="str">
        <f t="shared" si="184"/>
        <v>6-10</v>
      </c>
      <c r="L780">
        <v>4</v>
      </c>
      <c r="M780" t="s">
        <v>82</v>
      </c>
      <c r="N780" t="s">
        <v>60</v>
      </c>
      <c r="O780">
        <v>1</v>
      </c>
      <c r="P780">
        <v>4</v>
      </c>
      <c r="Q780" t="s">
        <v>65</v>
      </c>
      <c r="R780" t="s">
        <v>62</v>
      </c>
      <c r="S780">
        <v>74</v>
      </c>
      <c r="T780" t="str">
        <f t="shared" si="185"/>
        <v>51-75</v>
      </c>
      <c r="U780">
        <v>2</v>
      </c>
      <c r="V780" t="s">
        <v>61</v>
      </c>
      <c r="W780">
        <v>2</v>
      </c>
      <c r="X780" t="s">
        <v>76</v>
      </c>
      <c r="Y780">
        <v>1</v>
      </c>
      <c r="Z780" t="s">
        <v>69</v>
      </c>
      <c r="AA780" t="s">
        <v>86</v>
      </c>
      <c r="AB780" s="4">
        <v>4615</v>
      </c>
      <c r="AC780" s="4" t="str">
        <f t="shared" si="186"/>
        <v>$4,000-$5,500</v>
      </c>
      <c r="AD780">
        <v>21029</v>
      </c>
      <c r="AE780" t="str">
        <f t="shared" si="187"/>
        <v>$16,001-$22,000</v>
      </c>
      <c r="AF780">
        <v>8</v>
      </c>
      <c r="AG780" t="str">
        <f t="shared" si="188"/>
        <v>7-9</v>
      </c>
      <c r="AH780" t="s">
        <v>67</v>
      </c>
      <c r="AI780" t="s">
        <v>56</v>
      </c>
      <c r="AJ780">
        <v>23</v>
      </c>
      <c r="AK780" t="str">
        <f t="shared" si="189"/>
        <v>18-19%</v>
      </c>
      <c r="AL780">
        <v>4</v>
      </c>
      <c r="AM780" t="s">
        <v>78</v>
      </c>
      <c r="AN780">
        <v>1</v>
      </c>
      <c r="AO780" t="s">
        <v>69</v>
      </c>
      <c r="AP780">
        <v>80</v>
      </c>
      <c r="AQ780">
        <v>3</v>
      </c>
      <c r="AR780">
        <v>19</v>
      </c>
      <c r="AS780" t="str">
        <f t="shared" si="190"/>
        <v>11-20</v>
      </c>
      <c r="AT780">
        <v>2</v>
      </c>
      <c r="AU780" t="str">
        <f t="shared" si="191"/>
        <v>0-2</v>
      </c>
      <c r="AV780">
        <v>3</v>
      </c>
      <c r="AW780" t="s">
        <v>79</v>
      </c>
      <c r="AX780">
        <v>16</v>
      </c>
      <c r="AY780" t="str">
        <f t="shared" si="180"/>
        <v>11-20</v>
      </c>
      <c r="AZ780">
        <v>13</v>
      </c>
      <c r="BA780" t="str">
        <f t="shared" si="192"/>
        <v>11-18</v>
      </c>
      <c r="BB780">
        <v>1</v>
      </c>
      <c r="BC780" t="str">
        <f t="shared" si="193"/>
        <v>0-1</v>
      </c>
      <c r="BD780">
        <v>7</v>
      </c>
      <c r="BE780" t="str">
        <f t="shared" si="194"/>
        <v>6-10</v>
      </c>
    </row>
    <row r="781" spans="1:57" x14ac:dyDescent="0.3">
      <c r="A781">
        <v>1081</v>
      </c>
      <c r="B781">
        <v>51</v>
      </c>
      <c r="C781" t="str">
        <f t="shared" si="181"/>
        <v>46-55</v>
      </c>
      <c r="D781" t="s">
        <v>56</v>
      </c>
      <c r="E781">
        <f t="shared" si="182"/>
        <v>1</v>
      </c>
      <c r="F781" t="s">
        <v>57</v>
      </c>
      <c r="G781">
        <v>1323</v>
      </c>
      <c r="H781" t="str">
        <f t="shared" si="183"/>
        <v>1001-1499</v>
      </c>
      <c r="I781" t="s">
        <v>73</v>
      </c>
      <c r="J781">
        <v>4</v>
      </c>
      <c r="K781" t="str">
        <f t="shared" si="184"/>
        <v>1-5</v>
      </c>
      <c r="L781">
        <v>4</v>
      </c>
      <c r="M781" t="s">
        <v>82</v>
      </c>
      <c r="N781" t="s">
        <v>60</v>
      </c>
      <c r="O781">
        <v>1</v>
      </c>
      <c r="P781">
        <v>1</v>
      </c>
      <c r="Q781" t="s">
        <v>69</v>
      </c>
      <c r="R781" t="s">
        <v>75</v>
      </c>
      <c r="S781">
        <v>34</v>
      </c>
      <c r="T781" t="str">
        <f t="shared" si="185"/>
        <v>30-50</v>
      </c>
      <c r="U781">
        <v>3</v>
      </c>
      <c r="V781" t="s">
        <v>63</v>
      </c>
      <c r="W781">
        <v>1</v>
      </c>
      <c r="X781" t="s">
        <v>76</v>
      </c>
      <c r="Y781">
        <v>3</v>
      </c>
      <c r="Z781" t="s">
        <v>63</v>
      </c>
      <c r="AA781" t="s">
        <v>77</v>
      </c>
      <c r="AB781" s="4">
        <v>2461</v>
      </c>
      <c r="AC781" s="4" t="str">
        <f t="shared" si="186"/>
        <v>$1,000-$2,500</v>
      </c>
      <c r="AD781">
        <v>10332</v>
      </c>
      <c r="AE781" t="str">
        <f t="shared" si="187"/>
        <v>$8,001-$16,000</v>
      </c>
      <c r="AF781">
        <v>9</v>
      </c>
      <c r="AG781" t="str">
        <f t="shared" si="188"/>
        <v>7-9</v>
      </c>
      <c r="AH781" t="s">
        <v>67</v>
      </c>
      <c r="AI781" t="s">
        <v>56</v>
      </c>
      <c r="AJ781">
        <v>12</v>
      </c>
      <c r="AK781" t="str">
        <f t="shared" si="189"/>
        <v>11-12%</v>
      </c>
      <c r="AL781">
        <v>3</v>
      </c>
      <c r="AM781" t="s">
        <v>68</v>
      </c>
      <c r="AN781">
        <v>3</v>
      </c>
      <c r="AO781" t="s">
        <v>63</v>
      </c>
      <c r="AP781">
        <v>80</v>
      </c>
      <c r="AQ781">
        <v>3</v>
      </c>
      <c r="AR781">
        <v>18</v>
      </c>
      <c r="AS781" t="str">
        <f t="shared" si="190"/>
        <v>11-20</v>
      </c>
      <c r="AT781">
        <v>2</v>
      </c>
      <c r="AU781" t="str">
        <f t="shared" si="191"/>
        <v>0-2</v>
      </c>
      <c r="AV781">
        <v>4</v>
      </c>
      <c r="AW781" t="s">
        <v>94</v>
      </c>
      <c r="AX781">
        <v>10</v>
      </c>
      <c r="AY781" t="str">
        <f t="shared" si="180"/>
        <v>6-10</v>
      </c>
      <c r="AZ781">
        <v>0</v>
      </c>
      <c r="BA781" t="str">
        <f t="shared" si="192"/>
        <v>0-1</v>
      </c>
      <c r="BB781">
        <v>2</v>
      </c>
      <c r="BC781" t="str">
        <f t="shared" si="193"/>
        <v>2-5</v>
      </c>
      <c r="BD781">
        <v>7</v>
      </c>
      <c r="BE781" t="str">
        <f t="shared" si="194"/>
        <v>6-10</v>
      </c>
    </row>
    <row r="782" spans="1:57" x14ac:dyDescent="0.3">
      <c r="A782">
        <v>1082</v>
      </c>
      <c r="B782">
        <v>28</v>
      </c>
      <c r="C782" t="str">
        <f t="shared" si="181"/>
        <v>26-35</v>
      </c>
      <c r="D782" t="s">
        <v>56</v>
      </c>
      <c r="E782">
        <f t="shared" si="182"/>
        <v>1</v>
      </c>
      <c r="F782" t="s">
        <v>89</v>
      </c>
      <c r="G782">
        <v>1366</v>
      </c>
      <c r="H782" t="str">
        <f t="shared" si="183"/>
        <v>1001-1499</v>
      </c>
      <c r="I782" t="s">
        <v>73</v>
      </c>
      <c r="J782">
        <v>24</v>
      </c>
      <c r="K782" t="str">
        <f t="shared" si="184"/>
        <v>21-29</v>
      </c>
      <c r="L782">
        <v>2</v>
      </c>
      <c r="M782" t="s">
        <v>59</v>
      </c>
      <c r="N782" t="s">
        <v>95</v>
      </c>
      <c r="O782">
        <v>1</v>
      </c>
      <c r="P782">
        <v>2</v>
      </c>
      <c r="Q782" t="s">
        <v>61</v>
      </c>
      <c r="R782" t="s">
        <v>75</v>
      </c>
      <c r="S782">
        <v>72</v>
      </c>
      <c r="T782" t="str">
        <f t="shared" si="185"/>
        <v>51-75</v>
      </c>
      <c r="U782">
        <v>2</v>
      </c>
      <c r="V782" t="s">
        <v>61</v>
      </c>
      <c r="W782">
        <v>3</v>
      </c>
      <c r="X782" t="s">
        <v>88</v>
      </c>
      <c r="Y782">
        <v>1</v>
      </c>
      <c r="Z782" t="s">
        <v>69</v>
      </c>
      <c r="AA782" t="s">
        <v>66</v>
      </c>
      <c r="AB782" s="4">
        <v>8722</v>
      </c>
      <c r="AC782" s="4" t="str">
        <f t="shared" si="186"/>
        <v>$8,500-$10,000</v>
      </c>
      <c r="AD782">
        <v>12355</v>
      </c>
      <c r="AE782" t="str">
        <f t="shared" si="187"/>
        <v>$8,001-$16,000</v>
      </c>
      <c r="AF782">
        <v>1</v>
      </c>
      <c r="AG782" t="str">
        <f t="shared" si="188"/>
        <v>0-1</v>
      </c>
      <c r="AH782" t="s">
        <v>67</v>
      </c>
      <c r="AI782" t="s">
        <v>71</v>
      </c>
      <c r="AJ782">
        <v>12</v>
      </c>
      <c r="AK782" t="str">
        <f t="shared" si="189"/>
        <v>11-12%</v>
      </c>
      <c r="AL782">
        <v>3</v>
      </c>
      <c r="AM782" t="s">
        <v>68</v>
      </c>
      <c r="AN782">
        <v>1</v>
      </c>
      <c r="AO782" t="s">
        <v>69</v>
      </c>
      <c r="AP782">
        <v>80</v>
      </c>
      <c r="AQ782">
        <v>0</v>
      </c>
      <c r="AR782">
        <v>10</v>
      </c>
      <c r="AS782" t="str">
        <f t="shared" si="190"/>
        <v>6-10</v>
      </c>
      <c r="AT782">
        <v>2</v>
      </c>
      <c r="AU782" t="str">
        <f t="shared" si="191"/>
        <v>0-2</v>
      </c>
      <c r="AV782">
        <v>2</v>
      </c>
      <c r="AW782" t="s">
        <v>84</v>
      </c>
      <c r="AX782">
        <v>10</v>
      </c>
      <c r="AY782" t="str">
        <f t="shared" si="180"/>
        <v>6-10</v>
      </c>
      <c r="AZ782">
        <v>7</v>
      </c>
      <c r="BA782" t="str">
        <f t="shared" si="192"/>
        <v>6-10</v>
      </c>
      <c r="BB782">
        <v>1</v>
      </c>
      <c r="BC782" t="str">
        <f t="shared" si="193"/>
        <v>0-1</v>
      </c>
      <c r="BD782">
        <v>9</v>
      </c>
      <c r="BE782" t="str">
        <f t="shared" si="194"/>
        <v>6-10</v>
      </c>
    </row>
    <row r="783" spans="1:57" x14ac:dyDescent="0.3">
      <c r="A783">
        <v>1083</v>
      </c>
      <c r="B783">
        <v>26</v>
      </c>
      <c r="C783" t="str">
        <f t="shared" si="181"/>
        <v>26-35</v>
      </c>
      <c r="D783" t="s">
        <v>71</v>
      </c>
      <c r="E783">
        <f t="shared" si="182"/>
        <v>0</v>
      </c>
      <c r="F783" t="s">
        <v>57</v>
      </c>
      <c r="G783">
        <v>192</v>
      </c>
      <c r="H783" t="str">
        <f t="shared" si="183"/>
        <v>102-500</v>
      </c>
      <c r="I783" t="s">
        <v>73</v>
      </c>
      <c r="J783">
        <v>1</v>
      </c>
      <c r="K783" t="str">
        <f t="shared" si="184"/>
        <v>1-5</v>
      </c>
      <c r="L783">
        <v>2</v>
      </c>
      <c r="M783" t="s">
        <v>59</v>
      </c>
      <c r="N783" t="s">
        <v>83</v>
      </c>
      <c r="O783">
        <v>1</v>
      </c>
      <c r="P783">
        <v>1</v>
      </c>
      <c r="Q783" t="s">
        <v>69</v>
      </c>
      <c r="R783" t="s">
        <v>75</v>
      </c>
      <c r="S783">
        <v>59</v>
      </c>
      <c r="T783" t="str">
        <f t="shared" si="185"/>
        <v>51-75</v>
      </c>
      <c r="U783">
        <v>2</v>
      </c>
      <c r="V783" t="s">
        <v>61</v>
      </c>
      <c r="W783">
        <v>1</v>
      </c>
      <c r="X783" t="s">
        <v>81</v>
      </c>
      <c r="Y783">
        <v>1</v>
      </c>
      <c r="Z783" t="s">
        <v>69</v>
      </c>
      <c r="AA783" t="s">
        <v>77</v>
      </c>
      <c r="AB783" s="4">
        <v>3955</v>
      </c>
      <c r="AC783" s="4" t="str">
        <f t="shared" si="186"/>
        <v>$2,500-$4,000</v>
      </c>
      <c r="AD783">
        <v>11141</v>
      </c>
      <c r="AE783" t="str">
        <f t="shared" si="187"/>
        <v>$8,001-$16,000</v>
      </c>
      <c r="AF783">
        <v>1</v>
      </c>
      <c r="AG783" t="str">
        <f t="shared" si="188"/>
        <v>0-1</v>
      </c>
      <c r="AH783" t="s">
        <v>67</v>
      </c>
      <c r="AI783" t="s">
        <v>71</v>
      </c>
      <c r="AJ783">
        <v>16</v>
      </c>
      <c r="AK783" t="str">
        <f t="shared" si="189"/>
        <v>16-17%</v>
      </c>
      <c r="AL783">
        <v>3</v>
      </c>
      <c r="AM783" t="s">
        <v>68</v>
      </c>
      <c r="AN783">
        <v>1</v>
      </c>
      <c r="AO783" t="s">
        <v>69</v>
      </c>
      <c r="AP783">
        <v>80</v>
      </c>
      <c r="AQ783">
        <v>2</v>
      </c>
      <c r="AR783">
        <v>6</v>
      </c>
      <c r="AS783" t="str">
        <f t="shared" si="190"/>
        <v>6-10</v>
      </c>
      <c r="AT783">
        <v>2</v>
      </c>
      <c r="AU783" t="str">
        <f t="shared" si="191"/>
        <v>0-2</v>
      </c>
      <c r="AV783">
        <v>3</v>
      </c>
      <c r="AW783" t="s">
        <v>79</v>
      </c>
      <c r="AX783">
        <v>5</v>
      </c>
      <c r="AY783" t="str">
        <f t="shared" si="180"/>
        <v>2-5</v>
      </c>
      <c r="AZ783">
        <v>3</v>
      </c>
      <c r="BA783" t="str">
        <f t="shared" si="192"/>
        <v>2-5</v>
      </c>
      <c r="BB783">
        <v>1</v>
      </c>
      <c r="BC783" t="str">
        <f t="shared" si="193"/>
        <v>0-1</v>
      </c>
      <c r="BD783">
        <v>3</v>
      </c>
      <c r="BE783" t="str">
        <f t="shared" si="194"/>
        <v>2-5</v>
      </c>
    </row>
    <row r="784" spans="1:57" x14ac:dyDescent="0.3">
      <c r="A784">
        <v>1084</v>
      </c>
      <c r="B784">
        <v>30</v>
      </c>
      <c r="C784" t="str">
        <f t="shared" si="181"/>
        <v>26-35</v>
      </c>
      <c r="D784" t="s">
        <v>71</v>
      </c>
      <c r="E784">
        <f t="shared" si="182"/>
        <v>0</v>
      </c>
      <c r="F784" t="s">
        <v>57</v>
      </c>
      <c r="G784">
        <v>1176</v>
      </c>
      <c r="H784" t="str">
        <f t="shared" si="183"/>
        <v>1001-1499</v>
      </c>
      <c r="I784" t="s">
        <v>73</v>
      </c>
      <c r="J784">
        <v>20</v>
      </c>
      <c r="K784" t="str">
        <f t="shared" si="184"/>
        <v>11-20</v>
      </c>
      <c r="L784">
        <v>3</v>
      </c>
      <c r="M784" t="s">
        <v>85</v>
      </c>
      <c r="N784" t="s">
        <v>80</v>
      </c>
      <c r="O784">
        <v>1</v>
      </c>
      <c r="P784">
        <v>3</v>
      </c>
      <c r="Q784" t="s">
        <v>63</v>
      </c>
      <c r="R784" t="s">
        <v>75</v>
      </c>
      <c r="S784">
        <v>85</v>
      </c>
      <c r="T784" t="str">
        <f t="shared" si="185"/>
        <v>76-100</v>
      </c>
      <c r="U784">
        <v>3</v>
      </c>
      <c r="V784" t="s">
        <v>63</v>
      </c>
      <c r="W784">
        <v>2</v>
      </c>
      <c r="X784" t="s">
        <v>87</v>
      </c>
      <c r="Y784">
        <v>1</v>
      </c>
      <c r="Z784" t="s">
        <v>69</v>
      </c>
      <c r="AA784" t="s">
        <v>77</v>
      </c>
      <c r="AB784" s="4">
        <v>9957</v>
      </c>
      <c r="AC784" s="4" t="str">
        <f t="shared" si="186"/>
        <v>$8,500-$10,000</v>
      </c>
      <c r="AD784">
        <v>9096</v>
      </c>
      <c r="AE784" t="str">
        <f t="shared" si="187"/>
        <v>$8,001-$16,000</v>
      </c>
      <c r="AF784">
        <v>0</v>
      </c>
      <c r="AG784" t="str">
        <f t="shared" si="188"/>
        <v>0-1</v>
      </c>
      <c r="AH784" t="s">
        <v>67</v>
      </c>
      <c r="AI784" t="s">
        <v>71</v>
      </c>
      <c r="AJ784">
        <v>15</v>
      </c>
      <c r="AK784" t="str">
        <f t="shared" si="189"/>
        <v>13-15%</v>
      </c>
      <c r="AL784">
        <v>3</v>
      </c>
      <c r="AM784" t="s">
        <v>68</v>
      </c>
      <c r="AN784">
        <v>3</v>
      </c>
      <c r="AO784" t="s">
        <v>63</v>
      </c>
      <c r="AP784">
        <v>80</v>
      </c>
      <c r="AQ784">
        <v>1</v>
      </c>
      <c r="AR784">
        <v>7</v>
      </c>
      <c r="AS784" t="str">
        <f t="shared" si="190"/>
        <v>6-10</v>
      </c>
      <c r="AT784">
        <v>1</v>
      </c>
      <c r="AU784" t="str">
        <f t="shared" si="191"/>
        <v>0-2</v>
      </c>
      <c r="AV784">
        <v>2</v>
      </c>
      <c r="AW784" t="s">
        <v>84</v>
      </c>
      <c r="AX784">
        <v>6</v>
      </c>
      <c r="AY784" t="str">
        <f t="shared" si="180"/>
        <v>6-10</v>
      </c>
      <c r="AZ784">
        <v>2</v>
      </c>
      <c r="BA784" t="str">
        <f t="shared" si="192"/>
        <v>2-5</v>
      </c>
      <c r="BB784">
        <v>0</v>
      </c>
      <c r="BC784" t="str">
        <f t="shared" si="193"/>
        <v>0-1</v>
      </c>
      <c r="BD784">
        <v>2</v>
      </c>
      <c r="BE784" t="str">
        <f t="shared" si="194"/>
        <v>2-5</v>
      </c>
    </row>
    <row r="785" spans="1:57" x14ac:dyDescent="0.3">
      <c r="A785">
        <v>1085</v>
      </c>
      <c r="B785">
        <v>41</v>
      </c>
      <c r="C785" t="str">
        <f t="shared" si="181"/>
        <v>36-45</v>
      </c>
      <c r="D785" t="s">
        <v>71</v>
      </c>
      <c r="E785">
        <f t="shared" si="182"/>
        <v>0</v>
      </c>
      <c r="F785" t="s">
        <v>57</v>
      </c>
      <c r="G785">
        <v>509</v>
      </c>
      <c r="H785" t="str">
        <f t="shared" si="183"/>
        <v>501-1000</v>
      </c>
      <c r="I785" t="s">
        <v>73</v>
      </c>
      <c r="J785">
        <v>7</v>
      </c>
      <c r="K785" t="str">
        <f t="shared" si="184"/>
        <v>6-10</v>
      </c>
      <c r="L785">
        <v>2</v>
      </c>
      <c r="M785" t="s">
        <v>59</v>
      </c>
      <c r="N785" t="s">
        <v>95</v>
      </c>
      <c r="O785">
        <v>1</v>
      </c>
      <c r="P785">
        <v>2</v>
      </c>
      <c r="Q785" t="s">
        <v>61</v>
      </c>
      <c r="R785" t="s">
        <v>62</v>
      </c>
      <c r="S785">
        <v>43</v>
      </c>
      <c r="T785" t="str">
        <f t="shared" si="185"/>
        <v>30-50</v>
      </c>
      <c r="U785">
        <v>4</v>
      </c>
      <c r="V785" t="s">
        <v>65</v>
      </c>
      <c r="W785">
        <v>1</v>
      </c>
      <c r="X785" t="s">
        <v>76</v>
      </c>
      <c r="Y785">
        <v>3</v>
      </c>
      <c r="Z785" t="s">
        <v>63</v>
      </c>
      <c r="AA785" t="s">
        <v>77</v>
      </c>
      <c r="AB785" s="4">
        <v>3376</v>
      </c>
      <c r="AC785" s="4" t="str">
        <f t="shared" si="186"/>
        <v>$2,500-$4,000</v>
      </c>
      <c r="AD785">
        <v>18863</v>
      </c>
      <c r="AE785" t="str">
        <f t="shared" si="187"/>
        <v>$16,001-$22,000</v>
      </c>
      <c r="AF785">
        <v>1</v>
      </c>
      <c r="AG785" t="str">
        <f t="shared" si="188"/>
        <v>0-1</v>
      </c>
      <c r="AH785" t="s">
        <v>67</v>
      </c>
      <c r="AI785" t="s">
        <v>71</v>
      </c>
      <c r="AJ785">
        <v>13</v>
      </c>
      <c r="AK785" t="str">
        <f t="shared" si="189"/>
        <v>13-15%</v>
      </c>
      <c r="AL785">
        <v>3</v>
      </c>
      <c r="AM785" t="s">
        <v>68</v>
      </c>
      <c r="AN785">
        <v>3</v>
      </c>
      <c r="AO785" t="s">
        <v>63</v>
      </c>
      <c r="AP785">
        <v>80</v>
      </c>
      <c r="AQ785">
        <v>0</v>
      </c>
      <c r="AR785">
        <v>10</v>
      </c>
      <c r="AS785" t="str">
        <f t="shared" si="190"/>
        <v>6-10</v>
      </c>
      <c r="AT785">
        <v>3</v>
      </c>
      <c r="AU785" t="str">
        <f t="shared" si="191"/>
        <v>3-4</v>
      </c>
      <c r="AV785">
        <v>3</v>
      </c>
      <c r="AW785" t="s">
        <v>79</v>
      </c>
      <c r="AX785">
        <v>10</v>
      </c>
      <c r="AY785" t="str">
        <f t="shared" si="180"/>
        <v>6-10</v>
      </c>
      <c r="AZ785">
        <v>6</v>
      </c>
      <c r="BA785" t="str">
        <f t="shared" si="192"/>
        <v>6-10</v>
      </c>
      <c r="BB785">
        <v>0</v>
      </c>
      <c r="BC785" t="str">
        <f t="shared" si="193"/>
        <v>0-1</v>
      </c>
      <c r="BD785">
        <v>8</v>
      </c>
      <c r="BE785" t="str">
        <f t="shared" si="194"/>
        <v>6-10</v>
      </c>
    </row>
    <row r="786" spans="1:57" x14ac:dyDescent="0.3">
      <c r="A786">
        <v>1088</v>
      </c>
      <c r="B786">
        <v>38</v>
      </c>
      <c r="C786" t="str">
        <f t="shared" si="181"/>
        <v>36-45</v>
      </c>
      <c r="D786" t="s">
        <v>71</v>
      </c>
      <c r="E786">
        <f t="shared" si="182"/>
        <v>0</v>
      </c>
      <c r="F786" t="s">
        <v>57</v>
      </c>
      <c r="G786">
        <v>330</v>
      </c>
      <c r="H786" t="str">
        <f t="shared" si="183"/>
        <v>102-500</v>
      </c>
      <c r="I786" t="s">
        <v>73</v>
      </c>
      <c r="J786">
        <v>17</v>
      </c>
      <c r="K786" t="str">
        <f t="shared" si="184"/>
        <v>11-20</v>
      </c>
      <c r="L786">
        <v>1</v>
      </c>
      <c r="M786" t="s">
        <v>74</v>
      </c>
      <c r="N786" t="s">
        <v>60</v>
      </c>
      <c r="O786">
        <v>1</v>
      </c>
      <c r="P786">
        <v>3</v>
      </c>
      <c r="Q786" t="s">
        <v>63</v>
      </c>
      <c r="R786" t="s">
        <v>62</v>
      </c>
      <c r="S786">
        <v>65</v>
      </c>
      <c r="T786" t="str">
        <f t="shared" si="185"/>
        <v>51-75</v>
      </c>
      <c r="U786">
        <v>2</v>
      </c>
      <c r="V786" t="s">
        <v>61</v>
      </c>
      <c r="W786">
        <v>3</v>
      </c>
      <c r="X786" t="s">
        <v>88</v>
      </c>
      <c r="Y786">
        <v>3</v>
      </c>
      <c r="Z786" t="s">
        <v>63</v>
      </c>
      <c r="AA786" t="s">
        <v>77</v>
      </c>
      <c r="AB786" s="4">
        <v>8823</v>
      </c>
      <c r="AC786" s="4" t="str">
        <f t="shared" si="186"/>
        <v>$8,500-$10,000</v>
      </c>
      <c r="AD786">
        <v>24608</v>
      </c>
      <c r="AE786" t="str">
        <f t="shared" si="187"/>
        <v>$22,001-$26,999</v>
      </c>
      <c r="AF786">
        <v>0</v>
      </c>
      <c r="AG786" t="str">
        <f t="shared" si="188"/>
        <v>0-1</v>
      </c>
      <c r="AH786" t="s">
        <v>67</v>
      </c>
      <c r="AI786" t="s">
        <v>71</v>
      </c>
      <c r="AJ786">
        <v>18</v>
      </c>
      <c r="AK786" t="str">
        <f t="shared" si="189"/>
        <v>18-19%</v>
      </c>
      <c r="AL786">
        <v>3</v>
      </c>
      <c r="AM786" t="s">
        <v>68</v>
      </c>
      <c r="AN786">
        <v>1</v>
      </c>
      <c r="AO786" t="s">
        <v>69</v>
      </c>
      <c r="AP786">
        <v>80</v>
      </c>
      <c r="AQ786">
        <v>1</v>
      </c>
      <c r="AR786">
        <v>20</v>
      </c>
      <c r="AS786" t="str">
        <f t="shared" si="190"/>
        <v>11-20</v>
      </c>
      <c r="AT786">
        <v>4</v>
      </c>
      <c r="AU786" t="str">
        <f t="shared" si="191"/>
        <v>3-4</v>
      </c>
      <c r="AV786">
        <v>2</v>
      </c>
      <c r="AW786" t="s">
        <v>84</v>
      </c>
      <c r="AX786">
        <v>19</v>
      </c>
      <c r="AY786" t="str">
        <f t="shared" si="180"/>
        <v>11-20</v>
      </c>
      <c r="AZ786">
        <v>9</v>
      </c>
      <c r="BA786" t="str">
        <f t="shared" si="192"/>
        <v>6-10</v>
      </c>
      <c r="BB786">
        <v>1</v>
      </c>
      <c r="BC786" t="str">
        <f t="shared" si="193"/>
        <v>0-1</v>
      </c>
      <c r="BD786">
        <v>9</v>
      </c>
      <c r="BE786" t="str">
        <f t="shared" si="194"/>
        <v>6-10</v>
      </c>
    </row>
    <row r="787" spans="1:57" x14ac:dyDescent="0.3">
      <c r="A787">
        <v>1092</v>
      </c>
      <c r="B787">
        <v>40</v>
      </c>
      <c r="C787" t="str">
        <f t="shared" si="181"/>
        <v>36-45</v>
      </c>
      <c r="D787" t="s">
        <v>71</v>
      </c>
      <c r="E787">
        <f t="shared" si="182"/>
        <v>0</v>
      </c>
      <c r="F787" t="s">
        <v>57</v>
      </c>
      <c r="G787">
        <v>1492</v>
      </c>
      <c r="H787" t="str">
        <f t="shared" si="183"/>
        <v>1001-1499</v>
      </c>
      <c r="I787" t="s">
        <v>73</v>
      </c>
      <c r="J787">
        <v>20</v>
      </c>
      <c r="K787" t="str">
        <f t="shared" si="184"/>
        <v>11-20</v>
      </c>
      <c r="L787">
        <v>4</v>
      </c>
      <c r="M787" t="s">
        <v>82</v>
      </c>
      <c r="N787" t="s">
        <v>95</v>
      </c>
      <c r="O787">
        <v>1</v>
      </c>
      <c r="P787">
        <v>1</v>
      </c>
      <c r="Q787" t="s">
        <v>69</v>
      </c>
      <c r="R787" t="s">
        <v>75</v>
      </c>
      <c r="S787">
        <v>61</v>
      </c>
      <c r="T787" t="str">
        <f t="shared" si="185"/>
        <v>51-75</v>
      </c>
      <c r="U787">
        <v>3</v>
      </c>
      <c r="V787" t="s">
        <v>63</v>
      </c>
      <c r="W787">
        <v>3</v>
      </c>
      <c r="X787" t="s">
        <v>88</v>
      </c>
      <c r="Y787">
        <v>4</v>
      </c>
      <c r="Z787" t="s">
        <v>65</v>
      </c>
      <c r="AA787" t="s">
        <v>77</v>
      </c>
      <c r="AB787" s="4">
        <v>10322</v>
      </c>
      <c r="AC787" s="4" t="str">
        <f t="shared" si="186"/>
        <v>$10,000-$11,500</v>
      </c>
      <c r="AD787">
        <v>26542</v>
      </c>
      <c r="AE787" t="str">
        <f t="shared" si="187"/>
        <v>$22,001-$26,999</v>
      </c>
      <c r="AF787">
        <v>4</v>
      </c>
      <c r="AG787" t="str">
        <f t="shared" si="188"/>
        <v>4-6</v>
      </c>
      <c r="AH787" t="s">
        <v>67</v>
      </c>
      <c r="AI787" t="s">
        <v>71</v>
      </c>
      <c r="AJ787">
        <v>20</v>
      </c>
      <c r="AK787" t="str">
        <f t="shared" si="189"/>
        <v>18-19%</v>
      </c>
      <c r="AL787">
        <v>4</v>
      </c>
      <c r="AM787" t="s">
        <v>78</v>
      </c>
      <c r="AN787">
        <v>4</v>
      </c>
      <c r="AO787" t="s">
        <v>65</v>
      </c>
      <c r="AP787">
        <v>80</v>
      </c>
      <c r="AQ787">
        <v>1</v>
      </c>
      <c r="AR787">
        <v>14</v>
      </c>
      <c r="AS787" t="str">
        <f t="shared" si="190"/>
        <v>11-20</v>
      </c>
      <c r="AT787">
        <v>6</v>
      </c>
      <c r="AU787" t="str">
        <f t="shared" si="191"/>
        <v>5-6</v>
      </c>
      <c r="AV787">
        <v>3</v>
      </c>
      <c r="AW787" t="s">
        <v>79</v>
      </c>
      <c r="AX787">
        <v>11</v>
      </c>
      <c r="AY787" t="str">
        <f t="shared" si="180"/>
        <v>11-20</v>
      </c>
      <c r="AZ787">
        <v>10</v>
      </c>
      <c r="BA787" t="str">
        <f t="shared" si="192"/>
        <v>6-10</v>
      </c>
      <c r="BB787">
        <v>11</v>
      </c>
      <c r="BC787" t="str">
        <f t="shared" si="193"/>
        <v>11-15</v>
      </c>
      <c r="BD787">
        <v>1</v>
      </c>
      <c r="BE787" t="str">
        <f t="shared" si="194"/>
        <v>0-1</v>
      </c>
    </row>
    <row r="788" spans="1:57" x14ac:dyDescent="0.3">
      <c r="A788">
        <v>1094</v>
      </c>
      <c r="B788">
        <v>27</v>
      </c>
      <c r="C788" t="str">
        <f t="shared" si="181"/>
        <v>26-35</v>
      </c>
      <c r="D788" t="s">
        <v>71</v>
      </c>
      <c r="E788">
        <f t="shared" si="182"/>
        <v>0</v>
      </c>
      <c r="F788" t="s">
        <v>89</v>
      </c>
      <c r="G788">
        <v>1277</v>
      </c>
      <c r="H788" t="str">
        <f t="shared" si="183"/>
        <v>1001-1499</v>
      </c>
      <c r="I788" t="s">
        <v>73</v>
      </c>
      <c r="J788">
        <v>8</v>
      </c>
      <c r="K788" t="str">
        <f t="shared" si="184"/>
        <v>6-10</v>
      </c>
      <c r="L788">
        <v>5</v>
      </c>
      <c r="M788" t="s">
        <v>96</v>
      </c>
      <c r="N788" t="s">
        <v>60</v>
      </c>
      <c r="O788">
        <v>1</v>
      </c>
      <c r="P788">
        <v>1</v>
      </c>
      <c r="Q788" t="s">
        <v>69</v>
      </c>
      <c r="R788" t="s">
        <v>75</v>
      </c>
      <c r="S788">
        <v>87</v>
      </c>
      <c r="T788" t="str">
        <f t="shared" si="185"/>
        <v>76-100</v>
      </c>
      <c r="U788">
        <v>1</v>
      </c>
      <c r="V788" t="s">
        <v>69</v>
      </c>
      <c r="W788">
        <v>1</v>
      </c>
      <c r="X788" t="s">
        <v>81</v>
      </c>
      <c r="Y788">
        <v>3</v>
      </c>
      <c r="Z788" t="s">
        <v>63</v>
      </c>
      <c r="AA788" t="s">
        <v>77</v>
      </c>
      <c r="AB788" s="4">
        <v>4621</v>
      </c>
      <c r="AC788" s="4" t="str">
        <f t="shared" si="186"/>
        <v>$4,000-$5,500</v>
      </c>
      <c r="AD788">
        <v>5869</v>
      </c>
      <c r="AE788" t="str">
        <f t="shared" si="187"/>
        <v>$2,094-$8,000</v>
      </c>
      <c r="AF788">
        <v>1</v>
      </c>
      <c r="AG788" t="str">
        <f t="shared" si="188"/>
        <v>0-1</v>
      </c>
      <c r="AH788" t="s">
        <v>67</v>
      </c>
      <c r="AI788" t="s">
        <v>71</v>
      </c>
      <c r="AJ788">
        <v>19</v>
      </c>
      <c r="AK788" t="str">
        <f t="shared" si="189"/>
        <v>18-19%</v>
      </c>
      <c r="AL788">
        <v>3</v>
      </c>
      <c r="AM788" t="s">
        <v>68</v>
      </c>
      <c r="AN788">
        <v>4</v>
      </c>
      <c r="AO788" t="s">
        <v>65</v>
      </c>
      <c r="AP788">
        <v>80</v>
      </c>
      <c r="AQ788">
        <v>3</v>
      </c>
      <c r="AR788">
        <v>3</v>
      </c>
      <c r="AS788" t="str">
        <f t="shared" si="190"/>
        <v>3-5</v>
      </c>
      <c r="AT788">
        <v>4</v>
      </c>
      <c r="AU788" t="str">
        <f t="shared" si="191"/>
        <v>3-4</v>
      </c>
      <c r="AV788">
        <v>3</v>
      </c>
      <c r="AW788" t="s">
        <v>79</v>
      </c>
      <c r="AX788">
        <v>3</v>
      </c>
      <c r="AY788" t="str">
        <f t="shared" si="180"/>
        <v>2-5</v>
      </c>
      <c r="AZ788">
        <v>2</v>
      </c>
      <c r="BA788" t="str">
        <f t="shared" si="192"/>
        <v>2-5</v>
      </c>
      <c r="BB788">
        <v>1</v>
      </c>
      <c r="BC788" t="str">
        <f t="shared" si="193"/>
        <v>0-1</v>
      </c>
      <c r="BD788">
        <v>2</v>
      </c>
      <c r="BE788" t="str">
        <f t="shared" si="194"/>
        <v>2-5</v>
      </c>
    </row>
    <row r="789" spans="1:57" x14ac:dyDescent="0.3">
      <c r="A789">
        <v>1096</v>
      </c>
      <c r="B789">
        <v>55</v>
      </c>
      <c r="C789" t="str">
        <f t="shared" si="181"/>
        <v>46-55</v>
      </c>
      <c r="D789" t="s">
        <v>71</v>
      </c>
      <c r="E789">
        <f t="shared" si="182"/>
        <v>0</v>
      </c>
      <c r="F789" t="s">
        <v>72</v>
      </c>
      <c r="G789">
        <v>1091</v>
      </c>
      <c r="H789" t="str">
        <f t="shared" si="183"/>
        <v>1001-1499</v>
      </c>
      <c r="I789" t="s">
        <v>73</v>
      </c>
      <c r="J789">
        <v>2</v>
      </c>
      <c r="K789" t="str">
        <f t="shared" si="184"/>
        <v>1-5</v>
      </c>
      <c r="L789">
        <v>1</v>
      </c>
      <c r="M789" t="s">
        <v>74</v>
      </c>
      <c r="N789" t="s">
        <v>60</v>
      </c>
      <c r="O789">
        <v>1</v>
      </c>
      <c r="P789">
        <v>4</v>
      </c>
      <c r="Q789" t="s">
        <v>65</v>
      </c>
      <c r="R789" t="s">
        <v>75</v>
      </c>
      <c r="S789">
        <v>65</v>
      </c>
      <c r="T789" t="str">
        <f t="shared" si="185"/>
        <v>51-75</v>
      </c>
      <c r="U789">
        <v>3</v>
      </c>
      <c r="V789" t="s">
        <v>63</v>
      </c>
      <c r="W789">
        <v>3</v>
      </c>
      <c r="X789" t="s">
        <v>87</v>
      </c>
      <c r="Y789">
        <v>2</v>
      </c>
      <c r="Z789" t="s">
        <v>61</v>
      </c>
      <c r="AA789" t="s">
        <v>77</v>
      </c>
      <c r="AB789" s="4">
        <v>10976</v>
      </c>
      <c r="AC789" s="4" t="str">
        <f t="shared" si="186"/>
        <v>$10,000-$11,500</v>
      </c>
      <c r="AD789">
        <v>15813</v>
      </c>
      <c r="AE789" t="str">
        <f t="shared" si="187"/>
        <v>$8,001-$16,000</v>
      </c>
      <c r="AF789">
        <v>3</v>
      </c>
      <c r="AG789" t="str">
        <f t="shared" si="188"/>
        <v>2-3</v>
      </c>
      <c r="AH789" t="s">
        <v>67</v>
      </c>
      <c r="AI789" t="s">
        <v>71</v>
      </c>
      <c r="AJ789">
        <v>18</v>
      </c>
      <c r="AK789" t="str">
        <f t="shared" si="189"/>
        <v>18-19%</v>
      </c>
      <c r="AL789">
        <v>3</v>
      </c>
      <c r="AM789" t="s">
        <v>68</v>
      </c>
      <c r="AN789">
        <v>2</v>
      </c>
      <c r="AO789" t="s">
        <v>61</v>
      </c>
      <c r="AP789">
        <v>80</v>
      </c>
      <c r="AQ789">
        <v>1</v>
      </c>
      <c r="AR789">
        <v>23</v>
      </c>
      <c r="AS789" t="str">
        <f t="shared" si="190"/>
        <v>21-40</v>
      </c>
      <c r="AT789">
        <v>4</v>
      </c>
      <c r="AU789" t="str">
        <f t="shared" si="191"/>
        <v>3-4</v>
      </c>
      <c r="AV789">
        <v>3</v>
      </c>
      <c r="AW789" t="s">
        <v>79</v>
      </c>
      <c r="AX789">
        <v>3</v>
      </c>
      <c r="AY789" t="str">
        <f t="shared" si="180"/>
        <v>2-5</v>
      </c>
      <c r="AZ789">
        <v>2</v>
      </c>
      <c r="BA789" t="str">
        <f t="shared" si="192"/>
        <v>2-5</v>
      </c>
      <c r="BB789">
        <v>1</v>
      </c>
      <c r="BC789" t="str">
        <f t="shared" si="193"/>
        <v>0-1</v>
      </c>
      <c r="BD789">
        <v>2</v>
      </c>
      <c r="BE789" t="str">
        <f t="shared" si="194"/>
        <v>2-5</v>
      </c>
    </row>
    <row r="790" spans="1:57" x14ac:dyDescent="0.3">
      <c r="A790">
        <v>1097</v>
      </c>
      <c r="B790">
        <v>28</v>
      </c>
      <c r="C790" t="str">
        <f t="shared" si="181"/>
        <v>26-35</v>
      </c>
      <c r="D790" t="s">
        <v>71</v>
      </c>
      <c r="E790">
        <f t="shared" si="182"/>
        <v>0</v>
      </c>
      <c r="F790" t="s">
        <v>57</v>
      </c>
      <c r="G790">
        <v>857</v>
      </c>
      <c r="H790" t="str">
        <f t="shared" si="183"/>
        <v>501-1000</v>
      </c>
      <c r="I790" t="s">
        <v>73</v>
      </c>
      <c r="J790">
        <v>10</v>
      </c>
      <c r="K790" t="str">
        <f t="shared" si="184"/>
        <v>6-10</v>
      </c>
      <c r="L790">
        <v>3</v>
      </c>
      <c r="M790" t="s">
        <v>85</v>
      </c>
      <c r="N790" t="s">
        <v>80</v>
      </c>
      <c r="O790">
        <v>1</v>
      </c>
      <c r="P790">
        <v>3</v>
      </c>
      <c r="Q790" t="s">
        <v>63</v>
      </c>
      <c r="R790" t="s">
        <v>62</v>
      </c>
      <c r="S790">
        <v>59</v>
      </c>
      <c r="T790" t="str">
        <f t="shared" si="185"/>
        <v>51-75</v>
      </c>
      <c r="U790">
        <v>3</v>
      </c>
      <c r="V790" t="s">
        <v>63</v>
      </c>
      <c r="W790">
        <v>2</v>
      </c>
      <c r="X790" t="s">
        <v>76</v>
      </c>
      <c r="Y790">
        <v>3</v>
      </c>
      <c r="Z790" t="s">
        <v>63</v>
      </c>
      <c r="AA790" t="s">
        <v>66</v>
      </c>
      <c r="AB790" s="4">
        <v>3660</v>
      </c>
      <c r="AC790" s="4" t="str">
        <f t="shared" si="186"/>
        <v>$2,500-$4,000</v>
      </c>
      <c r="AD790">
        <v>7909</v>
      </c>
      <c r="AE790" t="str">
        <f t="shared" si="187"/>
        <v>$2,094-$8,000</v>
      </c>
      <c r="AF790">
        <v>3</v>
      </c>
      <c r="AG790" t="str">
        <f t="shared" si="188"/>
        <v>2-3</v>
      </c>
      <c r="AH790" t="s">
        <v>67</v>
      </c>
      <c r="AI790" t="s">
        <v>71</v>
      </c>
      <c r="AJ790">
        <v>13</v>
      </c>
      <c r="AK790" t="str">
        <f t="shared" si="189"/>
        <v>13-15%</v>
      </c>
      <c r="AL790">
        <v>3</v>
      </c>
      <c r="AM790" t="s">
        <v>68</v>
      </c>
      <c r="AN790">
        <v>4</v>
      </c>
      <c r="AO790" t="s">
        <v>65</v>
      </c>
      <c r="AP790">
        <v>80</v>
      </c>
      <c r="AQ790">
        <v>0</v>
      </c>
      <c r="AR790">
        <v>10</v>
      </c>
      <c r="AS790" t="str">
        <f t="shared" si="190"/>
        <v>6-10</v>
      </c>
      <c r="AT790">
        <v>4</v>
      </c>
      <c r="AU790" t="str">
        <f t="shared" si="191"/>
        <v>3-4</v>
      </c>
      <c r="AV790">
        <v>4</v>
      </c>
      <c r="AW790" t="s">
        <v>94</v>
      </c>
      <c r="AX790">
        <v>8</v>
      </c>
      <c r="AY790" t="str">
        <f t="shared" si="180"/>
        <v>6-10</v>
      </c>
      <c r="AZ790">
        <v>7</v>
      </c>
      <c r="BA790" t="str">
        <f t="shared" si="192"/>
        <v>6-10</v>
      </c>
      <c r="BB790">
        <v>1</v>
      </c>
      <c r="BC790" t="str">
        <f t="shared" si="193"/>
        <v>0-1</v>
      </c>
      <c r="BD790">
        <v>7</v>
      </c>
      <c r="BE790" t="str">
        <f t="shared" si="194"/>
        <v>6-10</v>
      </c>
    </row>
    <row r="791" spans="1:57" x14ac:dyDescent="0.3">
      <c r="A791">
        <v>1098</v>
      </c>
      <c r="B791">
        <v>44</v>
      </c>
      <c r="C791" t="str">
        <f t="shared" si="181"/>
        <v>36-45</v>
      </c>
      <c r="D791" t="s">
        <v>56</v>
      </c>
      <c r="E791">
        <f t="shared" si="182"/>
        <v>1</v>
      </c>
      <c r="F791" t="s">
        <v>57</v>
      </c>
      <c r="G791">
        <v>1376</v>
      </c>
      <c r="H791" t="str">
        <f t="shared" si="183"/>
        <v>1001-1499</v>
      </c>
      <c r="I791" t="s">
        <v>97</v>
      </c>
      <c r="J791">
        <v>1</v>
      </c>
      <c r="K791" t="str">
        <f t="shared" si="184"/>
        <v>1-5</v>
      </c>
      <c r="L791">
        <v>2</v>
      </c>
      <c r="M791" t="s">
        <v>59</v>
      </c>
      <c r="N791" t="s">
        <v>83</v>
      </c>
      <c r="O791">
        <v>1</v>
      </c>
      <c r="P791">
        <v>2</v>
      </c>
      <c r="Q791" t="s">
        <v>61</v>
      </c>
      <c r="R791" t="s">
        <v>75</v>
      </c>
      <c r="S791">
        <v>91</v>
      </c>
      <c r="T791" t="str">
        <f t="shared" si="185"/>
        <v>76-100</v>
      </c>
      <c r="U791">
        <v>2</v>
      </c>
      <c r="V791" t="s">
        <v>61</v>
      </c>
      <c r="W791">
        <v>3</v>
      </c>
      <c r="X791" t="s">
        <v>97</v>
      </c>
      <c r="Y791">
        <v>1</v>
      </c>
      <c r="Z791" t="s">
        <v>69</v>
      </c>
      <c r="AA791" t="s">
        <v>77</v>
      </c>
      <c r="AB791" s="4">
        <v>10482</v>
      </c>
      <c r="AC791" s="4" t="str">
        <f t="shared" si="186"/>
        <v>$10,000-$11,500</v>
      </c>
      <c r="AD791">
        <v>2326</v>
      </c>
      <c r="AE791" t="str">
        <f t="shared" si="187"/>
        <v>$2,094-$8,000</v>
      </c>
      <c r="AF791">
        <v>9</v>
      </c>
      <c r="AG791" t="str">
        <f t="shared" si="188"/>
        <v>7-9</v>
      </c>
      <c r="AH791" t="s">
        <v>67</v>
      </c>
      <c r="AI791" t="s">
        <v>71</v>
      </c>
      <c r="AJ791">
        <v>14</v>
      </c>
      <c r="AK791" t="str">
        <f t="shared" si="189"/>
        <v>13-15%</v>
      </c>
      <c r="AL791">
        <v>3</v>
      </c>
      <c r="AM791" t="s">
        <v>68</v>
      </c>
      <c r="AN791">
        <v>4</v>
      </c>
      <c r="AO791" t="s">
        <v>65</v>
      </c>
      <c r="AP791">
        <v>80</v>
      </c>
      <c r="AQ791">
        <v>1</v>
      </c>
      <c r="AR791">
        <v>24</v>
      </c>
      <c r="AS791" t="str">
        <f t="shared" si="190"/>
        <v>21-40</v>
      </c>
      <c r="AT791">
        <v>1</v>
      </c>
      <c r="AU791" t="str">
        <f t="shared" si="191"/>
        <v>0-2</v>
      </c>
      <c r="AV791">
        <v>3</v>
      </c>
      <c r="AW791" t="s">
        <v>79</v>
      </c>
      <c r="AX791">
        <v>20</v>
      </c>
      <c r="AY791" t="str">
        <f t="shared" si="180"/>
        <v>11-20</v>
      </c>
      <c r="AZ791">
        <v>6</v>
      </c>
      <c r="BA791" t="str">
        <f t="shared" si="192"/>
        <v>6-10</v>
      </c>
      <c r="BB791">
        <v>3</v>
      </c>
      <c r="BC791" t="str">
        <f t="shared" si="193"/>
        <v>2-5</v>
      </c>
      <c r="BD791">
        <v>6</v>
      </c>
      <c r="BE791" t="str">
        <f t="shared" si="194"/>
        <v>6-10</v>
      </c>
    </row>
    <row r="792" spans="1:57" x14ac:dyDescent="0.3">
      <c r="A792">
        <v>1099</v>
      </c>
      <c r="B792">
        <v>33</v>
      </c>
      <c r="C792" t="str">
        <f t="shared" si="181"/>
        <v>26-35</v>
      </c>
      <c r="D792" t="s">
        <v>71</v>
      </c>
      <c r="E792">
        <f t="shared" si="182"/>
        <v>0</v>
      </c>
      <c r="F792" t="s">
        <v>57</v>
      </c>
      <c r="G792">
        <v>654</v>
      </c>
      <c r="H792" t="str">
        <f t="shared" si="183"/>
        <v>501-1000</v>
      </c>
      <c r="I792" t="s">
        <v>73</v>
      </c>
      <c r="J792">
        <v>5</v>
      </c>
      <c r="K792" t="str">
        <f t="shared" si="184"/>
        <v>1-5</v>
      </c>
      <c r="L792">
        <v>3</v>
      </c>
      <c r="M792" t="s">
        <v>85</v>
      </c>
      <c r="N792" t="s">
        <v>60</v>
      </c>
      <c r="O792">
        <v>1</v>
      </c>
      <c r="P792">
        <v>4</v>
      </c>
      <c r="Q792" t="s">
        <v>65</v>
      </c>
      <c r="R792" t="s">
        <v>75</v>
      </c>
      <c r="S792">
        <v>34</v>
      </c>
      <c r="T792" t="str">
        <f t="shared" si="185"/>
        <v>30-50</v>
      </c>
      <c r="U792">
        <v>2</v>
      </c>
      <c r="V792" t="s">
        <v>61</v>
      </c>
      <c r="W792">
        <v>3</v>
      </c>
      <c r="X792" t="s">
        <v>88</v>
      </c>
      <c r="Y792">
        <v>4</v>
      </c>
      <c r="Z792" t="s">
        <v>65</v>
      </c>
      <c r="AA792" t="s">
        <v>86</v>
      </c>
      <c r="AB792" s="4">
        <v>7119</v>
      </c>
      <c r="AC792" s="4" t="str">
        <f t="shared" si="186"/>
        <v>$7,000-$8,500</v>
      </c>
      <c r="AD792">
        <v>21214</v>
      </c>
      <c r="AE792" t="str">
        <f t="shared" si="187"/>
        <v>$16,001-$22,000</v>
      </c>
      <c r="AF792">
        <v>4</v>
      </c>
      <c r="AG792" t="str">
        <f t="shared" si="188"/>
        <v>4-6</v>
      </c>
      <c r="AH792" t="s">
        <v>67</v>
      </c>
      <c r="AI792" t="s">
        <v>71</v>
      </c>
      <c r="AJ792">
        <v>15</v>
      </c>
      <c r="AK792" t="str">
        <f t="shared" si="189"/>
        <v>13-15%</v>
      </c>
      <c r="AL792">
        <v>3</v>
      </c>
      <c r="AM792" t="s">
        <v>68</v>
      </c>
      <c r="AN792">
        <v>3</v>
      </c>
      <c r="AO792" t="s">
        <v>63</v>
      </c>
      <c r="AP792">
        <v>80</v>
      </c>
      <c r="AQ792">
        <v>1</v>
      </c>
      <c r="AR792">
        <v>9</v>
      </c>
      <c r="AS792" t="str">
        <f t="shared" si="190"/>
        <v>6-10</v>
      </c>
      <c r="AT792">
        <v>2</v>
      </c>
      <c r="AU792" t="str">
        <f t="shared" si="191"/>
        <v>0-2</v>
      </c>
      <c r="AV792">
        <v>3</v>
      </c>
      <c r="AW792" t="s">
        <v>79</v>
      </c>
      <c r="AX792">
        <v>3</v>
      </c>
      <c r="AY792" t="str">
        <f t="shared" si="180"/>
        <v>2-5</v>
      </c>
      <c r="AZ792">
        <v>2</v>
      </c>
      <c r="BA792" t="str">
        <f t="shared" si="192"/>
        <v>2-5</v>
      </c>
      <c r="BB792">
        <v>1</v>
      </c>
      <c r="BC792" t="str">
        <f t="shared" si="193"/>
        <v>0-1</v>
      </c>
      <c r="BD792">
        <v>2</v>
      </c>
      <c r="BE792" t="str">
        <f t="shared" si="194"/>
        <v>2-5</v>
      </c>
    </row>
    <row r="793" spans="1:57" x14ac:dyDescent="0.3">
      <c r="A793">
        <v>1100</v>
      </c>
      <c r="B793">
        <v>35</v>
      </c>
      <c r="C793" t="str">
        <f t="shared" si="181"/>
        <v>26-35</v>
      </c>
      <c r="D793" t="s">
        <v>56</v>
      </c>
      <c r="E793">
        <f t="shared" si="182"/>
        <v>1</v>
      </c>
      <c r="F793" t="s">
        <v>57</v>
      </c>
      <c r="G793">
        <v>1204</v>
      </c>
      <c r="H793" t="str">
        <f t="shared" si="183"/>
        <v>1001-1499</v>
      </c>
      <c r="I793" t="s">
        <v>58</v>
      </c>
      <c r="J793">
        <v>4</v>
      </c>
      <c r="K793" t="str">
        <f t="shared" si="184"/>
        <v>1-5</v>
      </c>
      <c r="L793">
        <v>3</v>
      </c>
      <c r="M793" t="s">
        <v>85</v>
      </c>
      <c r="N793" t="s">
        <v>95</v>
      </c>
      <c r="O793">
        <v>1</v>
      </c>
      <c r="P793">
        <v>4</v>
      </c>
      <c r="Q793" t="s">
        <v>65</v>
      </c>
      <c r="R793" t="s">
        <v>75</v>
      </c>
      <c r="S793">
        <v>86</v>
      </c>
      <c r="T793" t="str">
        <f t="shared" si="185"/>
        <v>76-100</v>
      </c>
      <c r="U793">
        <v>3</v>
      </c>
      <c r="V793" t="s">
        <v>63</v>
      </c>
      <c r="W793">
        <v>3</v>
      </c>
      <c r="X793" t="s">
        <v>64</v>
      </c>
      <c r="Y793">
        <v>1</v>
      </c>
      <c r="Z793" t="s">
        <v>69</v>
      </c>
      <c r="AA793" t="s">
        <v>66</v>
      </c>
      <c r="AB793" s="4">
        <v>9582</v>
      </c>
      <c r="AC793" s="4" t="str">
        <f t="shared" si="186"/>
        <v>$8,500-$10,000</v>
      </c>
      <c r="AD793">
        <v>10333</v>
      </c>
      <c r="AE793" t="str">
        <f t="shared" si="187"/>
        <v>$8,001-$16,000</v>
      </c>
      <c r="AF793">
        <v>0</v>
      </c>
      <c r="AG793" t="str">
        <f t="shared" si="188"/>
        <v>0-1</v>
      </c>
      <c r="AH793" t="s">
        <v>67</v>
      </c>
      <c r="AI793" t="s">
        <v>56</v>
      </c>
      <c r="AJ793">
        <v>22</v>
      </c>
      <c r="AK793" t="str">
        <f t="shared" si="189"/>
        <v>18-19%</v>
      </c>
      <c r="AL793">
        <v>4</v>
      </c>
      <c r="AM793" t="s">
        <v>78</v>
      </c>
      <c r="AN793">
        <v>1</v>
      </c>
      <c r="AO793" t="s">
        <v>69</v>
      </c>
      <c r="AP793">
        <v>80</v>
      </c>
      <c r="AQ793">
        <v>0</v>
      </c>
      <c r="AR793">
        <v>9</v>
      </c>
      <c r="AS793" t="str">
        <f t="shared" si="190"/>
        <v>6-10</v>
      </c>
      <c r="AT793">
        <v>2</v>
      </c>
      <c r="AU793" t="str">
        <f t="shared" si="191"/>
        <v>0-2</v>
      </c>
      <c r="AV793">
        <v>3</v>
      </c>
      <c r="AW793" t="s">
        <v>79</v>
      </c>
      <c r="AX793">
        <v>8</v>
      </c>
      <c r="AY793" t="str">
        <f t="shared" si="180"/>
        <v>6-10</v>
      </c>
      <c r="AZ793">
        <v>7</v>
      </c>
      <c r="BA793" t="str">
        <f t="shared" si="192"/>
        <v>6-10</v>
      </c>
      <c r="BB793">
        <v>4</v>
      </c>
      <c r="BC793" t="str">
        <f t="shared" si="193"/>
        <v>2-5</v>
      </c>
      <c r="BD793">
        <v>7</v>
      </c>
      <c r="BE793" t="str">
        <f t="shared" si="194"/>
        <v>6-10</v>
      </c>
    </row>
    <row r="794" spans="1:57" x14ac:dyDescent="0.3">
      <c r="A794">
        <v>1101</v>
      </c>
      <c r="B794">
        <v>33</v>
      </c>
      <c r="C794" t="str">
        <f t="shared" si="181"/>
        <v>26-35</v>
      </c>
      <c r="D794" t="s">
        <v>56</v>
      </c>
      <c r="E794">
        <f t="shared" si="182"/>
        <v>1</v>
      </c>
      <c r="F794" t="s">
        <v>72</v>
      </c>
      <c r="G794">
        <v>827</v>
      </c>
      <c r="H794" t="str">
        <f t="shared" si="183"/>
        <v>501-1000</v>
      </c>
      <c r="I794" t="s">
        <v>73</v>
      </c>
      <c r="J794">
        <v>29</v>
      </c>
      <c r="K794" t="str">
        <f t="shared" si="184"/>
        <v>21-29</v>
      </c>
      <c r="L794">
        <v>4</v>
      </c>
      <c r="M794" t="s">
        <v>82</v>
      </c>
      <c r="N794" t="s">
        <v>83</v>
      </c>
      <c r="O794">
        <v>1</v>
      </c>
      <c r="P794">
        <v>1</v>
      </c>
      <c r="Q794" t="s">
        <v>69</v>
      </c>
      <c r="R794" t="s">
        <v>62</v>
      </c>
      <c r="S794">
        <v>54</v>
      </c>
      <c r="T794" t="str">
        <f t="shared" si="185"/>
        <v>51-75</v>
      </c>
      <c r="U794">
        <v>2</v>
      </c>
      <c r="V794" t="s">
        <v>61</v>
      </c>
      <c r="W794">
        <v>2</v>
      </c>
      <c r="X794" t="s">
        <v>76</v>
      </c>
      <c r="Y794">
        <v>3</v>
      </c>
      <c r="Z794" t="s">
        <v>63</v>
      </c>
      <c r="AA794" t="s">
        <v>66</v>
      </c>
      <c r="AB794" s="4">
        <v>4508</v>
      </c>
      <c r="AC794" s="4" t="str">
        <f t="shared" si="186"/>
        <v>$4,000-$5,500</v>
      </c>
      <c r="AD794">
        <v>3129</v>
      </c>
      <c r="AE794" t="str">
        <f t="shared" si="187"/>
        <v>$2,094-$8,000</v>
      </c>
      <c r="AF794">
        <v>1</v>
      </c>
      <c r="AG794" t="str">
        <f t="shared" si="188"/>
        <v>0-1</v>
      </c>
      <c r="AH794" t="s">
        <v>67</v>
      </c>
      <c r="AI794" t="s">
        <v>71</v>
      </c>
      <c r="AJ794">
        <v>22</v>
      </c>
      <c r="AK794" t="str">
        <f t="shared" si="189"/>
        <v>18-19%</v>
      </c>
      <c r="AL794">
        <v>4</v>
      </c>
      <c r="AM794" t="s">
        <v>78</v>
      </c>
      <c r="AN794">
        <v>2</v>
      </c>
      <c r="AO794" t="s">
        <v>61</v>
      </c>
      <c r="AP794">
        <v>80</v>
      </c>
      <c r="AQ794">
        <v>0</v>
      </c>
      <c r="AR794">
        <v>14</v>
      </c>
      <c r="AS794" t="str">
        <f t="shared" si="190"/>
        <v>11-20</v>
      </c>
      <c r="AT794">
        <v>4</v>
      </c>
      <c r="AU794" t="str">
        <f t="shared" si="191"/>
        <v>3-4</v>
      </c>
      <c r="AV794">
        <v>3</v>
      </c>
      <c r="AW794" t="s">
        <v>79</v>
      </c>
      <c r="AX794">
        <v>13</v>
      </c>
      <c r="AY794" t="str">
        <f t="shared" si="180"/>
        <v>11-20</v>
      </c>
      <c r="AZ794">
        <v>7</v>
      </c>
      <c r="BA794" t="str">
        <f t="shared" si="192"/>
        <v>6-10</v>
      </c>
      <c r="BB794">
        <v>3</v>
      </c>
      <c r="BC794" t="str">
        <f t="shared" si="193"/>
        <v>2-5</v>
      </c>
      <c r="BD794">
        <v>8</v>
      </c>
      <c r="BE794" t="str">
        <f t="shared" si="194"/>
        <v>6-10</v>
      </c>
    </row>
    <row r="795" spans="1:57" x14ac:dyDescent="0.3">
      <c r="A795">
        <v>1102</v>
      </c>
      <c r="B795">
        <v>28</v>
      </c>
      <c r="C795" t="str">
        <f t="shared" si="181"/>
        <v>26-35</v>
      </c>
      <c r="D795" t="s">
        <v>71</v>
      </c>
      <c r="E795">
        <f t="shared" si="182"/>
        <v>0</v>
      </c>
      <c r="F795" t="s">
        <v>57</v>
      </c>
      <c r="G795">
        <v>895</v>
      </c>
      <c r="H795" t="str">
        <f t="shared" si="183"/>
        <v>501-1000</v>
      </c>
      <c r="I795" t="s">
        <v>73</v>
      </c>
      <c r="J795">
        <v>15</v>
      </c>
      <c r="K795" t="str">
        <f t="shared" si="184"/>
        <v>11-20</v>
      </c>
      <c r="L795">
        <v>2</v>
      </c>
      <c r="M795" t="s">
        <v>59</v>
      </c>
      <c r="N795" t="s">
        <v>60</v>
      </c>
      <c r="O795">
        <v>1</v>
      </c>
      <c r="P795">
        <v>1</v>
      </c>
      <c r="Q795" t="s">
        <v>69</v>
      </c>
      <c r="R795" t="s">
        <v>75</v>
      </c>
      <c r="S795">
        <v>50</v>
      </c>
      <c r="T795" t="str">
        <f t="shared" si="185"/>
        <v>30-50</v>
      </c>
      <c r="U795">
        <v>3</v>
      </c>
      <c r="V795" t="s">
        <v>63</v>
      </c>
      <c r="W795">
        <v>1</v>
      </c>
      <c r="X795" t="s">
        <v>81</v>
      </c>
      <c r="Y795">
        <v>3</v>
      </c>
      <c r="Z795" t="s">
        <v>63</v>
      </c>
      <c r="AA795" t="s">
        <v>86</v>
      </c>
      <c r="AB795" s="4">
        <v>2207</v>
      </c>
      <c r="AC795" s="4" t="str">
        <f t="shared" si="186"/>
        <v>$1,000-$2,500</v>
      </c>
      <c r="AD795">
        <v>22482</v>
      </c>
      <c r="AE795" t="str">
        <f t="shared" si="187"/>
        <v>$22,001-$26,999</v>
      </c>
      <c r="AF795">
        <v>1</v>
      </c>
      <c r="AG795" t="str">
        <f t="shared" si="188"/>
        <v>0-1</v>
      </c>
      <c r="AH795" t="s">
        <v>67</v>
      </c>
      <c r="AI795" t="s">
        <v>71</v>
      </c>
      <c r="AJ795">
        <v>16</v>
      </c>
      <c r="AK795" t="str">
        <f t="shared" si="189"/>
        <v>16-17%</v>
      </c>
      <c r="AL795">
        <v>3</v>
      </c>
      <c r="AM795" t="s">
        <v>68</v>
      </c>
      <c r="AN795">
        <v>4</v>
      </c>
      <c r="AO795" t="s">
        <v>65</v>
      </c>
      <c r="AP795">
        <v>80</v>
      </c>
      <c r="AQ795">
        <v>1</v>
      </c>
      <c r="AR795">
        <v>4</v>
      </c>
      <c r="AS795" t="str">
        <f t="shared" si="190"/>
        <v>3-5</v>
      </c>
      <c r="AT795">
        <v>5</v>
      </c>
      <c r="AU795" t="str">
        <f t="shared" si="191"/>
        <v>5-6</v>
      </c>
      <c r="AV795">
        <v>2</v>
      </c>
      <c r="AW795" t="s">
        <v>84</v>
      </c>
      <c r="AX795">
        <v>4</v>
      </c>
      <c r="AY795" t="str">
        <f t="shared" si="180"/>
        <v>2-5</v>
      </c>
      <c r="AZ795">
        <v>2</v>
      </c>
      <c r="BA795" t="str">
        <f t="shared" si="192"/>
        <v>2-5</v>
      </c>
      <c r="BB795">
        <v>2</v>
      </c>
      <c r="BC795" t="str">
        <f t="shared" si="193"/>
        <v>2-5</v>
      </c>
      <c r="BD795">
        <v>2</v>
      </c>
      <c r="BE795" t="str">
        <f t="shared" si="194"/>
        <v>2-5</v>
      </c>
    </row>
    <row r="796" spans="1:57" x14ac:dyDescent="0.3">
      <c r="A796">
        <v>1103</v>
      </c>
      <c r="B796">
        <v>34</v>
      </c>
      <c r="C796" t="str">
        <f t="shared" si="181"/>
        <v>26-35</v>
      </c>
      <c r="D796" t="s">
        <v>71</v>
      </c>
      <c r="E796">
        <f t="shared" si="182"/>
        <v>0</v>
      </c>
      <c r="F796" t="s">
        <v>72</v>
      </c>
      <c r="G796">
        <v>618</v>
      </c>
      <c r="H796" t="str">
        <f t="shared" si="183"/>
        <v>501-1000</v>
      </c>
      <c r="I796" t="s">
        <v>73</v>
      </c>
      <c r="J796">
        <v>3</v>
      </c>
      <c r="K796" t="str">
        <f t="shared" si="184"/>
        <v>1-5</v>
      </c>
      <c r="L796">
        <v>1</v>
      </c>
      <c r="M796" t="s">
        <v>74</v>
      </c>
      <c r="N796" t="s">
        <v>60</v>
      </c>
      <c r="O796">
        <v>1</v>
      </c>
      <c r="P796">
        <v>1</v>
      </c>
      <c r="Q796" t="s">
        <v>69</v>
      </c>
      <c r="R796" t="s">
        <v>75</v>
      </c>
      <c r="S796">
        <v>45</v>
      </c>
      <c r="T796" t="str">
        <f t="shared" si="185"/>
        <v>30-50</v>
      </c>
      <c r="U796">
        <v>3</v>
      </c>
      <c r="V796" t="s">
        <v>63</v>
      </c>
      <c r="W796">
        <v>2</v>
      </c>
      <c r="X796" t="s">
        <v>88</v>
      </c>
      <c r="Y796">
        <v>4</v>
      </c>
      <c r="Z796" t="s">
        <v>65</v>
      </c>
      <c r="AA796" t="s">
        <v>66</v>
      </c>
      <c r="AB796" s="4">
        <v>7756</v>
      </c>
      <c r="AC796" s="4" t="str">
        <f t="shared" si="186"/>
        <v>$7,000-$8,500</v>
      </c>
      <c r="AD796">
        <v>22266</v>
      </c>
      <c r="AE796" t="str">
        <f t="shared" si="187"/>
        <v>$22,001-$26,999</v>
      </c>
      <c r="AF796">
        <v>0</v>
      </c>
      <c r="AG796" t="str">
        <f t="shared" si="188"/>
        <v>0-1</v>
      </c>
      <c r="AH796" t="s">
        <v>67</v>
      </c>
      <c r="AI796" t="s">
        <v>71</v>
      </c>
      <c r="AJ796">
        <v>17</v>
      </c>
      <c r="AK796" t="str">
        <f t="shared" si="189"/>
        <v>16-17%</v>
      </c>
      <c r="AL796">
        <v>3</v>
      </c>
      <c r="AM796" t="s">
        <v>68</v>
      </c>
      <c r="AN796">
        <v>3</v>
      </c>
      <c r="AO796" t="s">
        <v>63</v>
      </c>
      <c r="AP796">
        <v>80</v>
      </c>
      <c r="AQ796">
        <v>0</v>
      </c>
      <c r="AR796">
        <v>7</v>
      </c>
      <c r="AS796" t="str">
        <f t="shared" si="190"/>
        <v>6-10</v>
      </c>
      <c r="AT796">
        <v>1</v>
      </c>
      <c r="AU796" t="str">
        <f t="shared" si="191"/>
        <v>0-2</v>
      </c>
      <c r="AV796">
        <v>2</v>
      </c>
      <c r="AW796" t="s">
        <v>84</v>
      </c>
      <c r="AX796">
        <v>6</v>
      </c>
      <c r="AY796" t="str">
        <f t="shared" si="180"/>
        <v>6-10</v>
      </c>
      <c r="AZ796">
        <v>2</v>
      </c>
      <c r="BA796" t="str">
        <f t="shared" si="192"/>
        <v>2-5</v>
      </c>
      <c r="BB796">
        <v>0</v>
      </c>
      <c r="BC796" t="str">
        <f t="shared" si="193"/>
        <v>0-1</v>
      </c>
      <c r="BD796">
        <v>4</v>
      </c>
      <c r="BE796" t="str">
        <f t="shared" si="194"/>
        <v>2-5</v>
      </c>
    </row>
    <row r="797" spans="1:57" x14ac:dyDescent="0.3">
      <c r="A797">
        <v>1105</v>
      </c>
      <c r="B797">
        <v>37</v>
      </c>
      <c r="C797" t="str">
        <f t="shared" si="181"/>
        <v>36-45</v>
      </c>
      <c r="D797" t="s">
        <v>71</v>
      </c>
      <c r="E797">
        <f t="shared" si="182"/>
        <v>0</v>
      </c>
      <c r="F797" t="s">
        <v>57</v>
      </c>
      <c r="G797">
        <v>309</v>
      </c>
      <c r="H797" t="str">
        <f t="shared" si="183"/>
        <v>102-500</v>
      </c>
      <c r="I797" t="s">
        <v>58</v>
      </c>
      <c r="J797">
        <v>10</v>
      </c>
      <c r="K797" t="str">
        <f t="shared" si="184"/>
        <v>6-10</v>
      </c>
      <c r="L797">
        <v>4</v>
      </c>
      <c r="M797" t="s">
        <v>82</v>
      </c>
      <c r="N797" t="s">
        <v>60</v>
      </c>
      <c r="O797">
        <v>1</v>
      </c>
      <c r="P797">
        <v>4</v>
      </c>
      <c r="Q797" t="s">
        <v>65</v>
      </c>
      <c r="R797" t="s">
        <v>62</v>
      </c>
      <c r="S797">
        <v>88</v>
      </c>
      <c r="T797" t="str">
        <f t="shared" si="185"/>
        <v>76-100</v>
      </c>
      <c r="U797">
        <v>2</v>
      </c>
      <c r="V797" t="s">
        <v>61</v>
      </c>
      <c r="W797">
        <v>2</v>
      </c>
      <c r="X797" t="s">
        <v>64</v>
      </c>
      <c r="Y797">
        <v>4</v>
      </c>
      <c r="Z797" t="s">
        <v>65</v>
      </c>
      <c r="AA797" t="s">
        <v>86</v>
      </c>
      <c r="AB797" s="4">
        <v>6694</v>
      </c>
      <c r="AC797" s="4" t="str">
        <f t="shared" si="186"/>
        <v>$5,500-$7,000</v>
      </c>
      <c r="AD797">
        <v>24223</v>
      </c>
      <c r="AE797" t="str">
        <f t="shared" si="187"/>
        <v>$22,001-$26,999</v>
      </c>
      <c r="AF797">
        <v>2</v>
      </c>
      <c r="AG797" t="str">
        <f t="shared" si="188"/>
        <v>2-3</v>
      </c>
      <c r="AH797" t="s">
        <v>67</v>
      </c>
      <c r="AI797" t="s">
        <v>56</v>
      </c>
      <c r="AJ797">
        <v>14</v>
      </c>
      <c r="AK797" t="str">
        <f t="shared" si="189"/>
        <v>13-15%</v>
      </c>
      <c r="AL797">
        <v>3</v>
      </c>
      <c r="AM797" t="s">
        <v>68</v>
      </c>
      <c r="AN797">
        <v>3</v>
      </c>
      <c r="AO797" t="s">
        <v>63</v>
      </c>
      <c r="AP797">
        <v>80</v>
      </c>
      <c r="AQ797">
        <v>3</v>
      </c>
      <c r="AR797">
        <v>8</v>
      </c>
      <c r="AS797" t="str">
        <f t="shared" si="190"/>
        <v>6-10</v>
      </c>
      <c r="AT797">
        <v>5</v>
      </c>
      <c r="AU797" t="str">
        <f t="shared" si="191"/>
        <v>5-6</v>
      </c>
      <c r="AV797">
        <v>3</v>
      </c>
      <c r="AW797" t="s">
        <v>79</v>
      </c>
      <c r="AX797">
        <v>1</v>
      </c>
      <c r="AY797" t="str">
        <f t="shared" si="180"/>
        <v>0-1</v>
      </c>
      <c r="AZ797">
        <v>0</v>
      </c>
      <c r="BA797" t="str">
        <f t="shared" si="192"/>
        <v>0-1</v>
      </c>
      <c r="BB797">
        <v>0</v>
      </c>
      <c r="BC797" t="str">
        <f t="shared" si="193"/>
        <v>0-1</v>
      </c>
      <c r="BD797">
        <v>0</v>
      </c>
      <c r="BE797" t="str">
        <f t="shared" si="194"/>
        <v>0-1</v>
      </c>
    </row>
    <row r="798" spans="1:57" x14ac:dyDescent="0.3">
      <c r="A798">
        <v>1106</v>
      </c>
      <c r="B798">
        <v>25</v>
      </c>
      <c r="C798" t="str">
        <f t="shared" si="181"/>
        <v>18-25</v>
      </c>
      <c r="D798" t="s">
        <v>56</v>
      </c>
      <c r="E798">
        <f t="shared" si="182"/>
        <v>1</v>
      </c>
      <c r="F798" t="s">
        <v>57</v>
      </c>
      <c r="G798">
        <v>1219</v>
      </c>
      <c r="H798" t="str">
        <f t="shared" si="183"/>
        <v>1001-1499</v>
      </c>
      <c r="I798" t="s">
        <v>73</v>
      </c>
      <c r="J798">
        <v>4</v>
      </c>
      <c r="K798" t="str">
        <f t="shared" si="184"/>
        <v>1-5</v>
      </c>
      <c r="L798">
        <v>1</v>
      </c>
      <c r="M798" t="s">
        <v>74</v>
      </c>
      <c r="N798" t="s">
        <v>95</v>
      </c>
      <c r="O798">
        <v>1</v>
      </c>
      <c r="P798">
        <v>4</v>
      </c>
      <c r="Q798" t="s">
        <v>65</v>
      </c>
      <c r="R798" t="s">
        <v>75</v>
      </c>
      <c r="S798">
        <v>32</v>
      </c>
      <c r="T798" t="str">
        <f t="shared" si="185"/>
        <v>30-50</v>
      </c>
      <c r="U798">
        <v>3</v>
      </c>
      <c r="V798" t="s">
        <v>63</v>
      </c>
      <c r="W798">
        <v>1</v>
      </c>
      <c r="X798" t="s">
        <v>81</v>
      </c>
      <c r="Y798">
        <v>4</v>
      </c>
      <c r="Z798" t="s">
        <v>65</v>
      </c>
      <c r="AA798" t="s">
        <v>77</v>
      </c>
      <c r="AB798" s="4">
        <v>3691</v>
      </c>
      <c r="AC798" s="4" t="str">
        <f t="shared" si="186"/>
        <v>$2,500-$4,000</v>
      </c>
      <c r="AD798">
        <v>4605</v>
      </c>
      <c r="AE798" t="str">
        <f t="shared" si="187"/>
        <v>$2,094-$8,000</v>
      </c>
      <c r="AF798">
        <v>1</v>
      </c>
      <c r="AG798" t="str">
        <f t="shared" si="188"/>
        <v>0-1</v>
      </c>
      <c r="AH798" t="s">
        <v>67</v>
      </c>
      <c r="AI798" t="s">
        <v>56</v>
      </c>
      <c r="AJ798">
        <v>15</v>
      </c>
      <c r="AK798" t="str">
        <f t="shared" si="189"/>
        <v>13-15%</v>
      </c>
      <c r="AL798">
        <v>3</v>
      </c>
      <c r="AM798" t="s">
        <v>68</v>
      </c>
      <c r="AN798">
        <v>2</v>
      </c>
      <c r="AO798" t="s">
        <v>61</v>
      </c>
      <c r="AP798">
        <v>80</v>
      </c>
      <c r="AQ798">
        <v>1</v>
      </c>
      <c r="AR798">
        <v>7</v>
      </c>
      <c r="AS798" t="str">
        <f t="shared" si="190"/>
        <v>6-10</v>
      </c>
      <c r="AT798">
        <v>3</v>
      </c>
      <c r="AU798" t="str">
        <f t="shared" si="191"/>
        <v>3-4</v>
      </c>
      <c r="AV798">
        <v>4</v>
      </c>
      <c r="AW798" t="s">
        <v>94</v>
      </c>
      <c r="AX798">
        <v>7</v>
      </c>
      <c r="AY798" t="str">
        <f t="shared" si="180"/>
        <v>6-10</v>
      </c>
      <c r="AZ798">
        <v>7</v>
      </c>
      <c r="BA798" t="str">
        <f t="shared" si="192"/>
        <v>6-10</v>
      </c>
      <c r="BB798">
        <v>5</v>
      </c>
      <c r="BC798" t="str">
        <f t="shared" si="193"/>
        <v>2-5</v>
      </c>
      <c r="BD798">
        <v>6</v>
      </c>
      <c r="BE798" t="str">
        <f t="shared" si="194"/>
        <v>6-10</v>
      </c>
    </row>
    <row r="799" spans="1:57" x14ac:dyDescent="0.3">
      <c r="A799">
        <v>1107</v>
      </c>
      <c r="B799">
        <v>26</v>
      </c>
      <c r="C799" t="str">
        <f t="shared" si="181"/>
        <v>26-35</v>
      </c>
      <c r="D799" t="s">
        <v>56</v>
      </c>
      <c r="E799">
        <f t="shared" si="182"/>
        <v>1</v>
      </c>
      <c r="F799" t="s">
        <v>57</v>
      </c>
      <c r="G799">
        <v>1330</v>
      </c>
      <c r="H799" t="str">
        <f t="shared" si="183"/>
        <v>1001-1499</v>
      </c>
      <c r="I799" t="s">
        <v>73</v>
      </c>
      <c r="J799">
        <v>21</v>
      </c>
      <c r="K799" t="str">
        <f t="shared" si="184"/>
        <v>21-29</v>
      </c>
      <c r="L799">
        <v>3</v>
      </c>
      <c r="M799" t="s">
        <v>85</v>
      </c>
      <c r="N799" t="s">
        <v>83</v>
      </c>
      <c r="O799">
        <v>1</v>
      </c>
      <c r="P799">
        <v>1</v>
      </c>
      <c r="Q799" t="s">
        <v>69</v>
      </c>
      <c r="R799" t="s">
        <v>75</v>
      </c>
      <c r="S799">
        <v>37</v>
      </c>
      <c r="T799" t="str">
        <f t="shared" si="185"/>
        <v>30-50</v>
      </c>
      <c r="U799">
        <v>3</v>
      </c>
      <c r="V799" t="s">
        <v>63</v>
      </c>
      <c r="W799">
        <v>1</v>
      </c>
      <c r="X799" t="s">
        <v>81</v>
      </c>
      <c r="Y799">
        <v>3</v>
      </c>
      <c r="Z799" t="s">
        <v>63</v>
      </c>
      <c r="AA799" t="s">
        <v>86</v>
      </c>
      <c r="AB799" s="4">
        <v>2377</v>
      </c>
      <c r="AC799" s="4" t="str">
        <f t="shared" si="186"/>
        <v>$1,000-$2,500</v>
      </c>
      <c r="AD799">
        <v>19373</v>
      </c>
      <c r="AE799" t="str">
        <f t="shared" si="187"/>
        <v>$16,001-$22,000</v>
      </c>
      <c r="AF799">
        <v>1</v>
      </c>
      <c r="AG799" t="str">
        <f t="shared" si="188"/>
        <v>0-1</v>
      </c>
      <c r="AH799" t="s">
        <v>67</v>
      </c>
      <c r="AI799" t="s">
        <v>71</v>
      </c>
      <c r="AJ799">
        <v>20</v>
      </c>
      <c r="AK799" t="str">
        <f t="shared" si="189"/>
        <v>18-19%</v>
      </c>
      <c r="AL799">
        <v>4</v>
      </c>
      <c r="AM799" t="s">
        <v>78</v>
      </c>
      <c r="AN799">
        <v>3</v>
      </c>
      <c r="AO799" t="s">
        <v>63</v>
      </c>
      <c r="AP799">
        <v>80</v>
      </c>
      <c r="AQ799">
        <v>1</v>
      </c>
      <c r="AR799">
        <v>1</v>
      </c>
      <c r="AS799" t="str">
        <f t="shared" si="190"/>
        <v>0-2</v>
      </c>
      <c r="AT799">
        <v>0</v>
      </c>
      <c r="AU799" t="str">
        <f t="shared" si="191"/>
        <v>0-2</v>
      </c>
      <c r="AV799">
        <v>2</v>
      </c>
      <c r="AW799" t="s">
        <v>84</v>
      </c>
      <c r="AX799">
        <v>1</v>
      </c>
      <c r="AY799" t="str">
        <f t="shared" si="180"/>
        <v>0-1</v>
      </c>
      <c r="AZ799">
        <v>1</v>
      </c>
      <c r="BA799" t="str">
        <f t="shared" si="192"/>
        <v>0-1</v>
      </c>
      <c r="BB799">
        <v>0</v>
      </c>
      <c r="BC799" t="str">
        <f t="shared" si="193"/>
        <v>0-1</v>
      </c>
      <c r="BD799">
        <v>0</v>
      </c>
      <c r="BE799" t="str">
        <f t="shared" si="194"/>
        <v>0-1</v>
      </c>
    </row>
    <row r="800" spans="1:57" x14ac:dyDescent="0.3">
      <c r="A800">
        <v>1108</v>
      </c>
      <c r="B800">
        <v>33</v>
      </c>
      <c r="C800" t="str">
        <f t="shared" si="181"/>
        <v>26-35</v>
      </c>
      <c r="D800" t="s">
        <v>56</v>
      </c>
      <c r="E800">
        <f t="shared" si="182"/>
        <v>1</v>
      </c>
      <c r="F800" t="s">
        <v>57</v>
      </c>
      <c r="G800">
        <v>1017</v>
      </c>
      <c r="H800" t="str">
        <f t="shared" si="183"/>
        <v>1001-1499</v>
      </c>
      <c r="I800" t="s">
        <v>73</v>
      </c>
      <c r="J800">
        <v>25</v>
      </c>
      <c r="K800" t="str">
        <f t="shared" si="184"/>
        <v>21-29</v>
      </c>
      <c r="L800">
        <v>3</v>
      </c>
      <c r="M800" t="s">
        <v>85</v>
      </c>
      <c r="N800" t="s">
        <v>83</v>
      </c>
      <c r="O800">
        <v>1</v>
      </c>
      <c r="P800">
        <v>1</v>
      </c>
      <c r="Q800" t="s">
        <v>69</v>
      </c>
      <c r="R800" t="s">
        <v>75</v>
      </c>
      <c r="S800">
        <v>55</v>
      </c>
      <c r="T800" t="str">
        <f t="shared" si="185"/>
        <v>51-75</v>
      </c>
      <c r="U800">
        <v>2</v>
      </c>
      <c r="V800" t="s">
        <v>61</v>
      </c>
      <c r="W800">
        <v>1</v>
      </c>
      <c r="X800" t="s">
        <v>76</v>
      </c>
      <c r="Y800">
        <v>2</v>
      </c>
      <c r="Z800" t="s">
        <v>61</v>
      </c>
      <c r="AA800" t="s">
        <v>66</v>
      </c>
      <c r="AB800" s="4">
        <v>2313</v>
      </c>
      <c r="AC800" s="4" t="str">
        <f t="shared" si="186"/>
        <v>$1,000-$2,500</v>
      </c>
      <c r="AD800">
        <v>2993</v>
      </c>
      <c r="AE800" t="str">
        <f t="shared" si="187"/>
        <v>$2,094-$8,000</v>
      </c>
      <c r="AF800">
        <v>4</v>
      </c>
      <c r="AG800" t="str">
        <f t="shared" si="188"/>
        <v>4-6</v>
      </c>
      <c r="AH800" t="s">
        <v>67</v>
      </c>
      <c r="AI800" t="s">
        <v>56</v>
      </c>
      <c r="AJ800">
        <v>20</v>
      </c>
      <c r="AK800" t="str">
        <f t="shared" si="189"/>
        <v>18-19%</v>
      </c>
      <c r="AL800">
        <v>4</v>
      </c>
      <c r="AM800" t="s">
        <v>78</v>
      </c>
      <c r="AN800">
        <v>2</v>
      </c>
      <c r="AO800" t="s">
        <v>61</v>
      </c>
      <c r="AP800">
        <v>80</v>
      </c>
      <c r="AQ800">
        <v>0</v>
      </c>
      <c r="AR800">
        <v>5</v>
      </c>
      <c r="AS800" t="str">
        <f t="shared" si="190"/>
        <v>3-5</v>
      </c>
      <c r="AT800">
        <v>0</v>
      </c>
      <c r="AU800" t="str">
        <f t="shared" si="191"/>
        <v>0-2</v>
      </c>
      <c r="AV800">
        <v>3</v>
      </c>
      <c r="AW800" t="s">
        <v>79</v>
      </c>
      <c r="AX800">
        <v>2</v>
      </c>
      <c r="AY800" t="str">
        <f t="shared" si="180"/>
        <v>2-5</v>
      </c>
      <c r="AZ800">
        <v>2</v>
      </c>
      <c r="BA800" t="str">
        <f t="shared" si="192"/>
        <v>2-5</v>
      </c>
      <c r="BB800">
        <v>2</v>
      </c>
      <c r="BC800" t="str">
        <f t="shared" si="193"/>
        <v>2-5</v>
      </c>
      <c r="BD800">
        <v>2</v>
      </c>
      <c r="BE800" t="str">
        <f t="shared" si="194"/>
        <v>2-5</v>
      </c>
    </row>
    <row r="801" spans="1:57" x14ac:dyDescent="0.3">
      <c r="A801">
        <v>1109</v>
      </c>
      <c r="B801">
        <v>42</v>
      </c>
      <c r="C801" t="str">
        <f t="shared" si="181"/>
        <v>36-45</v>
      </c>
      <c r="D801" t="s">
        <v>71</v>
      </c>
      <c r="E801">
        <f t="shared" si="182"/>
        <v>0</v>
      </c>
      <c r="F801" t="s">
        <v>57</v>
      </c>
      <c r="G801">
        <v>469</v>
      </c>
      <c r="H801" t="str">
        <f t="shared" si="183"/>
        <v>102-500</v>
      </c>
      <c r="I801" t="s">
        <v>73</v>
      </c>
      <c r="J801">
        <v>2</v>
      </c>
      <c r="K801" t="str">
        <f t="shared" si="184"/>
        <v>1-5</v>
      </c>
      <c r="L801">
        <v>2</v>
      </c>
      <c r="M801" t="s">
        <v>59</v>
      </c>
      <c r="N801" t="s">
        <v>83</v>
      </c>
      <c r="O801">
        <v>1</v>
      </c>
      <c r="P801">
        <v>4</v>
      </c>
      <c r="Q801" t="s">
        <v>65</v>
      </c>
      <c r="R801" t="s">
        <v>75</v>
      </c>
      <c r="S801">
        <v>35</v>
      </c>
      <c r="T801" t="str">
        <f t="shared" si="185"/>
        <v>30-50</v>
      </c>
      <c r="U801">
        <v>3</v>
      </c>
      <c r="V801" t="s">
        <v>63</v>
      </c>
      <c r="W801">
        <v>4</v>
      </c>
      <c r="X801" t="s">
        <v>90</v>
      </c>
      <c r="Y801">
        <v>1</v>
      </c>
      <c r="Z801" t="s">
        <v>69</v>
      </c>
      <c r="AA801" t="s">
        <v>77</v>
      </c>
      <c r="AB801" s="4">
        <v>17665</v>
      </c>
      <c r="AC801" s="4" t="str">
        <f t="shared" si="186"/>
        <v>$17,500-$19,000</v>
      </c>
      <c r="AD801">
        <v>14399</v>
      </c>
      <c r="AE801" t="str">
        <f t="shared" si="187"/>
        <v>$8,001-$16,000</v>
      </c>
      <c r="AF801">
        <v>0</v>
      </c>
      <c r="AG801" t="str">
        <f t="shared" si="188"/>
        <v>0-1</v>
      </c>
      <c r="AH801" t="s">
        <v>67</v>
      </c>
      <c r="AI801" t="s">
        <v>71</v>
      </c>
      <c r="AJ801">
        <v>17</v>
      </c>
      <c r="AK801" t="str">
        <f t="shared" si="189"/>
        <v>16-17%</v>
      </c>
      <c r="AL801">
        <v>3</v>
      </c>
      <c r="AM801" t="s">
        <v>68</v>
      </c>
      <c r="AN801">
        <v>4</v>
      </c>
      <c r="AO801" t="s">
        <v>65</v>
      </c>
      <c r="AP801">
        <v>80</v>
      </c>
      <c r="AQ801">
        <v>1</v>
      </c>
      <c r="AR801">
        <v>23</v>
      </c>
      <c r="AS801" t="str">
        <f t="shared" si="190"/>
        <v>21-40</v>
      </c>
      <c r="AT801">
        <v>3</v>
      </c>
      <c r="AU801" t="str">
        <f t="shared" si="191"/>
        <v>3-4</v>
      </c>
      <c r="AV801">
        <v>3</v>
      </c>
      <c r="AW801" t="s">
        <v>79</v>
      </c>
      <c r="AX801">
        <v>22</v>
      </c>
      <c r="AY801" t="str">
        <f t="shared" si="180"/>
        <v>21-40</v>
      </c>
      <c r="AZ801">
        <v>6</v>
      </c>
      <c r="BA801" t="str">
        <f t="shared" si="192"/>
        <v>6-10</v>
      </c>
      <c r="BB801">
        <v>13</v>
      </c>
      <c r="BC801" t="str">
        <f t="shared" si="193"/>
        <v>11-15</v>
      </c>
      <c r="BD801">
        <v>7</v>
      </c>
      <c r="BE801" t="str">
        <f t="shared" si="194"/>
        <v>6-10</v>
      </c>
    </row>
    <row r="802" spans="1:57" x14ac:dyDescent="0.3">
      <c r="A802">
        <v>1111</v>
      </c>
      <c r="B802">
        <v>28</v>
      </c>
      <c r="C802" t="str">
        <f t="shared" si="181"/>
        <v>26-35</v>
      </c>
      <c r="D802" t="s">
        <v>56</v>
      </c>
      <c r="E802">
        <f t="shared" si="182"/>
        <v>1</v>
      </c>
      <c r="F802" t="s">
        <v>72</v>
      </c>
      <c r="G802">
        <v>1009</v>
      </c>
      <c r="H802" t="str">
        <f t="shared" si="183"/>
        <v>1001-1499</v>
      </c>
      <c r="I802" t="s">
        <v>73</v>
      </c>
      <c r="J802">
        <v>1</v>
      </c>
      <c r="K802" t="str">
        <f t="shared" si="184"/>
        <v>1-5</v>
      </c>
      <c r="L802">
        <v>3</v>
      </c>
      <c r="M802" t="s">
        <v>85</v>
      </c>
      <c r="N802" t="s">
        <v>83</v>
      </c>
      <c r="O802">
        <v>1</v>
      </c>
      <c r="P802">
        <v>1</v>
      </c>
      <c r="Q802" t="s">
        <v>69</v>
      </c>
      <c r="R802" t="s">
        <v>75</v>
      </c>
      <c r="S802">
        <v>45</v>
      </c>
      <c r="T802" t="str">
        <f t="shared" si="185"/>
        <v>30-50</v>
      </c>
      <c r="U802">
        <v>2</v>
      </c>
      <c r="V802" t="s">
        <v>61</v>
      </c>
      <c r="W802">
        <v>1</v>
      </c>
      <c r="X802" t="s">
        <v>81</v>
      </c>
      <c r="Y802">
        <v>2</v>
      </c>
      <c r="Z802" t="s">
        <v>61</v>
      </c>
      <c r="AA802" t="s">
        <v>86</v>
      </c>
      <c r="AB802" s="4">
        <v>2596</v>
      </c>
      <c r="AC802" s="4" t="str">
        <f t="shared" si="186"/>
        <v>$2,500-$4,000</v>
      </c>
      <c r="AD802">
        <v>7160</v>
      </c>
      <c r="AE802" t="str">
        <f t="shared" si="187"/>
        <v>$2,094-$8,000</v>
      </c>
      <c r="AF802">
        <v>1</v>
      </c>
      <c r="AG802" t="str">
        <f t="shared" si="188"/>
        <v>0-1</v>
      </c>
      <c r="AH802" t="s">
        <v>67</v>
      </c>
      <c r="AI802" t="s">
        <v>71</v>
      </c>
      <c r="AJ802">
        <v>15</v>
      </c>
      <c r="AK802" t="str">
        <f t="shared" si="189"/>
        <v>13-15%</v>
      </c>
      <c r="AL802">
        <v>3</v>
      </c>
      <c r="AM802" t="s">
        <v>68</v>
      </c>
      <c r="AN802">
        <v>1</v>
      </c>
      <c r="AO802" t="s">
        <v>69</v>
      </c>
      <c r="AP802">
        <v>80</v>
      </c>
      <c r="AQ802">
        <v>2</v>
      </c>
      <c r="AR802">
        <v>1</v>
      </c>
      <c r="AS802" t="str">
        <f t="shared" si="190"/>
        <v>0-2</v>
      </c>
      <c r="AT802">
        <v>2</v>
      </c>
      <c r="AU802" t="str">
        <f t="shared" si="191"/>
        <v>0-2</v>
      </c>
      <c r="AV802">
        <v>3</v>
      </c>
      <c r="AW802" t="s">
        <v>79</v>
      </c>
      <c r="AX802">
        <v>1</v>
      </c>
      <c r="AY802" t="str">
        <f t="shared" si="180"/>
        <v>0-1</v>
      </c>
      <c r="AZ802">
        <v>0</v>
      </c>
      <c r="BA802" t="str">
        <f t="shared" si="192"/>
        <v>0-1</v>
      </c>
      <c r="BB802">
        <v>0</v>
      </c>
      <c r="BC802" t="str">
        <f t="shared" si="193"/>
        <v>0-1</v>
      </c>
      <c r="BD802">
        <v>0</v>
      </c>
      <c r="BE802" t="str">
        <f t="shared" si="194"/>
        <v>0-1</v>
      </c>
    </row>
    <row r="803" spans="1:57" x14ac:dyDescent="0.3">
      <c r="A803">
        <v>1113</v>
      </c>
      <c r="B803">
        <v>50</v>
      </c>
      <c r="C803" t="str">
        <f t="shared" si="181"/>
        <v>46-55</v>
      </c>
      <c r="D803" t="s">
        <v>56</v>
      </c>
      <c r="E803">
        <f t="shared" si="182"/>
        <v>1</v>
      </c>
      <c r="F803" t="s">
        <v>72</v>
      </c>
      <c r="G803">
        <v>959</v>
      </c>
      <c r="H803" t="str">
        <f t="shared" si="183"/>
        <v>501-1000</v>
      </c>
      <c r="I803" t="s">
        <v>58</v>
      </c>
      <c r="J803">
        <v>1</v>
      </c>
      <c r="K803" t="str">
        <f t="shared" si="184"/>
        <v>1-5</v>
      </c>
      <c r="L803">
        <v>4</v>
      </c>
      <c r="M803" t="s">
        <v>82</v>
      </c>
      <c r="N803" t="s">
        <v>80</v>
      </c>
      <c r="O803">
        <v>1</v>
      </c>
      <c r="P803">
        <v>4</v>
      </c>
      <c r="Q803" t="s">
        <v>65</v>
      </c>
      <c r="R803" t="s">
        <v>75</v>
      </c>
      <c r="S803">
        <v>81</v>
      </c>
      <c r="T803" t="str">
        <f t="shared" si="185"/>
        <v>76-100</v>
      </c>
      <c r="U803">
        <v>3</v>
      </c>
      <c r="V803" t="s">
        <v>63</v>
      </c>
      <c r="W803">
        <v>2</v>
      </c>
      <c r="X803" t="s">
        <v>64</v>
      </c>
      <c r="Y803">
        <v>3</v>
      </c>
      <c r="Z803" t="s">
        <v>63</v>
      </c>
      <c r="AA803" t="s">
        <v>66</v>
      </c>
      <c r="AB803" s="4">
        <v>4728</v>
      </c>
      <c r="AC803" s="4" t="str">
        <f t="shared" si="186"/>
        <v>$4,000-$5,500</v>
      </c>
      <c r="AD803">
        <v>17251</v>
      </c>
      <c r="AE803" t="str">
        <f t="shared" si="187"/>
        <v>$16,001-$22,000</v>
      </c>
      <c r="AF803">
        <v>3</v>
      </c>
      <c r="AG803" t="str">
        <f t="shared" si="188"/>
        <v>2-3</v>
      </c>
      <c r="AH803" t="s">
        <v>67</v>
      </c>
      <c r="AI803" t="s">
        <v>56</v>
      </c>
      <c r="AJ803">
        <v>14</v>
      </c>
      <c r="AK803" t="str">
        <f t="shared" si="189"/>
        <v>13-15%</v>
      </c>
      <c r="AL803">
        <v>3</v>
      </c>
      <c r="AM803" t="s">
        <v>68</v>
      </c>
      <c r="AN803">
        <v>4</v>
      </c>
      <c r="AO803" t="s">
        <v>65</v>
      </c>
      <c r="AP803">
        <v>80</v>
      </c>
      <c r="AQ803">
        <v>0</v>
      </c>
      <c r="AR803">
        <v>5</v>
      </c>
      <c r="AS803" t="str">
        <f t="shared" si="190"/>
        <v>3-5</v>
      </c>
      <c r="AT803">
        <v>4</v>
      </c>
      <c r="AU803" t="str">
        <f t="shared" si="191"/>
        <v>3-4</v>
      </c>
      <c r="AV803">
        <v>3</v>
      </c>
      <c r="AW803" t="s">
        <v>79</v>
      </c>
      <c r="AX803">
        <v>0</v>
      </c>
      <c r="AY803" t="str">
        <f t="shared" si="180"/>
        <v>0-1</v>
      </c>
      <c r="AZ803">
        <v>0</v>
      </c>
      <c r="BA803" t="str">
        <f t="shared" si="192"/>
        <v>0-1</v>
      </c>
      <c r="BB803">
        <v>0</v>
      </c>
      <c r="BC803" t="str">
        <f t="shared" si="193"/>
        <v>0-1</v>
      </c>
      <c r="BD803">
        <v>0</v>
      </c>
      <c r="BE803" t="str">
        <f t="shared" si="194"/>
        <v>0-1</v>
      </c>
    </row>
    <row r="804" spans="1:57" x14ac:dyDescent="0.3">
      <c r="A804">
        <v>1114</v>
      </c>
      <c r="B804">
        <v>33</v>
      </c>
      <c r="C804" t="str">
        <f t="shared" si="181"/>
        <v>26-35</v>
      </c>
      <c r="D804" t="s">
        <v>71</v>
      </c>
      <c r="E804">
        <f t="shared" si="182"/>
        <v>0</v>
      </c>
      <c r="F804" t="s">
        <v>72</v>
      </c>
      <c r="G804">
        <v>970</v>
      </c>
      <c r="H804" t="str">
        <f t="shared" si="183"/>
        <v>501-1000</v>
      </c>
      <c r="I804" t="s">
        <v>58</v>
      </c>
      <c r="J804">
        <v>7</v>
      </c>
      <c r="K804" t="str">
        <f t="shared" si="184"/>
        <v>6-10</v>
      </c>
      <c r="L804">
        <v>3</v>
      </c>
      <c r="M804" t="s">
        <v>85</v>
      </c>
      <c r="N804" t="s">
        <v>60</v>
      </c>
      <c r="O804">
        <v>1</v>
      </c>
      <c r="P804">
        <v>4</v>
      </c>
      <c r="Q804" t="s">
        <v>65</v>
      </c>
      <c r="R804" t="s">
        <v>62</v>
      </c>
      <c r="S804">
        <v>30</v>
      </c>
      <c r="T804" t="str">
        <f t="shared" si="185"/>
        <v>30-50</v>
      </c>
      <c r="U804">
        <v>3</v>
      </c>
      <c r="V804" t="s">
        <v>63</v>
      </c>
      <c r="W804">
        <v>2</v>
      </c>
      <c r="X804" t="s">
        <v>64</v>
      </c>
      <c r="Y804">
        <v>2</v>
      </c>
      <c r="Z804" t="s">
        <v>61</v>
      </c>
      <c r="AA804" t="s">
        <v>77</v>
      </c>
      <c r="AB804" s="4">
        <v>4302</v>
      </c>
      <c r="AC804" s="4" t="str">
        <f t="shared" si="186"/>
        <v>$4,000-$5,500</v>
      </c>
      <c r="AD804">
        <v>13401</v>
      </c>
      <c r="AE804" t="str">
        <f t="shared" si="187"/>
        <v>$8,001-$16,000</v>
      </c>
      <c r="AF804">
        <v>0</v>
      </c>
      <c r="AG804" t="str">
        <f t="shared" si="188"/>
        <v>0-1</v>
      </c>
      <c r="AH804" t="s">
        <v>67</v>
      </c>
      <c r="AI804" t="s">
        <v>71</v>
      </c>
      <c r="AJ804">
        <v>17</v>
      </c>
      <c r="AK804" t="str">
        <f t="shared" si="189"/>
        <v>16-17%</v>
      </c>
      <c r="AL804">
        <v>3</v>
      </c>
      <c r="AM804" t="s">
        <v>68</v>
      </c>
      <c r="AN804">
        <v>3</v>
      </c>
      <c r="AO804" t="s">
        <v>63</v>
      </c>
      <c r="AP804">
        <v>80</v>
      </c>
      <c r="AQ804">
        <v>1</v>
      </c>
      <c r="AR804">
        <v>4</v>
      </c>
      <c r="AS804" t="str">
        <f t="shared" si="190"/>
        <v>3-5</v>
      </c>
      <c r="AT804">
        <v>3</v>
      </c>
      <c r="AU804" t="str">
        <f t="shared" si="191"/>
        <v>3-4</v>
      </c>
      <c r="AV804">
        <v>3</v>
      </c>
      <c r="AW804" t="s">
        <v>79</v>
      </c>
      <c r="AX804">
        <v>3</v>
      </c>
      <c r="AY804" t="str">
        <f t="shared" si="180"/>
        <v>2-5</v>
      </c>
      <c r="AZ804">
        <v>2</v>
      </c>
      <c r="BA804" t="str">
        <f t="shared" si="192"/>
        <v>2-5</v>
      </c>
      <c r="BB804">
        <v>0</v>
      </c>
      <c r="BC804" t="str">
        <f t="shared" si="193"/>
        <v>0-1</v>
      </c>
      <c r="BD804">
        <v>2</v>
      </c>
      <c r="BE804" t="str">
        <f t="shared" si="194"/>
        <v>2-5</v>
      </c>
    </row>
    <row r="805" spans="1:57" x14ac:dyDescent="0.3">
      <c r="A805">
        <v>1115</v>
      </c>
      <c r="B805">
        <v>34</v>
      </c>
      <c r="C805" t="str">
        <f t="shared" si="181"/>
        <v>26-35</v>
      </c>
      <c r="D805" t="s">
        <v>71</v>
      </c>
      <c r="E805">
        <f t="shared" si="182"/>
        <v>0</v>
      </c>
      <c r="F805" t="s">
        <v>89</v>
      </c>
      <c r="G805">
        <v>697</v>
      </c>
      <c r="H805" t="str">
        <f t="shared" si="183"/>
        <v>501-1000</v>
      </c>
      <c r="I805" t="s">
        <v>73</v>
      </c>
      <c r="J805">
        <v>3</v>
      </c>
      <c r="K805" t="str">
        <f t="shared" si="184"/>
        <v>1-5</v>
      </c>
      <c r="L805">
        <v>4</v>
      </c>
      <c r="M805" t="s">
        <v>82</v>
      </c>
      <c r="N805" t="s">
        <v>60</v>
      </c>
      <c r="O805">
        <v>1</v>
      </c>
      <c r="P805">
        <v>3</v>
      </c>
      <c r="Q805" t="s">
        <v>63</v>
      </c>
      <c r="R805" t="s">
        <v>75</v>
      </c>
      <c r="S805">
        <v>40</v>
      </c>
      <c r="T805" t="str">
        <f t="shared" si="185"/>
        <v>30-50</v>
      </c>
      <c r="U805">
        <v>2</v>
      </c>
      <c r="V805" t="s">
        <v>61</v>
      </c>
      <c r="W805">
        <v>1</v>
      </c>
      <c r="X805" t="s">
        <v>76</v>
      </c>
      <c r="Y805">
        <v>4</v>
      </c>
      <c r="Z805" t="s">
        <v>65</v>
      </c>
      <c r="AA805" t="s">
        <v>77</v>
      </c>
      <c r="AB805" s="4">
        <v>2979</v>
      </c>
      <c r="AC805" s="4" t="str">
        <f t="shared" si="186"/>
        <v>$2,500-$4,000</v>
      </c>
      <c r="AD805">
        <v>22478</v>
      </c>
      <c r="AE805" t="str">
        <f t="shared" si="187"/>
        <v>$22,001-$26,999</v>
      </c>
      <c r="AF805">
        <v>3</v>
      </c>
      <c r="AG805" t="str">
        <f t="shared" si="188"/>
        <v>2-3</v>
      </c>
      <c r="AH805" t="s">
        <v>67</v>
      </c>
      <c r="AI805" t="s">
        <v>71</v>
      </c>
      <c r="AJ805">
        <v>17</v>
      </c>
      <c r="AK805" t="str">
        <f t="shared" si="189"/>
        <v>16-17%</v>
      </c>
      <c r="AL805">
        <v>3</v>
      </c>
      <c r="AM805" t="s">
        <v>68</v>
      </c>
      <c r="AN805">
        <v>4</v>
      </c>
      <c r="AO805" t="s">
        <v>65</v>
      </c>
      <c r="AP805">
        <v>80</v>
      </c>
      <c r="AQ805">
        <v>3</v>
      </c>
      <c r="AR805">
        <v>6</v>
      </c>
      <c r="AS805" t="str">
        <f t="shared" si="190"/>
        <v>6-10</v>
      </c>
      <c r="AT805">
        <v>2</v>
      </c>
      <c r="AU805" t="str">
        <f t="shared" si="191"/>
        <v>0-2</v>
      </c>
      <c r="AV805">
        <v>3</v>
      </c>
      <c r="AW805" t="s">
        <v>79</v>
      </c>
      <c r="AX805">
        <v>0</v>
      </c>
      <c r="AY805" t="str">
        <f t="shared" si="180"/>
        <v>0-1</v>
      </c>
      <c r="AZ805">
        <v>0</v>
      </c>
      <c r="BA805" t="str">
        <f t="shared" si="192"/>
        <v>0-1</v>
      </c>
      <c r="BB805">
        <v>0</v>
      </c>
      <c r="BC805" t="str">
        <f t="shared" si="193"/>
        <v>0-1</v>
      </c>
      <c r="BD805">
        <v>0</v>
      </c>
      <c r="BE805" t="str">
        <f t="shared" si="194"/>
        <v>0-1</v>
      </c>
    </row>
    <row r="806" spans="1:57" x14ac:dyDescent="0.3">
      <c r="A806">
        <v>1116</v>
      </c>
      <c r="B806">
        <v>48</v>
      </c>
      <c r="C806" t="str">
        <f t="shared" si="181"/>
        <v>46-55</v>
      </c>
      <c r="D806" t="s">
        <v>71</v>
      </c>
      <c r="E806">
        <f t="shared" si="182"/>
        <v>0</v>
      </c>
      <c r="F806" t="s">
        <v>89</v>
      </c>
      <c r="G806">
        <v>1262</v>
      </c>
      <c r="H806" t="str">
        <f t="shared" si="183"/>
        <v>1001-1499</v>
      </c>
      <c r="I806" t="s">
        <v>73</v>
      </c>
      <c r="J806">
        <v>1</v>
      </c>
      <c r="K806" t="str">
        <f t="shared" si="184"/>
        <v>1-5</v>
      </c>
      <c r="L806">
        <v>4</v>
      </c>
      <c r="M806" t="s">
        <v>82</v>
      </c>
      <c r="N806" t="s">
        <v>83</v>
      </c>
      <c r="O806">
        <v>1</v>
      </c>
      <c r="P806">
        <v>1</v>
      </c>
      <c r="Q806" t="s">
        <v>69</v>
      </c>
      <c r="R806" t="s">
        <v>75</v>
      </c>
      <c r="S806">
        <v>35</v>
      </c>
      <c r="T806" t="str">
        <f t="shared" si="185"/>
        <v>30-50</v>
      </c>
      <c r="U806">
        <v>4</v>
      </c>
      <c r="V806" t="s">
        <v>65</v>
      </c>
      <c r="W806">
        <v>4</v>
      </c>
      <c r="X806" t="s">
        <v>90</v>
      </c>
      <c r="Y806">
        <v>4</v>
      </c>
      <c r="Z806" t="s">
        <v>65</v>
      </c>
      <c r="AA806" t="s">
        <v>66</v>
      </c>
      <c r="AB806" s="4">
        <v>16885</v>
      </c>
      <c r="AC806" s="4" t="str">
        <f t="shared" si="186"/>
        <v>$16,000-$17,500</v>
      </c>
      <c r="AD806">
        <v>16154</v>
      </c>
      <c r="AE806" t="str">
        <f t="shared" si="187"/>
        <v>$16,001-$22,000</v>
      </c>
      <c r="AF806">
        <v>2</v>
      </c>
      <c r="AG806" t="str">
        <f t="shared" si="188"/>
        <v>2-3</v>
      </c>
      <c r="AH806" t="s">
        <v>67</v>
      </c>
      <c r="AI806" t="s">
        <v>71</v>
      </c>
      <c r="AJ806">
        <v>22</v>
      </c>
      <c r="AK806" t="str">
        <f t="shared" si="189"/>
        <v>18-19%</v>
      </c>
      <c r="AL806">
        <v>4</v>
      </c>
      <c r="AM806" t="s">
        <v>78</v>
      </c>
      <c r="AN806">
        <v>3</v>
      </c>
      <c r="AO806" t="s">
        <v>63</v>
      </c>
      <c r="AP806">
        <v>80</v>
      </c>
      <c r="AQ806">
        <v>0</v>
      </c>
      <c r="AR806">
        <v>27</v>
      </c>
      <c r="AS806" t="str">
        <f t="shared" si="190"/>
        <v>21-40</v>
      </c>
      <c r="AT806">
        <v>3</v>
      </c>
      <c r="AU806" t="str">
        <f t="shared" si="191"/>
        <v>3-4</v>
      </c>
      <c r="AV806">
        <v>2</v>
      </c>
      <c r="AW806" t="s">
        <v>84</v>
      </c>
      <c r="AX806">
        <v>5</v>
      </c>
      <c r="AY806" t="str">
        <f t="shared" si="180"/>
        <v>2-5</v>
      </c>
      <c r="AZ806">
        <v>4</v>
      </c>
      <c r="BA806" t="str">
        <f t="shared" si="192"/>
        <v>2-5</v>
      </c>
      <c r="BB806">
        <v>2</v>
      </c>
      <c r="BC806" t="str">
        <f t="shared" si="193"/>
        <v>2-5</v>
      </c>
      <c r="BD806">
        <v>1</v>
      </c>
      <c r="BE806" t="str">
        <f t="shared" si="194"/>
        <v>0-1</v>
      </c>
    </row>
    <row r="807" spans="1:57" x14ac:dyDescent="0.3">
      <c r="A807">
        <v>1117</v>
      </c>
      <c r="B807">
        <v>45</v>
      </c>
      <c r="C807" t="str">
        <f t="shared" si="181"/>
        <v>36-45</v>
      </c>
      <c r="D807" t="s">
        <v>71</v>
      </c>
      <c r="E807">
        <f t="shared" si="182"/>
        <v>0</v>
      </c>
      <c r="F807" t="s">
        <v>89</v>
      </c>
      <c r="G807">
        <v>1050</v>
      </c>
      <c r="H807" t="str">
        <f t="shared" si="183"/>
        <v>1001-1499</v>
      </c>
      <c r="I807" t="s">
        <v>58</v>
      </c>
      <c r="J807">
        <v>9</v>
      </c>
      <c r="K807" t="str">
        <f t="shared" si="184"/>
        <v>6-10</v>
      </c>
      <c r="L807">
        <v>4</v>
      </c>
      <c r="M807" t="s">
        <v>82</v>
      </c>
      <c r="N807" t="s">
        <v>60</v>
      </c>
      <c r="O807">
        <v>1</v>
      </c>
      <c r="P807">
        <v>2</v>
      </c>
      <c r="Q807" t="s">
        <v>61</v>
      </c>
      <c r="R807" t="s">
        <v>62</v>
      </c>
      <c r="S807">
        <v>65</v>
      </c>
      <c r="T807" t="str">
        <f t="shared" si="185"/>
        <v>51-75</v>
      </c>
      <c r="U807">
        <v>2</v>
      </c>
      <c r="V807" t="s">
        <v>61</v>
      </c>
      <c r="W807">
        <v>2</v>
      </c>
      <c r="X807" t="s">
        <v>64</v>
      </c>
      <c r="Y807">
        <v>3</v>
      </c>
      <c r="Z807" t="s">
        <v>63</v>
      </c>
      <c r="AA807" t="s">
        <v>77</v>
      </c>
      <c r="AB807" s="4">
        <v>5593</v>
      </c>
      <c r="AC807" s="4" t="str">
        <f t="shared" si="186"/>
        <v>$5,500-$7,000</v>
      </c>
      <c r="AD807">
        <v>17970</v>
      </c>
      <c r="AE807" t="str">
        <f t="shared" si="187"/>
        <v>$16,001-$22,000</v>
      </c>
      <c r="AF807">
        <v>1</v>
      </c>
      <c r="AG807" t="str">
        <f t="shared" si="188"/>
        <v>0-1</v>
      </c>
      <c r="AH807" t="s">
        <v>67</v>
      </c>
      <c r="AI807" t="s">
        <v>71</v>
      </c>
      <c r="AJ807">
        <v>13</v>
      </c>
      <c r="AK807" t="str">
        <f t="shared" si="189"/>
        <v>13-15%</v>
      </c>
      <c r="AL807">
        <v>3</v>
      </c>
      <c r="AM807" t="s">
        <v>68</v>
      </c>
      <c r="AN807">
        <v>4</v>
      </c>
      <c r="AO807" t="s">
        <v>65</v>
      </c>
      <c r="AP807">
        <v>80</v>
      </c>
      <c r="AQ807">
        <v>1</v>
      </c>
      <c r="AR807">
        <v>15</v>
      </c>
      <c r="AS807" t="str">
        <f t="shared" si="190"/>
        <v>11-20</v>
      </c>
      <c r="AT807">
        <v>2</v>
      </c>
      <c r="AU807" t="str">
        <f t="shared" si="191"/>
        <v>0-2</v>
      </c>
      <c r="AV807">
        <v>3</v>
      </c>
      <c r="AW807" t="s">
        <v>79</v>
      </c>
      <c r="AX807">
        <v>15</v>
      </c>
      <c r="AY807" t="str">
        <f t="shared" si="180"/>
        <v>11-20</v>
      </c>
      <c r="AZ807">
        <v>10</v>
      </c>
      <c r="BA807" t="str">
        <f t="shared" si="192"/>
        <v>6-10</v>
      </c>
      <c r="BB807">
        <v>4</v>
      </c>
      <c r="BC807" t="str">
        <f t="shared" si="193"/>
        <v>2-5</v>
      </c>
      <c r="BD807">
        <v>12</v>
      </c>
      <c r="BE807" t="str">
        <f t="shared" si="194"/>
        <v>11-17</v>
      </c>
    </row>
    <row r="808" spans="1:57" x14ac:dyDescent="0.3">
      <c r="A808">
        <v>1118</v>
      </c>
      <c r="B808">
        <v>52</v>
      </c>
      <c r="C808" t="str">
        <f t="shared" si="181"/>
        <v>46-55</v>
      </c>
      <c r="D808" t="s">
        <v>71</v>
      </c>
      <c r="E808">
        <f t="shared" si="182"/>
        <v>0</v>
      </c>
      <c r="F808" t="s">
        <v>57</v>
      </c>
      <c r="G808">
        <v>994</v>
      </c>
      <c r="H808" t="str">
        <f t="shared" si="183"/>
        <v>501-1000</v>
      </c>
      <c r="I808" t="s">
        <v>73</v>
      </c>
      <c r="J808">
        <v>7</v>
      </c>
      <c r="K808" t="str">
        <f t="shared" si="184"/>
        <v>6-10</v>
      </c>
      <c r="L808">
        <v>4</v>
      </c>
      <c r="M808" t="s">
        <v>82</v>
      </c>
      <c r="N808" t="s">
        <v>60</v>
      </c>
      <c r="O808">
        <v>1</v>
      </c>
      <c r="P808">
        <v>2</v>
      </c>
      <c r="Q808" t="s">
        <v>61</v>
      </c>
      <c r="R808" t="s">
        <v>75</v>
      </c>
      <c r="S808">
        <v>87</v>
      </c>
      <c r="T808" t="str">
        <f t="shared" si="185"/>
        <v>76-100</v>
      </c>
      <c r="U808">
        <v>3</v>
      </c>
      <c r="V808" t="s">
        <v>63</v>
      </c>
      <c r="W808">
        <v>3</v>
      </c>
      <c r="X808" t="s">
        <v>88</v>
      </c>
      <c r="Y808">
        <v>2</v>
      </c>
      <c r="Z808" t="s">
        <v>61</v>
      </c>
      <c r="AA808" t="s">
        <v>66</v>
      </c>
      <c r="AB808" s="4">
        <v>10445</v>
      </c>
      <c r="AC808" s="4" t="str">
        <f t="shared" si="186"/>
        <v>$10,000-$11,500</v>
      </c>
      <c r="AD808">
        <v>15322</v>
      </c>
      <c r="AE808" t="str">
        <f t="shared" si="187"/>
        <v>$8,001-$16,000</v>
      </c>
      <c r="AF808">
        <v>7</v>
      </c>
      <c r="AG808" t="str">
        <f t="shared" si="188"/>
        <v>7-9</v>
      </c>
      <c r="AH808" t="s">
        <v>67</v>
      </c>
      <c r="AI808" t="s">
        <v>71</v>
      </c>
      <c r="AJ808">
        <v>19</v>
      </c>
      <c r="AK808" t="str">
        <f t="shared" si="189"/>
        <v>18-19%</v>
      </c>
      <c r="AL808">
        <v>3</v>
      </c>
      <c r="AM808" t="s">
        <v>68</v>
      </c>
      <c r="AN808">
        <v>4</v>
      </c>
      <c r="AO808" t="s">
        <v>65</v>
      </c>
      <c r="AP808">
        <v>80</v>
      </c>
      <c r="AQ808">
        <v>0</v>
      </c>
      <c r="AR808">
        <v>18</v>
      </c>
      <c r="AS808" t="str">
        <f t="shared" si="190"/>
        <v>11-20</v>
      </c>
      <c r="AT808">
        <v>4</v>
      </c>
      <c r="AU808" t="str">
        <f t="shared" si="191"/>
        <v>3-4</v>
      </c>
      <c r="AV808">
        <v>3</v>
      </c>
      <c r="AW808" t="s">
        <v>79</v>
      </c>
      <c r="AX808">
        <v>8</v>
      </c>
      <c r="AY808" t="str">
        <f t="shared" si="180"/>
        <v>6-10</v>
      </c>
      <c r="AZ808">
        <v>6</v>
      </c>
      <c r="BA808" t="str">
        <f t="shared" si="192"/>
        <v>6-10</v>
      </c>
      <c r="BB808">
        <v>4</v>
      </c>
      <c r="BC808" t="str">
        <f t="shared" si="193"/>
        <v>2-5</v>
      </c>
      <c r="BD808">
        <v>0</v>
      </c>
      <c r="BE808" t="str">
        <f t="shared" si="194"/>
        <v>0-1</v>
      </c>
    </row>
    <row r="809" spans="1:57" x14ac:dyDescent="0.3">
      <c r="A809">
        <v>1119</v>
      </c>
      <c r="B809">
        <v>38</v>
      </c>
      <c r="C809" t="str">
        <f t="shared" si="181"/>
        <v>36-45</v>
      </c>
      <c r="D809" t="s">
        <v>71</v>
      </c>
      <c r="E809">
        <f t="shared" si="182"/>
        <v>0</v>
      </c>
      <c r="F809" t="s">
        <v>57</v>
      </c>
      <c r="G809">
        <v>770</v>
      </c>
      <c r="H809" t="str">
        <f t="shared" si="183"/>
        <v>501-1000</v>
      </c>
      <c r="I809" t="s">
        <v>58</v>
      </c>
      <c r="J809">
        <v>10</v>
      </c>
      <c r="K809" t="str">
        <f t="shared" si="184"/>
        <v>6-10</v>
      </c>
      <c r="L809">
        <v>4</v>
      </c>
      <c r="M809" t="s">
        <v>82</v>
      </c>
      <c r="N809" t="s">
        <v>93</v>
      </c>
      <c r="O809">
        <v>1</v>
      </c>
      <c r="P809">
        <v>3</v>
      </c>
      <c r="Q809" t="s">
        <v>63</v>
      </c>
      <c r="R809" t="s">
        <v>75</v>
      </c>
      <c r="S809">
        <v>73</v>
      </c>
      <c r="T809" t="str">
        <f t="shared" si="185"/>
        <v>51-75</v>
      </c>
      <c r="U809">
        <v>2</v>
      </c>
      <c r="V809" t="s">
        <v>61</v>
      </c>
      <c r="W809">
        <v>3</v>
      </c>
      <c r="X809" t="s">
        <v>64</v>
      </c>
      <c r="Y809">
        <v>3</v>
      </c>
      <c r="Z809" t="s">
        <v>63</v>
      </c>
      <c r="AA809" t="s">
        <v>86</v>
      </c>
      <c r="AB809" s="4">
        <v>8740</v>
      </c>
      <c r="AC809" s="4" t="str">
        <f t="shared" si="186"/>
        <v>$8,500-$10,000</v>
      </c>
      <c r="AD809">
        <v>5569</v>
      </c>
      <c r="AE809" t="str">
        <f t="shared" si="187"/>
        <v>$2,094-$8,000</v>
      </c>
      <c r="AF809">
        <v>0</v>
      </c>
      <c r="AG809" t="str">
        <f t="shared" si="188"/>
        <v>0-1</v>
      </c>
      <c r="AH809" t="s">
        <v>67</v>
      </c>
      <c r="AI809" t="s">
        <v>56</v>
      </c>
      <c r="AJ809">
        <v>14</v>
      </c>
      <c r="AK809" t="str">
        <f t="shared" si="189"/>
        <v>13-15%</v>
      </c>
      <c r="AL809">
        <v>3</v>
      </c>
      <c r="AM809" t="s">
        <v>68</v>
      </c>
      <c r="AN809">
        <v>2</v>
      </c>
      <c r="AO809" t="s">
        <v>61</v>
      </c>
      <c r="AP809">
        <v>80</v>
      </c>
      <c r="AQ809">
        <v>2</v>
      </c>
      <c r="AR809">
        <v>9</v>
      </c>
      <c r="AS809" t="str">
        <f t="shared" si="190"/>
        <v>6-10</v>
      </c>
      <c r="AT809">
        <v>2</v>
      </c>
      <c r="AU809" t="str">
        <f t="shared" si="191"/>
        <v>0-2</v>
      </c>
      <c r="AV809">
        <v>3</v>
      </c>
      <c r="AW809" t="s">
        <v>79</v>
      </c>
      <c r="AX809">
        <v>8</v>
      </c>
      <c r="AY809" t="str">
        <f t="shared" si="180"/>
        <v>6-10</v>
      </c>
      <c r="AZ809">
        <v>7</v>
      </c>
      <c r="BA809" t="str">
        <f t="shared" si="192"/>
        <v>6-10</v>
      </c>
      <c r="BB809">
        <v>2</v>
      </c>
      <c r="BC809" t="str">
        <f t="shared" si="193"/>
        <v>2-5</v>
      </c>
      <c r="BD809">
        <v>7</v>
      </c>
      <c r="BE809" t="str">
        <f t="shared" si="194"/>
        <v>6-10</v>
      </c>
    </row>
    <row r="810" spans="1:57" x14ac:dyDescent="0.3">
      <c r="A810">
        <v>1120</v>
      </c>
      <c r="B810">
        <v>29</v>
      </c>
      <c r="C810" t="str">
        <f t="shared" si="181"/>
        <v>26-35</v>
      </c>
      <c r="D810" t="s">
        <v>71</v>
      </c>
      <c r="E810">
        <f t="shared" si="182"/>
        <v>0</v>
      </c>
      <c r="F810" t="s">
        <v>57</v>
      </c>
      <c r="G810">
        <v>1107</v>
      </c>
      <c r="H810" t="str">
        <f t="shared" si="183"/>
        <v>1001-1499</v>
      </c>
      <c r="I810" t="s">
        <v>73</v>
      </c>
      <c r="J810">
        <v>28</v>
      </c>
      <c r="K810" t="str">
        <f t="shared" si="184"/>
        <v>21-29</v>
      </c>
      <c r="L810">
        <v>4</v>
      </c>
      <c r="M810" t="s">
        <v>82</v>
      </c>
      <c r="N810" t="s">
        <v>60</v>
      </c>
      <c r="O810">
        <v>1</v>
      </c>
      <c r="P810">
        <v>3</v>
      </c>
      <c r="Q810" t="s">
        <v>63</v>
      </c>
      <c r="R810" t="s">
        <v>62</v>
      </c>
      <c r="S810">
        <v>93</v>
      </c>
      <c r="T810" t="str">
        <f t="shared" si="185"/>
        <v>76-100</v>
      </c>
      <c r="U810">
        <v>3</v>
      </c>
      <c r="V810" t="s">
        <v>63</v>
      </c>
      <c r="W810">
        <v>1</v>
      </c>
      <c r="X810" t="s">
        <v>76</v>
      </c>
      <c r="Y810">
        <v>4</v>
      </c>
      <c r="Z810" t="s">
        <v>65</v>
      </c>
      <c r="AA810" t="s">
        <v>86</v>
      </c>
      <c r="AB810" s="4">
        <v>2514</v>
      </c>
      <c r="AC810" s="4" t="str">
        <f t="shared" si="186"/>
        <v>$2,500-$4,000</v>
      </c>
      <c r="AD810">
        <v>26968</v>
      </c>
      <c r="AE810" t="str">
        <f t="shared" si="187"/>
        <v>$22,001-$26,999</v>
      </c>
      <c r="AF810">
        <v>4</v>
      </c>
      <c r="AG810" t="str">
        <f t="shared" si="188"/>
        <v>4-6</v>
      </c>
      <c r="AH810" t="s">
        <v>67</v>
      </c>
      <c r="AI810" t="s">
        <v>71</v>
      </c>
      <c r="AJ810">
        <v>22</v>
      </c>
      <c r="AK810" t="str">
        <f t="shared" si="189"/>
        <v>18-19%</v>
      </c>
      <c r="AL810">
        <v>4</v>
      </c>
      <c r="AM810" t="s">
        <v>78</v>
      </c>
      <c r="AN810">
        <v>1</v>
      </c>
      <c r="AO810" t="s">
        <v>69</v>
      </c>
      <c r="AP810">
        <v>80</v>
      </c>
      <c r="AQ810">
        <v>1</v>
      </c>
      <c r="AR810">
        <v>11</v>
      </c>
      <c r="AS810" t="str">
        <f t="shared" si="190"/>
        <v>11-20</v>
      </c>
      <c r="AT810">
        <v>1</v>
      </c>
      <c r="AU810" t="str">
        <f t="shared" si="191"/>
        <v>0-2</v>
      </c>
      <c r="AV810">
        <v>3</v>
      </c>
      <c r="AW810" t="s">
        <v>79</v>
      </c>
      <c r="AX810">
        <v>7</v>
      </c>
      <c r="AY810" t="str">
        <f t="shared" si="180"/>
        <v>6-10</v>
      </c>
      <c r="AZ810">
        <v>5</v>
      </c>
      <c r="BA810" t="str">
        <f t="shared" si="192"/>
        <v>2-5</v>
      </c>
      <c r="BB810">
        <v>1</v>
      </c>
      <c r="BC810" t="str">
        <f t="shared" si="193"/>
        <v>0-1</v>
      </c>
      <c r="BD810">
        <v>7</v>
      </c>
      <c r="BE810" t="str">
        <f t="shared" si="194"/>
        <v>6-10</v>
      </c>
    </row>
    <row r="811" spans="1:57" x14ac:dyDescent="0.3">
      <c r="A811">
        <v>1121</v>
      </c>
      <c r="B811">
        <v>28</v>
      </c>
      <c r="C811" t="str">
        <f t="shared" si="181"/>
        <v>26-35</v>
      </c>
      <c r="D811" t="s">
        <v>71</v>
      </c>
      <c r="E811">
        <f t="shared" si="182"/>
        <v>0</v>
      </c>
      <c r="F811" t="s">
        <v>57</v>
      </c>
      <c r="G811">
        <v>950</v>
      </c>
      <c r="H811" t="str">
        <f t="shared" si="183"/>
        <v>501-1000</v>
      </c>
      <c r="I811" t="s">
        <v>73</v>
      </c>
      <c r="J811">
        <v>3</v>
      </c>
      <c r="K811" t="str">
        <f t="shared" si="184"/>
        <v>1-5</v>
      </c>
      <c r="L811">
        <v>3</v>
      </c>
      <c r="M811" t="s">
        <v>85</v>
      </c>
      <c r="N811" t="s">
        <v>83</v>
      </c>
      <c r="O811">
        <v>1</v>
      </c>
      <c r="P811">
        <v>4</v>
      </c>
      <c r="Q811" t="s">
        <v>65</v>
      </c>
      <c r="R811" t="s">
        <v>62</v>
      </c>
      <c r="S811">
        <v>93</v>
      </c>
      <c r="T811" t="str">
        <f t="shared" si="185"/>
        <v>76-100</v>
      </c>
      <c r="U811">
        <v>3</v>
      </c>
      <c r="V811" t="s">
        <v>63</v>
      </c>
      <c r="W811">
        <v>3</v>
      </c>
      <c r="X811" t="s">
        <v>87</v>
      </c>
      <c r="Y811">
        <v>2</v>
      </c>
      <c r="Z811" t="s">
        <v>61</v>
      </c>
      <c r="AA811" t="s">
        <v>86</v>
      </c>
      <c r="AB811" s="4">
        <v>7655</v>
      </c>
      <c r="AC811" s="4" t="str">
        <f t="shared" si="186"/>
        <v>$7,000-$8,500</v>
      </c>
      <c r="AD811">
        <v>8039</v>
      </c>
      <c r="AE811" t="str">
        <f t="shared" si="187"/>
        <v>$8,001-$16,000</v>
      </c>
      <c r="AF811">
        <v>0</v>
      </c>
      <c r="AG811" t="str">
        <f t="shared" si="188"/>
        <v>0-1</v>
      </c>
      <c r="AH811" t="s">
        <v>67</v>
      </c>
      <c r="AI811" t="s">
        <v>71</v>
      </c>
      <c r="AJ811">
        <v>17</v>
      </c>
      <c r="AK811" t="str">
        <f t="shared" si="189"/>
        <v>16-17%</v>
      </c>
      <c r="AL811">
        <v>3</v>
      </c>
      <c r="AM811" t="s">
        <v>68</v>
      </c>
      <c r="AN811">
        <v>2</v>
      </c>
      <c r="AO811" t="s">
        <v>61</v>
      </c>
      <c r="AP811">
        <v>80</v>
      </c>
      <c r="AQ811">
        <v>3</v>
      </c>
      <c r="AR811">
        <v>10</v>
      </c>
      <c r="AS811" t="str">
        <f t="shared" si="190"/>
        <v>6-10</v>
      </c>
      <c r="AT811">
        <v>3</v>
      </c>
      <c r="AU811" t="str">
        <f t="shared" si="191"/>
        <v>3-4</v>
      </c>
      <c r="AV811">
        <v>2</v>
      </c>
      <c r="AW811" t="s">
        <v>84</v>
      </c>
      <c r="AX811">
        <v>9</v>
      </c>
      <c r="AY811" t="str">
        <f t="shared" si="180"/>
        <v>6-10</v>
      </c>
      <c r="AZ811">
        <v>7</v>
      </c>
      <c r="BA811" t="str">
        <f t="shared" si="192"/>
        <v>6-10</v>
      </c>
      <c r="BB811">
        <v>1</v>
      </c>
      <c r="BC811" t="str">
        <f t="shared" si="193"/>
        <v>0-1</v>
      </c>
      <c r="BD811">
        <v>7</v>
      </c>
      <c r="BE811" t="str">
        <f t="shared" si="194"/>
        <v>6-10</v>
      </c>
    </row>
    <row r="812" spans="1:57" x14ac:dyDescent="0.3">
      <c r="A812">
        <v>1124</v>
      </c>
      <c r="B812">
        <v>46</v>
      </c>
      <c r="C812" t="str">
        <f t="shared" si="181"/>
        <v>46-55</v>
      </c>
      <c r="D812" t="s">
        <v>71</v>
      </c>
      <c r="E812">
        <f t="shared" si="182"/>
        <v>0</v>
      </c>
      <c r="F812" t="s">
        <v>57</v>
      </c>
      <c r="G812">
        <v>406</v>
      </c>
      <c r="H812" t="str">
        <f t="shared" si="183"/>
        <v>102-500</v>
      </c>
      <c r="I812" t="s">
        <v>58</v>
      </c>
      <c r="J812">
        <v>3</v>
      </c>
      <c r="K812" t="str">
        <f t="shared" si="184"/>
        <v>1-5</v>
      </c>
      <c r="L812">
        <v>1</v>
      </c>
      <c r="M812" t="s">
        <v>74</v>
      </c>
      <c r="N812" t="s">
        <v>93</v>
      </c>
      <c r="O812">
        <v>1</v>
      </c>
      <c r="P812">
        <v>1</v>
      </c>
      <c r="Q812" t="s">
        <v>69</v>
      </c>
      <c r="R812" t="s">
        <v>75</v>
      </c>
      <c r="S812">
        <v>52</v>
      </c>
      <c r="T812" t="str">
        <f t="shared" si="185"/>
        <v>51-75</v>
      </c>
      <c r="U812">
        <v>3</v>
      </c>
      <c r="V812" t="s">
        <v>63</v>
      </c>
      <c r="W812">
        <v>4</v>
      </c>
      <c r="X812" t="s">
        <v>90</v>
      </c>
      <c r="Y812">
        <v>3</v>
      </c>
      <c r="Z812" t="s">
        <v>63</v>
      </c>
      <c r="AA812" t="s">
        <v>77</v>
      </c>
      <c r="AB812" s="4">
        <v>17465</v>
      </c>
      <c r="AC812" s="4" t="str">
        <f t="shared" si="186"/>
        <v>$16,000-$17,500</v>
      </c>
      <c r="AD812">
        <v>15596</v>
      </c>
      <c r="AE812" t="str">
        <f t="shared" si="187"/>
        <v>$8,001-$16,000</v>
      </c>
      <c r="AF812">
        <v>3</v>
      </c>
      <c r="AG812" t="str">
        <f t="shared" si="188"/>
        <v>2-3</v>
      </c>
      <c r="AH812" t="s">
        <v>67</v>
      </c>
      <c r="AI812" t="s">
        <v>71</v>
      </c>
      <c r="AJ812">
        <v>12</v>
      </c>
      <c r="AK812" t="str">
        <f t="shared" si="189"/>
        <v>11-12%</v>
      </c>
      <c r="AL812">
        <v>3</v>
      </c>
      <c r="AM812" t="s">
        <v>68</v>
      </c>
      <c r="AN812">
        <v>4</v>
      </c>
      <c r="AO812" t="s">
        <v>65</v>
      </c>
      <c r="AP812">
        <v>80</v>
      </c>
      <c r="AQ812">
        <v>1</v>
      </c>
      <c r="AR812">
        <v>23</v>
      </c>
      <c r="AS812" t="str">
        <f t="shared" si="190"/>
        <v>21-40</v>
      </c>
      <c r="AT812">
        <v>3</v>
      </c>
      <c r="AU812" t="str">
        <f t="shared" si="191"/>
        <v>3-4</v>
      </c>
      <c r="AV812">
        <v>3</v>
      </c>
      <c r="AW812" t="s">
        <v>79</v>
      </c>
      <c r="AX812">
        <v>12</v>
      </c>
      <c r="AY812" t="str">
        <f t="shared" si="180"/>
        <v>11-20</v>
      </c>
      <c r="AZ812">
        <v>9</v>
      </c>
      <c r="BA812" t="str">
        <f t="shared" si="192"/>
        <v>6-10</v>
      </c>
      <c r="BB812">
        <v>4</v>
      </c>
      <c r="BC812" t="str">
        <f t="shared" si="193"/>
        <v>2-5</v>
      </c>
      <c r="BD812">
        <v>9</v>
      </c>
      <c r="BE812" t="str">
        <f t="shared" si="194"/>
        <v>6-10</v>
      </c>
    </row>
    <row r="813" spans="1:57" x14ac:dyDescent="0.3">
      <c r="A813">
        <v>1125</v>
      </c>
      <c r="B813">
        <v>38</v>
      </c>
      <c r="C813" t="str">
        <f t="shared" si="181"/>
        <v>36-45</v>
      </c>
      <c r="D813" t="s">
        <v>71</v>
      </c>
      <c r="E813">
        <f t="shared" si="182"/>
        <v>0</v>
      </c>
      <c r="F813" t="s">
        <v>57</v>
      </c>
      <c r="G813">
        <v>130</v>
      </c>
      <c r="H813" t="str">
        <f t="shared" si="183"/>
        <v>102-500</v>
      </c>
      <c r="I813" t="s">
        <v>58</v>
      </c>
      <c r="J813">
        <v>2</v>
      </c>
      <c r="K813" t="str">
        <f t="shared" si="184"/>
        <v>1-5</v>
      </c>
      <c r="L813">
        <v>2</v>
      </c>
      <c r="M813" t="s">
        <v>59</v>
      </c>
      <c r="N813" t="s">
        <v>93</v>
      </c>
      <c r="O813">
        <v>1</v>
      </c>
      <c r="P813">
        <v>4</v>
      </c>
      <c r="Q813" t="s">
        <v>65</v>
      </c>
      <c r="R813" t="s">
        <v>75</v>
      </c>
      <c r="S813">
        <v>32</v>
      </c>
      <c r="T813" t="str">
        <f t="shared" si="185"/>
        <v>30-50</v>
      </c>
      <c r="U813">
        <v>3</v>
      </c>
      <c r="V813" t="s">
        <v>63</v>
      </c>
      <c r="W813">
        <v>3</v>
      </c>
      <c r="X813" t="s">
        <v>64</v>
      </c>
      <c r="Y813">
        <v>2</v>
      </c>
      <c r="Z813" t="s">
        <v>61</v>
      </c>
      <c r="AA813" t="s">
        <v>66</v>
      </c>
      <c r="AB813" s="4">
        <v>7351</v>
      </c>
      <c r="AC813" s="4" t="str">
        <f t="shared" si="186"/>
        <v>$7,000-$8,500</v>
      </c>
      <c r="AD813">
        <v>20619</v>
      </c>
      <c r="AE813" t="str">
        <f t="shared" si="187"/>
        <v>$16,001-$22,000</v>
      </c>
      <c r="AF813">
        <v>7</v>
      </c>
      <c r="AG813" t="str">
        <f t="shared" si="188"/>
        <v>7-9</v>
      </c>
      <c r="AH813" t="s">
        <v>67</v>
      </c>
      <c r="AI813" t="s">
        <v>71</v>
      </c>
      <c r="AJ813">
        <v>16</v>
      </c>
      <c r="AK813" t="str">
        <f t="shared" si="189"/>
        <v>16-17%</v>
      </c>
      <c r="AL813">
        <v>3</v>
      </c>
      <c r="AM813" t="s">
        <v>68</v>
      </c>
      <c r="AN813">
        <v>3</v>
      </c>
      <c r="AO813" t="s">
        <v>63</v>
      </c>
      <c r="AP813">
        <v>80</v>
      </c>
      <c r="AQ813">
        <v>0</v>
      </c>
      <c r="AR813">
        <v>10</v>
      </c>
      <c r="AS813" t="str">
        <f t="shared" si="190"/>
        <v>6-10</v>
      </c>
      <c r="AT813">
        <v>2</v>
      </c>
      <c r="AU813" t="str">
        <f t="shared" si="191"/>
        <v>0-2</v>
      </c>
      <c r="AV813">
        <v>3</v>
      </c>
      <c r="AW813" t="s">
        <v>79</v>
      </c>
      <c r="AX813">
        <v>1</v>
      </c>
      <c r="AY813" t="str">
        <f t="shared" si="180"/>
        <v>0-1</v>
      </c>
      <c r="AZ813">
        <v>0</v>
      </c>
      <c r="BA813" t="str">
        <f t="shared" si="192"/>
        <v>0-1</v>
      </c>
      <c r="BB813">
        <v>0</v>
      </c>
      <c r="BC813" t="str">
        <f t="shared" si="193"/>
        <v>0-1</v>
      </c>
      <c r="BD813">
        <v>0</v>
      </c>
      <c r="BE813" t="str">
        <f t="shared" si="194"/>
        <v>0-1</v>
      </c>
    </row>
    <row r="814" spans="1:57" x14ac:dyDescent="0.3">
      <c r="A814">
        <v>1126</v>
      </c>
      <c r="B814">
        <v>43</v>
      </c>
      <c r="C814" t="str">
        <f t="shared" si="181"/>
        <v>36-45</v>
      </c>
      <c r="D814" t="s">
        <v>71</v>
      </c>
      <c r="E814">
        <f t="shared" si="182"/>
        <v>0</v>
      </c>
      <c r="F814" t="s">
        <v>72</v>
      </c>
      <c r="G814">
        <v>1082</v>
      </c>
      <c r="H814" t="str">
        <f t="shared" si="183"/>
        <v>1001-1499</v>
      </c>
      <c r="I814" t="s">
        <v>73</v>
      </c>
      <c r="J814">
        <v>27</v>
      </c>
      <c r="K814" t="str">
        <f t="shared" si="184"/>
        <v>21-29</v>
      </c>
      <c r="L814">
        <v>3</v>
      </c>
      <c r="M814" t="s">
        <v>85</v>
      </c>
      <c r="N814" t="s">
        <v>60</v>
      </c>
      <c r="O814">
        <v>1</v>
      </c>
      <c r="P814">
        <v>3</v>
      </c>
      <c r="Q814" t="s">
        <v>63</v>
      </c>
      <c r="R814" t="s">
        <v>62</v>
      </c>
      <c r="S814">
        <v>83</v>
      </c>
      <c r="T814" t="str">
        <f t="shared" si="185"/>
        <v>76-100</v>
      </c>
      <c r="U814">
        <v>3</v>
      </c>
      <c r="V814" t="s">
        <v>63</v>
      </c>
      <c r="W814">
        <v>3</v>
      </c>
      <c r="X814" t="s">
        <v>87</v>
      </c>
      <c r="Y814">
        <v>1</v>
      </c>
      <c r="Z814" t="s">
        <v>69</v>
      </c>
      <c r="AA814" t="s">
        <v>77</v>
      </c>
      <c r="AB814" s="4">
        <v>10820</v>
      </c>
      <c r="AC814" s="4" t="str">
        <f t="shared" si="186"/>
        <v>$10,000-$11,500</v>
      </c>
      <c r="AD814">
        <v>11535</v>
      </c>
      <c r="AE814" t="str">
        <f t="shared" si="187"/>
        <v>$8,001-$16,000</v>
      </c>
      <c r="AF814">
        <v>8</v>
      </c>
      <c r="AG814" t="str">
        <f t="shared" si="188"/>
        <v>7-9</v>
      </c>
      <c r="AH814" t="s">
        <v>67</v>
      </c>
      <c r="AI814" t="s">
        <v>71</v>
      </c>
      <c r="AJ814">
        <v>11</v>
      </c>
      <c r="AK814" t="str">
        <f t="shared" si="189"/>
        <v>11-12%</v>
      </c>
      <c r="AL814">
        <v>3</v>
      </c>
      <c r="AM814" t="s">
        <v>68</v>
      </c>
      <c r="AN814">
        <v>3</v>
      </c>
      <c r="AO814" t="s">
        <v>63</v>
      </c>
      <c r="AP814">
        <v>80</v>
      </c>
      <c r="AQ814">
        <v>1</v>
      </c>
      <c r="AR814">
        <v>18</v>
      </c>
      <c r="AS814" t="str">
        <f t="shared" si="190"/>
        <v>11-20</v>
      </c>
      <c r="AT814">
        <v>1</v>
      </c>
      <c r="AU814" t="str">
        <f t="shared" si="191"/>
        <v>0-2</v>
      </c>
      <c r="AV814">
        <v>3</v>
      </c>
      <c r="AW814" t="s">
        <v>79</v>
      </c>
      <c r="AX814">
        <v>8</v>
      </c>
      <c r="AY814" t="str">
        <f t="shared" si="180"/>
        <v>6-10</v>
      </c>
      <c r="AZ814">
        <v>7</v>
      </c>
      <c r="BA814" t="str">
        <f t="shared" si="192"/>
        <v>6-10</v>
      </c>
      <c r="BB814">
        <v>0</v>
      </c>
      <c r="BC814" t="str">
        <f t="shared" si="193"/>
        <v>0-1</v>
      </c>
      <c r="BD814">
        <v>1</v>
      </c>
      <c r="BE814" t="str">
        <f t="shared" si="194"/>
        <v>0-1</v>
      </c>
    </row>
    <row r="815" spans="1:57" x14ac:dyDescent="0.3">
      <c r="A815">
        <v>1127</v>
      </c>
      <c r="B815">
        <v>39</v>
      </c>
      <c r="C815" t="str">
        <f t="shared" si="181"/>
        <v>36-45</v>
      </c>
      <c r="D815" t="s">
        <v>56</v>
      </c>
      <c r="E815">
        <f t="shared" si="182"/>
        <v>1</v>
      </c>
      <c r="F815" t="s">
        <v>72</v>
      </c>
      <c r="G815">
        <v>203</v>
      </c>
      <c r="H815" t="str">
        <f t="shared" si="183"/>
        <v>102-500</v>
      </c>
      <c r="I815" t="s">
        <v>73</v>
      </c>
      <c r="J815">
        <v>2</v>
      </c>
      <c r="K815" t="str">
        <f t="shared" si="184"/>
        <v>1-5</v>
      </c>
      <c r="L815">
        <v>3</v>
      </c>
      <c r="M815" t="s">
        <v>85</v>
      </c>
      <c r="N815" t="s">
        <v>60</v>
      </c>
      <c r="O815">
        <v>1</v>
      </c>
      <c r="P815">
        <v>1</v>
      </c>
      <c r="Q815" t="s">
        <v>69</v>
      </c>
      <c r="R815" t="s">
        <v>75</v>
      </c>
      <c r="S815">
        <v>84</v>
      </c>
      <c r="T815" t="str">
        <f t="shared" si="185"/>
        <v>76-100</v>
      </c>
      <c r="U815">
        <v>3</v>
      </c>
      <c r="V815" t="s">
        <v>63</v>
      </c>
      <c r="W815">
        <v>4</v>
      </c>
      <c r="X815" t="s">
        <v>88</v>
      </c>
      <c r="Y815">
        <v>4</v>
      </c>
      <c r="Z815" t="s">
        <v>65</v>
      </c>
      <c r="AA815" t="s">
        <v>86</v>
      </c>
      <c r="AB815" s="4">
        <v>12169</v>
      </c>
      <c r="AC815" s="4" t="str">
        <f t="shared" si="186"/>
        <v>$11,500-$13,000</v>
      </c>
      <c r="AD815">
        <v>13547</v>
      </c>
      <c r="AE815" t="str">
        <f t="shared" si="187"/>
        <v>$8,001-$16,000</v>
      </c>
      <c r="AF815">
        <v>7</v>
      </c>
      <c r="AG815" t="str">
        <f t="shared" si="188"/>
        <v>7-9</v>
      </c>
      <c r="AH815" t="s">
        <v>67</v>
      </c>
      <c r="AI815" t="s">
        <v>71</v>
      </c>
      <c r="AJ815">
        <v>11</v>
      </c>
      <c r="AK815" t="str">
        <f t="shared" si="189"/>
        <v>11-12%</v>
      </c>
      <c r="AL815">
        <v>3</v>
      </c>
      <c r="AM815" t="s">
        <v>68</v>
      </c>
      <c r="AN815">
        <v>4</v>
      </c>
      <c r="AO815" t="s">
        <v>65</v>
      </c>
      <c r="AP815">
        <v>80</v>
      </c>
      <c r="AQ815">
        <v>3</v>
      </c>
      <c r="AR815">
        <v>21</v>
      </c>
      <c r="AS815" t="str">
        <f t="shared" si="190"/>
        <v>21-40</v>
      </c>
      <c r="AT815">
        <v>4</v>
      </c>
      <c r="AU815" t="str">
        <f t="shared" si="191"/>
        <v>3-4</v>
      </c>
      <c r="AV815">
        <v>3</v>
      </c>
      <c r="AW815" t="s">
        <v>79</v>
      </c>
      <c r="AX815">
        <v>18</v>
      </c>
      <c r="AY815" t="str">
        <f t="shared" si="180"/>
        <v>11-20</v>
      </c>
      <c r="AZ815">
        <v>7</v>
      </c>
      <c r="BA815" t="str">
        <f t="shared" si="192"/>
        <v>6-10</v>
      </c>
      <c r="BB815">
        <v>11</v>
      </c>
      <c r="BC815" t="str">
        <f t="shared" si="193"/>
        <v>11-15</v>
      </c>
      <c r="BD815">
        <v>5</v>
      </c>
      <c r="BE815" t="str">
        <f t="shared" si="194"/>
        <v>2-5</v>
      </c>
    </row>
    <row r="816" spans="1:57" x14ac:dyDescent="0.3">
      <c r="A816">
        <v>1128</v>
      </c>
      <c r="B816">
        <v>40</v>
      </c>
      <c r="C816" t="str">
        <f t="shared" si="181"/>
        <v>36-45</v>
      </c>
      <c r="D816" t="s">
        <v>71</v>
      </c>
      <c r="E816">
        <f t="shared" si="182"/>
        <v>0</v>
      </c>
      <c r="F816" t="s">
        <v>57</v>
      </c>
      <c r="G816">
        <v>1308</v>
      </c>
      <c r="H816" t="str">
        <f t="shared" si="183"/>
        <v>1001-1499</v>
      </c>
      <c r="I816" t="s">
        <v>73</v>
      </c>
      <c r="J816">
        <v>14</v>
      </c>
      <c r="K816" t="str">
        <f t="shared" si="184"/>
        <v>11-20</v>
      </c>
      <c r="L816">
        <v>3</v>
      </c>
      <c r="M816" t="s">
        <v>85</v>
      </c>
      <c r="N816" t="s">
        <v>83</v>
      </c>
      <c r="O816">
        <v>1</v>
      </c>
      <c r="P816">
        <v>3</v>
      </c>
      <c r="Q816" t="s">
        <v>63</v>
      </c>
      <c r="R816" t="s">
        <v>75</v>
      </c>
      <c r="S816">
        <v>44</v>
      </c>
      <c r="T816" t="str">
        <f t="shared" si="185"/>
        <v>30-50</v>
      </c>
      <c r="U816">
        <v>2</v>
      </c>
      <c r="V816" t="s">
        <v>61</v>
      </c>
      <c r="W816">
        <v>5</v>
      </c>
      <c r="X816" t="s">
        <v>92</v>
      </c>
      <c r="Y816">
        <v>3</v>
      </c>
      <c r="Z816" t="s">
        <v>63</v>
      </c>
      <c r="AA816" t="s">
        <v>66</v>
      </c>
      <c r="AB816" s="4">
        <v>19626</v>
      </c>
      <c r="AC816" s="4" t="str">
        <f t="shared" si="186"/>
        <v>$19,000-$20,500</v>
      </c>
      <c r="AD816">
        <v>17544</v>
      </c>
      <c r="AE816" t="str">
        <f t="shared" si="187"/>
        <v>$16,001-$22,000</v>
      </c>
      <c r="AF816">
        <v>1</v>
      </c>
      <c r="AG816" t="str">
        <f t="shared" si="188"/>
        <v>0-1</v>
      </c>
      <c r="AH816" t="s">
        <v>67</v>
      </c>
      <c r="AI816" t="s">
        <v>71</v>
      </c>
      <c r="AJ816">
        <v>14</v>
      </c>
      <c r="AK816" t="str">
        <f t="shared" si="189"/>
        <v>13-15%</v>
      </c>
      <c r="AL816">
        <v>3</v>
      </c>
      <c r="AM816" t="s">
        <v>68</v>
      </c>
      <c r="AN816">
        <v>1</v>
      </c>
      <c r="AO816" t="s">
        <v>69</v>
      </c>
      <c r="AP816">
        <v>80</v>
      </c>
      <c r="AQ816">
        <v>0</v>
      </c>
      <c r="AR816">
        <v>21</v>
      </c>
      <c r="AS816" t="str">
        <f t="shared" si="190"/>
        <v>21-40</v>
      </c>
      <c r="AT816">
        <v>2</v>
      </c>
      <c r="AU816" t="str">
        <f t="shared" si="191"/>
        <v>0-2</v>
      </c>
      <c r="AV816">
        <v>4</v>
      </c>
      <c r="AW816" t="s">
        <v>94</v>
      </c>
      <c r="AX816">
        <v>20</v>
      </c>
      <c r="AY816" t="str">
        <f t="shared" si="180"/>
        <v>11-20</v>
      </c>
      <c r="AZ816">
        <v>7</v>
      </c>
      <c r="BA816" t="str">
        <f t="shared" si="192"/>
        <v>6-10</v>
      </c>
      <c r="BB816">
        <v>4</v>
      </c>
      <c r="BC816" t="str">
        <f t="shared" si="193"/>
        <v>2-5</v>
      </c>
      <c r="BD816">
        <v>9</v>
      </c>
      <c r="BE816" t="str">
        <f t="shared" si="194"/>
        <v>6-10</v>
      </c>
    </row>
    <row r="817" spans="1:57" x14ac:dyDescent="0.3">
      <c r="A817">
        <v>1131</v>
      </c>
      <c r="B817">
        <v>21</v>
      </c>
      <c r="C817" t="str">
        <f t="shared" si="181"/>
        <v>18-25</v>
      </c>
      <c r="D817" t="s">
        <v>71</v>
      </c>
      <c r="E817">
        <f t="shared" si="182"/>
        <v>0</v>
      </c>
      <c r="F817" t="s">
        <v>57</v>
      </c>
      <c r="G817">
        <v>984</v>
      </c>
      <c r="H817" t="str">
        <f t="shared" si="183"/>
        <v>501-1000</v>
      </c>
      <c r="I817" t="s">
        <v>73</v>
      </c>
      <c r="J817">
        <v>1</v>
      </c>
      <c r="K817" t="str">
        <f t="shared" si="184"/>
        <v>1-5</v>
      </c>
      <c r="L817">
        <v>1</v>
      </c>
      <c r="M817" t="s">
        <v>74</v>
      </c>
      <c r="N817" t="s">
        <v>95</v>
      </c>
      <c r="O817">
        <v>1</v>
      </c>
      <c r="P817">
        <v>4</v>
      </c>
      <c r="Q817" t="s">
        <v>65</v>
      </c>
      <c r="R817" t="s">
        <v>62</v>
      </c>
      <c r="S817">
        <v>70</v>
      </c>
      <c r="T817" t="str">
        <f t="shared" si="185"/>
        <v>51-75</v>
      </c>
      <c r="U817">
        <v>2</v>
      </c>
      <c r="V817" t="s">
        <v>61</v>
      </c>
      <c r="W817">
        <v>1</v>
      </c>
      <c r="X817" t="s">
        <v>76</v>
      </c>
      <c r="Y817">
        <v>2</v>
      </c>
      <c r="Z817" t="s">
        <v>61</v>
      </c>
      <c r="AA817" t="s">
        <v>66</v>
      </c>
      <c r="AB817" s="4">
        <v>2070</v>
      </c>
      <c r="AC817" s="4" t="str">
        <f t="shared" si="186"/>
        <v>$1,000-$2,500</v>
      </c>
      <c r="AD817">
        <v>25326</v>
      </c>
      <c r="AE817" t="str">
        <f t="shared" si="187"/>
        <v>$22,001-$26,999</v>
      </c>
      <c r="AF817">
        <v>1</v>
      </c>
      <c r="AG817" t="str">
        <f t="shared" si="188"/>
        <v>0-1</v>
      </c>
      <c r="AH817" t="s">
        <v>67</v>
      </c>
      <c r="AI817" t="s">
        <v>56</v>
      </c>
      <c r="AJ817">
        <v>11</v>
      </c>
      <c r="AK817" t="str">
        <f t="shared" si="189"/>
        <v>11-12%</v>
      </c>
      <c r="AL817">
        <v>3</v>
      </c>
      <c r="AM817" t="s">
        <v>68</v>
      </c>
      <c r="AN817">
        <v>3</v>
      </c>
      <c r="AO817" t="s">
        <v>63</v>
      </c>
      <c r="AP817">
        <v>80</v>
      </c>
      <c r="AQ817">
        <v>0</v>
      </c>
      <c r="AR817">
        <v>2</v>
      </c>
      <c r="AS817" t="str">
        <f t="shared" si="190"/>
        <v>0-2</v>
      </c>
      <c r="AT817">
        <v>6</v>
      </c>
      <c r="AU817" t="str">
        <f t="shared" si="191"/>
        <v>5-6</v>
      </c>
      <c r="AV817">
        <v>4</v>
      </c>
      <c r="AW817" t="s">
        <v>94</v>
      </c>
      <c r="AX817">
        <v>2</v>
      </c>
      <c r="AY817" t="str">
        <f t="shared" si="180"/>
        <v>2-5</v>
      </c>
      <c r="AZ817">
        <v>2</v>
      </c>
      <c r="BA817" t="str">
        <f t="shared" si="192"/>
        <v>2-5</v>
      </c>
      <c r="BB817">
        <v>2</v>
      </c>
      <c r="BC817" t="str">
        <f t="shared" si="193"/>
        <v>2-5</v>
      </c>
      <c r="BD817">
        <v>2</v>
      </c>
      <c r="BE817" t="str">
        <f t="shared" si="194"/>
        <v>2-5</v>
      </c>
    </row>
    <row r="818" spans="1:57" x14ac:dyDescent="0.3">
      <c r="A818">
        <v>1132</v>
      </c>
      <c r="B818">
        <v>39</v>
      </c>
      <c r="C818" t="str">
        <f t="shared" si="181"/>
        <v>36-45</v>
      </c>
      <c r="D818" t="s">
        <v>71</v>
      </c>
      <c r="E818">
        <f t="shared" si="182"/>
        <v>0</v>
      </c>
      <c r="F818" t="s">
        <v>89</v>
      </c>
      <c r="G818">
        <v>439</v>
      </c>
      <c r="H818" t="str">
        <f t="shared" si="183"/>
        <v>102-500</v>
      </c>
      <c r="I818" t="s">
        <v>73</v>
      </c>
      <c r="J818">
        <v>9</v>
      </c>
      <c r="K818" t="str">
        <f t="shared" si="184"/>
        <v>6-10</v>
      </c>
      <c r="L818">
        <v>3</v>
      </c>
      <c r="M818" t="s">
        <v>85</v>
      </c>
      <c r="N818" t="s">
        <v>60</v>
      </c>
      <c r="O818">
        <v>1</v>
      </c>
      <c r="P818">
        <v>3</v>
      </c>
      <c r="Q818" t="s">
        <v>63</v>
      </c>
      <c r="R818" t="s">
        <v>75</v>
      </c>
      <c r="S818">
        <v>70</v>
      </c>
      <c r="T818" t="str">
        <f t="shared" si="185"/>
        <v>51-75</v>
      </c>
      <c r="U818">
        <v>3</v>
      </c>
      <c r="V818" t="s">
        <v>63</v>
      </c>
      <c r="W818">
        <v>2</v>
      </c>
      <c r="X818" t="s">
        <v>81</v>
      </c>
      <c r="Y818">
        <v>2</v>
      </c>
      <c r="Z818" t="s">
        <v>61</v>
      </c>
      <c r="AA818" t="s">
        <v>66</v>
      </c>
      <c r="AB818" s="4">
        <v>6782</v>
      </c>
      <c r="AC818" s="4" t="str">
        <f t="shared" si="186"/>
        <v>$5,500-$7,000</v>
      </c>
      <c r="AD818">
        <v>8770</v>
      </c>
      <c r="AE818" t="str">
        <f t="shared" si="187"/>
        <v>$8,001-$16,000</v>
      </c>
      <c r="AF818">
        <v>9</v>
      </c>
      <c r="AG818" t="str">
        <f t="shared" si="188"/>
        <v>7-9</v>
      </c>
      <c r="AH818" t="s">
        <v>67</v>
      </c>
      <c r="AI818" t="s">
        <v>71</v>
      </c>
      <c r="AJ818">
        <v>15</v>
      </c>
      <c r="AK818" t="str">
        <f t="shared" si="189"/>
        <v>13-15%</v>
      </c>
      <c r="AL818">
        <v>3</v>
      </c>
      <c r="AM818" t="s">
        <v>68</v>
      </c>
      <c r="AN818">
        <v>3</v>
      </c>
      <c r="AO818" t="s">
        <v>63</v>
      </c>
      <c r="AP818">
        <v>80</v>
      </c>
      <c r="AQ818">
        <v>0</v>
      </c>
      <c r="AR818">
        <v>9</v>
      </c>
      <c r="AS818" t="str">
        <f t="shared" si="190"/>
        <v>6-10</v>
      </c>
      <c r="AT818">
        <v>2</v>
      </c>
      <c r="AU818" t="str">
        <f t="shared" si="191"/>
        <v>0-2</v>
      </c>
      <c r="AV818">
        <v>2</v>
      </c>
      <c r="AW818" t="s">
        <v>84</v>
      </c>
      <c r="AX818">
        <v>5</v>
      </c>
      <c r="AY818" t="str">
        <f t="shared" si="180"/>
        <v>2-5</v>
      </c>
      <c r="AZ818">
        <v>4</v>
      </c>
      <c r="BA818" t="str">
        <f t="shared" si="192"/>
        <v>2-5</v>
      </c>
      <c r="BB818">
        <v>0</v>
      </c>
      <c r="BC818" t="str">
        <f t="shared" si="193"/>
        <v>0-1</v>
      </c>
      <c r="BD818">
        <v>3</v>
      </c>
      <c r="BE818" t="str">
        <f t="shared" si="194"/>
        <v>2-5</v>
      </c>
    </row>
    <row r="819" spans="1:57" x14ac:dyDescent="0.3">
      <c r="A819">
        <v>1133</v>
      </c>
      <c r="B819">
        <v>36</v>
      </c>
      <c r="C819" t="str">
        <f t="shared" si="181"/>
        <v>36-45</v>
      </c>
      <c r="D819" t="s">
        <v>71</v>
      </c>
      <c r="E819">
        <f t="shared" si="182"/>
        <v>0</v>
      </c>
      <c r="F819" t="s">
        <v>89</v>
      </c>
      <c r="G819">
        <v>217</v>
      </c>
      <c r="H819" t="str">
        <f t="shared" si="183"/>
        <v>102-500</v>
      </c>
      <c r="I819" t="s">
        <v>73</v>
      </c>
      <c r="J819">
        <v>18</v>
      </c>
      <c r="K819" t="str">
        <f t="shared" si="184"/>
        <v>11-20</v>
      </c>
      <c r="L819">
        <v>4</v>
      </c>
      <c r="M819" t="s">
        <v>82</v>
      </c>
      <c r="N819" t="s">
        <v>60</v>
      </c>
      <c r="O819">
        <v>1</v>
      </c>
      <c r="P819">
        <v>1</v>
      </c>
      <c r="Q819" t="s">
        <v>69</v>
      </c>
      <c r="R819" t="s">
        <v>75</v>
      </c>
      <c r="S819">
        <v>78</v>
      </c>
      <c r="T819" t="str">
        <f t="shared" si="185"/>
        <v>76-100</v>
      </c>
      <c r="U819">
        <v>3</v>
      </c>
      <c r="V819" t="s">
        <v>63</v>
      </c>
      <c r="W819">
        <v>2</v>
      </c>
      <c r="X819" t="s">
        <v>87</v>
      </c>
      <c r="Y819">
        <v>4</v>
      </c>
      <c r="Z819" t="s">
        <v>65</v>
      </c>
      <c r="AA819" t="s">
        <v>66</v>
      </c>
      <c r="AB819" s="4">
        <v>7779</v>
      </c>
      <c r="AC819" s="4" t="str">
        <f t="shared" si="186"/>
        <v>$7,000-$8,500</v>
      </c>
      <c r="AD819">
        <v>23238</v>
      </c>
      <c r="AE819" t="str">
        <f t="shared" si="187"/>
        <v>$22,001-$26,999</v>
      </c>
      <c r="AF819">
        <v>2</v>
      </c>
      <c r="AG819" t="str">
        <f t="shared" si="188"/>
        <v>2-3</v>
      </c>
      <c r="AH819" t="s">
        <v>67</v>
      </c>
      <c r="AI819" t="s">
        <v>71</v>
      </c>
      <c r="AJ819">
        <v>20</v>
      </c>
      <c r="AK819" t="str">
        <f t="shared" si="189"/>
        <v>18-19%</v>
      </c>
      <c r="AL819">
        <v>4</v>
      </c>
      <c r="AM819" t="s">
        <v>78</v>
      </c>
      <c r="AN819">
        <v>1</v>
      </c>
      <c r="AO819" t="s">
        <v>69</v>
      </c>
      <c r="AP819">
        <v>80</v>
      </c>
      <c r="AQ819">
        <v>0</v>
      </c>
      <c r="AR819">
        <v>18</v>
      </c>
      <c r="AS819" t="str">
        <f t="shared" si="190"/>
        <v>11-20</v>
      </c>
      <c r="AT819">
        <v>0</v>
      </c>
      <c r="AU819" t="str">
        <f t="shared" si="191"/>
        <v>0-2</v>
      </c>
      <c r="AV819">
        <v>3</v>
      </c>
      <c r="AW819" t="s">
        <v>79</v>
      </c>
      <c r="AX819">
        <v>11</v>
      </c>
      <c r="AY819" t="str">
        <f t="shared" si="180"/>
        <v>11-20</v>
      </c>
      <c r="AZ819">
        <v>9</v>
      </c>
      <c r="BA819" t="str">
        <f t="shared" si="192"/>
        <v>6-10</v>
      </c>
      <c r="BB819">
        <v>0</v>
      </c>
      <c r="BC819" t="str">
        <f t="shared" si="193"/>
        <v>0-1</v>
      </c>
      <c r="BD819">
        <v>9</v>
      </c>
      <c r="BE819" t="str">
        <f t="shared" si="194"/>
        <v>6-10</v>
      </c>
    </row>
    <row r="820" spans="1:57" x14ac:dyDescent="0.3">
      <c r="A820">
        <v>1135</v>
      </c>
      <c r="B820">
        <v>31</v>
      </c>
      <c r="C820" t="str">
        <f t="shared" si="181"/>
        <v>26-35</v>
      </c>
      <c r="D820" t="s">
        <v>71</v>
      </c>
      <c r="E820">
        <f t="shared" si="182"/>
        <v>0</v>
      </c>
      <c r="F820" t="s">
        <v>72</v>
      </c>
      <c r="G820">
        <v>793</v>
      </c>
      <c r="H820" t="str">
        <f t="shared" si="183"/>
        <v>501-1000</v>
      </c>
      <c r="I820" t="s">
        <v>58</v>
      </c>
      <c r="J820">
        <v>20</v>
      </c>
      <c r="K820" t="str">
        <f t="shared" si="184"/>
        <v>11-20</v>
      </c>
      <c r="L820">
        <v>3</v>
      </c>
      <c r="M820" t="s">
        <v>85</v>
      </c>
      <c r="N820" t="s">
        <v>60</v>
      </c>
      <c r="O820">
        <v>1</v>
      </c>
      <c r="P820">
        <v>3</v>
      </c>
      <c r="Q820" t="s">
        <v>63</v>
      </c>
      <c r="R820" t="s">
        <v>75</v>
      </c>
      <c r="S820">
        <v>67</v>
      </c>
      <c r="T820" t="str">
        <f t="shared" si="185"/>
        <v>51-75</v>
      </c>
      <c r="U820">
        <v>4</v>
      </c>
      <c r="V820" t="s">
        <v>65</v>
      </c>
      <c r="W820">
        <v>1</v>
      </c>
      <c r="X820" t="s">
        <v>91</v>
      </c>
      <c r="Y820">
        <v>4</v>
      </c>
      <c r="Z820" t="s">
        <v>65</v>
      </c>
      <c r="AA820" t="s">
        <v>77</v>
      </c>
      <c r="AB820" s="4">
        <v>2791</v>
      </c>
      <c r="AC820" s="4" t="str">
        <f t="shared" si="186"/>
        <v>$2,500-$4,000</v>
      </c>
      <c r="AD820">
        <v>21981</v>
      </c>
      <c r="AE820" t="str">
        <f t="shared" si="187"/>
        <v>$16,001-$22,000</v>
      </c>
      <c r="AF820">
        <v>0</v>
      </c>
      <c r="AG820" t="str">
        <f t="shared" si="188"/>
        <v>0-1</v>
      </c>
      <c r="AH820" t="s">
        <v>67</v>
      </c>
      <c r="AI820" t="s">
        <v>71</v>
      </c>
      <c r="AJ820">
        <v>12</v>
      </c>
      <c r="AK820" t="str">
        <f t="shared" si="189"/>
        <v>11-12%</v>
      </c>
      <c r="AL820">
        <v>3</v>
      </c>
      <c r="AM820" t="s">
        <v>68</v>
      </c>
      <c r="AN820">
        <v>1</v>
      </c>
      <c r="AO820" t="s">
        <v>69</v>
      </c>
      <c r="AP820">
        <v>80</v>
      </c>
      <c r="AQ820">
        <v>1</v>
      </c>
      <c r="AR820">
        <v>3</v>
      </c>
      <c r="AS820" t="str">
        <f t="shared" si="190"/>
        <v>3-5</v>
      </c>
      <c r="AT820">
        <v>4</v>
      </c>
      <c r="AU820" t="str">
        <f t="shared" si="191"/>
        <v>3-4</v>
      </c>
      <c r="AV820">
        <v>3</v>
      </c>
      <c r="AW820" t="s">
        <v>79</v>
      </c>
      <c r="AX820">
        <v>2</v>
      </c>
      <c r="AY820" t="str">
        <f t="shared" si="180"/>
        <v>2-5</v>
      </c>
      <c r="AZ820">
        <v>2</v>
      </c>
      <c r="BA820" t="str">
        <f t="shared" si="192"/>
        <v>2-5</v>
      </c>
      <c r="BB820">
        <v>2</v>
      </c>
      <c r="BC820" t="str">
        <f t="shared" si="193"/>
        <v>2-5</v>
      </c>
      <c r="BD820">
        <v>2</v>
      </c>
      <c r="BE820" t="str">
        <f t="shared" si="194"/>
        <v>2-5</v>
      </c>
    </row>
    <row r="821" spans="1:57" x14ac:dyDescent="0.3">
      <c r="A821">
        <v>1136</v>
      </c>
      <c r="B821">
        <v>28</v>
      </c>
      <c r="C821" t="str">
        <f t="shared" si="181"/>
        <v>26-35</v>
      </c>
      <c r="D821" t="s">
        <v>71</v>
      </c>
      <c r="E821">
        <f t="shared" si="182"/>
        <v>0</v>
      </c>
      <c r="F821" t="s">
        <v>57</v>
      </c>
      <c r="G821">
        <v>1451</v>
      </c>
      <c r="H821" t="str">
        <f t="shared" si="183"/>
        <v>1001-1499</v>
      </c>
      <c r="I821" t="s">
        <v>73</v>
      </c>
      <c r="J821">
        <v>2</v>
      </c>
      <c r="K821" t="str">
        <f t="shared" si="184"/>
        <v>1-5</v>
      </c>
      <c r="L821">
        <v>1</v>
      </c>
      <c r="M821" t="s">
        <v>74</v>
      </c>
      <c r="N821" t="s">
        <v>60</v>
      </c>
      <c r="O821">
        <v>1</v>
      </c>
      <c r="P821">
        <v>1</v>
      </c>
      <c r="Q821" t="s">
        <v>69</v>
      </c>
      <c r="R821" t="s">
        <v>75</v>
      </c>
      <c r="S821">
        <v>67</v>
      </c>
      <c r="T821" t="str">
        <f t="shared" si="185"/>
        <v>51-75</v>
      </c>
      <c r="U821">
        <v>2</v>
      </c>
      <c r="V821" t="s">
        <v>61</v>
      </c>
      <c r="W821">
        <v>1</v>
      </c>
      <c r="X821" t="s">
        <v>76</v>
      </c>
      <c r="Y821">
        <v>2</v>
      </c>
      <c r="Z821" t="s">
        <v>61</v>
      </c>
      <c r="AA821" t="s">
        <v>77</v>
      </c>
      <c r="AB821" s="4">
        <v>3201</v>
      </c>
      <c r="AC821" s="4" t="str">
        <f t="shared" si="186"/>
        <v>$2,500-$4,000</v>
      </c>
      <c r="AD821">
        <v>19911</v>
      </c>
      <c r="AE821" t="str">
        <f t="shared" si="187"/>
        <v>$16,001-$22,000</v>
      </c>
      <c r="AF821">
        <v>0</v>
      </c>
      <c r="AG821" t="str">
        <f t="shared" si="188"/>
        <v>0-1</v>
      </c>
      <c r="AH821" t="s">
        <v>67</v>
      </c>
      <c r="AI821" t="s">
        <v>71</v>
      </c>
      <c r="AJ821">
        <v>17</v>
      </c>
      <c r="AK821" t="str">
        <f t="shared" si="189"/>
        <v>16-17%</v>
      </c>
      <c r="AL821">
        <v>3</v>
      </c>
      <c r="AM821" t="s">
        <v>68</v>
      </c>
      <c r="AN821">
        <v>1</v>
      </c>
      <c r="AO821" t="s">
        <v>69</v>
      </c>
      <c r="AP821">
        <v>80</v>
      </c>
      <c r="AQ821">
        <v>0</v>
      </c>
      <c r="AR821">
        <v>6</v>
      </c>
      <c r="AS821" t="str">
        <f t="shared" si="190"/>
        <v>6-10</v>
      </c>
      <c r="AT821">
        <v>2</v>
      </c>
      <c r="AU821" t="str">
        <f t="shared" si="191"/>
        <v>0-2</v>
      </c>
      <c r="AV821">
        <v>1</v>
      </c>
      <c r="AW821" t="s">
        <v>70</v>
      </c>
      <c r="AX821">
        <v>5</v>
      </c>
      <c r="AY821" t="str">
        <f t="shared" si="180"/>
        <v>2-5</v>
      </c>
      <c r="AZ821">
        <v>3</v>
      </c>
      <c r="BA821" t="str">
        <f t="shared" si="192"/>
        <v>2-5</v>
      </c>
      <c r="BB821">
        <v>0</v>
      </c>
      <c r="BC821" t="str">
        <f t="shared" si="193"/>
        <v>0-1</v>
      </c>
      <c r="BD821">
        <v>4</v>
      </c>
      <c r="BE821" t="str">
        <f t="shared" si="194"/>
        <v>2-5</v>
      </c>
    </row>
    <row r="822" spans="1:57" x14ac:dyDescent="0.3">
      <c r="A822">
        <v>1137</v>
      </c>
      <c r="B822">
        <v>35</v>
      </c>
      <c r="C822" t="str">
        <f t="shared" si="181"/>
        <v>26-35</v>
      </c>
      <c r="D822" t="s">
        <v>71</v>
      </c>
      <c r="E822">
        <f t="shared" si="182"/>
        <v>0</v>
      </c>
      <c r="F822" t="s">
        <v>72</v>
      </c>
      <c r="G822">
        <v>1182</v>
      </c>
      <c r="H822" t="str">
        <f t="shared" si="183"/>
        <v>1001-1499</v>
      </c>
      <c r="I822" t="s">
        <v>58</v>
      </c>
      <c r="J822">
        <v>11</v>
      </c>
      <c r="K822" t="str">
        <f t="shared" si="184"/>
        <v>11-20</v>
      </c>
      <c r="L822">
        <v>2</v>
      </c>
      <c r="M822" t="s">
        <v>59</v>
      </c>
      <c r="N822" t="s">
        <v>93</v>
      </c>
      <c r="O822">
        <v>1</v>
      </c>
      <c r="P822">
        <v>4</v>
      </c>
      <c r="Q822" t="s">
        <v>65</v>
      </c>
      <c r="R822" t="s">
        <v>75</v>
      </c>
      <c r="S822">
        <v>54</v>
      </c>
      <c r="T822" t="str">
        <f t="shared" si="185"/>
        <v>51-75</v>
      </c>
      <c r="U822">
        <v>3</v>
      </c>
      <c r="V822" t="s">
        <v>63</v>
      </c>
      <c r="W822">
        <v>2</v>
      </c>
      <c r="X822" t="s">
        <v>64</v>
      </c>
      <c r="Y822">
        <v>4</v>
      </c>
      <c r="Z822" t="s">
        <v>65</v>
      </c>
      <c r="AA822" t="s">
        <v>86</v>
      </c>
      <c r="AB822" s="4">
        <v>4968</v>
      </c>
      <c r="AC822" s="4" t="str">
        <f t="shared" si="186"/>
        <v>$4,000-$5,500</v>
      </c>
      <c r="AD822">
        <v>18500</v>
      </c>
      <c r="AE822" t="str">
        <f t="shared" si="187"/>
        <v>$16,001-$22,000</v>
      </c>
      <c r="AF822">
        <v>1</v>
      </c>
      <c r="AG822" t="str">
        <f t="shared" si="188"/>
        <v>0-1</v>
      </c>
      <c r="AH822" t="s">
        <v>67</v>
      </c>
      <c r="AI822" t="s">
        <v>71</v>
      </c>
      <c r="AJ822">
        <v>11</v>
      </c>
      <c r="AK822" t="str">
        <f t="shared" si="189"/>
        <v>11-12%</v>
      </c>
      <c r="AL822">
        <v>3</v>
      </c>
      <c r="AM822" t="s">
        <v>68</v>
      </c>
      <c r="AN822">
        <v>4</v>
      </c>
      <c r="AO822" t="s">
        <v>65</v>
      </c>
      <c r="AP822">
        <v>80</v>
      </c>
      <c r="AQ822">
        <v>1</v>
      </c>
      <c r="AR822">
        <v>5</v>
      </c>
      <c r="AS822" t="str">
        <f t="shared" si="190"/>
        <v>3-5</v>
      </c>
      <c r="AT822">
        <v>3</v>
      </c>
      <c r="AU822" t="str">
        <f t="shared" si="191"/>
        <v>3-4</v>
      </c>
      <c r="AV822">
        <v>3</v>
      </c>
      <c r="AW822" t="s">
        <v>79</v>
      </c>
      <c r="AX822">
        <v>5</v>
      </c>
      <c r="AY822" t="str">
        <f t="shared" si="180"/>
        <v>2-5</v>
      </c>
      <c r="AZ822">
        <v>2</v>
      </c>
      <c r="BA822" t="str">
        <f t="shared" si="192"/>
        <v>2-5</v>
      </c>
      <c r="BB822">
        <v>0</v>
      </c>
      <c r="BC822" t="str">
        <f t="shared" si="193"/>
        <v>0-1</v>
      </c>
      <c r="BD822">
        <v>2</v>
      </c>
      <c r="BE822" t="str">
        <f t="shared" si="194"/>
        <v>2-5</v>
      </c>
    </row>
    <row r="823" spans="1:57" x14ac:dyDescent="0.3">
      <c r="A823">
        <v>1138</v>
      </c>
      <c r="B823">
        <v>49</v>
      </c>
      <c r="C823" t="str">
        <f t="shared" si="181"/>
        <v>46-55</v>
      </c>
      <c r="D823" t="s">
        <v>71</v>
      </c>
      <c r="E823">
        <f t="shared" si="182"/>
        <v>0</v>
      </c>
      <c r="F823" t="s">
        <v>57</v>
      </c>
      <c r="G823">
        <v>174</v>
      </c>
      <c r="H823" t="str">
        <f t="shared" si="183"/>
        <v>102-500</v>
      </c>
      <c r="I823" t="s">
        <v>58</v>
      </c>
      <c r="J823">
        <v>8</v>
      </c>
      <c r="K823" t="str">
        <f t="shared" si="184"/>
        <v>6-10</v>
      </c>
      <c r="L823">
        <v>4</v>
      </c>
      <c r="M823" t="s">
        <v>82</v>
      </c>
      <c r="N823" t="s">
        <v>95</v>
      </c>
      <c r="O823">
        <v>1</v>
      </c>
      <c r="P823">
        <v>4</v>
      </c>
      <c r="Q823" t="s">
        <v>65</v>
      </c>
      <c r="R823" t="s">
        <v>75</v>
      </c>
      <c r="S823">
        <v>56</v>
      </c>
      <c r="T823" t="str">
        <f t="shared" si="185"/>
        <v>51-75</v>
      </c>
      <c r="U823">
        <v>2</v>
      </c>
      <c r="V823" t="s">
        <v>61</v>
      </c>
      <c r="W823">
        <v>4</v>
      </c>
      <c r="X823" t="s">
        <v>64</v>
      </c>
      <c r="Y823">
        <v>2</v>
      </c>
      <c r="Z823" t="s">
        <v>61</v>
      </c>
      <c r="AA823" t="s">
        <v>77</v>
      </c>
      <c r="AB823" s="4">
        <v>13120</v>
      </c>
      <c r="AC823" s="4" t="str">
        <f t="shared" si="186"/>
        <v>$13,000-$14,500</v>
      </c>
      <c r="AD823">
        <v>11879</v>
      </c>
      <c r="AE823" t="str">
        <f t="shared" si="187"/>
        <v>$8,001-$16,000</v>
      </c>
      <c r="AF823">
        <v>6</v>
      </c>
      <c r="AG823" t="str">
        <f t="shared" si="188"/>
        <v>4-6</v>
      </c>
      <c r="AH823" t="s">
        <v>67</v>
      </c>
      <c r="AI823" t="s">
        <v>71</v>
      </c>
      <c r="AJ823">
        <v>17</v>
      </c>
      <c r="AK823" t="str">
        <f t="shared" si="189"/>
        <v>16-17%</v>
      </c>
      <c r="AL823">
        <v>3</v>
      </c>
      <c r="AM823" t="s">
        <v>68</v>
      </c>
      <c r="AN823">
        <v>2</v>
      </c>
      <c r="AO823" t="s">
        <v>61</v>
      </c>
      <c r="AP823">
        <v>80</v>
      </c>
      <c r="AQ823">
        <v>1</v>
      </c>
      <c r="AR823">
        <v>22</v>
      </c>
      <c r="AS823" t="str">
        <f t="shared" si="190"/>
        <v>21-40</v>
      </c>
      <c r="AT823">
        <v>3</v>
      </c>
      <c r="AU823" t="str">
        <f t="shared" si="191"/>
        <v>3-4</v>
      </c>
      <c r="AV823">
        <v>3</v>
      </c>
      <c r="AW823" t="s">
        <v>79</v>
      </c>
      <c r="AX823">
        <v>9</v>
      </c>
      <c r="AY823" t="str">
        <f t="shared" si="180"/>
        <v>6-10</v>
      </c>
      <c r="AZ823">
        <v>8</v>
      </c>
      <c r="BA823" t="str">
        <f t="shared" si="192"/>
        <v>6-10</v>
      </c>
      <c r="BB823">
        <v>2</v>
      </c>
      <c r="BC823" t="str">
        <f t="shared" si="193"/>
        <v>2-5</v>
      </c>
      <c r="BD823">
        <v>3</v>
      </c>
      <c r="BE823" t="str">
        <f t="shared" si="194"/>
        <v>2-5</v>
      </c>
    </row>
    <row r="824" spans="1:57" x14ac:dyDescent="0.3">
      <c r="A824">
        <v>1140</v>
      </c>
      <c r="B824">
        <v>34</v>
      </c>
      <c r="C824" t="str">
        <f t="shared" si="181"/>
        <v>26-35</v>
      </c>
      <c r="D824" t="s">
        <v>71</v>
      </c>
      <c r="E824">
        <f t="shared" si="182"/>
        <v>0</v>
      </c>
      <c r="F824" t="s">
        <v>72</v>
      </c>
      <c r="G824">
        <v>1003</v>
      </c>
      <c r="H824" t="str">
        <f t="shared" si="183"/>
        <v>1001-1499</v>
      </c>
      <c r="I824" t="s">
        <v>73</v>
      </c>
      <c r="J824">
        <v>2</v>
      </c>
      <c r="K824" t="str">
        <f t="shared" si="184"/>
        <v>1-5</v>
      </c>
      <c r="L824">
        <v>2</v>
      </c>
      <c r="M824" t="s">
        <v>59</v>
      </c>
      <c r="N824" t="s">
        <v>60</v>
      </c>
      <c r="O824">
        <v>1</v>
      </c>
      <c r="P824">
        <v>4</v>
      </c>
      <c r="Q824" t="s">
        <v>65</v>
      </c>
      <c r="R824" t="s">
        <v>75</v>
      </c>
      <c r="S824">
        <v>95</v>
      </c>
      <c r="T824" t="str">
        <f t="shared" si="185"/>
        <v>76-100</v>
      </c>
      <c r="U824">
        <v>3</v>
      </c>
      <c r="V824" t="s">
        <v>63</v>
      </c>
      <c r="W824">
        <v>2</v>
      </c>
      <c r="X824" t="s">
        <v>87</v>
      </c>
      <c r="Y824">
        <v>3</v>
      </c>
      <c r="Z824" t="s">
        <v>63</v>
      </c>
      <c r="AA824" t="s">
        <v>66</v>
      </c>
      <c r="AB824" s="4">
        <v>4033</v>
      </c>
      <c r="AC824" s="4" t="str">
        <f t="shared" si="186"/>
        <v>$4,000-$5,500</v>
      </c>
      <c r="AD824">
        <v>15834</v>
      </c>
      <c r="AE824" t="str">
        <f t="shared" si="187"/>
        <v>$8,001-$16,000</v>
      </c>
      <c r="AF824">
        <v>2</v>
      </c>
      <c r="AG824" t="str">
        <f t="shared" si="188"/>
        <v>2-3</v>
      </c>
      <c r="AH824" t="s">
        <v>67</v>
      </c>
      <c r="AI824" t="s">
        <v>71</v>
      </c>
      <c r="AJ824">
        <v>11</v>
      </c>
      <c r="AK824" t="str">
        <f t="shared" si="189"/>
        <v>11-12%</v>
      </c>
      <c r="AL824">
        <v>3</v>
      </c>
      <c r="AM824" t="s">
        <v>68</v>
      </c>
      <c r="AN824">
        <v>4</v>
      </c>
      <c r="AO824" t="s">
        <v>65</v>
      </c>
      <c r="AP824">
        <v>80</v>
      </c>
      <c r="AQ824">
        <v>0</v>
      </c>
      <c r="AR824">
        <v>5</v>
      </c>
      <c r="AS824" t="str">
        <f t="shared" si="190"/>
        <v>3-5</v>
      </c>
      <c r="AT824">
        <v>3</v>
      </c>
      <c r="AU824" t="str">
        <f t="shared" si="191"/>
        <v>3-4</v>
      </c>
      <c r="AV824">
        <v>2</v>
      </c>
      <c r="AW824" t="s">
        <v>84</v>
      </c>
      <c r="AX824">
        <v>3</v>
      </c>
      <c r="AY824" t="str">
        <f t="shared" si="180"/>
        <v>2-5</v>
      </c>
      <c r="AZ824">
        <v>2</v>
      </c>
      <c r="BA824" t="str">
        <f t="shared" si="192"/>
        <v>2-5</v>
      </c>
      <c r="BB824">
        <v>0</v>
      </c>
      <c r="BC824" t="str">
        <f t="shared" si="193"/>
        <v>0-1</v>
      </c>
      <c r="BD824">
        <v>2</v>
      </c>
      <c r="BE824" t="str">
        <f t="shared" si="194"/>
        <v>2-5</v>
      </c>
    </row>
    <row r="825" spans="1:57" x14ac:dyDescent="0.3">
      <c r="A825">
        <v>1143</v>
      </c>
      <c r="B825">
        <v>29</v>
      </c>
      <c r="C825" t="str">
        <f t="shared" si="181"/>
        <v>26-35</v>
      </c>
      <c r="D825" t="s">
        <v>71</v>
      </c>
      <c r="E825">
        <f t="shared" si="182"/>
        <v>0</v>
      </c>
      <c r="F825" t="s">
        <v>72</v>
      </c>
      <c r="G825">
        <v>490</v>
      </c>
      <c r="H825" t="str">
        <f t="shared" si="183"/>
        <v>102-500</v>
      </c>
      <c r="I825" t="s">
        <v>73</v>
      </c>
      <c r="J825">
        <v>10</v>
      </c>
      <c r="K825" t="str">
        <f t="shared" si="184"/>
        <v>6-10</v>
      </c>
      <c r="L825">
        <v>3</v>
      </c>
      <c r="M825" t="s">
        <v>85</v>
      </c>
      <c r="N825" t="s">
        <v>60</v>
      </c>
      <c r="O825">
        <v>1</v>
      </c>
      <c r="P825">
        <v>4</v>
      </c>
      <c r="Q825" t="s">
        <v>65</v>
      </c>
      <c r="R825" t="s">
        <v>62</v>
      </c>
      <c r="S825">
        <v>61</v>
      </c>
      <c r="T825" t="str">
        <f t="shared" si="185"/>
        <v>51-75</v>
      </c>
      <c r="U825">
        <v>3</v>
      </c>
      <c r="V825" t="s">
        <v>63</v>
      </c>
      <c r="W825">
        <v>1</v>
      </c>
      <c r="X825" t="s">
        <v>76</v>
      </c>
      <c r="Y825">
        <v>2</v>
      </c>
      <c r="Z825" t="s">
        <v>61</v>
      </c>
      <c r="AA825" t="s">
        <v>86</v>
      </c>
      <c r="AB825" s="4">
        <v>3291</v>
      </c>
      <c r="AC825" s="4" t="str">
        <f t="shared" si="186"/>
        <v>$2,500-$4,000</v>
      </c>
      <c r="AD825">
        <v>17940</v>
      </c>
      <c r="AE825" t="str">
        <f t="shared" si="187"/>
        <v>$16,001-$22,000</v>
      </c>
      <c r="AF825">
        <v>0</v>
      </c>
      <c r="AG825" t="str">
        <f t="shared" si="188"/>
        <v>0-1</v>
      </c>
      <c r="AH825" t="s">
        <v>67</v>
      </c>
      <c r="AI825" t="s">
        <v>71</v>
      </c>
      <c r="AJ825">
        <v>14</v>
      </c>
      <c r="AK825" t="str">
        <f t="shared" si="189"/>
        <v>13-15%</v>
      </c>
      <c r="AL825">
        <v>3</v>
      </c>
      <c r="AM825" t="s">
        <v>68</v>
      </c>
      <c r="AN825">
        <v>4</v>
      </c>
      <c r="AO825" t="s">
        <v>65</v>
      </c>
      <c r="AP825">
        <v>80</v>
      </c>
      <c r="AQ825">
        <v>2</v>
      </c>
      <c r="AR825">
        <v>8</v>
      </c>
      <c r="AS825" t="str">
        <f t="shared" si="190"/>
        <v>6-10</v>
      </c>
      <c r="AT825">
        <v>2</v>
      </c>
      <c r="AU825" t="str">
        <f t="shared" si="191"/>
        <v>0-2</v>
      </c>
      <c r="AV825">
        <v>2</v>
      </c>
      <c r="AW825" t="s">
        <v>84</v>
      </c>
      <c r="AX825">
        <v>7</v>
      </c>
      <c r="AY825" t="str">
        <f t="shared" si="180"/>
        <v>6-10</v>
      </c>
      <c r="AZ825">
        <v>5</v>
      </c>
      <c r="BA825" t="str">
        <f t="shared" si="192"/>
        <v>2-5</v>
      </c>
      <c r="BB825">
        <v>1</v>
      </c>
      <c r="BC825" t="str">
        <f t="shared" si="193"/>
        <v>0-1</v>
      </c>
      <c r="BD825">
        <v>1</v>
      </c>
      <c r="BE825" t="str">
        <f t="shared" si="194"/>
        <v>0-1</v>
      </c>
    </row>
    <row r="826" spans="1:57" x14ac:dyDescent="0.3">
      <c r="A826">
        <v>1148</v>
      </c>
      <c r="B826">
        <v>42</v>
      </c>
      <c r="C826" t="str">
        <f t="shared" si="181"/>
        <v>36-45</v>
      </c>
      <c r="D826" t="s">
        <v>71</v>
      </c>
      <c r="E826">
        <f t="shared" si="182"/>
        <v>0</v>
      </c>
      <c r="F826" t="s">
        <v>57</v>
      </c>
      <c r="G826">
        <v>188</v>
      </c>
      <c r="H826" t="str">
        <f t="shared" si="183"/>
        <v>102-500</v>
      </c>
      <c r="I826" t="s">
        <v>73</v>
      </c>
      <c r="J826">
        <v>29</v>
      </c>
      <c r="K826" t="str">
        <f t="shared" si="184"/>
        <v>21-29</v>
      </c>
      <c r="L826">
        <v>3</v>
      </c>
      <c r="M826" t="s">
        <v>85</v>
      </c>
      <c r="N826" t="s">
        <v>83</v>
      </c>
      <c r="O826">
        <v>1</v>
      </c>
      <c r="P826">
        <v>2</v>
      </c>
      <c r="Q826" t="s">
        <v>61</v>
      </c>
      <c r="R826" t="s">
        <v>75</v>
      </c>
      <c r="S826">
        <v>56</v>
      </c>
      <c r="T826" t="str">
        <f t="shared" si="185"/>
        <v>51-75</v>
      </c>
      <c r="U826">
        <v>1</v>
      </c>
      <c r="V826" t="s">
        <v>69</v>
      </c>
      <c r="W826">
        <v>2</v>
      </c>
      <c r="X826" t="s">
        <v>81</v>
      </c>
      <c r="Y826">
        <v>4</v>
      </c>
      <c r="Z826" t="s">
        <v>65</v>
      </c>
      <c r="AA826" t="s">
        <v>66</v>
      </c>
      <c r="AB826" s="4">
        <v>4272</v>
      </c>
      <c r="AC826" s="4" t="str">
        <f t="shared" si="186"/>
        <v>$4,000-$5,500</v>
      </c>
      <c r="AD826">
        <v>9558</v>
      </c>
      <c r="AE826" t="str">
        <f t="shared" si="187"/>
        <v>$8,001-$16,000</v>
      </c>
      <c r="AF826">
        <v>4</v>
      </c>
      <c r="AG826" t="str">
        <f t="shared" si="188"/>
        <v>4-6</v>
      </c>
      <c r="AH826" t="s">
        <v>67</v>
      </c>
      <c r="AI826" t="s">
        <v>71</v>
      </c>
      <c r="AJ826">
        <v>19</v>
      </c>
      <c r="AK826" t="str">
        <f t="shared" si="189"/>
        <v>18-19%</v>
      </c>
      <c r="AL826">
        <v>3</v>
      </c>
      <c r="AM826" t="s">
        <v>68</v>
      </c>
      <c r="AN826">
        <v>1</v>
      </c>
      <c r="AO826" t="s">
        <v>69</v>
      </c>
      <c r="AP826">
        <v>80</v>
      </c>
      <c r="AQ826">
        <v>0</v>
      </c>
      <c r="AR826">
        <v>16</v>
      </c>
      <c r="AS826" t="str">
        <f t="shared" si="190"/>
        <v>11-20</v>
      </c>
      <c r="AT826">
        <v>3</v>
      </c>
      <c r="AU826" t="str">
        <f t="shared" si="191"/>
        <v>3-4</v>
      </c>
      <c r="AV826">
        <v>3</v>
      </c>
      <c r="AW826" t="s">
        <v>79</v>
      </c>
      <c r="AX826">
        <v>1</v>
      </c>
      <c r="AY826" t="str">
        <f t="shared" si="180"/>
        <v>0-1</v>
      </c>
      <c r="AZ826">
        <v>0</v>
      </c>
      <c r="BA826" t="str">
        <f t="shared" si="192"/>
        <v>0-1</v>
      </c>
      <c r="BB826">
        <v>0</v>
      </c>
      <c r="BC826" t="str">
        <f t="shared" si="193"/>
        <v>0-1</v>
      </c>
      <c r="BD826">
        <v>0</v>
      </c>
      <c r="BE826" t="str">
        <f t="shared" si="194"/>
        <v>0-1</v>
      </c>
    </row>
    <row r="827" spans="1:57" x14ac:dyDescent="0.3">
      <c r="A827">
        <v>1150</v>
      </c>
      <c r="B827">
        <v>29</v>
      </c>
      <c r="C827" t="str">
        <f t="shared" si="181"/>
        <v>26-35</v>
      </c>
      <c r="D827" t="s">
        <v>71</v>
      </c>
      <c r="E827">
        <f t="shared" si="182"/>
        <v>0</v>
      </c>
      <c r="F827" t="s">
        <v>57</v>
      </c>
      <c r="G827">
        <v>718</v>
      </c>
      <c r="H827" t="str">
        <f t="shared" si="183"/>
        <v>501-1000</v>
      </c>
      <c r="I827" t="s">
        <v>73</v>
      </c>
      <c r="J827">
        <v>8</v>
      </c>
      <c r="K827" t="str">
        <f t="shared" si="184"/>
        <v>6-10</v>
      </c>
      <c r="L827">
        <v>1</v>
      </c>
      <c r="M827" t="s">
        <v>74</v>
      </c>
      <c r="N827" t="s">
        <v>83</v>
      </c>
      <c r="O827">
        <v>1</v>
      </c>
      <c r="P827">
        <v>2</v>
      </c>
      <c r="Q827" t="s">
        <v>61</v>
      </c>
      <c r="R827" t="s">
        <v>75</v>
      </c>
      <c r="S827">
        <v>79</v>
      </c>
      <c r="T827" t="str">
        <f t="shared" si="185"/>
        <v>76-100</v>
      </c>
      <c r="U827">
        <v>2</v>
      </c>
      <c r="V827" t="s">
        <v>61</v>
      </c>
      <c r="W827">
        <v>2</v>
      </c>
      <c r="X827" t="s">
        <v>87</v>
      </c>
      <c r="Y827">
        <v>4</v>
      </c>
      <c r="Z827" t="s">
        <v>65</v>
      </c>
      <c r="AA827" t="s">
        <v>77</v>
      </c>
      <c r="AB827" s="4">
        <v>5056</v>
      </c>
      <c r="AC827" s="4" t="str">
        <f t="shared" si="186"/>
        <v>$4,000-$5,500</v>
      </c>
      <c r="AD827">
        <v>17689</v>
      </c>
      <c r="AE827" t="str">
        <f t="shared" si="187"/>
        <v>$16,001-$22,000</v>
      </c>
      <c r="AF827">
        <v>1</v>
      </c>
      <c r="AG827" t="str">
        <f t="shared" si="188"/>
        <v>0-1</v>
      </c>
      <c r="AH827" t="s">
        <v>67</v>
      </c>
      <c r="AI827" t="s">
        <v>56</v>
      </c>
      <c r="AJ827">
        <v>15</v>
      </c>
      <c r="AK827" t="str">
        <f t="shared" si="189"/>
        <v>13-15%</v>
      </c>
      <c r="AL827">
        <v>3</v>
      </c>
      <c r="AM827" t="s">
        <v>68</v>
      </c>
      <c r="AN827">
        <v>3</v>
      </c>
      <c r="AO827" t="s">
        <v>63</v>
      </c>
      <c r="AP827">
        <v>80</v>
      </c>
      <c r="AQ827">
        <v>1</v>
      </c>
      <c r="AR827">
        <v>10</v>
      </c>
      <c r="AS827" t="str">
        <f t="shared" si="190"/>
        <v>6-10</v>
      </c>
      <c r="AT827">
        <v>2</v>
      </c>
      <c r="AU827" t="str">
        <f t="shared" si="191"/>
        <v>0-2</v>
      </c>
      <c r="AV827">
        <v>2</v>
      </c>
      <c r="AW827" t="s">
        <v>84</v>
      </c>
      <c r="AX827">
        <v>10</v>
      </c>
      <c r="AY827" t="str">
        <f t="shared" si="180"/>
        <v>6-10</v>
      </c>
      <c r="AZ827">
        <v>7</v>
      </c>
      <c r="BA827" t="str">
        <f t="shared" si="192"/>
        <v>6-10</v>
      </c>
      <c r="BB827">
        <v>1</v>
      </c>
      <c r="BC827" t="str">
        <f t="shared" si="193"/>
        <v>0-1</v>
      </c>
      <c r="BD827">
        <v>2</v>
      </c>
      <c r="BE827" t="str">
        <f t="shared" si="194"/>
        <v>2-5</v>
      </c>
    </row>
    <row r="828" spans="1:57" x14ac:dyDescent="0.3">
      <c r="A828">
        <v>1152</v>
      </c>
      <c r="B828">
        <v>38</v>
      </c>
      <c r="C828" t="str">
        <f t="shared" si="181"/>
        <v>36-45</v>
      </c>
      <c r="D828" t="s">
        <v>71</v>
      </c>
      <c r="E828">
        <f t="shared" si="182"/>
        <v>0</v>
      </c>
      <c r="F828" t="s">
        <v>57</v>
      </c>
      <c r="G828">
        <v>433</v>
      </c>
      <c r="H828" t="str">
        <f t="shared" si="183"/>
        <v>102-500</v>
      </c>
      <c r="I828" t="s">
        <v>97</v>
      </c>
      <c r="J828">
        <v>1</v>
      </c>
      <c r="K828" t="str">
        <f t="shared" si="184"/>
        <v>1-5</v>
      </c>
      <c r="L828">
        <v>3</v>
      </c>
      <c r="M828" t="s">
        <v>85</v>
      </c>
      <c r="N828" t="s">
        <v>97</v>
      </c>
      <c r="O828">
        <v>1</v>
      </c>
      <c r="P828">
        <v>3</v>
      </c>
      <c r="Q828" t="s">
        <v>63</v>
      </c>
      <c r="R828" t="s">
        <v>75</v>
      </c>
      <c r="S828">
        <v>37</v>
      </c>
      <c r="T828" t="str">
        <f t="shared" si="185"/>
        <v>30-50</v>
      </c>
      <c r="U828">
        <v>4</v>
      </c>
      <c r="V828" t="s">
        <v>65</v>
      </c>
      <c r="W828">
        <v>1</v>
      </c>
      <c r="X828" t="s">
        <v>97</v>
      </c>
      <c r="Y828">
        <v>3</v>
      </c>
      <c r="Z828" t="s">
        <v>63</v>
      </c>
      <c r="AA828" t="s">
        <v>77</v>
      </c>
      <c r="AB828" s="4">
        <v>2844</v>
      </c>
      <c r="AC828" s="4" t="str">
        <f t="shared" si="186"/>
        <v>$2,500-$4,000</v>
      </c>
      <c r="AD828">
        <v>6004</v>
      </c>
      <c r="AE828" t="str">
        <f t="shared" si="187"/>
        <v>$2,094-$8,000</v>
      </c>
      <c r="AF828">
        <v>1</v>
      </c>
      <c r="AG828" t="str">
        <f t="shared" si="188"/>
        <v>0-1</v>
      </c>
      <c r="AH828" t="s">
        <v>67</v>
      </c>
      <c r="AI828" t="s">
        <v>71</v>
      </c>
      <c r="AJ828">
        <v>13</v>
      </c>
      <c r="AK828" t="str">
        <f t="shared" si="189"/>
        <v>13-15%</v>
      </c>
      <c r="AL828">
        <v>3</v>
      </c>
      <c r="AM828" t="s">
        <v>68</v>
      </c>
      <c r="AN828">
        <v>4</v>
      </c>
      <c r="AO828" t="s">
        <v>65</v>
      </c>
      <c r="AP828">
        <v>80</v>
      </c>
      <c r="AQ828">
        <v>1</v>
      </c>
      <c r="AR828">
        <v>7</v>
      </c>
      <c r="AS828" t="str">
        <f t="shared" si="190"/>
        <v>6-10</v>
      </c>
      <c r="AT828">
        <v>2</v>
      </c>
      <c r="AU828" t="str">
        <f t="shared" si="191"/>
        <v>0-2</v>
      </c>
      <c r="AV828">
        <v>4</v>
      </c>
      <c r="AW828" t="s">
        <v>94</v>
      </c>
      <c r="AX828">
        <v>7</v>
      </c>
      <c r="AY828" t="str">
        <f t="shared" si="180"/>
        <v>6-10</v>
      </c>
      <c r="AZ828">
        <v>6</v>
      </c>
      <c r="BA828" t="str">
        <f t="shared" si="192"/>
        <v>6-10</v>
      </c>
      <c r="BB828">
        <v>5</v>
      </c>
      <c r="BC828" t="str">
        <f t="shared" si="193"/>
        <v>2-5</v>
      </c>
      <c r="BD828">
        <v>0</v>
      </c>
      <c r="BE828" t="str">
        <f t="shared" si="194"/>
        <v>0-1</v>
      </c>
    </row>
    <row r="829" spans="1:57" x14ac:dyDescent="0.3">
      <c r="A829">
        <v>1154</v>
      </c>
      <c r="B829">
        <v>28</v>
      </c>
      <c r="C829" t="str">
        <f t="shared" si="181"/>
        <v>26-35</v>
      </c>
      <c r="D829" t="s">
        <v>71</v>
      </c>
      <c r="E829">
        <f t="shared" si="182"/>
        <v>0</v>
      </c>
      <c r="F829" t="s">
        <v>72</v>
      </c>
      <c r="G829">
        <v>773</v>
      </c>
      <c r="H829" t="str">
        <f t="shared" si="183"/>
        <v>501-1000</v>
      </c>
      <c r="I829" t="s">
        <v>73</v>
      </c>
      <c r="J829">
        <v>6</v>
      </c>
      <c r="K829" t="str">
        <f t="shared" si="184"/>
        <v>6-10</v>
      </c>
      <c r="L829">
        <v>3</v>
      </c>
      <c r="M829" t="s">
        <v>85</v>
      </c>
      <c r="N829" t="s">
        <v>60</v>
      </c>
      <c r="O829">
        <v>1</v>
      </c>
      <c r="P829">
        <v>3</v>
      </c>
      <c r="Q829" t="s">
        <v>63</v>
      </c>
      <c r="R829" t="s">
        <v>75</v>
      </c>
      <c r="S829">
        <v>39</v>
      </c>
      <c r="T829" t="str">
        <f t="shared" si="185"/>
        <v>30-50</v>
      </c>
      <c r="U829">
        <v>2</v>
      </c>
      <c r="V829" t="s">
        <v>61</v>
      </c>
      <c r="W829">
        <v>1</v>
      </c>
      <c r="X829" t="s">
        <v>76</v>
      </c>
      <c r="Y829">
        <v>3</v>
      </c>
      <c r="Z829" t="s">
        <v>63</v>
      </c>
      <c r="AA829" t="s">
        <v>86</v>
      </c>
      <c r="AB829" s="4">
        <v>2703</v>
      </c>
      <c r="AC829" s="4" t="str">
        <f t="shared" si="186"/>
        <v>$2,500-$4,000</v>
      </c>
      <c r="AD829">
        <v>22088</v>
      </c>
      <c r="AE829" t="str">
        <f t="shared" si="187"/>
        <v>$22,001-$26,999</v>
      </c>
      <c r="AF829">
        <v>1</v>
      </c>
      <c r="AG829" t="str">
        <f t="shared" si="188"/>
        <v>0-1</v>
      </c>
      <c r="AH829" t="s">
        <v>67</v>
      </c>
      <c r="AI829" t="s">
        <v>56</v>
      </c>
      <c r="AJ829">
        <v>14</v>
      </c>
      <c r="AK829" t="str">
        <f t="shared" si="189"/>
        <v>13-15%</v>
      </c>
      <c r="AL829">
        <v>3</v>
      </c>
      <c r="AM829" t="s">
        <v>68</v>
      </c>
      <c r="AN829">
        <v>4</v>
      </c>
      <c r="AO829" t="s">
        <v>65</v>
      </c>
      <c r="AP829">
        <v>80</v>
      </c>
      <c r="AQ829">
        <v>1</v>
      </c>
      <c r="AR829">
        <v>3</v>
      </c>
      <c r="AS829" t="str">
        <f t="shared" si="190"/>
        <v>3-5</v>
      </c>
      <c r="AT829">
        <v>2</v>
      </c>
      <c r="AU829" t="str">
        <f t="shared" si="191"/>
        <v>0-2</v>
      </c>
      <c r="AV829">
        <v>3</v>
      </c>
      <c r="AW829" t="s">
        <v>79</v>
      </c>
      <c r="AX829">
        <v>3</v>
      </c>
      <c r="AY829" t="str">
        <f t="shared" si="180"/>
        <v>2-5</v>
      </c>
      <c r="AZ829">
        <v>1</v>
      </c>
      <c r="BA829" t="str">
        <f t="shared" si="192"/>
        <v>0-1</v>
      </c>
      <c r="BB829">
        <v>0</v>
      </c>
      <c r="BC829" t="str">
        <f t="shared" si="193"/>
        <v>0-1</v>
      </c>
      <c r="BD829">
        <v>2</v>
      </c>
      <c r="BE829" t="str">
        <f t="shared" si="194"/>
        <v>2-5</v>
      </c>
    </row>
    <row r="830" spans="1:57" x14ac:dyDescent="0.3">
      <c r="A830">
        <v>1156</v>
      </c>
      <c r="B830">
        <v>18</v>
      </c>
      <c r="C830" t="str">
        <f t="shared" si="181"/>
        <v>18-25</v>
      </c>
      <c r="D830" t="s">
        <v>56</v>
      </c>
      <c r="E830">
        <f t="shared" si="182"/>
        <v>1</v>
      </c>
      <c r="F830" t="s">
        <v>89</v>
      </c>
      <c r="G830">
        <v>247</v>
      </c>
      <c r="H830" t="str">
        <f t="shared" si="183"/>
        <v>102-500</v>
      </c>
      <c r="I830" t="s">
        <v>73</v>
      </c>
      <c r="J830">
        <v>8</v>
      </c>
      <c r="K830" t="str">
        <f t="shared" si="184"/>
        <v>6-10</v>
      </c>
      <c r="L830">
        <v>1</v>
      </c>
      <c r="M830" t="s">
        <v>74</v>
      </c>
      <c r="N830" t="s">
        <v>83</v>
      </c>
      <c r="O830">
        <v>1</v>
      </c>
      <c r="P830">
        <v>3</v>
      </c>
      <c r="Q830" t="s">
        <v>63</v>
      </c>
      <c r="R830" t="s">
        <v>75</v>
      </c>
      <c r="S830">
        <v>80</v>
      </c>
      <c r="T830" t="str">
        <f t="shared" si="185"/>
        <v>76-100</v>
      </c>
      <c r="U830">
        <v>3</v>
      </c>
      <c r="V830" t="s">
        <v>63</v>
      </c>
      <c r="W830">
        <v>1</v>
      </c>
      <c r="X830" t="s">
        <v>81</v>
      </c>
      <c r="Y830">
        <v>3</v>
      </c>
      <c r="Z830" t="s">
        <v>63</v>
      </c>
      <c r="AA830" t="s">
        <v>66</v>
      </c>
      <c r="AB830" s="4">
        <v>1904</v>
      </c>
      <c r="AC830" s="4" t="str">
        <f t="shared" si="186"/>
        <v>$1,000-$2,500</v>
      </c>
      <c r="AD830">
        <v>13556</v>
      </c>
      <c r="AE830" t="str">
        <f t="shared" si="187"/>
        <v>$8,001-$16,000</v>
      </c>
      <c r="AF830">
        <v>1</v>
      </c>
      <c r="AG830" t="str">
        <f t="shared" si="188"/>
        <v>0-1</v>
      </c>
      <c r="AH830" t="s">
        <v>67</v>
      </c>
      <c r="AI830" t="s">
        <v>71</v>
      </c>
      <c r="AJ830">
        <v>12</v>
      </c>
      <c r="AK830" t="str">
        <f t="shared" si="189"/>
        <v>11-12%</v>
      </c>
      <c r="AL830">
        <v>3</v>
      </c>
      <c r="AM830" t="s">
        <v>68</v>
      </c>
      <c r="AN830">
        <v>4</v>
      </c>
      <c r="AO830" t="s">
        <v>65</v>
      </c>
      <c r="AP830">
        <v>80</v>
      </c>
      <c r="AQ830">
        <v>0</v>
      </c>
      <c r="AR830">
        <v>0</v>
      </c>
      <c r="AS830" t="str">
        <f t="shared" si="190"/>
        <v>0-2</v>
      </c>
      <c r="AT830">
        <v>0</v>
      </c>
      <c r="AU830" t="str">
        <f t="shared" si="191"/>
        <v>0-2</v>
      </c>
      <c r="AV830">
        <v>3</v>
      </c>
      <c r="AW830" t="s">
        <v>79</v>
      </c>
      <c r="AX830">
        <v>0</v>
      </c>
      <c r="AY830" t="str">
        <f t="shared" si="180"/>
        <v>0-1</v>
      </c>
      <c r="AZ830">
        <v>0</v>
      </c>
      <c r="BA830" t="str">
        <f t="shared" si="192"/>
        <v>0-1</v>
      </c>
      <c r="BB830">
        <v>0</v>
      </c>
      <c r="BC830" t="str">
        <f t="shared" si="193"/>
        <v>0-1</v>
      </c>
      <c r="BD830">
        <v>0</v>
      </c>
      <c r="BE830" t="str">
        <f t="shared" si="194"/>
        <v>0-1</v>
      </c>
    </row>
    <row r="831" spans="1:57" x14ac:dyDescent="0.3">
      <c r="A831">
        <v>1157</v>
      </c>
      <c r="B831">
        <v>33</v>
      </c>
      <c r="C831" t="str">
        <f t="shared" si="181"/>
        <v>26-35</v>
      </c>
      <c r="D831" t="s">
        <v>56</v>
      </c>
      <c r="E831">
        <f t="shared" si="182"/>
        <v>1</v>
      </c>
      <c r="F831" t="s">
        <v>57</v>
      </c>
      <c r="G831">
        <v>603</v>
      </c>
      <c r="H831" t="str">
        <f t="shared" si="183"/>
        <v>501-1000</v>
      </c>
      <c r="I831" t="s">
        <v>58</v>
      </c>
      <c r="J831">
        <v>9</v>
      </c>
      <c r="K831" t="str">
        <f t="shared" si="184"/>
        <v>6-10</v>
      </c>
      <c r="L831">
        <v>4</v>
      </c>
      <c r="M831" t="s">
        <v>82</v>
      </c>
      <c r="N831" t="s">
        <v>93</v>
      </c>
      <c r="O831">
        <v>1</v>
      </c>
      <c r="P831">
        <v>1</v>
      </c>
      <c r="Q831" t="s">
        <v>69</v>
      </c>
      <c r="R831" t="s">
        <v>62</v>
      </c>
      <c r="S831">
        <v>77</v>
      </c>
      <c r="T831" t="str">
        <f t="shared" si="185"/>
        <v>76-100</v>
      </c>
      <c r="U831">
        <v>3</v>
      </c>
      <c r="V831" t="s">
        <v>63</v>
      </c>
      <c r="W831">
        <v>2</v>
      </c>
      <c r="X831" t="s">
        <v>64</v>
      </c>
      <c r="Y831">
        <v>1</v>
      </c>
      <c r="Z831" t="s">
        <v>69</v>
      </c>
      <c r="AA831" t="s">
        <v>66</v>
      </c>
      <c r="AB831" s="4">
        <v>8224</v>
      </c>
      <c r="AC831" s="4" t="str">
        <f t="shared" si="186"/>
        <v>$7,000-$8,500</v>
      </c>
      <c r="AD831">
        <v>18385</v>
      </c>
      <c r="AE831" t="str">
        <f t="shared" si="187"/>
        <v>$16,001-$22,000</v>
      </c>
      <c r="AF831">
        <v>0</v>
      </c>
      <c r="AG831" t="str">
        <f t="shared" si="188"/>
        <v>0-1</v>
      </c>
      <c r="AH831" t="s">
        <v>67</v>
      </c>
      <c r="AI831" t="s">
        <v>56</v>
      </c>
      <c r="AJ831">
        <v>17</v>
      </c>
      <c r="AK831" t="str">
        <f t="shared" si="189"/>
        <v>16-17%</v>
      </c>
      <c r="AL831">
        <v>3</v>
      </c>
      <c r="AM831" t="s">
        <v>68</v>
      </c>
      <c r="AN831">
        <v>1</v>
      </c>
      <c r="AO831" t="s">
        <v>69</v>
      </c>
      <c r="AP831">
        <v>80</v>
      </c>
      <c r="AQ831">
        <v>0</v>
      </c>
      <c r="AR831">
        <v>6</v>
      </c>
      <c r="AS831" t="str">
        <f t="shared" si="190"/>
        <v>6-10</v>
      </c>
      <c r="AT831">
        <v>3</v>
      </c>
      <c r="AU831" t="str">
        <f t="shared" si="191"/>
        <v>3-4</v>
      </c>
      <c r="AV831">
        <v>3</v>
      </c>
      <c r="AW831" t="s">
        <v>79</v>
      </c>
      <c r="AX831">
        <v>5</v>
      </c>
      <c r="AY831" t="str">
        <f t="shared" si="180"/>
        <v>2-5</v>
      </c>
      <c r="AZ831">
        <v>2</v>
      </c>
      <c r="BA831" t="str">
        <f t="shared" si="192"/>
        <v>2-5</v>
      </c>
      <c r="BB831">
        <v>0</v>
      </c>
      <c r="BC831" t="str">
        <f t="shared" si="193"/>
        <v>0-1</v>
      </c>
      <c r="BD831">
        <v>3</v>
      </c>
      <c r="BE831" t="str">
        <f t="shared" si="194"/>
        <v>2-5</v>
      </c>
    </row>
    <row r="832" spans="1:57" x14ac:dyDescent="0.3">
      <c r="A832">
        <v>1158</v>
      </c>
      <c r="B832">
        <v>41</v>
      </c>
      <c r="C832" t="str">
        <f t="shared" si="181"/>
        <v>36-45</v>
      </c>
      <c r="D832" t="s">
        <v>71</v>
      </c>
      <c r="E832">
        <f t="shared" si="182"/>
        <v>0</v>
      </c>
      <c r="F832" t="s">
        <v>57</v>
      </c>
      <c r="G832">
        <v>167</v>
      </c>
      <c r="H832" t="str">
        <f t="shared" si="183"/>
        <v>102-500</v>
      </c>
      <c r="I832" t="s">
        <v>73</v>
      </c>
      <c r="J832">
        <v>12</v>
      </c>
      <c r="K832" t="str">
        <f t="shared" si="184"/>
        <v>11-20</v>
      </c>
      <c r="L832">
        <v>4</v>
      </c>
      <c r="M832" t="s">
        <v>82</v>
      </c>
      <c r="N832" t="s">
        <v>60</v>
      </c>
      <c r="O832">
        <v>1</v>
      </c>
      <c r="P832">
        <v>2</v>
      </c>
      <c r="Q832" t="s">
        <v>61</v>
      </c>
      <c r="R832" t="s">
        <v>75</v>
      </c>
      <c r="S832">
        <v>46</v>
      </c>
      <c r="T832" t="str">
        <f t="shared" si="185"/>
        <v>30-50</v>
      </c>
      <c r="U832">
        <v>3</v>
      </c>
      <c r="V832" t="s">
        <v>63</v>
      </c>
      <c r="W832">
        <v>1</v>
      </c>
      <c r="X832" t="s">
        <v>81</v>
      </c>
      <c r="Y832">
        <v>4</v>
      </c>
      <c r="Z832" t="s">
        <v>65</v>
      </c>
      <c r="AA832" t="s">
        <v>77</v>
      </c>
      <c r="AB832" s="4">
        <v>4766</v>
      </c>
      <c r="AC832" s="4" t="str">
        <f t="shared" si="186"/>
        <v>$4,000-$5,500</v>
      </c>
      <c r="AD832">
        <v>9051</v>
      </c>
      <c r="AE832" t="str">
        <f t="shared" si="187"/>
        <v>$8,001-$16,000</v>
      </c>
      <c r="AF832">
        <v>3</v>
      </c>
      <c r="AG832" t="str">
        <f t="shared" si="188"/>
        <v>2-3</v>
      </c>
      <c r="AH832" t="s">
        <v>67</v>
      </c>
      <c r="AI832" t="s">
        <v>56</v>
      </c>
      <c r="AJ832">
        <v>11</v>
      </c>
      <c r="AK832" t="str">
        <f t="shared" si="189"/>
        <v>11-12%</v>
      </c>
      <c r="AL832">
        <v>3</v>
      </c>
      <c r="AM832" t="s">
        <v>68</v>
      </c>
      <c r="AN832">
        <v>1</v>
      </c>
      <c r="AO832" t="s">
        <v>69</v>
      </c>
      <c r="AP832">
        <v>80</v>
      </c>
      <c r="AQ832">
        <v>1</v>
      </c>
      <c r="AR832">
        <v>6</v>
      </c>
      <c r="AS832" t="str">
        <f t="shared" si="190"/>
        <v>6-10</v>
      </c>
      <c r="AT832">
        <v>4</v>
      </c>
      <c r="AU832" t="str">
        <f t="shared" si="191"/>
        <v>3-4</v>
      </c>
      <c r="AV832">
        <v>3</v>
      </c>
      <c r="AW832" t="s">
        <v>79</v>
      </c>
      <c r="AX832">
        <v>1</v>
      </c>
      <c r="AY832" t="str">
        <f t="shared" si="180"/>
        <v>0-1</v>
      </c>
      <c r="AZ832">
        <v>0</v>
      </c>
      <c r="BA832" t="str">
        <f t="shared" si="192"/>
        <v>0-1</v>
      </c>
      <c r="BB832">
        <v>0</v>
      </c>
      <c r="BC832" t="str">
        <f t="shared" si="193"/>
        <v>0-1</v>
      </c>
      <c r="BD832">
        <v>0</v>
      </c>
      <c r="BE832" t="str">
        <f t="shared" si="194"/>
        <v>0-1</v>
      </c>
    </row>
    <row r="833" spans="1:57" x14ac:dyDescent="0.3">
      <c r="A833">
        <v>1160</v>
      </c>
      <c r="B833">
        <v>31</v>
      </c>
      <c r="C833" t="str">
        <f t="shared" si="181"/>
        <v>26-35</v>
      </c>
      <c r="D833" t="s">
        <v>56</v>
      </c>
      <c r="E833">
        <f t="shared" si="182"/>
        <v>1</v>
      </c>
      <c r="F833" t="s">
        <v>72</v>
      </c>
      <c r="G833">
        <v>874</v>
      </c>
      <c r="H833" t="str">
        <f t="shared" si="183"/>
        <v>501-1000</v>
      </c>
      <c r="I833" t="s">
        <v>73</v>
      </c>
      <c r="J833">
        <v>15</v>
      </c>
      <c r="K833" t="str">
        <f t="shared" si="184"/>
        <v>11-20</v>
      </c>
      <c r="L833">
        <v>3</v>
      </c>
      <c r="M833" t="s">
        <v>85</v>
      </c>
      <c r="N833" t="s">
        <v>83</v>
      </c>
      <c r="O833">
        <v>1</v>
      </c>
      <c r="P833">
        <v>3</v>
      </c>
      <c r="Q833" t="s">
        <v>63</v>
      </c>
      <c r="R833" t="s">
        <v>75</v>
      </c>
      <c r="S833">
        <v>72</v>
      </c>
      <c r="T833" t="str">
        <f t="shared" si="185"/>
        <v>51-75</v>
      </c>
      <c r="U833">
        <v>3</v>
      </c>
      <c r="V833" t="s">
        <v>63</v>
      </c>
      <c r="W833">
        <v>1</v>
      </c>
      <c r="X833" t="s">
        <v>81</v>
      </c>
      <c r="Y833">
        <v>3</v>
      </c>
      <c r="Z833" t="s">
        <v>63</v>
      </c>
      <c r="AA833" t="s">
        <v>77</v>
      </c>
      <c r="AB833" s="4">
        <v>2610</v>
      </c>
      <c r="AC833" s="4" t="str">
        <f t="shared" si="186"/>
        <v>$2,500-$4,000</v>
      </c>
      <c r="AD833">
        <v>6233</v>
      </c>
      <c r="AE833" t="str">
        <f t="shared" si="187"/>
        <v>$2,094-$8,000</v>
      </c>
      <c r="AF833">
        <v>1</v>
      </c>
      <c r="AG833" t="str">
        <f t="shared" si="188"/>
        <v>0-1</v>
      </c>
      <c r="AH833" t="s">
        <v>67</v>
      </c>
      <c r="AI833" t="s">
        <v>71</v>
      </c>
      <c r="AJ833">
        <v>12</v>
      </c>
      <c r="AK833" t="str">
        <f t="shared" si="189"/>
        <v>11-12%</v>
      </c>
      <c r="AL833">
        <v>3</v>
      </c>
      <c r="AM833" t="s">
        <v>68</v>
      </c>
      <c r="AN833">
        <v>3</v>
      </c>
      <c r="AO833" t="s">
        <v>63</v>
      </c>
      <c r="AP833">
        <v>80</v>
      </c>
      <c r="AQ833">
        <v>1</v>
      </c>
      <c r="AR833">
        <v>2</v>
      </c>
      <c r="AS833" t="str">
        <f t="shared" si="190"/>
        <v>0-2</v>
      </c>
      <c r="AT833">
        <v>5</v>
      </c>
      <c r="AU833" t="str">
        <f t="shared" si="191"/>
        <v>5-6</v>
      </c>
      <c r="AV833">
        <v>2</v>
      </c>
      <c r="AW833" t="s">
        <v>84</v>
      </c>
      <c r="AX833">
        <v>2</v>
      </c>
      <c r="AY833" t="str">
        <f t="shared" si="180"/>
        <v>2-5</v>
      </c>
      <c r="AZ833">
        <v>2</v>
      </c>
      <c r="BA833" t="str">
        <f t="shared" si="192"/>
        <v>2-5</v>
      </c>
      <c r="BB833">
        <v>2</v>
      </c>
      <c r="BC833" t="str">
        <f t="shared" si="193"/>
        <v>2-5</v>
      </c>
      <c r="BD833">
        <v>2</v>
      </c>
      <c r="BE833" t="str">
        <f t="shared" si="194"/>
        <v>2-5</v>
      </c>
    </row>
    <row r="834" spans="1:57" x14ac:dyDescent="0.3">
      <c r="A834">
        <v>1161</v>
      </c>
      <c r="B834">
        <v>37</v>
      </c>
      <c r="C834" t="str">
        <f t="shared" si="181"/>
        <v>36-45</v>
      </c>
      <c r="D834" t="s">
        <v>71</v>
      </c>
      <c r="E834">
        <f t="shared" si="182"/>
        <v>0</v>
      </c>
      <c r="F834" t="s">
        <v>57</v>
      </c>
      <c r="G834">
        <v>367</v>
      </c>
      <c r="H834" t="str">
        <f t="shared" si="183"/>
        <v>102-500</v>
      </c>
      <c r="I834" t="s">
        <v>73</v>
      </c>
      <c r="J834">
        <v>25</v>
      </c>
      <c r="K834" t="str">
        <f t="shared" si="184"/>
        <v>21-29</v>
      </c>
      <c r="L834">
        <v>2</v>
      </c>
      <c r="M834" t="s">
        <v>59</v>
      </c>
      <c r="N834" t="s">
        <v>83</v>
      </c>
      <c r="O834">
        <v>1</v>
      </c>
      <c r="P834">
        <v>3</v>
      </c>
      <c r="Q834" t="s">
        <v>63</v>
      </c>
      <c r="R834" t="s">
        <v>62</v>
      </c>
      <c r="S834">
        <v>52</v>
      </c>
      <c r="T834" t="str">
        <f t="shared" si="185"/>
        <v>51-75</v>
      </c>
      <c r="U834">
        <v>2</v>
      </c>
      <c r="V834" t="s">
        <v>61</v>
      </c>
      <c r="W834">
        <v>2</v>
      </c>
      <c r="X834" t="s">
        <v>88</v>
      </c>
      <c r="Y834">
        <v>4</v>
      </c>
      <c r="Z834" t="s">
        <v>65</v>
      </c>
      <c r="AA834" t="s">
        <v>86</v>
      </c>
      <c r="AB834" s="4">
        <v>5731</v>
      </c>
      <c r="AC834" s="4" t="str">
        <f t="shared" si="186"/>
        <v>$5,500-$7,000</v>
      </c>
      <c r="AD834">
        <v>17171</v>
      </c>
      <c r="AE834" t="str">
        <f t="shared" si="187"/>
        <v>$16,001-$22,000</v>
      </c>
      <c r="AF834">
        <v>7</v>
      </c>
      <c r="AG834" t="str">
        <f t="shared" si="188"/>
        <v>7-9</v>
      </c>
      <c r="AH834" t="s">
        <v>67</v>
      </c>
      <c r="AI834" t="s">
        <v>71</v>
      </c>
      <c r="AJ834">
        <v>13</v>
      </c>
      <c r="AK834" t="str">
        <f t="shared" si="189"/>
        <v>13-15%</v>
      </c>
      <c r="AL834">
        <v>3</v>
      </c>
      <c r="AM834" t="s">
        <v>68</v>
      </c>
      <c r="AN834">
        <v>3</v>
      </c>
      <c r="AO834" t="s">
        <v>63</v>
      </c>
      <c r="AP834">
        <v>80</v>
      </c>
      <c r="AQ834">
        <v>2</v>
      </c>
      <c r="AR834">
        <v>9</v>
      </c>
      <c r="AS834" t="str">
        <f t="shared" si="190"/>
        <v>6-10</v>
      </c>
      <c r="AT834">
        <v>2</v>
      </c>
      <c r="AU834" t="str">
        <f t="shared" si="191"/>
        <v>0-2</v>
      </c>
      <c r="AV834">
        <v>3</v>
      </c>
      <c r="AW834" t="s">
        <v>79</v>
      </c>
      <c r="AX834">
        <v>6</v>
      </c>
      <c r="AY834" t="str">
        <f t="shared" ref="AY834:AY897" si="195">IF(AX834&lt;=1,"0-1",IF(AX834&lt;=5,"2-5",IF(AX834&lt;=10,"6-10",IF(AX834&lt;=20,"11-20","21-40"))))</f>
        <v>6-10</v>
      </c>
      <c r="AZ834">
        <v>2</v>
      </c>
      <c r="BA834" t="str">
        <f t="shared" si="192"/>
        <v>2-5</v>
      </c>
      <c r="BB834">
        <v>1</v>
      </c>
      <c r="BC834" t="str">
        <f t="shared" si="193"/>
        <v>0-1</v>
      </c>
      <c r="BD834">
        <v>3</v>
      </c>
      <c r="BE834" t="str">
        <f t="shared" si="194"/>
        <v>2-5</v>
      </c>
    </row>
    <row r="835" spans="1:57" x14ac:dyDescent="0.3">
      <c r="A835">
        <v>1162</v>
      </c>
      <c r="B835">
        <v>27</v>
      </c>
      <c r="C835" t="str">
        <f t="shared" ref="C835:C898" si="196">IF(B835&lt;=25, "18-25", IF(B835&lt;=35, "26-35", IF(B835&lt;=45, "36-45", IF(B835&lt;=55, "46-55", "56+"))))</f>
        <v>26-35</v>
      </c>
      <c r="D835" t="s">
        <v>71</v>
      </c>
      <c r="E835">
        <f t="shared" ref="E835:E898" si="197">IF(D835="Yes",1,0)</f>
        <v>0</v>
      </c>
      <c r="F835" t="s">
        <v>57</v>
      </c>
      <c r="G835">
        <v>199</v>
      </c>
      <c r="H835" t="str">
        <f t="shared" ref="H835:H898" si="198">IF(G835&lt;=500,"102-500",IF(G835&lt;=1000,"501-1000","1001-1499"))</f>
        <v>102-500</v>
      </c>
      <c r="I835" t="s">
        <v>73</v>
      </c>
      <c r="J835">
        <v>6</v>
      </c>
      <c r="K835" t="str">
        <f t="shared" ref="K835:K898" si="199">IF(J835&lt;=5,"1-5",IF(J835&lt;=10,"6-10",IF(J835&lt;=20,"11-20","21-29")))</f>
        <v>6-10</v>
      </c>
      <c r="L835">
        <v>3</v>
      </c>
      <c r="M835" t="s">
        <v>85</v>
      </c>
      <c r="N835" t="s">
        <v>60</v>
      </c>
      <c r="O835">
        <v>1</v>
      </c>
      <c r="P835">
        <v>4</v>
      </c>
      <c r="Q835" t="s">
        <v>65</v>
      </c>
      <c r="R835" t="s">
        <v>75</v>
      </c>
      <c r="S835">
        <v>55</v>
      </c>
      <c r="T835" t="str">
        <f t="shared" ref="T835:T898" si="200">IF(S835&lt;=50,"30-50",IF(S835&lt;=75,"51-75","76-100"))</f>
        <v>51-75</v>
      </c>
      <c r="U835">
        <v>2</v>
      </c>
      <c r="V835" t="s">
        <v>61</v>
      </c>
      <c r="W835">
        <v>1</v>
      </c>
      <c r="X835" t="s">
        <v>76</v>
      </c>
      <c r="Y835">
        <v>3</v>
      </c>
      <c r="Z835" t="s">
        <v>63</v>
      </c>
      <c r="AA835" t="s">
        <v>77</v>
      </c>
      <c r="AB835" s="4">
        <v>2539</v>
      </c>
      <c r="AC835" s="4" t="str">
        <f t="shared" ref="AC835:AC898" si="201">IF(AB835&lt;2500,"$1,000-$2,500",IF(AB835&lt;4000,"$2,500-$4,000",IF(AB835&lt;5500,"$4,000-$5,500",IF(AB835&lt;7000,"$5,500-$7,000",IF(AB835&lt;8500,"$7,000-$8,500",IF(AB835&lt;10000,"$8,500-$10,000",IF(AB835&lt;11500,"$10,000-$11,500",IF(AB835&lt;13000,"$11,500-$13,000",IF(AB835&lt;14500,"$13,000-$14,500",IF(AB835&lt;16000,"$14,500-$16,000",IF(AB835&lt;17500,"$16,000-$17,500",IF(AB835&lt;19000,"$17,500-$19,000",IF(AB835&lt;20500,"$19,000-$20,500",IF(AB835&lt;22000,"$20,500-$22,000",IF(AB835&lt;23500,"$22,000-$23,500",IF(AB835&lt;25000,"$23,500-$25,000",IF(AB835&lt;26500,"$25,000-$26,500",IF(AB835&lt;28000,"$26,500-$28,000",IF(AB835&lt;29500,"$28,000-$29,500","$29,500+")))))))))))))))))))</f>
        <v>$2,500-$4,000</v>
      </c>
      <c r="AD835">
        <v>7950</v>
      </c>
      <c r="AE835" t="str">
        <f t="shared" ref="AE835:AE898" si="202">IF(AD835&lt;=8000,"$2,094-$8,000",IF(AD835&lt;=16000,"$8,001-$16,000",IF(AD835&lt;=22000,"$16,001-$22,000","$22,001-$26,999")))</f>
        <v>$2,094-$8,000</v>
      </c>
      <c r="AF835">
        <v>1</v>
      </c>
      <c r="AG835" t="str">
        <f t="shared" ref="AG835:AG898" si="203">IF(AF835&lt;=1,"0-1",IF(AF835&lt;=3,"2-3",IF(AF835&lt;=6,"4-6","7-9")))</f>
        <v>0-1</v>
      </c>
      <c r="AH835" t="s">
        <v>67</v>
      </c>
      <c r="AI835" t="s">
        <v>71</v>
      </c>
      <c r="AJ835">
        <v>13</v>
      </c>
      <c r="AK835" t="str">
        <f t="shared" ref="AK835:AK898" si="204">IF(AJ835&lt;=12,"11-12%",IF(AJ835&lt;=15,"13-15%",IF(AJ835&lt;=17,"16-17%","18-19%")))</f>
        <v>13-15%</v>
      </c>
      <c r="AL835">
        <v>3</v>
      </c>
      <c r="AM835" t="s">
        <v>68</v>
      </c>
      <c r="AN835">
        <v>3</v>
      </c>
      <c r="AO835" t="s">
        <v>63</v>
      </c>
      <c r="AP835">
        <v>80</v>
      </c>
      <c r="AQ835">
        <v>1</v>
      </c>
      <c r="AR835">
        <v>4</v>
      </c>
      <c r="AS835" t="str">
        <f t="shared" ref="AS835:AS898" si="205">IF(AR835&lt;=2,"0-2",IF(AR835&lt;=5,"3-5",IF(AR835&lt;=10,"6-10",IF(AR835&lt;=20,"11-20","21-40"))))</f>
        <v>3-5</v>
      </c>
      <c r="AT835">
        <v>0</v>
      </c>
      <c r="AU835" t="str">
        <f t="shared" ref="AU835:AU898" si="206">IF(AT835&lt;=2,"0-2",IF(AT835&lt;=4,"3-4","5-6"))</f>
        <v>0-2</v>
      </c>
      <c r="AV835">
        <v>3</v>
      </c>
      <c r="AW835" t="s">
        <v>79</v>
      </c>
      <c r="AX835">
        <v>4</v>
      </c>
      <c r="AY835" t="str">
        <f t="shared" si="195"/>
        <v>2-5</v>
      </c>
      <c r="AZ835">
        <v>2</v>
      </c>
      <c r="BA835" t="str">
        <f t="shared" ref="BA835:BA898" si="207">IF(AZ835&lt;=1,"0-1",IF(AZ835&lt;=5,"2-5",IF(AZ835&lt;=10,"6-10","11-18")))</f>
        <v>2-5</v>
      </c>
      <c r="BB835">
        <v>2</v>
      </c>
      <c r="BC835" t="str">
        <f t="shared" ref="BC835:BC898" si="208">IF(BB835&lt;=1,"0-1",IF(BB835&lt;=5,"2-5",IF(BB835&lt;=10,"6-10","11-15")))</f>
        <v>2-5</v>
      </c>
      <c r="BD835">
        <v>2</v>
      </c>
      <c r="BE835" t="str">
        <f t="shared" ref="BE835:BE898" si="209">IF(BD835&lt;=1,"0-1",IF(BD835&lt;=5,"2-5",IF(BD835&lt;=10,"6-10","11-17")))</f>
        <v>2-5</v>
      </c>
    </row>
    <row r="836" spans="1:57" x14ac:dyDescent="0.3">
      <c r="A836">
        <v>1163</v>
      </c>
      <c r="B836">
        <v>34</v>
      </c>
      <c r="C836" t="str">
        <f t="shared" si="196"/>
        <v>26-35</v>
      </c>
      <c r="D836" t="s">
        <v>71</v>
      </c>
      <c r="E836">
        <f t="shared" si="197"/>
        <v>0</v>
      </c>
      <c r="F836" t="s">
        <v>57</v>
      </c>
      <c r="G836">
        <v>1400</v>
      </c>
      <c r="H836" t="str">
        <f t="shared" si="198"/>
        <v>1001-1499</v>
      </c>
      <c r="I836" t="s">
        <v>58</v>
      </c>
      <c r="J836">
        <v>9</v>
      </c>
      <c r="K836" t="str">
        <f t="shared" si="199"/>
        <v>6-10</v>
      </c>
      <c r="L836">
        <v>1</v>
      </c>
      <c r="M836" t="s">
        <v>74</v>
      </c>
      <c r="N836" t="s">
        <v>60</v>
      </c>
      <c r="O836">
        <v>1</v>
      </c>
      <c r="P836">
        <v>2</v>
      </c>
      <c r="Q836" t="s">
        <v>61</v>
      </c>
      <c r="R836" t="s">
        <v>62</v>
      </c>
      <c r="S836">
        <v>70</v>
      </c>
      <c r="T836" t="str">
        <f t="shared" si="200"/>
        <v>51-75</v>
      </c>
      <c r="U836">
        <v>3</v>
      </c>
      <c r="V836" t="s">
        <v>63</v>
      </c>
      <c r="W836">
        <v>2</v>
      </c>
      <c r="X836" t="s">
        <v>64</v>
      </c>
      <c r="Y836">
        <v>3</v>
      </c>
      <c r="Z836" t="s">
        <v>63</v>
      </c>
      <c r="AA836" t="s">
        <v>77</v>
      </c>
      <c r="AB836" s="4">
        <v>5714</v>
      </c>
      <c r="AC836" s="4" t="str">
        <f t="shared" si="201"/>
        <v>$5,500-$7,000</v>
      </c>
      <c r="AD836">
        <v>5829</v>
      </c>
      <c r="AE836" t="str">
        <f t="shared" si="202"/>
        <v>$2,094-$8,000</v>
      </c>
      <c r="AF836">
        <v>1</v>
      </c>
      <c r="AG836" t="str">
        <f t="shared" si="203"/>
        <v>0-1</v>
      </c>
      <c r="AH836" t="s">
        <v>67</v>
      </c>
      <c r="AI836" t="s">
        <v>71</v>
      </c>
      <c r="AJ836">
        <v>20</v>
      </c>
      <c r="AK836" t="str">
        <f t="shared" si="204"/>
        <v>18-19%</v>
      </c>
      <c r="AL836">
        <v>4</v>
      </c>
      <c r="AM836" t="s">
        <v>78</v>
      </c>
      <c r="AN836">
        <v>1</v>
      </c>
      <c r="AO836" t="s">
        <v>69</v>
      </c>
      <c r="AP836">
        <v>80</v>
      </c>
      <c r="AQ836">
        <v>0</v>
      </c>
      <c r="AR836">
        <v>6</v>
      </c>
      <c r="AS836" t="str">
        <f t="shared" si="205"/>
        <v>6-10</v>
      </c>
      <c r="AT836">
        <v>3</v>
      </c>
      <c r="AU836" t="str">
        <f t="shared" si="206"/>
        <v>3-4</v>
      </c>
      <c r="AV836">
        <v>2</v>
      </c>
      <c r="AW836" t="s">
        <v>84</v>
      </c>
      <c r="AX836">
        <v>6</v>
      </c>
      <c r="AY836" t="str">
        <f t="shared" si="195"/>
        <v>6-10</v>
      </c>
      <c r="AZ836">
        <v>5</v>
      </c>
      <c r="BA836" t="str">
        <f t="shared" si="207"/>
        <v>2-5</v>
      </c>
      <c r="BB836">
        <v>1</v>
      </c>
      <c r="BC836" t="str">
        <f t="shared" si="208"/>
        <v>0-1</v>
      </c>
      <c r="BD836">
        <v>3</v>
      </c>
      <c r="BE836" t="str">
        <f t="shared" si="209"/>
        <v>2-5</v>
      </c>
    </row>
    <row r="837" spans="1:57" x14ac:dyDescent="0.3">
      <c r="A837">
        <v>1164</v>
      </c>
      <c r="B837">
        <v>35</v>
      </c>
      <c r="C837" t="str">
        <f t="shared" si="196"/>
        <v>26-35</v>
      </c>
      <c r="D837" t="s">
        <v>71</v>
      </c>
      <c r="E837">
        <f t="shared" si="197"/>
        <v>0</v>
      </c>
      <c r="F837" t="s">
        <v>57</v>
      </c>
      <c r="G837">
        <v>528</v>
      </c>
      <c r="H837" t="str">
        <f t="shared" si="198"/>
        <v>501-1000</v>
      </c>
      <c r="I837" t="s">
        <v>97</v>
      </c>
      <c r="J837">
        <v>8</v>
      </c>
      <c r="K837" t="str">
        <f t="shared" si="199"/>
        <v>6-10</v>
      </c>
      <c r="L837">
        <v>4</v>
      </c>
      <c r="M837" t="s">
        <v>82</v>
      </c>
      <c r="N837" t="s">
        <v>95</v>
      </c>
      <c r="O837">
        <v>1</v>
      </c>
      <c r="P837">
        <v>3</v>
      </c>
      <c r="Q837" t="s">
        <v>63</v>
      </c>
      <c r="R837" t="s">
        <v>75</v>
      </c>
      <c r="S837">
        <v>100</v>
      </c>
      <c r="T837" t="str">
        <f t="shared" si="200"/>
        <v>76-100</v>
      </c>
      <c r="U837">
        <v>3</v>
      </c>
      <c r="V837" t="s">
        <v>63</v>
      </c>
      <c r="W837">
        <v>1</v>
      </c>
      <c r="X837" t="s">
        <v>97</v>
      </c>
      <c r="Y837">
        <v>3</v>
      </c>
      <c r="Z837" t="s">
        <v>63</v>
      </c>
      <c r="AA837" t="s">
        <v>66</v>
      </c>
      <c r="AB837" s="4">
        <v>4323</v>
      </c>
      <c r="AC837" s="4" t="str">
        <f t="shared" si="201"/>
        <v>$4,000-$5,500</v>
      </c>
      <c r="AD837">
        <v>7108</v>
      </c>
      <c r="AE837" t="str">
        <f t="shared" si="202"/>
        <v>$2,094-$8,000</v>
      </c>
      <c r="AF837">
        <v>1</v>
      </c>
      <c r="AG837" t="str">
        <f t="shared" si="203"/>
        <v>0-1</v>
      </c>
      <c r="AH837" t="s">
        <v>67</v>
      </c>
      <c r="AI837" t="s">
        <v>71</v>
      </c>
      <c r="AJ837">
        <v>17</v>
      </c>
      <c r="AK837" t="str">
        <f t="shared" si="204"/>
        <v>16-17%</v>
      </c>
      <c r="AL837">
        <v>3</v>
      </c>
      <c r="AM837" t="s">
        <v>68</v>
      </c>
      <c r="AN837">
        <v>2</v>
      </c>
      <c r="AO837" t="s">
        <v>61</v>
      </c>
      <c r="AP837">
        <v>80</v>
      </c>
      <c r="AQ837">
        <v>0</v>
      </c>
      <c r="AR837">
        <v>6</v>
      </c>
      <c r="AS837" t="str">
        <f t="shared" si="205"/>
        <v>6-10</v>
      </c>
      <c r="AT837">
        <v>2</v>
      </c>
      <c r="AU837" t="str">
        <f t="shared" si="206"/>
        <v>0-2</v>
      </c>
      <c r="AV837">
        <v>1</v>
      </c>
      <c r="AW837" t="s">
        <v>70</v>
      </c>
      <c r="AX837">
        <v>5</v>
      </c>
      <c r="AY837" t="str">
        <f t="shared" si="195"/>
        <v>2-5</v>
      </c>
      <c r="AZ837">
        <v>4</v>
      </c>
      <c r="BA837" t="str">
        <f t="shared" si="207"/>
        <v>2-5</v>
      </c>
      <c r="BB837">
        <v>1</v>
      </c>
      <c r="BC837" t="str">
        <f t="shared" si="208"/>
        <v>0-1</v>
      </c>
      <c r="BD837">
        <v>4</v>
      </c>
      <c r="BE837" t="str">
        <f t="shared" si="209"/>
        <v>2-5</v>
      </c>
    </row>
    <row r="838" spans="1:57" x14ac:dyDescent="0.3">
      <c r="A838">
        <v>1165</v>
      </c>
      <c r="B838">
        <v>29</v>
      </c>
      <c r="C838" t="str">
        <f t="shared" si="196"/>
        <v>26-35</v>
      </c>
      <c r="D838" t="s">
        <v>56</v>
      </c>
      <c r="E838">
        <f t="shared" si="197"/>
        <v>1</v>
      </c>
      <c r="F838" t="s">
        <v>57</v>
      </c>
      <c r="G838">
        <v>408</v>
      </c>
      <c r="H838" t="str">
        <f t="shared" si="198"/>
        <v>102-500</v>
      </c>
      <c r="I838" t="s">
        <v>58</v>
      </c>
      <c r="J838">
        <v>23</v>
      </c>
      <c r="K838" t="str">
        <f t="shared" si="199"/>
        <v>21-29</v>
      </c>
      <c r="L838">
        <v>1</v>
      </c>
      <c r="M838" t="s">
        <v>74</v>
      </c>
      <c r="N838" t="s">
        <v>60</v>
      </c>
      <c r="O838">
        <v>1</v>
      </c>
      <c r="P838">
        <v>4</v>
      </c>
      <c r="Q838" t="s">
        <v>65</v>
      </c>
      <c r="R838" t="s">
        <v>62</v>
      </c>
      <c r="S838">
        <v>45</v>
      </c>
      <c r="T838" t="str">
        <f t="shared" si="200"/>
        <v>30-50</v>
      </c>
      <c r="U838">
        <v>2</v>
      </c>
      <c r="V838" t="s">
        <v>61</v>
      </c>
      <c r="W838">
        <v>3</v>
      </c>
      <c r="X838" t="s">
        <v>64</v>
      </c>
      <c r="Y838">
        <v>1</v>
      </c>
      <c r="Z838" t="s">
        <v>69</v>
      </c>
      <c r="AA838" t="s">
        <v>77</v>
      </c>
      <c r="AB838" s="4">
        <v>7336</v>
      </c>
      <c r="AC838" s="4" t="str">
        <f t="shared" si="201"/>
        <v>$7,000-$8,500</v>
      </c>
      <c r="AD838">
        <v>11162</v>
      </c>
      <c r="AE838" t="str">
        <f t="shared" si="202"/>
        <v>$8,001-$16,000</v>
      </c>
      <c r="AF838">
        <v>1</v>
      </c>
      <c r="AG838" t="str">
        <f t="shared" si="203"/>
        <v>0-1</v>
      </c>
      <c r="AH838" t="s">
        <v>67</v>
      </c>
      <c r="AI838" t="s">
        <v>71</v>
      </c>
      <c r="AJ838">
        <v>13</v>
      </c>
      <c r="AK838" t="str">
        <f t="shared" si="204"/>
        <v>13-15%</v>
      </c>
      <c r="AL838">
        <v>3</v>
      </c>
      <c r="AM838" t="s">
        <v>68</v>
      </c>
      <c r="AN838">
        <v>1</v>
      </c>
      <c r="AO838" t="s">
        <v>69</v>
      </c>
      <c r="AP838">
        <v>80</v>
      </c>
      <c r="AQ838">
        <v>1</v>
      </c>
      <c r="AR838">
        <v>11</v>
      </c>
      <c r="AS838" t="str">
        <f t="shared" si="205"/>
        <v>11-20</v>
      </c>
      <c r="AT838">
        <v>3</v>
      </c>
      <c r="AU838" t="str">
        <f t="shared" si="206"/>
        <v>3-4</v>
      </c>
      <c r="AV838">
        <v>1</v>
      </c>
      <c r="AW838" t="s">
        <v>70</v>
      </c>
      <c r="AX838">
        <v>11</v>
      </c>
      <c r="AY838" t="str">
        <f t="shared" si="195"/>
        <v>11-20</v>
      </c>
      <c r="AZ838">
        <v>8</v>
      </c>
      <c r="BA838" t="str">
        <f t="shared" si="207"/>
        <v>6-10</v>
      </c>
      <c r="BB838">
        <v>3</v>
      </c>
      <c r="BC838" t="str">
        <f t="shared" si="208"/>
        <v>2-5</v>
      </c>
      <c r="BD838">
        <v>10</v>
      </c>
      <c r="BE838" t="str">
        <f t="shared" si="209"/>
        <v>6-10</v>
      </c>
    </row>
    <row r="839" spans="1:57" x14ac:dyDescent="0.3">
      <c r="A839">
        <v>1166</v>
      </c>
      <c r="B839">
        <v>40</v>
      </c>
      <c r="C839" t="str">
        <f t="shared" si="196"/>
        <v>36-45</v>
      </c>
      <c r="D839" t="s">
        <v>71</v>
      </c>
      <c r="E839">
        <f t="shared" si="197"/>
        <v>0</v>
      </c>
      <c r="F839" t="s">
        <v>72</v>
      </c>
      <c r="G839">
        <v>593</v>
      </c>
      <c r="H839" t="str">
        <f t="shared" si="198"/>
        <v>501-1000</v>
      </c>
      <c r="I839" t="s">
        <v>73</v>
      </c>
      <c r="J839">
        <v>9</v>
      </c>
      <c r="K839" t="str">
        <f t="shared" si="199"/>
        <v>6-10</v>
      </c>
      <c r="L839">
        <v>4</v>
      </c>
      <c r="M839" t="s">
        <v>82</v>
      </c>
      <c r="N839" t="s">
        <v>83</v>
      </c>
      <c r="O839">
        <v>1</v>
      </c>
      <c r="P839">
        <v>2</v>
      </c>
      <c r="Q839" t="s">
        <v>61</v>
      </c>
      <c r="R839" t="s">
        <v>62</v>
      </c>
      <c r="S839">
        <v>88</v>
      </c>
      <c r="T839" t="str">
        <f t="shared" si="200"/>
        <v>76-100</v>
      </c>
      <c r="U839">
        <v>3</v>
      </c>
      <c r="V839" t="s">
        <v>63</v>
      </c>
      <c r="W839">
        <v>3</v>
      </c>
      <c r="X839" t="s">
        <v>92</v>
      </c>
      <c r="Y839">
        <v>3</v>
      </c>
      <c r="Z839" t="s">
        <v>63</v>
      </c>
      <c r="AA839" t="s">
        <v>66</v>
      </c>
      <c r="AB839" s="4">
        <v>13499</v>
      </c>
      <c r="AC839" s="4" t="str">
        <f t="shared" si="201"/>
        <v>$13,000-$14,500</v>
      </c>
      <c r="AD839">
        <v>13782</v>
      </c>
      <c r="AE839" t="str">
        <f t="shared" si="202"/>
        <v>$8,001-$16,000</v>
      </c>
      <c r="AF839">
        <v>9</v>
      </c>
      <c r="AG839" t="str">
        <f t="shared" si="203"/>
        <v>7-9</v>
      </c>
      <c r="AH839" t="s">
        <v>67</v>
      </c>
      <c r="AI839" t="s">
        <v>71</v>
      </c>
      <c r="AJ839">
        <v>17</v>
      </c>
      <c r="AK839" t="str">
        <f t="shared" si="204"/>
        <v>16-17%</v>
      </c>
      <c r="AL839">
        <v>3</v>
      </c>
      <c r="AM839" t="s">
        <v>68</v>
      </c>
      <c r="AN839">
        <v>3</v>
      </c>
      <c r="AO839" t="s">
        <v>63</v>
      </c>
      <c r="AP839">
        <v>80</v>
      </c>
      <c r="AQ839">
        <v>0</v>
      </c>
      <c r="AR839">
        <v>20</v>
      </c>
      <c r="AS839" t="str">
        <f t="shared" si="205"/>
        <v>11-20</v>
      </c>
      <c r="AT839">
        <v>3</v>
      </c>
      <c r="AU839" t="str">
        <f t="shared" si="206"/>
        <v>3-4</v>
      </c>
      <c r="AV839">
        <v>2</v>
      </c>
      <c r="AW839" t="s">
        <v>84</v>
      </c>
      <c r="AX839">
        <v>18</v>
      </c>
      <c r="AY839" t="str">
        <f t="shared" si="195"/>
        <v>11-20</v>
      </c>
      <c r="AZ839">
        <v>7</v>
      </c>
      <c r="BA839" t="str">
        <f t="shared" si="207"/>
        <v>6-10</v>
      </c>
      <c r="BB839">
        <v>2</v>
      </c>
      <c r="BC839" t="str">
        <f t="shared" si="208"/>
        <v>2-5</v>
      </c>
      <c r="BD839">
        <v>13</v>
      </c>
      <c r="BE839" t="str">
        <f t="shared" si="209"/>
        <v>11-17</v>
      </c>
    </row>
    <row r="840" spans="1:57" x14ac:dyDescent="0.3">
      <c r="A840">
        <v>1167</v>
      </c>
      <c r="B840">
        <v>42</v>
      </c>
      <c r="C840" t="str">
        <f t="shared" si="196"/>
        <v>36-45</v>
      </c>
      <c r="D840" t="s">
        <v>56</v>
      </c>
      <c r="E840">
        <f t="shared" si="197"/>
        <v>1</v>
      </c>
      <c r="F840" t="s">
        <v>72</v>
      </c>
      <c r="G840">
        <v>481</v>
      </c>
      <c r="H840" t="str">
        <f t="shared" si="198"/>
        <v>102-500</v>
      </c>
      <c r="I840" t="s">
        <v>58</v>
      </c>
      <c r="J840">
        <v>12</v>
      </c>
      <c r="K840" t="str">
        <f t="shared" si="199"/>
        <v>11-20</v>
      </c>
      <c r="L840">
        <v>3</v>
      </c>
      <c r="M840" t="s">
        <v>85</v>
      </c>
      <c r="N840" t="s">
        <v>60</v>
      </c>
      <c r="O840">
        <v>1</v>
      </c>
      <c r="P840">
        <v>3</v>
      </c>
      <c r="Q840" t="s">
        <v>63</v>
      </c>
      <c r="R840" t="s">
        <v>75</v>
      </c>
      <c r="S840">
        <v>44</v>
      </c>
      <c r="T840" t="str">
        <f t="shared" si="200"/>
        <v>30-50</v>
      </c>
      <c r="U840">
        <v>3</v>
      </c>
      <c r="V840" t="s">
        <v>63</v>
      </c>
      <c r="W840">
        <v>4</v>
      </c>
      <c r="X840" t="s">
        <v>64</v>
      </c>
      <c r="Y840">
        <v>1</v>
      </c>
      <c r="Z840" t="s">
        <v>69</v>
      </c>
      <c r="AA840" t="s">
        <v>66</v>
      </c>
      <c r="AB840" s="4">
        <v>13758</v>
      </c>
      <c r="AC840" s="4" t="str">
        <f t="shared" si="201"/>
        <v>$13,000-$14,500</v>
      </c>
      <c r="AD840">
        <v>2447</v>
      </c>
      <c r="AE840" t="str">
        <f t="shared" si="202"/>
        <v>$2,094-$8,000</v>
      </c>
      <c r="AF840">
        <v>0</v>
      </c>
      <c r="AG840" t="str">
        <f t="shared" si="203"/>
        <v>0-1</v>
      </c>
      <c r="AH840" t="s">
        <v>67</v>
      </c>
      <c r="AI840" t="s">
        <v>56</v>
      </c>
      <c r="AJ840">
        <v>12</v>
      </c>
      <c r="AK840" t="str">
        <f t="shared" si="204"/>
        <v>11-12%</v>
      </c>
      <c r="AL840">
        <v>3</v>
      </c>
      <c r="AM840" t="s">
        <v>68</v>
      </c>
      <c r="AN840">
        <v>2</v>
      </c>
      <c r="AO840" t="s">
        <v>61</v>
      </c>
      <c r="AP840">
        <v>80</v>
      </c>
      <c r="AQ840">
        <v>0</v>
      </c>
      <c r="AR840">
        <v>22</v>
      </c>
      <c r="AS840" t="str">
        <f t="shared" si="205"/>
        <v>21-40</v>
      </c>
      <c r="AT840">
        <v>2</v>
      </c>
      <c r="AU840" t="str">
        <f t="shared" si="206"/>
        <v>0-2</v>
      </c>
      <c r="AV840">
        <v>2</v>
      </c>
      <c r="AW840" t="s">
        <v>84</v>
      </c>
      <c r="AX840">
        <v>21</v>
      </c>
      <c r="AY840" t="str">
        <f t="shared" si="195"/>
        <v>21-40</v>
      </c>
      <c r="AZ840">
        <v>9</v>
      </c>
      <c r="BA840" t="str">
        <f t="shared" si="207"/>
        <v>6-10</v>
      </c>
      <c r="BB840">
        <v>13</v>
      </c>
      <c r="BC840" t="str">
        <f t="shared" si="208"/>
        <v>11-15</v>
      </c>
      <c r="BD840">
        <v>14</v>
      </c>
      <c r="BE840" t="str">
        <f t="shared" si="209"/>
        <v>11-17</v>
      </c>
    </row>
    <row r="841" spans="1:57" x14ac:dyDescent="0.3">
      <c r="A841">
        <v>1171</v>
      </c>
      <c r="B841">
        <v>42</v>
      </c>
      <c r="C841" t="str">
        <f t="shared" si="196"/>
        <v>36-45</v>
      </c>
      <c r="D841" t="s">
        <v>71</v>
      </c>
      <c r="E841">
        <f t="shared" si="197"/>
        <v>0</v>
      </c>
      <c r="F841" t="s">
        <v>57</v>
      </c>
      <c r="G841">
        <v>647</v>
      </c>
      <c r="H841" t="str">
        <f t="shared" si="198"/>
        <v>501-1000</v>
      </c>
      <c r="I841" t="s">
        <v>58</v>
      </c>
      <c r="J841">
        <v>4</v>
      </c>
      <c r="K841" t="str">
        <f t="shared" si="199"/>
        <v>1-5</v>
      </c>
      <c r="L841">
        <v>4</v>
      </c>
      <c r="M841" t="s">
        <v>82</v>
      </c>
      <c r="N841" t="s">
        <v>93</v>
      </c>
      <c r="O841">
        <v>1</v>
      </c>
      <c r="P841">
        <v>2</v>
      </c>
      <c r="Q841" t="s">
        <v>61</v>
      </c>
      <c r="R841" t="s">
        <v>75</v>
      </c>
      <c r="S841">
        <v>45</v>
      </c>
      <c r="T841" t="str">
        <f t="shared" si="200"/>
        <v>30-50</v>
      </c>
      <c r="U841">
        <v>3</v>
      </c>
      <c r="V841" t="s">
        <v>63</v>
      </c>
      <c r="W841">
        <v>2</v>
      </c>
      <c r="X841" t="s">
        <v>64</v>
      </c>
      <c r="Y841">
        <v>1</v>
      </c>
      <c r="Z841" t="s">
        <v>69</v>
      </c>
      <c r="AA841" t="s">
        <v>66</v>
      </c>
      <c r="AB841" s="4">
        <v>5155</v>
      </c>
      <c r="AC841" s="4" t="str">
        <f t="shared" si="201"/>
        <v>$4,000-$5,500</v>
      </c>
      <c r="AD841">
        <v>2253</v>
      </c>
      <c r="AE841" t="str">
        <f t="shared" si="202"/>
        <v>$2,094-$8,000</v>
      </c>
      <c r="AF841">
        <v>7</v>
      </c>
      <c r="AG841" t="str">
        <f t="shared" si="203"/>
        <v>7-9</v>
      </c>
      <c r="AH841" t="s">
        <v>67</v>
      </c>
      <c r="AI841" t="s">
        <v>71</v>
      </c>
      <c r="AJ841">
        <v>13</v>
      </c>
      <c r="AK841" t="str">
        <f t="shared" si="204"/>
        <v>13-15%</v>
      </c>
      <c r="AL841">
        <v>3</v>
      </c>
      <c r="AM841" t="s">
        <v>68</v>
      </c>
      <c r="AN841">
        <v>4</v>
      </c>
      <c r="AO841" t="s">
        <v>65</v>
      </c>
      <c r="AP841">
        <v>80</v>
      </c>
      <c r="AQ841">
        <v>0</v>
      </c>
      <c r="AR841">
        <v>9</v>
      </c>
      <c r="AS841" t="str">
        <f t="shared" si="205"/>
        <v>6-10</v>
      </c>
      <c r="AT841">
        <v>3</v>
      </c>
      <c r="AU841" t="str">
        <f t="shared" si="206"/>
        <v>3-4</v>
      </c>
      <c r="AV841">
        <v>4</v>
      </c>
      <c r="AW841" t="s">
        <v>94</v>
      </c>
      <c r="AX841">
        <v>6</v>
      </c>
      <c r="AY841" t="str">
        <f t="shared" si="195"/>
        <v>6-10</v>
      </c>
      <c r="AZ841">
        <v>4</v>
      </c>
      <c r="BA841" t="str">
        <f t="shared" si="207"/>
        <v>2-5</v>
      </c>
      <c r="BB841">
        <v>1</v>
      </c>
      <c r="BC841" t="str">
        <f t="shared" si="208"/>
        <v>0-1</v>
      </c>
      <c r="BD841">
        <v>5</v>
      </c>
      <c r="BE841" t="str">
        <f t="shared" si="209"/>
        <v>2-5</v>
      </c>
    </row>
    <row r="842" spans="1:57" x14ac:dyDescent="0.3">
      <c r="A842">
        <v>1172</v>
      </c>
      <c r="B842">
        <v>35</v>
      </c>
      <c r="C842" t="str">
        <f t="shared" si="196"/>
        <v>26-35</v>
      </c>
      <c r="D842" t="s">
        <v>71</v>
      </c>
      <c r="E842">
        <f t="shared" si="197"/>
        <v>0</v>
      </c>
      <c r="F842" t="s">
        <v>57</v>
      </c>
      <c r="G842">
        <v>982</v>
      </c>
      <c r="H842" t="str">
        <f t="shared" si="198"/>
        <v>501-1000</v>
      </c>
      <c r="I842" t="s">
        <v>73</v>
      </c>
      <c r="J842">
        <v>1</v>
      </c>
      <c r="K842" t="str">
        <f t="shared" si="199"/>
        <v>1-5</v>
      </c>
      <c r="L842">
        <v>4</v>
      </c>
      <c r="M842" t="s">
        <v>82</v>
      </c>
      <c r="N842" t="s">
        <v>83</v>
      </c>
      <c r="O842">
        <v>1</v>
      </c>
      <c r="P842">
        <v>4</v>
      </c>
      <c r="Q842" t="s">
        <v>65</v>
      </c>
      <c r="R842" t="s">
        <v>75</v>
      </c>
      <c r="S842">
        <v>58</v>
      </c>
      <c r="T842" t="str">
        <f t="shared" si="200"/>
        <v>51-75</v>
      </c>
      <c r="U842">
        <v>2</v>
      </c>
      <c r="V842" t="s">
        <v>61</v>
      </c>
      <c r="W842">
        <v>1</v>
      </c>
      <c r="X842" t="s">
        <v>81</v>
      </c>
      <c r="Y842">
        <v>3</v>
      </c>
      <c r="Z842" t="s">
        <v>63</v>
      </c>
      <c r="AA842" t="s">
        <v>77</v>
      </c>
      <c r="AB842" s="4">
        <v>2258</v>
      </c>
      <c r="AC842" s="4" t="str">
        <f t="shared" si="201"/>
        <v>$1,000-$2,500</v>
      </c>
      <c r="AD842">
        <v>16340</v>
      </c>
      <c r="AE842" t="str">
        <f t="shared" si="202"/>
        <v>$16,001-$22,000</v>
      </c>
      <c r="AF842">
        <v>6</v>
      </c>
      <c r="AG842" t="str">
        <f t="shared" si="203"/>
        <v>4-6</v>
      </c>
      <c r="AH842" t="s">
        <v>67</v>
      </c>
      <c r="AI842" t="s">
        <v>71</v>
      </c>
      <c r="AJ842">
        <v>12</v>
      </c>
      <c r="AK842" t="str">
        <f t="shared" si="204"/>
        <v>11-12%</v>
      </c>
      <c r="AL842">
        <v>3</v>
      </c>
      <c r="AM842" t="s">
        <v>68</v>
      </c>
      <c r="AN842">
        <v>2</v>
      </c>
      <c r="AO842" t="s">
        <v>61</v>
      </c>
      <c r="AP842">
        <v>80</v>
      </c>
      <c r="AQ842">
        <v>1</v>
      </c>
      <c r="AR842">
        <v>10</v>
      </c>
      <c r="AS842" t="str">
        <f t="shared" si="205"/>
        <v>6-10</v>
      </c>
      <c r="AT842">
        <v>2</v>
      </c>
      <c r="AU842" t="str">
        <f t="shared" si="206"/>
        <v>0-2</v>
      </c>
      <c r="AV842">
        <v>3</v>
      </c>
      <c r="AW842" t="s">
        <v>79</v>
      </c>
      <c r="AX842">
        <v>8</v>
      </c>
      <c r="AY842" t="str">
        <f t="shared" si="195"/>
        <v>6-10</v>
      </c>
      <c r="AZ842">
        <v>0</v>
      </c>
      <c r="BA842" t="str">
        <f t="shared" si="207"/>
        <v>0-1</v>
      </c>
      <c r="BB842">
        <v>1</v>
      </c>
      <c r="BC842" t="str">
        <f t="shared" si="208"/>
        <v>0-1</v>
      </c>
      <c r="BD842">
        <v>7</v>
      </c>
      <c r="BE842" t="str">
        <f t="shared" si="209"/>
        <v>6-10</v>
      </c>
    </row>
    <row r="843" spans="1:57" x14ac:dyDescent="0.3">
      <c r="A843">
        <v>1173</v>
      </c>
      <c r="B843">
        <v>24</v>
      </c>
      <c r="C843" t="str">
        <f t="shared" si="196"/>
        <v>18-25</v>
      </c>
      <c r="D843" t="s">
        <v>71</v>
      </c>
      <c r="E843">
        <f t="shared" si="197"/>
        <v>0</v>
      </c>
      <c r="F843" t="s">
        <v>57</v>
      </c>
      <c r="G843">
        <v>477</v>
      </c>
      <c r="H843" t="str">
        <f t="shared" si="198"/>
        <v>102-500</v>
      </c>
      <c r="I843" t="s">
        <v>73</v>
      </c>
      <c r="J843">
        <v>24</v>
      </c>
      <c r="K843" t="str">
        <f t="shared" si="199"/>
        <v>21-29</v>
      </c>
      <c r="L843">
        <v>3</v>
      </c>
      <c r="M843" t="s">
        <v>85</v>
      </c>
      <c r="N843" t="s">
        <v>83</v>
      </c>
      <c r="O843">
        <v>1</v>
      </c>
      <c r="P843">
        <v>4</v>
      </c>
      <c r="Q843" t="s">
        <v>65</v>
      </c>
      <c r="R843" t="s">
        <v>75</v>
      </c>
      <c r="S843">
        <v>49</v>
      </c>
      <c r="T843" t="str">
        <f t="shared" si="200"/>
        <v>30-50</v>
      </c>
      <c r="U843">
        <v>3</v>
      </c>
      <c r="V843" t="s">
        <v>63</v>
      </c>
      <c r="W843">
        <v>1</v>
      </c>
      <c r="X843" t="s">
        <v>81</v>
      </c>
      <c r="Y843">
        <v>2</v>
      </c>
      <c r="Z843" t="s">
        <v>61</v>
      </c>
      <c r="AA843" t="s">
        <v>66</v>
      </c>
      <c r="AB843" s="4">
        <v>3597</v>
      </c>
      <c r="AC843" s="4" t="str">
        <f t="shared" si="201"/>
        <v>$2,500-$4,000</v>
      </c>
      <c r="AD843">
        <v>6409</v>
      </c>
      <c r="AE843" t="str">
        <f t="shared" si="202"/>
        <v>$2,094-$8,000</v>
      </c>
      <c r="AF843">
        <v>8</v>
      </c>
      <c r="AG843" t="str">
        <f t="shared" si="203"/>
        <v>7-9</v>
      </c>
      <c r="AH843" t="s">
        <v>67</v>
      </c>
      <c r="AI843" t="s">
        <v>71</v>
      </c>
      <c r="AJ843">
        <v>22</v>
      </c>
      <c r="AK843" t="str">
        <f t="shared" si="204"/>
        <v>18-19%</v>
      </c>
      <c r="AL843">
        <v>4</v>
      </c>
      <c r="AM843" t="s">
        <v>78</v>
      </c>
      <c r="AN843">
        <v>4</v>
      </c>
      <c r="AO843" t="s">
        <v>65</v>
      </c>
      <c r="AP843">
        <v>80</v>
      </c>
      <c r="AQ843">
        <v>0</v>
      </c>
      <c r="AR843">
        <v>6</v>
      </c>
      <c r="AS843" t="str">
        <f t="shared" si="205"/>
        <v>6-10</v>
      </c>
      <c r="AT843">
        <v>2</v>
      </c>
      <c r="AU843" t="str">
        <f t="shared" si="206"/>
        <v>0-2</v>
      </c>
      <c r="AV843">
        <v>3</v>
      </c>
      <c r="AW843" t="s">
        <v>79</v>
      </c>
      <c r="AX843">
        <v>4</v>
      </c>
      <c r="AY843" t="str">
        <f t="shared" si="195"/>
        <v>2-5</v>
      </c>
      <c r="AZ843">
        <v>3</v>
      </c>
      <c r="BA843" t="str">
        <f t="shared" si="207"/>
        <v>2-5</v>
      </c>
      <c r="BB843">
        <v>1</v>
      </c>
      <c r="BC843" t="str">
        <f t="shared" si="208"/>
        <v>0-1</v>
      </c>
      <c r="BD843">
        <v>2</v>
      </c>
      <c r="BE843" t="str">
        <f t="shared" si="209"/>
        <v>2-5</v>
      </c>
    </row>
    <row r="844" spans="1:57" x14ac:dyDescent="0.3">
      <c r="A844">
        <v>1175</v>
      </c>
      <c r="B844">
        <v>28</v>
      </c>
      <c r="C844" t="str">
        <f t="shared" si="196"/>
        <v>26-35</v>
      </c>
      <c r="D844" t="s">
        <v>56</v>
      </c>
      <c r="E844">
        <f t="shared" si="197"/>
        <v>1</v>
      </c>
      <c r="F844" t="s">
        <v>57</v>
      </c>
      <c r="G844">
        <v>1485</v>
      </c>
      <c r="H844" t="str">
        <f t="shared" si="198"/>
        <v>1001-1499</v>
      </c>
      <c r="I844" t="s">
        <v>73</v>
      </c>
      <c r="J844">
        <v>12</v>
      </c>
      <c r="K844" t="str">
        <f t="shared" si="199"/>
        <v>11-20</v>
      </c>
      <c r="L844">
        <v>1</v>
      </c>
      <c r="M844" t="s">
        <v>74</v>
      </c>
      <c r="N844" t="s">
        <v>60</v>
      </c>
      <c r="O844">
        <v>1</v>
      </c>
      <c r="P844">
        <v>3</v>
      </c>
      <c r="Q844" t="s">
        <v>63</v>
      </c>
      <c r="R844" t="s">
        <v>62</v>
      </c>
      <c r="S844">
        <v>79</v>
      </c>
      <c r="T844" t="str">
        <f t="shared" si="200"/>
        <v>76-100</v>
      </c>
      <c r="U844">
        <v>3</v>
      </c>
      <c r="V844" t="s">
        <v>63</v>
      </c>
      <c r="W844">
        <v>1</v>
      </c>
      <c r="X844" t="s">
        <v>81</v>
      </c>
      <c r="Y844">
        <v>4</v>
      </c>
      <c r="Z844" t="s">
        <v>65</v>
      </c>
      <c r="AA844" t="s">
        <v>77</v>
      </c>
      <c r="AB844" s="4">
        <v>2515</v>
      </c>
      <c r="AC844" s="4" t="str">
        <f t="shared" si="201"/>
        <v>$2,500-$4,000</v>
      </c>
      <c r="AD844">
        <v>22955</v>
      </c>
      <c r="AE844" t="str">
        <f t="shared" si="202"/>
        <v>$22,001-$26,999</v>
      </c>
      <c r="AF844">
        <v>1</v>
      </c>
      <c r="AG844" t="str">
        <f t="shared" si="203"/>
        <v>0-1</v>
      </c>
      <c r="AH844" t="s">
        <v>67</v>
      </c>
      <c r="AI844" t="s">
        <v>56</v>
      </c>
      <c r="AJ844">
        <v>11</v>
      </c>
      <c r="AK844" t="str">
        <f t="shared" si="204"/>
        <v>11-12%</v>
      </c>
      <c r="AL844">
        <v>3</v>
      </c>
      <c r="AM844" t="s">
        <v>68</v>
      </c>
      <c r="AN844">
        <v>4</v>
      </c>
      <c r="AO844" t="s">
        <v>65</v>
      </c>
      <c r="AP844">
        <v>80</v>
      </c>
      <c r="AQ844">
        <v>0</v>
      </c>
      <c r="AR844">
        <v>1</v>
      </c>
      <c r="AS844" t="str">
        <f t="shared" si="205"/>
        <v>0-2</v>
      </c>
      <c r="AT844">
        <v>4</v>
      </c>
      <c r="AU844" t="str">
        <f t="shared" si="206"/>
        <v>3-4</v>
      </c>
      <c r="AV844">
        <v>2</v>
      </c>
      <c r="AW844" t="s">
        <v>84</v>
      </c>
      <c r="AX844">
        <v>1</v>
      </c>
      <c r="AY844" t="str">
        <f t="shared" si="195"/>
        <v>0-1</v>
      </c>
      <c r="AZ844">
        <v>1</v>
      </c>
      <c r="BA844" t="str">
        <f t="shared" si="207"/>
        <v>0-1</v>
      </c>
      <c r="BB844">
        <v>0</v>
      </c>
      <c r="BC844" t="str">
        <f t="shared" si="208"/>
        <v>0-1</v>
      </c>
      <c r="BD844">
        <v>0</v>
      </c>
      <c r="BE844" t="str">
        <f t="shared" si="209"/>
        <v>0-1</v>
      </c>
    </row>
    <row r="845" spans="1:57" x14ac:dyDescent="0.3">
      <c r="A845">
        <v>1177</v>
      </c>
      <c r="B845">
        <v>26</v>
      </c>
      <c r="C845" t="str">
        <f t="shared" si="196"/>
        <v>26-35</v>
      </c>
      <c r="D845" t="s">
        <v>71</v>
      </c>
      <c r="E845">
        <f t="shared" si="197"/>
        <v>0</v>
      </c>
      <c r="F845" t="s">
        <v>57</v>
      </c>
      <c r="G845">
        <v>1384</v>
      </c>
      <c r="H845" t="str">
        <f t="shared" si="198"/>
        <v>1001-1499</v>
      </c>
      <c r="I845" t="s">
        <v>73</v>
      </c>
      <c r="J845">
        <v>3</v>
      </c>
      <c r="K845" t="str">
        <f t="shared" si="199"/>
        <v>1-5</v>
      </c>
      <c r="L845">
        <v>4</v>
      </c>
      <c r="M845" t="s">
        <v>82</v>
      </c>
      <c r="N845" t="s">
        <v>83</v>
      </c>
      <c r="O845">
        <v>1</v>
      </c>
      <c r="P845">
        <v>1</v>
      </c>
      <c r="Q845" t="s">
        <v>69</v>
      </c>
      <c r="R845" t="s">
        <v>75</v>
      </c>
      <c r="S845">
        <v>82</v>
      </c>
      <c r="T845" t="str">
        <f t="shared" si="200"/>
        <v>76-100</v>
      </c>
      <c r="U845">
        <v>4</v>
      </c>
      <c r="V845" t="s">
        <v>65</v>
      </c>
      <c r="W845">
        <v>1</v>
      </c>
      <c r="X845" t="s">
        <v>81</v>
      </c>
      <c r="Y845">
        <v>4</v>
      </c>
      <c r="Z845" t="s">
        <v>65</v>
      </c>
      <c r="AA845" t="s">
        <v>77</v>
      </c>
      <c r="AB845" s="4">
        <v>4420</v>
      </c>
      <c r="AC845" s="4" t="str">
        <f t="shared" si="201"/>
        <v>$4,000-$5,500</v>
      </c>
      <c r="AD845">
        <v>13421</v>
      </c>
      <c r="AE845" t="str">
        <f t="shared" si="202"/>
        <v>$8,001-$16,000</v>
      </c>
      <c r="AF845">
        <v>1</v>
      </c>
      <c r="AG845" t="str">
        <f t="shared" si="203"/>
        <v>0-1</v>
      </c>
      <c r="AH845" t="s">
        <v>67</v>
      </c>
      <c r="AI845" t="s">
        <v>71</v>
      </c>
      <c r="AJ845">
        <v>22</v>
      </c>
      <c r="AK845" t="str">
        <f t="shared" si="204"/>
        <v>18-19%</v>
      </c>
      <c r="AL845">
        <v>4</v>
      </c>
      <c r="AM845" t="s">
        <v>78</v>
      </c>
      <c r="AN845">
        <v>2</v>
      </c>
      <c r="AO845" t="s">
        <v>61</v>
      </c>
      <c r="AP845">
        <v>80</v>
      </c>
      <c r="AQ845">
        <v>1</v>
      </c>
      <c r="AR845">
        <v>8</v>
      </c>
      <c r="AS845" t="str">
        <f t="shared" si="205"/>
        <v>6-10</v>
      </c>
      <c r="AT845">
        <v>2</v>
      </c>
      <c r="AU845" t="str">
        <f t="shared" si="206"/>
        <v>0-2</v>
      </c>
      <c r="AV845">
        <v>3</v>
      </c>
      <c r="AW845" t="s">
        <v>79</v>
      </c>
      <c r="AX845">
        <v>8</v>
      </c>
      <c r="AY845" t="str">
        <f t="shared" si="195"/>
        <v>6-10</v>
      </c>
      <c r="AZ845">
        <v>7</v>
      </c>
      <c r="BA845" t="str">
        <f t="shared" si="207"/>
        <v>6-10</v>
      </c>
      <c r="BB845">
        <v>0</v>
      </c>
      <c r="BC845" t="str">
        <f t="shared" si="208"/>
        <v>0-1</v>
      </c>
      <c r="BD845">
        <v>7</v>
      </c>
      <c r="BE845" t="str">
        <f t="shared" si="209"/>
        <v>6-10</v>
      </c>
    </row>
    <row r="846" spans="1:57" x14ac:dyDescent="0.3">
      <c r="A846">
        <v>1179</v>
      </c>
      <c r="B846">
        <v>30</v>
      </c>
      <c r="C846" t="str">
        <f t="shared" si="196"/>
        <v>26-35</v>
      </c>
      <c r="D846" t="s">
        <v>71</v>
      </c>
      <c r="E846">
        <f t="shared" si="197"/>
        <v>0</v>
      </c>
      <c r="F846" t="s">
        <v>57</v>
      </c>
      <c r="G846">
        <v>852</v>
      </c>
      <c r="H846" t="str">
        <f t="shared" si="198"/>
        <v>501-1000</v>
      </c>
      <c r="I846" t="s">
        <v>58</v>
      </c>
      <c r="J846">
        <v>10</v>
      </c>
      <c r="K846" t="str">
        <f t="shared" si="199"/>
        <v>6-10</v>
      </c>
      <c r="L846">
        <v>3</v>
      </c>
      <c r="M846" t="s">
        <v>85</v>
      </c>
      <c r="N846" t="s">
        <v>93</v>
      </c>
      <c r="O846">
        <v>1</v>
      </c>
      <c r="P846">
        <v>3</v>
      </c>
      <c r="Q846" t="s">
        <v>63</v>
      </c>
      <c r="R846" t="s">
        <v>75</v>
      </c>
      <c r="S846">
        <v>72</v>
      </c>
      <c r="T846" t="str">
        <f t="shared" si="200"/>
        <v>51-75</v>
      </c>
      <c r="U846">
        <v>2</v>
      </c>
      <c r="V846" t="s">
        <v>61</v>
      </c>
      <c r="W846">
        <v>2</v>
      </c>
      <c r="X846" t="s">
        <v>64</v>
      </c>
      <c r="Y846">
        <v>3</v>
      </c>
      <c r="Z846" t="s">
        <v>63</v>
      </c>
      <c r="AA846" t="s">
        <v>77</v>
      </c>
      <c r="AB846" s="4">
        <v>6578</v>
      </c>
      <c r="AC846" s="4" t="str">
        <f t="shared" si="201"/>
        <v>$5,500-$7,000</v>
      </c>
      <c r="AD846">
        <v>2706</v>
      </c>
      <c r="AE846" t="str">
        <f t="shared" si="202"/>
        <v>$2,094-$8,000</v>
      </c>
      <c r="AF846">
        <v>1</v>
      </c>
      <c r="AG846" t="str">
        <f t="shared" si="203"/>
        <v>0-1</v>
      </c>
      <c r="AH846" t="s">
        <v>67</v>
      </c>
      <c r="AI846" t="s">
        <v>71</v>
      </c>
      <c r="AJ846">
        <v>18</v>
      </c>
      <c r="AK846" t="str">
        <f t="shared" si="204"/>
        <v>18-19%</v>
      </c>
      <c r="AL846">
        <v>3</v>
      </c>
      <c r="AM846" t="s">
        <v>68</v>
      </c>
      <c r="AN846">
        <v>1</v>
      </c>
      <c r="AO846" t="s">
        <v>69</v>
      </c>
      <c r="AP846">
        <v>80</v>
      </c>
      <c r="AQ846">
        <v>1</v>
      </c>
      <c r="AR846">
        <v>10</v>
      </c>
      <c r="AS846" t="str">
        <f t="shared" si="205"/>
        <v>6-10</v>
      </c>
      <c r="AT846">
        <v>3</v>
      </c>
      <c r="AU846" t="str">
        <f t="shared" si="206"/>
        <v>3-4</v>
      </c>
      <c r="AV846">
        <v>3</v>
      </c>
      <c r="AW846" t="s">
        <v>79</v>
      </c>
      <c r="AX846">
        <v>10</v>
      </c>
      <c r="AY846" t="str">
        <f t="shared" si="195"/>
        <v>6-10</v>
      </c>
      <c r="AZ846">
        <v>3</v>
      </c>
      <c r="BA846" t="str">
        <f t="shared" si="207"/>
        <v>2-5</v>
      </c>
      <c r="BB846">
        <v>1</v>
      </c>
      <c r="BC846" t="str">
        <f t="shared" si="208"/>
        <v>0-1</v>
      </c>
      <c r="BD846">
        <v>4</v>
      </c>
      <c r="BE846" t="str">
        <f t="shared" si="209"/>
        <v>2-5</v>
      </c>
    </row>
    <row r="847" spans="1:57" x14ac:dyDescent="0.3">
      <c r="A847">
        <v>1180</v>
      </c>
      <c r="B847">
        <v>40</v>
      </c>
      <c r="C847" t="str">
        <f t="shared" si="196"/>
        <v>36-45</v>
      </c>
      <c r="D847" t="s">
        <v>71</v>
      </c>
      <c r="E847">
        <f t="shared" si="197"/>
        <v>0</v>
      </c>
      <c r="F847" t="s">
        <v>72</v>
      </c>
      <c r="G847">
        <v>902</v>
      </c>
      <c r="H847" t="str">
        <f t="shared" si="198"/>
        <v>501-1000</v>
      </c>
      <c r="I847" t="s">
        <v>73</v>
      </c>
      <c r="J847">
        <v>26</v>
      </c>
      <c r="K847" t="str">
        <f t="shared" si="199"/>
        <v>21-29</v>
      </c>
      <c r="L847">
        <v>2</v>
      </c>
      <c r="M847" t="s">
        <v>59</v>
      </c>
      <c r="N847" t="s">
        <v>83</v>
      </c>
      <c r="O847">
        <v>1</v>
      </c>
      <c r="P847">
        <v>3</v>
      </c>
      <c r="Q847" t="s">
        <v>63</v>
      </c>
      <c r="R847" t="s">
        <v>62</v>
      </c>
      <c r="S847">
        <v>92</v>
      </c>
      <c r="T847" t="str">
        <f t="shared" si="200"/>
        <v>76-100</v>
      </c>
      <c r="U847">
        <v>2</v>
      </c>
      <c r="V847" t="s">
        <v>61</v>
      </c>
      <c r="W847">
        <v>2</v>
      </c>
      <c r="X847" t="s">
        <v>76</v>
      </c>
      <c r="Y847">
        <v>4</v>
      </c>
      <c r="Z847" t="s">
        <v>65</v>
      </c>
      <c r="AA847" t="s">
        <v>77</v>
      </c>
      <c r="AB847" s="4">
        <v>4422</v>
      </c>
      <c r="AC847" s="4" t="str">
        <f t="shared" si="201"/>
        <v>$4,000-$5,500</v>
      </c>
      <c r="AD847">
        <v>21203</v>
      </c>
      <c r="AE847" t="str">
        <f t="shared" si="202"/>
        <v>$16,001-$22,000</v>
      </c>
      <c r="AF847">
        <v>3</v>
      </c>
      <c r="AG847" t="str">
        <f t="shared" si="203"/>
        <v>2-3</v>
      </c>
      <c r="AH847" t="s">
        <v>67</v>
      </c>
      <c r="AI847" t="s">
        <v>56</v>
      </c>
      <c r="AJ847">
        <v>13</v>
      </c>
      <c r="AK847" t="str">
        <f t="shared" si="204"/>
        <v>13-15%</v>
      </c>
      <c r="AL847">
        <v>3</v>
      </c>
      <c r="AM847" t="s">
        <v>68</v>
      </c>
      <c r="AN847">
        <v>4</v>
      </c>
      <c r="AO847" t="s">
        <v>65</v>
      </c>
      <c r="AP847">
        <v>80</v>
      </c>
      <c r="AQ847">
        <v>1</v>
      </c>
      <c r="AR847">
        <v>16</v>
      </c>
      <c r="AS847" t="str">
        <f t="shared" si="205"/>
        <v>11-20</v>
      </c>
      <c r="AT847">
        <v>3</v>
      </c>
      <c r="AU847" t="str">
        <f t="shared" si="206"/>
        <v>3-4</v>
      </c>
      <c r="AV847">
        <v>1</v>
      </c>
      <c r="AW847" t="s">
        <v>70</v>
      </c>
      <c r="AX847">
        <v>1</v>
      </c>
      <c r="AY847" t="str">
        <f t="shared" si="195"/>
        <v>0-1</v>
      </c>
      <c r="AZ847">
        <v>1</v>
      </c>
      <c r="BA847" t="str">
        <f t="shared" si="207"/>
        <v>0-1</v>
      </c>
      <c r="BB847">
        <v>0</v>
      </c>
      <c r="BC847" t="str">
        <f t="shared" si="208"/>
        <v>0-1</v>
      </c>
      <c r="BD847">
        <v>0</v>
      </c>
      <c r="BE847" t="str">
        <f t="shared" si="209"/>
        <v>0-1</v>
      </c>
    </row>
    <row r="848" spans="1:57" x14ac:dyDescent="0.3">
      <c r="A848">
        <v>1182</v>
      </c>
      <c r="B848">
        <v>35</v>
      </c>
      <c r="C848" t="str">
        <f t="shared" si="196"/>
        <v>26-35</v>
      </c>
      <c r="D848" t="s">
        <v>71</v>
      </c>
      <c r="E848">
        <f t="shared" si="197"/>
        <v>0</v>
      </c>
      <c r="F848" t="s">
        <v>57</v>
      </c>
      <c r="G848">
        <v>819</v>
      </c>
      <c r="H848" t="str">
        <f t="shared" si="198"/>
        <v>501-1000</v>
      </c>
      <c r="I848" t="s">
        <v>73</v>
      </c>
      <c r="J848">
        <v>2</v>
      </c>
      <c r="K848" t="str">
        <f t="shared" si="199"/>
        <v>1-5</v>
      </c>
      <c r="L848">
        <v>3</v>
      </c>
      <c r="M848" t="s">
        <v>85</v>
      </c>
      <c r="N848" t="s">
        <v>60</v>
      </c>
      <c r="O848">
        <v>1</v>
      </c>
      <c r="P848">
        <v>3</v>
      </c>
      <c r="Q848" t="s">
        <v>63</v>
      </c>
      <c r="R848" t="s">
        <v>75</v>
      </c>
      <c r="S848">
        <v>44</v>
      </c>
      <c r="T848" t="str">
        <f t="shared" si="200"/>
        <v>30-50</v>
      </c>
      <c r="U848">
        <v>2</v>
      </c>
      <c r="V848" t="s">
        <v>61</v>
      </c>
      <c r="W848">
        <v>3</v>
      </c>
      <c r="X848" t="s">
        <v>87</v>
      </c>
      <c r="Y848">
        <v>2</v>
      </c>
      <c r="Z848" t="s">
        <v>61</v>
      </c>
      <c r="AA848" t="s">
        <v>86</v>
      </c>
      <c r="AB848" s="4">
        <v>10274</v>
      </c>
      <c r="AC848" s="4" t="str">
        <f t="shared" si="201"/>
        <v>$10,000-$11,500</v>
      </c>
      <c r="AD848">
        <v>19588</v>
      </c>
      <c r="AE848" t="str">
        <f t="shared" si="202"/>
        <v>$16,001-$22,000</v>
      </c>
      <c r="AF848">
        <v>2</v>
      </c>
      <c r="AG848" t="str">
        <f t="shared" si="203"/>
        <v>2-3</v>
      </c>
      <c r="AH848" t="s">
        <v>67</v>
      </c>
      <c r="AI848" t="s">
        <v>71</v>
      </c>
      <c r="AJ848">
        <v>18</v>
      </c>
      <c r="AK848" t="str">
        <f t="shared" si="204"/>
        <v>18-19%</v>
      </c>
      <c r="AL848">
        <v>3</v>
      </c>
      <c r="AM848" t="s">
        <v>68</v>
      </c>
      <c r="AN848">
        <v>2</v>
      </c>
      <c r="AO848" t="s">
        <v>61</v>
      </c>
      <c r="AP848">
        <v>80</v>
      </c>
      <c r="AQ848">
        <v>1</v>
      </c>
      <c r="AR848">
        <v>15</v>
      </c>
      <c r="AS848" t="str">
        <f t="shared" si="205"/>
        <v>11-20</v>
      </c>
      <c r="AT848">
        <v>2</v>
      </c>
      <c r="AU848" t="str">
        <f t="shared" si="206"/>
        <v>0-2</v>
      </c>
      <c r="AV848">
        <v>4</v>
      </c>
      <c r="AW848" t="s">
        <v>94</v>
      </c>
      <c r="AX848">
        <v>7</v>
      </c>
      <c r="AY848" t="str">
        <f t="shared" si="195"/>
        <v>6-10</v>
      </c>
      <c r="AZ848">
        <v>7</v>
      </c>
      <c r="BA848" t="str">
        <f t="shared" si="207"/>
        <v>6-10</v>
      </c>
      <c r="BB848">
        <v>6</v>
      </c>
      <c r="BC848" t="str">
        <f t="shared" si="208"/>
        <v>6-10</v>
      </c>
      <c r="BD848">
        <v>4</v>
      </c>
      <c r="BE848" t="str">
        <f t="shared" si="209"/>
        <v>2-5</v>
      </c>
    </row>
    <row r="849" spans="1:57" x14ac:dyDescent="0.3">
      <c r="A849">
        <v>1184</v>
      </c>
      <c r="B849">
        <v>34</v>
      </c>
      <c r="C849" t="str">
        <f t="shared" si="196"/>
        <v>26-35</v>
      </c>
      <c r="D849" t="s">
        <v>71</v>
      </c>
      <c r="E849">
        <f t="shared" si="197"/>
        <v>0</v>
      </c>
      <c r="F849" t="s">
        <v>72</v>
      </c>
      <c r="G849">
        <v>669</v>
      </c>
      <c r="H849" t="str">
        <f t="shared" si="198"/>
        <v>501-1000</v>
      </c>
      <c r="I849" t="s">
        <v>73</v>
      </c>
      <c r="J849">
        <v>1</v>
      </c>
      <c r="K849" t="str">
        <f t="shared" si="199"/>
        <v>1-5</v>
      </c>
      <c r="L849">
        <v>3</v>
      </c>
      <c r="M849" t="s">
        <v>85</v>
      </c>
      <c r="N849" t="s">
        <v>83</v>
      </c>
      <c r="O849">
        <v>1</v>
      </c>
      <c r="P849">
        <v>4</v>
      </c>
      <c r="Q849" t="s">
        <v>65</v>
      </c>
      <c r="R849" t="s">
        <v>75</v>
      </c>
      <c r="S849">
        <v>97</v>
      </c>
      <c r="T849" t="str">
        <f t="shared" si="200"/>
        <v>76-100</v>
      </c>
      <c r="U849">
        <v>2</v>
      </c>
      <c r="V849" t="s">
        <v>61</v>
      </c>
      <c r="W849">
        <v>2</v>
      </c>
      <c r="X849" t="s">
        <v>88</v>
      </c>
      <c r="Y849">
        <v>1</v>
      </c>
      <c r="Z849" t="s">
        <v>69</v>
      </c>
      <c r="AA849" t="s">
        <v>66</v>
      </c>
      <c r="AB849" s="4">
        <v>5343</v>
      </c>
      <c r="AC849" s="4" t="str">
        <f t="shared" si="201"/>
        <v>$4,000-$5,500</v>
      </c>
      <c r="AD849">
        <v>25755</v>
      </c>
      <c r="AE849" t="str">
        <f t="shared" si="202"/>
        <v>$22,001-$26,999</v>
      </c>
      <c r="AF849">
        <v>0</v>
      </c>
      <c r="AG849" t="str">
        <f t="shared" si="203"/>
        <v>0-1</v>
      </c>
      <c r="AH849" t="s">
        <v>67</v>
      </c>
      <c r="AI849" t="s">
        <v>71</v>
      </c>
      <c r="AJ849">
        <v>20</v>
      </c>
      <c r="AK849" t="str">
        <f t="shared" si="204"/>
        <v>18-19%</v>
      </c>
      <c r="AL849">
        <v>4</v>
      </c>
      <c r="AM849" t="s">
        <v>78</v>
      </c>
      <c r="AN849">
        <v>3</v>
      </c>
      <c r="AO849" t="s">
        <v>63</v>
      </c>
      <c r="AP849">
        <v>80</v>
      </c>
      <c r="AQ849">
        <v>0</v>
      </c>
      <c r="AR849">
        <v>14</v>
      </c>
      <c r="AS849" t="str">
        <f t="shared" si="205"/>
        <v>11-20</v>
      </c>
      <c r="AT849">
        <v>3</v>
      </c>
      <c r="AU849" t="str">
        <f t="shared" si="206"/>
        <v>3-4</v>
      </c>
      <c r="AV849">
        <v>3</v>
      </c>
      <c r="AW849" t="s">
        <v>79</v>
      </c>
      <c r="AX849">
        <v>13</v>
      </c>
      <c r="AY849" t="str">
        <f t="shared" si="195"/>
        <v>11-20</v>
      </c>
      <c r="AZ849">
        <v>9</v>
      </c>
      <c r="BA849" t="str">
        <f t="shared" si="207"/>
        <v>6-10</v>
      </c>
      <c r="BB849">
        <v>4</v>
      </c>
      <c r="BC849" t="str">
        <f t="shared" si="208"/>
        <v>2-5</v>
      </c>
      <c r="BD849">
        <v>9</v>
      </c>
      <c r="BE849" t="str">
        <f t="shared" si="209"/>
        <v>6-10</v>
      </c>
    </row>
    <row r="850" spans="1:57" x14ac:dyDescent="0.3">
      <c r="A850">
        <v>1185</v>
      </c>
      <c r="B850">
        <v>35</v>
      </c>
      <c r="C850" t="str">
        <f t="shared" si="196"/>
        <v>26-35</v>
      </c>
      <c r="D850" t="s">
        <v>71</v>
      </c>
      <c r="E850">
        <f t="shared" si="197"/>
        <v>0</v>
      </c>
      <c r="F850" t="s">
        <v>72</v>
      </c>
      <c r="G850">
        <v>636</v>
      </c>
      <c r="H850" t="str">
        <f t="shared" si="198"/>
        <v>501-1000</v>
      </c>
      <c r="I850" t="s">
        <v>73</v>
      </c>
      <c r="J850">
        <v>4</v>
      </c>
      <c r="K850" t="str">
        <f t="shared" si="199"/>
        <v>1-5</v>
      </c>
      <c r="L850">
        <v>4</v>
      </c>
      <c r="M850" t="s">
        <v>82</v>
      </c>
      <c r="N850" t="s">
        <v>80</v>
      </c>
      <c r="O850">
        <v>1</v>
      </c>
      <c r="P850">
        <v>4</v>
      </c>
      <c r="Q850" t="s">
        <v>65</v>
      </c>
      <c r="R850" t="s">
        <v>75</v>
      </c>
      <c r="S850">
        <v>47</v>
      </c>
      <c r="T850" t="str">
        <f t="shared" si="200"/>
        <v>30-50</v>
      </c>
      <c r="U850">
        <v>2</v>
      </c>
      <c r="V850" t="s">
        <v>61</v>
      </c>
      <c r="W850">
        <v>1</v>
      </c>
      <c r="X850" t="s">
        <v>81</v>
      </c>
      <c r="Y850">
        <v>4</v>
      </c>
      <c r="Z850" t="s">
        <v>65</v>
      </c>
      <c r="AA850" t="s">
        <v>77</v>
      </c>
      <c r="AB850" s="4">
        <v>2376</v>
      </c>
      <c r="AC850" s="4" t="str">
        <f t="shared" si="201"/>
        <v>$1,000-$2,500</v>
      </c>
      <c r="AD850">
        <v>26537</v>
      </c>
      <c r="AE850" t="str">
        <f t="shared" si="202"/>
        <v>$22,001-$26,999</v>
      </c>
      <c r="AF850">
        <v>1</v>
      </c>
      <c r="AG850" t="str">
        <f t="shared" si="203"/>
        <v>0-1</v>
      </c>
      <c r="AH850" t="s">
        <v>67</v>
      </c>
      <c r="AI850" t="s">
        <v>71</v>
      </c>
      <c r="AJ850">
        <v>13</v>
      </c>
      <c r="AK850" t="str">
        <f t="shared" si="204"/>
        <v>13-15%</v>
      </c>
      <c r="AL850">
        <v>3</v>
      </c>
      <c r="AM850" t="s">
        <v>68</v>
      </c>
      <c r="AN850">
        <v>2</v>
      </c>
      <c r="AO850" t="s">
        <v>61</v>
      </c>
      <c r="AP850">
        <v>80</v>
      </c>
      <c r="AQ850">
        <v>1</v>
      </c>
      <c r="AR850">
        <v>2</v>
      </c>
      <c r="AS850" t="str">
        <f t="shared" si="205"/>
        <v>0-2</v>
      </c>
      <c r="AT850">
        <v>2</v>
      </c>
      <c r="AU850" t="str">
        <f t="shared" si="206"/>
        <v>0-2</v>
      </c>
      <c r="AV850">
        <v>4</v>
      </c>
      <c r="AW850" t="s">
        <v>94</v>
      </c>
      <c r="AX850">
        <v>2</v>
      </c>
      <c r="AY850" t="str">
        <f t="shared" si="195"/>
        <v>2-5</v>
      </c>
      <c r="AZ850">
        <v>2</v>
      </c>
      <c r="BA850" t="str">
        <f t="shared" si="207"/>
        <v>2-5</v>
      </c>
      <c r="BB850">
        <v>2</v>
      </c>
      <c r="BC850" t="str">
        <f t="shared" si="208"/>
        <v>2-5</v>
      </c>
      <c r="BD850">
        <v>2</v>
      </c>
      <c r="BE850" t="str">
        <f t="shared" si="209"/>
        <v>2-5</v>
      </c>
    </row>
    <row r="851" spans="1:57" x14ac:dyDescent="0.3">
      <c r="A851">
        <v>1188</v>
      </c>
      <c r="B851">
        <v>43</v>
      </c>
      <c r="C851" t="str">
        <f t="shared" si="196"/>
        <v>36-45</v>
      </c>
      <c r="D851" t="s">
        <v>56</v>
      </c>
      <c r="E851">
        <f t="shared" si="197"/>
        <v>1</v>
      </c>
      <c r="F851" t="s">
        <v>57</v>
      </c>
      <c r="G851">
        <v>1372</v>
      </c>
      <c r="H851" t="str">
        <f t="shared" si="198"/>
        <v>1001-1499</v>
      </c>
      <c r="I851" t="s">
        <v>58</v>
      </c>
      <c r="J851">
        <v>9</v>
      </c>
      <c r="K851" t="str">
        <f t="shared" si="199"/>
        <v>6-10</v>
      </c>
      <c r="L851">
        <v>3</v>
      </c>
      <c r="M851" t="s">
        <v>85</v>
      </c>
      <c r="N851" t="s">
        <v>93</v>
      </c>
      <c r="O851">
        <v>1</v>
      </c>
      <c r="P851">
        <v>1</v>
      </c>
      <c r="Q851" t="s">
        <v>69</v>
      </c>
      <c r="R851" t="s">
        <v>62</v>
      </c>
      <c r="S851">
        <v>85</v>
      </c>
      <c r="T851" t="str">
        <f t="shared" si="200"/>
        <v>76-100</v>
      </c>
      <c r="U851">
        <v>1</v>
      </c>
      <c r="V851" t="s">
        <v>69</v>
      </c>
      <c r="W851">
        <v>2</v>
      </c>
      <c r="X851" t="s">
        <v>64</v>
      </c>
      <c r="Y851">
        <v>3</v>
      </c>
      <c r="Z851" t="s">
        <v>63</v>
      </c>
      <c r="AA851" t="s">
        <v>66</v>
      </c>
      <c r="AB851" s="4">
        <v>5346</v>
      </c>
      <c r="AC851" s="4" t="str">
        <f t="shared" si="201"/>
        <v>$4,000-$5,500</v>
      </c>
      <c r="AD851">
        <v>9489</v>
      </c>
      <c r="AE851" t="str">
        <f t="shared" si="202"/>
        <v>$8,001-$16,000</v>
      </c>
      <c r="AF851">
        <v>8</v>
      </c>
      <c r="AG851" t="str">
        <f t="shared" si="203"/>
        <v>7-9</v>
      </c>
      <c r="AH851" t="s">
        <v>67</v>
      </c>
      <c r="AI851" t="s">
        <v>71</v>
      </c>
      <c r="AJ851">
        <v>13</v>
      </c>
      <c r="AK851" t="str">
        <f t="shared" si="204"/>
        <v>13-15%</v>
      </c>
      <c r="AL851">
        <v>3</v>
      </c>
      <c r="AM851" t="s">
        <v>68</v>
      </c>
      <c r="AN851">
        <v>2</v>
      </c>
      <c r="AO851" t="s">
        <v>61</v>
      </c>
      <c r="AP851">
        <v>80</v>
      </c>
      <c r="AQ851">
        <v>0</v>
      </c>
      <c r="AR851">
        <v>7</v>
      </c>
      <c r="AS851" t="str">
        <f t="shared" si="205"/>
        <v>6-10</v>
      </c>
      <c r="AT851">
        <v>2</v>
      </c>
      <c r="AU851" t="str">
        <f t="shared" si="206"/>
        <v>0-2</v>
      </c>
      <c r="AV851">
        <v>2</v>
      </c>
      <c r="AW851" t="s">
        <v>84</v>
      </c>
      <c r="AX851">
        <v>4</v>
      </c>
      <c r="AY851" t="str">
        <f t="shared" si="195"/>
        <v>2-5</v>
      </c>
      <c r="AZ851">
        <v>3</v>
      </c>
      <c r="BA851" t="str">
        <f t="shared" si="207"/>
        <v>2-5</v>
      </c>
      <c r="BB851">
        <v>1</v>
      </c>
      <c r="BC851" t="str">
        <f t="shared" si="208"/>
        <v>0-1</v>
      </c>
      <c r="BD851">
        <v>3</v>
      </c>
      <c r="BE851" t="str">
        <f t="shared" si="209"/>
        <v>2-5</v>
      </c>
    </row>
    <row r="852" spans="1:57" x14ac:dyDescent="0.3">
      <c r="A852">
        <v>1190</v>
      </c>
      <c r="B852">
        <v>32</v>
      </c>
      <c r="C852" t="str">
        <f t="shared" si="196"/>
        <v>26-35</v>
      </c>
      <c r="D852" t="s">
        <v>71</v>
      </c>
      <c r="E852">
        <f t="shared" si="197"/>
        <v>0</v>
      </c>
      <c r="F852" t="s">
        <v>89</v>
      </c>
      <c r="G852">
        <v>862</v>
      </c>
      <c r="H852" t="str">
        <f t="shared" si="198"/>
        <v>501-1000</v>
      </c>
      <c r="I852" t="s">
        <v>58</v>
      </c>
      <c r="J852">
        <v>2</v>
      </c>
      <c r="K852" t="str">
        <f t="shared" si="199"/>
        <v>1-5</v>
      </c>
      <c r="L852">
        <v>1</v>
      </c>
      <c r="M852" t="s">
        <v>74</v>
      </c>
      <c r="N852" t="s">
        <v>60</v>
      </c>
      <c r="O852">
        <v>1</v>
      </c>
      <c r="P852">
        <v>3</v>
      </c>
      <c r="Q852" t="s">
        <v>63</v>
      </c>
      <c r="R852" t="s">
        <v>62</v>
      </c>
      <c r="S852">
        <v>76</v>
      </c>
      <c r="T852" t="str">
        <f t="shared" si="200"/>
        <v>76-100</v>
      </c>
      <c r="U852">
        <v>3</v>
      </c>
      <c r="V852" t="s">
        <v>63</v>
      </c>
      <c r="W852">
        <v>1</v>
      </c>
      <c r="X852" t="s">
        <v>91</v>
      </c>
      <c r="Y852">
        <v>1</v>
      </c>
      <c r="Z852" t="s">
        <v>69</v>
      </c>
      <c r="AA852" t="s">
        <v>86</v>
      </c>
      <c r="AB852" s="4">
        <v>2827</v>
      </c>
      <c r="AC852" s="4" t="str">
        <f t="shared" si="201"/>
        <v>$2,500-$4,000</v>
      </c>
      <c r="AD852">
        <v>14947</v>
      </c>
      <c r="AE852" t="str">
        <f t="shared" si="202"/>
        <v>$8,001-$16,000</v>
      </c>
      <c r="AF852">
        <v>1</v>
      </c>
      <c r="AG852" t="str">
        <f t="shared" si="203"/>
        <v>0-1</v>
      </c>
      <c r="AH852" t="s">
        <v>67</v>
      </c>
      <c r="AI852" t="s">
        <v>71</v>
      </c>
      <c r="AJ852">
        <v>12</v>
      </c>
      <c r="AK852" t="str">
        <f t="shared" si="204"/>
        <v>11-12%</v>
      </c>
      <c r="AL852">
        <v>3</v>
      </c>
      <c r="AM852" t="s">
        <v>68</v>
      </c>
      <c r="AN852">
        <v>3</v>
      </c>
      <c r="AO852" t="s">
        <v>63</v>
      </c>
      <c r="AP852">
        <v>80</v>
      </c>
      <c r="AQ852">
        <v>3</v>
      </c>
      <c r="AR852">
        <v>1</v>
      </c>
      <c r="AS852" t="str">
        <f t="shared" si="205"/>
        <v>0-2</v>
      </c>
      <c r="AT852">
        <v>3</v>
      </c>
      <c r="AU852" t="str">
        <f t="shared" si="206"/>
        <v>3-4</v>
      </c>
      <c r="AV852">
        <v>3</v>
      </c>
      <c r="AW852" t="s">
        <v>79</v>
      </c>
      <c r="AX852">
        <v>1</v>
      </c>
      <c r="AY852" t="str">
        <f t="shared" si="195"/>
        <v>0-1</v>
      </c>
      <c r="AZ852">
        <v>0</v>
      </c>
      <c r="BA852" t="str">
        <f t="shared" si="207"/>
        <v>0-1</v>
      </c>
      <c r="BB852">
        <v>0</v>
      </c>
      <c r="BC852" t="str">
        <f t="shared" si="208"/>
        <v>0-1</v>
      </c>
      <c r="BD852">
        <v>0</v>
      </c>
      <c r="BE852" t="str">
        <f t="shared" si="209"/>
        <v>0-1</v>
      </c>
    </row>
    <row r="853" spans="1:57" x14ac:dyDescent="0.3">
      <c r="A853">
        <v>1191</v>
      </c>
      <c r="B853">
        <v>56</v>
      </c>
      <c r="C853" t="str">
        <f t="shared" si="196"/>
        <v>56+</v>
      </c>
      <c r="D853" t="s">
        <v>71</v>
      </c>
      <c r="E853">
        <f t="shared" si="197"/>
        <v>0</v>
      </c>
      <c r="F853" t="s">
        <v>57</v>
      </c>
      <c r="G853">
        <v>718</v>
      </c>
      <c r="H853" t="str">
        <f t="shared" si="198"/>
        <v>501-1000</v>
      </c>
      <c r="I853" t="s">
        <v>73</v>
      </c>
      <c r="J853">
        <v>4</v>
      </c>
      <c r="K853" t="str">
        <f t="shared" si="199"/>
        <v>1-5</v>
      </c>
      <c r="L853">
        <v>4</v>
      </c>
      <c r="M853" t="s">
        <v>82</v>
      </c>
      <c r="N853" t="s">
        <v>95</v>
      </c>
      <c r="O853">
        <v>1</v>
      </c>
      <c r="P853">
        <v>4</v>
      </c>
      <c r="Q853" t="s">
        <v>65</v>
      </c>
      <c r="R853" t="s">
        <v>62</v>
      </c>
      <c r="S853">
        <v>92</v>
      </c>
      <c r="T853" t="str">
        <f t="shared" si="200"/>
        <v>76-100</v>
      </c>
      <c r="U853">
        <v>3</v>
      </c>
      <c r="V853" t="s">
        <v>63</v>
      </c>
      <c r="W853">
        <v>5</v>
      </c>
      <c r="X853" t="s">
        <v>90</v>
      </c>
      <c r="Y853">
        <v>1</v>
      </c>
      <c r="Z853" t="s">
        <v>69</v>
      </c>
      <c r="AA853" t="s">
        <v>86</v>
      </c>
      <c r="AB853" s="4">
        <v>19943</v>
      </c>
      <c r="AC853" s="4" t="str">
        <f t="shared" si="201"/>
        <v>$19,000-$20,500</v>
      </c>
      <c r="AD853">
        <v>18575</v>
      </c>
      <c r="AE853" t="str">
        <f t="shared" si="202"/>
        <v>$16,001-$22,000</v>
      </c>
      <c r="AF853">
        <v>4</v>
      </c>
      <c r="AG853" t="str">
        <f t="shared" si="203"/>
        <v>4-6</v>
      </c>
      <c r="AH853" t="s">
        <v>67</v>
      </c>
      <c r="AI853" t="s">
        <v>71</v>
      </c>
      <c r="AJ853">
        <v>13</v>
      </c>
      <c r="AK853" t="str">
        <f t="shared" si="204"/>
        <v>13-15%</v>
      </c>
      <c r="AL853">
        <v>3</v>
      </c>
      <c r="AM853" t="s">
        <v>68</v>
      </c>
      <c r="AN853">
        <v>4</v>
      </c>
      <c r="AO853" t="s">
        <v>65</v>
      </c>
      <c r="AP853">
        <v>80</v>
      </c>
      <c r="AQ853">
        <v>1</v>
      </c>
      <c r="AR853">
        <v>28</v>
      </c>
      <c r="AS853" t="str">
        <f t="shared" si="205"/>
        <v>21-40</v>
      </c>
      <c r="AT853">
        <v>2</v>
      </c>
      <c r="AU853" t="str">
        <f t="shared" si="206"/>
        <v>0-2</v>
      </c>
      <c r="AV853">
        <v>3</v>
      </c>
      <c r="AW853" t="s">
        <v>79</v>
      </c>
      <c r="AX853">
        <v>5</v>
      </c>
      <c r="AY853" t="str">
        <f t="shared" si="195"/>
        <v>2-5</v>
      </c>
      <c r="AZ853">
        <v>2</v>
      </c>
      <c r="BA853" t="str">
        <f t="shared" si="207"/>
        <v>2-5</v>
      </c>
      <c r="BB853">
        <v>4</v>
      </c>
      <c r="BC853" t="str">
        <f t="shared" si="208"/>
        <v>2-5</v>
      </c>
      <c r="BD853">
        <v>2</v>
      </c>
      <c r="BE853" t="str">
        <f t="shared" si="209"/>
        <v>2-5</v>
      </c>
    </row>
    <row r="854" spans="1:57" x14ac:dyDescent="0.3">
      <c r="A854">
        <v>1192</v>
      </c>
      <c r="B854">
        <v>29</v>
      </c>
      <c r="C854" t="str">
        <f t="shared" si="196"/>
        <v>26-35</v>
      </c>
      <c r="D854" t="s">
        <v>71</v>
      </c>
      <c r="E854">
        <f t="shared" si="197"/>
        <v>0</v>
      </c>
      <c r="F854" t="s">
        <v>57</v>
      </c>
      <c r="G854">
        <v>1401</v>
      </c>
      <c r="H854" t="str">
        <f t="shared" si="198"/>
        <v>1001-1499</v>
      </c>
      <c r="I854" t="s">
        <v>73</v>
      </c>
      <c r="J854">
        <v>6</v>
      </c>
      <c r="K854" t="str">
        <f t="shared" si="199"/>
        <v>6-10</v>
      </c>
      <c r="L854">
        <v>1</v>
      </c>
      <c r="M854" t="s">
        <v>74</v>
      </c>
      <c r="N854" t="s">
        <v>83</v>
      </c>
      <c r="O854">
        <v>1</v>
      </c>
      <c r="P854">
        <v>2</v>
      </c>
      <c r="Q854" t="s">
        <v>61</v>
      </c>
      <c r="R854" t="s">
        <v>62</v>
      </c>
      <c r="S854">
        <v>54</v>
      </c>
      <c r="T854" t="str">
        <f t="shared" si="200"/>
        <v>51-75</v>
      </c>
      <c r="U854">
        <v>3</v>
      </c>
      <c r="V854" t="s">
        <v>63</v>
      </c>
      <c r="W854">
        <v>1</v>
      </c>
      <c r="X854" t="s">
        <v>81</v>
      </c>
      <c r="Y854">
        <v>4</v>
      </c>
      <c r="Z854" t="s">
        <v>65</v>
      </c>
      <c r="AA854" t="s">
        <v>77</v>
      </c>
      <c r="AB854" s="4">
        <v>3131</v>
      </c>
      <c r="AC854" s="4" t="str">
        <f t="shared" si="201"/>
        <v>$2,500-$4,000</v>
      </c>
      <c r="AD854">
        <v>26342</v>
      </c>
      <c r="AE854" t="str">
        <f t="shared" si="202"/>
        <v>$22,001-$26,999</v>
      </c>
      <c r="AF854">
        <v>1</v>
      </c>
      <c r="AG854" t="str">
        <f t="shared" si="203"/>
        <v>0-1</v>
      </c>
      <c r="AH854" t="s">
        <v>67</v>
      </c>
      <c r="AI854" t="s">
        <v>71</v>
      </c>
      <c r="AJ854">
        <v>13</v>
      </c>
      <c r="AK854" t="str">
        <f t="shared" si="204"/>
        <v>13-15%</v>
      </c>
      <c r="AL854">
        <v>3</v>
      </c>
      <c r="AM854" t="s">
        <v>68</v>
      </c>
      <c r="AN854">
        <v>1</v>
      </c>
      <c r="AO854" t="s">
        <v>69</v>
      </c>
      <c r="AP854">
        <v>80</v>
      </c>
      <c r="AQ854">
        <v>1</v>
      </c>
      <c r="AR854">
        <v>10</v>
      </c>
      <c r="AS854" t="str">
        <f t="shared" si="205"/>
        <v>6-10</v>
      </c>
      <c r="AT854">
        <v>5</v>
      </c>
      <c r="AU854" t="str">
        <f t="shared" si="206"/>
        <v>5-6</v>
      </c>
      <c r="AV854">
        <v>3</v>
      </c>
      <c r="AW854" t="s">
        <v>79</v>
      </c>
      <c r="AX854">
        <v>10</v>
      </c>
      <c r="AY854" t="str">
        <f t="shared" si="195"/>
        <v>6-10</v>
      </c>
      <c r="AZ854">
        <v>8</v>
      </c>
      <c r="BA854" t="str">
        <f t="shared" si="207"/>
        <v>6-10</v>
      </c>
      <c r="BB854">
        <v>0</v>
      </c>
      <c r="BC854" t="str">
        <f t="shared" si="208"/>
        <v>0-1</v>
      </c>
      <c r="BD854">
        <v>8</v>
      </c>
      <c r="BE854" t="str">
        <f t="shared" si="209"/>
        <v>6-10</v>
      </c>
    </row>
    <row r="855" spans="1:57" x14ac:dyDescent="0.3">
      <c r="A855">
        <v>1193</v>
      </c>
      <c r="B855">
        <v>19</v>
      </c>
      <c r="C855" t="str">
        <f t="shared" si="196"/>
        <v>18-25</v>
      </c>
      <c r="D855" t="s">
        <v>71</v>
      </c>
      <c r="E855">
        <f t="shared" si="197"/>
        <v>0</v>
      </c>
      <c r="F855" t="s">
        <v>57</v>
      </c>
      <c r="G855">
        <v>645</v>
      </c>
      <c r="H855" t="str">
        <f t="shared" si="198"/>
        <v>501-1000</v>
      </c>
      <c r="I855" t="s">
        <v>73</v>
      </c>
      <c r="J855">
        <v>9</v>
      </c>
      <c r="K855" t="str">
        <f t="shared" si="199"/>
        <v>6-10</v>
      </c>
      <c r="L855">
        <v>2</v>
      </c>
      <c r="M855" t="s">
        <v>59</v>
      </c>
      <c r="N855" t="s">
        <v>60</v>
      </c>
      <c r="O855">
        <v>1</v>
      </c>
      <c r="P855">
        <v>3</v>
      </c>
      <c r="Q855" t="s">
        <v>63</v>
      </c>
      <c r="R855" t="s">
        <v>75</v>
      </c>
      <c r="S855">
        <v>54</v>
      </c>
      <c r="T855" t="str">
        <f t="shared" si="200"/>
        <v>51-75</v>
      </c>
      <c r="U855">
        <v>3</v>
      </c>
      <c r="V855" t="s">
        <v>63</v>
      </c>
      <c r="W855">
        <v>1</v>
      </c>
      <c r="X855" t="s">
        <v>76</v>
      </c>
      <c r="Y855">
        <v>1</v>
      </c>
      <c r="Z855" t="s">
        <v>69</v>
      </c>
      <c r="AA855" t="s">
        <v>66</v>
      </c>
      <c r="AB855" s="4">
        <v>2552</v>
      </c>
      <c r="AC855" s="4" t="str">
        <f t="shared" si="201"/>
        <v>$2,500-$4,000</v>
      </c>
      <c r="AD855">
        <v>7172</v>
      </c>
      <c r="AE855" t="str">
        <f t="shared" si="202"/>
        <v>$2,094-$8,000</v>
      </c>
      <c r="AF855">
        <v>1</v>
      </c>
      <c r="AG855" t="str">
        <f t="shared" si="203"/>
        <v>0-1</v>
      </c>
      <c r="AH855" t="s">
        <v>67</v>
      </c>
      <c r="AI855" t="s">
        <v>71</v>
      </c>
      <c r="AJ855">
        <v>25</v>
      </c>
      <c r="AK855" t="str">
        <f t="shared" si="204"/>
        <v>18-19%</v>
      </c>
      <c r="AL855">
        <v>4</v>
      </c>
      <c r="AM855" t="s">
        <v>78</v>
      </c>
      <c r="AN855">
        <v>3</v>
      </c>
      <c r="AO855" t="s">
        <v>63</v>
      </c>
      <c r="AP855">
        <v>80</v>
      </c>
      <c r="AQ855">
        <v>0</v>
      </c>
      <c r="AR855">
        <v>1</v>
      </c>
      <c r="AS855" t="str">
        <f t="shared" si="205"/>
        <v>0-2</v>
      </c>
      <c r="AT855">
        <v>4</v>
      </c>
      <c r="AU855" t="str">
        <f t="shared" si="206"/>
        <v>3-4</v>
      </c>
      <c r="AV855">
        <v>3</v>
      </c>
      <c r="AW855" t="s">
        <v>79</v>
      </c>
      <c r="AX855">
        <v>1</v>
      </c>
      <c r="AY855" t="str">
        <f t="shared" si="195"/>
        <v>0-1</v>
      </c>
      <c r="AZ855">
        <v>1</v>
      </c>
      <c r="BA855" t="str">
        <f t="shared" si="207"/>
        <v>0-1</v>
      </c>
      <c r="BB855">
        <v>0</v>
      </c>
      <c r="BC855" t="str">
        <f t="shared" si="208"/>
        <v>0-1</v>
      </c>
      <c r="BD855">
        <v>0</v>
      </c>
      <c r="BE855" t="str">
        <f t="shared" si="209"/>
        <v>0-1</v>
      </c>
    </row>
    <row r="856" spans="1:57" x14ac:dyDescent="0.3">
      <c r="A856">
        <v>1195</v>
      </c>
      <c r="B856">
        <v>45</v>
      </c>
      <c r="C856" t="str">
        <f t="shared" si="196"/>
        <v>36-45</v>
      </c>
      <c r="D856" t="s">
        <v>71</v>
      </c>
      <c r="E856">
        <f t="shared" si="197"/>
        <v>0</v>
      </c>
      <c r="F856" t="s">
        <v>57</v>
      </c>
      <c r="G856">
        <v>1457</v>
      </c>
      <c r="H856" t="str">
        <f t="shared" si="198"/>
        <v>1001-1499</v>
      </c>
      <c r="I856" t="s">
        <v>73</v>
      </c>
      <c r="J856">
        <v>7</v>
      </c>
      <c r="K856" t="str">
        <f t="shared" si="199"/>
        <v>6-10</v>
      </c>
      <c r="L856">
        <v>3</v>
      </c>
      <c r="M856" t="s">
        <v>85</v>
      </c>
      <c r="N856" t="s">
        <v>83</v>
      </c>
      <c r="O856">
        <v>1</v>
      </c>
      <c r="P856">
        <v>1</v>
      </c>
      <c r="Q856" t="s">
        <v>69</v>
      </c>
      <c r="R856" t="s">
        <v>62</v>
      </c>
      <c r="S856">
        <v>83</v>
      </c>
      <c r="T856" t="str">
        <f t="shared" si="200"/>
        <v>76-100</v>
      </c>
      <c r="U856">
        <v>3</v>
      </c>
      <c r="V856" t="s">
        <v>63</v>
      </c>
      <c r="W856">
        <v>1</v>
      </c>
      <c r="X856" t="s">
        <v>76</v>
      </c>
      <c r="Y856">
        <v>3</v>
      </c>
      <c r="Z856" t="s">
        <v>63</v>
      </c>
      <c r="AA856" t="s">
        <v>77</v>
      </c>
      <c r="AB856" s="4">
        <v>4477</v>
      </c>
      <c r="AC856" s="4" t="str">
        <f t="shared" si="201"/>
        <v>$4,000-$5,500</v>
      </c>
      <c r="AD856">
        <v>20100</v>
      </c>
      <c r="AE856" t="str">
        <f t="shared" si="202"/>
        <v>$16,001-$22,000</v>
      </c>
      <c r="AF856">
        <v>4</v>
      </c>
      <c r="AG856" t="str">
        <f t="shared" si="203"/>
        <v>4-6</v>
      </c>
      <c r="AH856" t="s">
        <v>67</v>
      </c>
      <c r="AI856" t="s">
        <v>56</v>
      </c>
      <c r="AJ856">
        <v>19</v>
      </c>
      <c r="AK856" t="str">
        <f t="shared" si="204"/>
        <v>18-19%</v>
      </c>
      <c r="AL856">
        <v>3</v>
      </c>
      <c r="AM856" t="s">
        <v>68</v>
      </c>
      <c r="AN856">
        <v>3</v>
      </c>
      <c r="AO856" t="s">
        <v>63</v>
      </c>
      <c r="AP856">
        <v>80</v>
      </c>
      <c r="AQ856">
        <v>1</v>
      </c>
      <c r="AR856">
        <v>7</v>
      </c>
      <c r="AS856" t="str">
        <f t="shared" si="205"/>
        <v>6-10</v>
      </c>
      <c r="AT856">
        <v>2</v>
      </c>
      <c r="AU856" t="str">
        <f t="shared" si="206"/>
        <v>0-2</v>
      </c>
      <c r="AV856">
        <v>2</v>
      </c>
      <c r="AW856" t="s">
        <v>84</v>
      </c>
      <c r="AX856">
        <v>3</v>
      </c>
      <c r="AY856" t="str">
        <f t="shared" si="195"/>
        <v>2-5</v>
      </c>
      <c r="AZ856">
        <v>2</v>
      </c>
      <c r="BA856" t="str">
        <f t="shared" si="207"/>
        <v>2-5</v>
      </c>
      <c r="BB856">
        <v>0</v>
      </c>
      <c r="BC856" t="str">
        <f t="shared" si="208"/>
        <v>0-1</v>
      </c>
      <c r="BD856">
        <v>2</v>
      </c>
      <c r="BE856" t="str">
        <f t="shared" si="209"/>
        <v>2-5</v>
      </c>
    </row>
    <row r="857" spans="1:57" x14ac:dyDescent="0.3">
      <c r="A857">
        <v>1196</v>
      </c>
      <c r="B857">
        <v>37</v>
      </c>
      <c r="C857" t="str">
        <f t="shared" si="196"/>
        <v>36-45</v>
      </c>
      <c r="D857" t="s">
        <v>71</v>
      </c>
      <c r="E857">
        <f t="shared" si="197"/>
        <v>0</v>
      </c>
      <c r="F857" t="s">
        <v>57</v>
      </c>
      <c r="G857">
        <v>977</v>
      </c>
      <c r="H857" t="str">
        <f t="shared" si="198"/>
        <v>501-1000</v>
      </c>
      <c r="I857" t="s">
        <v>73</v>
      </c>
      <c r="J857">
        <v>1</v>
      </c>
      <c r="K857" t="str">
        <f t="shared" si="199"/>
        <v>1-5</v>
      </c>
      <c r="L857">
        <v>3</v>
      </c>
      <c r="M857" t="s">
        <v>85</v>
      </c>
      <c r="N857" t="s">
        <v>60</v>
      </c>
      <c r="O857">
        <v>1</v>
      </c>
      <c r="P857">
        <v>4</v>
      </c>
      <c r="Q857" t="s">
        <v>65</v>
      </c>
      <c r="R857" t="s">
        <v>62</v>
      </c>
      <c r="S857">
        <v>56</v>
      </c>
      <c r="T857" t="str">
        <f t="shared" si="200"/>
        <v>51-75</v>
      </c>
      <c r="U857">
        <v>2</v>
      </c>
      <c r="V857" t="s">
        <v>61</v>
      </c>
      <c r="W857">
        <v>2</v>
      </c>
      <c r="X857" t="s">
        <v>87</v>
      </c>
      <c r="Y857">
        <v>4</v>
      </c>
      <c r="Z857" t="s">
        <v>65</v>
      </c>
      <c r="AA857" t="s">
        <v>77</v>
      </c>
      <c r="AB857" s="4">
        <v>6474</v>
      </c>
      <c r="AC857" s="4" t="str">
        <f t="shared" si="201"/>
        <v>$5,500-$7,000</v>
      </c>
      <c r="AD857">
        <v>9961</v>
      </c>
      <c r="AE857" t="str">
        <f t="shared" si="202"/>
        <v>$8,001-$16,000</v>
      </c>
      <c r="AF857">
        <v>1</v>
      </c>
      <c r="AG857" t="str">
        <f t="shared" si="203"/>
        <v>0-1</v>
      </c>
      <c r="AH857" t="s">
        <v>67</v>
      </c>
      <c r="AI857" t="s">
        <v>71</v>
      </c>
      <c r="AJ857">
        <v>13</v>
      </c>
      <c r="AK857" t="str">
        <f t="shared" si="204"/>
        <v>13-15%</v>
      </c>
      <c r="AL857">
        <v>3</v>
      </c>
      <c r="AM857" t="s">
        <v>68</v>
      </c>
      <c r="AN857">
        <v>2</v>
      </c>
      <c r="AO857" t="s">
        <v>61</v>
      </c>
      <c r="AP857">
        <v>80</v>
      </c>
      <c r="AQ857">
        <v>1</v>
      </c>
      <c r="AR857">
        <v>14</v>
      </c>
      <c r="AS857" t="str">
        <f t="shared" si="205"/>
        <v>11-20</v>
      </c>
      <c r="AT857">
        <v>2</v>
      </c>
      <c r="AU857" t="str">
        <f t="shared" si="206"/>
        <v>0-2</v>
      </c>
      <c r="AV857">
        <v>2</v>
      </c>
      <c r="AW857" t="s">
        <v>84</v>
      </c>
      <c r="AX857">
        <v>14</v>
      </c>
      <c r="AY857" t="str">
        <f t="shared" si="195"/>
        <v>11-20</v>
      </c>
      <c r="AZ857">
        <v>8</v>
      </c>
      <c r="BA857" t="str">
        <f t="shared" si="207"/>
        <v>6-10</v>
      </c>
      <c r="BB857">
        <v>3</v>
      </c>
      <c r="BC857" t="str">
        <f t="shared" si="208"/>
        <v>2-5</v>
      </c>
      <c r="BD857">
        <v>11</v>
      </c>
      <c r="BE857" t="str">
        <f t="shared" si="209"/>
        <v>11-17</v>
      </c>
    </row>
    <row r="858" spans="1:57" x14ac:dyDescent="0.3">
      <c r="A858">
        <v>1198</v>
      </c>
      <c r="B858">
        <v>20</v>
      </c>
      <c r="C858" t="str">
        <f t="shared" si="196"/>
        <v>18-25</v>
      </c>
      <c r="D858" t="s">
        <v>71</v>
      </c>
      <c r="E858">
        <f t="shared" si="197"/>
        <v>0</v>
      </c>
      <c r="F858" t="s">
        <v>57</v>
      </c>
      <c r="G858">
        <v>805</v>
      </c>
      <c r="H858" t="str">
        <f t="shared" si="198"/>
        <v>501-1000</v>
      </c>
      <c r="I858" t="s">
        <v>73</v>
      </c>
      <c r="J858">
        <v>3</v>
      </c>
      <c r="K858" t="str">
        <f t="shared" si="199"/>
        <v>1-5</v>
      </c>
      <c r="L858">
        <v>3</v>
      </c>
      <c r="M858" t="s">
        <v>85</v>
      </c>
      <c r="N858" t="s">
        <v>60</v>
      </c>
      <c r="O858">
        <v>1</v>
      </c>
      <c r="P858">
        <v>1</v>
      </c>
      <c r="Q858" t="s">
        <v>69</v>
      </c>
      <c r="R858" t="s">
        <v>75</v>
      </c>
      <c r="S858">
        <v>87</v>
      </c>
      <c r="T858" t="str">
        <f t="shared" si="200"/>
        <v>76-100</v>
      </c>
      <c r="U858">
        <v>2</v>
      </c>
      <c r="V858" t="s">
        <v>61</v>
      </c>
      <c r="W858">
        <v>1</v>
      </c>
      <c r="X858" t="s">
        <v>81</v>
      </c>
      <c r="Y858">
        <v>3</v>
      </c>
      <c r="Z858" t="s">
        <v>63</v>
      </c>
      <c r="AA858" t="s">
        <v>66</v>
      </c>
      <c r="AB858" s="4">
        <v>3033</v>
      </c>
      <c r="AC858" s="4" t="str">
        <f t="shared" si="201"/>
        <v>$2,500-$4,000</v>
      </c>
      <c r="AD858">
        <v>12828</v>
      </c>
      <c r="AE858" t="str">
        <f t="shared" si="202"/>
        <v>$8,001-$16,000</v>
      </c>
      <c r="AF858">
        <v>1</v>
      </c>
      <c r="AG858" t="str">
        <f t="shared" si="203"/>
        <v>0-1</v>
      </c>
      <c r="AH858" t="s">
        <v>67</v>
      </c>
      <c r="AI858" t="s">
        <v>71</v>
      </c>
      <c r="AJ858">
        <v>12</v>
      </c>
      <c r="AK858" t="str">
        <f t="shared" si="204"/>
        <v>11-12%</v>
      </c>
      <c r="AL858">
        <v>3</v>
      </c>
      <c r="AM858" t="s">
        <v>68</v>
      </c>
      <c r="AN858">
        <v>1</v>
      </c>
      <c r="AO858" t="s">
        <v>69</v>
      </c>
      <c r="AP858">
        <v>80</v>
      </c>
      <c r="AQ858">
        <v>0</v>
      </c>
      <c r="AR858">
        <v>2</v>
      </c>
      <c r="AS858" t="str">
        <f t="shared" si="205"/>
        <v>0-2</v>
      </c>
      <c r="AT858">
        <v>2</v>
      </c>
      <c r="AU858" t="str">
        <f t="shared" si="206"/>
        <v>0-2</v>
      </c>
      <c r="AV858">
        <v>2</v>
      </c>
      <c r="AW858" t="s">
        <v>84</v>
      </c>
      <c r="AX858">
        <v>2</v>
      </c>
      <c r="AY858" t="str">
        <f t="shared" si="195"/>
        <v>2-5</v>
      </c>
      <c r="AZ858">
        <v>2</v>
      </c>
      <c r="BA858" t="str">
        <f t="shared" si="207"/>
        <v>2-5</v>
      </c>
      <c r="BB858">
        <v>1</v>
      </c>
      <c r="BC858" t="str">
        <f t="shared" si="208"/>
        <v>0-1</v>
      </c>
      <c r="BD858">
        <v>2</v>
      </c>
      <c r="BE858" t="str">
        <f t="shared" si="209"/>
        <v>2-5</v>
      </c>
    </row>
    <row r="859" spans="1:57" x14ac:dyDescent="0.3">
      <c r="A859">
        <v>1200</v>
      </c>
      <c r="B859">
        <v>44</v>
      </c>
      <c r="C859" t="str">
        <f t="shared" si="196"/>
        <v>36-45</v>
      </c>
      <c r="D859" t="s">
        <v>56</v>
      </c>
      <c r="E859">
        <f t="shared" si="197"/>
        <v>1</v>
      </c>
      <c r="F859" t="s">
        <v>57</v>
      </c>
      <c r="G859">
        <v>1097</v>
      </c>
      <c r="H859" t="str">
        <f t="shared" si="198"/>
        <v>1001-1499</v>
      </c>
      <c r="I859" t="s">
        <v>73</v>
      </c>
      <c r="J859">
        <v>10</v>
      </c>
      <c r="K859" t="str">
        <f t="shared" si="199"/>
        <v>6-10</v>
      </c>
      <c r="L859">
        <v>4</v>
      </c>
      <c r="M859" t="s">
        <v>82</v>
      </c>
      <c r="N859" t="s">
        <v>60</v>
      </c>
      <c r="O859">
        <v>1</v>
      </c>
      <c r="P859">
        <v>3</v>
      </c>
      <c r="Q859" t="s">
        <v>63</v>
      </c>
      <c r="R859" t="s">
        <v>75</v>
      </c>
      <c r="S859">
        <v>96</v>
      </c>
      <c r="T859" t="str">
        <f t="shared" si="200"/>
        <v>76-100</v>
      </c>
      <c r="U859">
        <v>3</v>
      </c>
      <c r="V859" t="s">
        <v>63</v>
      </c>
      <c r="W859">
        <v>1</v>
      </c>
      <c r="X859" t="s">
        <v>76</v>
      </c>
      <c r="Y859">
        <v>3</v>
      </c>
      <c r="Z859" t="s">
        <v>63</v>
      </c>
      <c r="AA859" t="s">
        <v>66</v>
      </c>
      <c r="AB859" s="4">
        <v>2936</v>
      </c>
      <c r="AC859" s="4" t="str">
        <f t="shared" si="201"/>
        <v>$2,500-$4,000</v>
      </c>
      <c r="AD859">
        <v>10826</v>
      </c>
      <c r="AE859" t="str">
        <f t="shared" si="202"/>
        <v>$8,001-$16,000</v>
      </c>
      <c r="AF859">
        <v>1</v>
      </c>
      <c r="AG859" t="str">
        <f t="shared" si="203"/>
        <v>0-1</v>
      </c>
      <c r="AH859" t="s">
        <v>67</v>
      </c>
      <c r="AI859" t="s">
        <v>56</v>
      </c>
      <c r="AJ859">
        <v>11</v>
      </c>
      <c r="AK859" t="str">
        <f t="shared" si="204"/>
        <v>11-12%</v>
      </c>
      <c r="AL859">
        <v>3</v>
      </c>
      <c r="AM859" t="s">
        <v>68</v>
      </c>
      <c r="AN859">
        <v>3</v>
      </c>
      <c r="AO859" t="s">
        <v>63</v>
      </c>
      <c r="AP859">
        <v>80</v>
      </c>
      <c r="AQ859">
        <v>0</v>
      </c>
      <c r="AR859">
        <v>6</v>
      </c>
      <c r="AS859" t="str">
        <f t="shared" si="205"/>
        <v>6-10</v>
      </c>
      <c r="AT859">
        <v>4</v>
      </c>
      <c r="AU859" t="str">
        <f t="shared" si="206"/>
        <v>3-4</v>
      </c>
      <c r="AV859">
        <v>3</v>
      </c>
      <c r="AW859" t="s">
        <v>79</v>
      </c>
      <c r="AX859">
        <v>6</v>
      </c>
      <c r="AY859" t="str">
        <f t="shared" si="195"/>
        <v>6-10</v>
      </c>
      <c r="AZ859">
        <v>4</v>
      </c>
      <c r="BA859" t="str">
        <f t="shared" si="207"/>
        <v>2-5</v>
      </c>
      <c r="BB859">
        <v>0</v>
      </c>
      <c r="BC859" t="str">
        <f t="shared" si="208"/>
        <v>0-1</v>
      </c>
      <c r="BD859">
        <v>2</v>
      </c>
      <c r="BE859" t="str">
        <f t="shared" si="209"/>
        <v>2-5</v>
      </c>
    </row>
    <row r="860" spans="1:57" x14ac:dyDescent="0.3">
      <c r="A860">
        <v>1201</v>
      </c>
      <c r="B860">
        <v>53</v>
      </c>
      <c r="C860" t="str">
        <f t="shared" si="196"/>
        <v>46-55</v>
      </c>
      <c r="D860" t="s">
        <v>71</v>
      </c>
      <c r="E860">
        <f t="shared" si="197"/>
        <v>0</v>
      </c>
      <c r="F860" t="s">
        <v>57</v>
      </c>
      <c r="G860">
        <v>1223</v>
      </c>
      <c r="H860" t="str">
        <f t="shared" si="198"/>
        <v>1001-1499</v>
      </c>
      <c r="I860" t="s">
        <v>73</v>
      </c>
      <c r="J860">
        <v>7</v>
      </c>
      <c r="K860" t="str">
        <f t="shared" si="199"/>
        <v>6-10</v>
      </c>
      <c r="L860">
        <v>2</v>
      </c>
      <c r="M860" t="s">
        <v>59</v>
      </c>
      <c r="N860" t="s">
        <v>83</v>
      </c>
      <c r="O860">
        <v>1</v>
      </c>
      <c r="P860">
        <v>4</v>
      </c>
      <c r="Q860" t="s">
        <v>65</v>
      </c>
      <c r="R860" t="s">
        <v>62</v>
      </c>
      <c r="S860">
        <v>50</v>
      </c>
      <c r="T860" t="str">
        <f t="shared" si="200"/>
        <v>30-50</v>
      </c>
      <c r="U860">
        <v>3</v>
      </c>
      <c r="V860" t="s">
        <v>63</v>
      </c>
      <c r="W860">
        <v>5</v>
      </c>
      <c r="X860" t="s">
        <v>90</v>
      </c>
      <c r="Y860">
        <v>3</v>
      </c>
      <c r="Z860" t="s">
        <v>63</v>
      </c>
      <c r="AA860" t="s">
        <v>86</v>
      </c>
      <c r="AB860" s="4">
        <v>18606</v>
      </c>
      <c r="AC860" s="4" t="str">
        <f t="shared" si="201"/>
        <v>$17,500-$19,000</v>
      </c>
      <c r="AD860">
        <v>18640</v>
      </c>
      <c r="AE860" t="str">
        <f t="shared" si="202"/>
        <v>$16,001-$22,000</v>
      </c>
      <c r="AF860">
        <v>3</v>
      </c>
      <c r="AG860" t="str">
        <f t="shared" si="203"/>
        <v>2-3</v>
      </c>
      <c r="AH860" t="s">
        <v>67</v>
      </c>
      <c r="AI860" t="s">
        <v>71</v>
      </c>
      <c r="AJ860">
        <v>18</v>
      </c>
      <c r="AK860" t="str">
        <f t="shared" si="204"/>
        <v>18-19%</v>
      </c>
      <c r="AL860">
        <v>3</v>
      </c>
      <c r="AM860" t="s">
        <v>68</v>
      </c>
      <c r="AN860">
        <v>2</v>
      </c>
      <c r="AO860" t="s">
        <v>61</v>
      </c>
      <c r="AP860">
        <v>80</v>
      </c>
      <c r="AQ860">
        <v>1</v>
      </c>
      <c r="AR860">
        <v>26</v>
      </c>
      <c r="AS860" t="str">
        <f t="shared" si="205"/>
        <v>21-40</v>
      </c>
      <c r="AT860">
        <v>6</v>
      </c>
      <c r="AU860" t="str">
        <f t="shared" si="206"/>
        <v>5-6</v>
      </c>
      <c r="AV860">
        <v>3</v>
      </c>
      <c r="AW860" t="s">
        <v>79</v>
      </c>
      <c r="AX860">
        <v>7</v>
      </c>
      <c r="AY860" t="str">
        <f t="shared" si="195"/>
        <v>6-10</v>
      </c>
      <c r="AZ860">
        <v>7</v>
      </c>
      <c r="BA860" t="str">
        <f t="shared" si="207"/>
        <v>6-10</v>
      </c>
      <c r="BB860">
        <v>4</v>
      </c>
      <c r="BC860" t="str">
        <f t="shared" si="208"/>
        <v>2-5</v>
      </c>
      <c r="BD860">
        <v>7</v>
      </c>
      <c r="BE860" t="str">
        <f t="shared" si="209"/>
        <v>6-10</v>
      </c>
    </row>
    <row r="861" spans="1:57" x14ac:dyDescent="0.3">
      <c r="A861">
        <v>1202</v>
      </c>
      <c r="B861">
        <v>29</v>
      </c>
      <c r="C861" t="str">
        <f t="shared" si="196"/>
        <v>26-35</v>
      </c>
      <c r="D861" t="s">
        <v>71</v>
      </c>
      <c r="E861">
        <f t="shared" si="197"/>
        <v>0</v>
      </c>
      <c r="F861" t="s">
        <v>57</v>
      </c>
      <c r="G861">
        <v>942</v>
      </c>
      <c r="H861" t="str">
        <f t="shared" si="198"/>
        <v>501-1000</v>
      </c>
      <c r="I861" t="s">
        <v>73</v>
      </c>
      <c r="J861">
        <v>15</v>
      </c>
      <c r="K861" t="str">
        <f t="shared" si="199"/>
        <v>11-20</v>
      </c>
      <c r="L861">
        <v>1</v>
      </c>
      <c r="M861" t="s">
        <v>74</v>
      </c>
      <c r="N861" t="s">
        <v>60</v>
      </c>
      <c r="O861">
        <v>1</v>
      </c>
      <c r="P861">
        <v>2</v>
      </c>
      <c r="Q861" t="s">
        <v>61</v>
      </c>
      <c r="R861" t="s">
        <v>62</v>
      </c>
      <c r="S861">
        <v>69</v>
      </c>
      <c r="T861" t="str">
        <f t="shared" si="200"/>
        <v>51-75</v>
      </c>
      <c r="U861">
        <v>1</v>
      </c>
      <c r="V861" t="s">
        <v>69</v>
      </c>
      <c r="W861">
        <v>1</v>
      </c>
      <c r="X861" t="s">
        <v>76</v>
      </c>
      <c r="Y861">
        <v>4</v>
      </c>
      <c r="Z861" t="s">
        <v>65</v>
      </c>
      <c r="AA861" t="s">
        <v>77</v>
      </c>
      <c r="AB861" s="4">
        <v>2168</v>
      </c>
      <c r="AC861" s="4" t="str">
        <f t="shared" si="201"/>
        <v>$1,000-$2,500</v>
      </c>
      <c r="AD861">
        <v>26933</v>
      </c>
      <c r="AE861" t="str">
        <f t="shared" si="202"/>
        <v>$22,001-$26,999</v>
      </c>
      <c r="AF861">
        <v>0</v>
      </c>
      <c r="AG861" t="str">
        <f t="shared" si="203"/>
        <v>0-1</v>
      </c>
      <c r="AH861" t="s">
        <v>67</v>
      </c>
      <c r="AI861" t="s">
        <v>56</v>
      </c>
      <c r="AJ861">
        <v>18</v>
      </c>
      <c r="AK861" t="str">
        <f t="shared" si="204"/>
        <v>18-19%</v>
      </c>
      <c r="AL861">
        <v>3</v>
      </c>
      <c r="AM861" t="s">
        <v>68</v>
      </c>
      <c r="AN861">
        <v>1</v>
      </c>
      <c r="AO861" t="s">
        <v>69</v>
      </c>
      <c r="AP861">
        <v>80</v>
      </c>
      <c r="AQ861">
        <v>1</v>
      </c>
      <c r="AR861">
        <v>6</v>
      </c>
      <c r="AS861" t="str">
        <f t="shared" si="205"/>
        <v>6-10</v>
      </c>
      <c r="AT861">
        <v>2</v>
      </c>
      <c r="AU861" t="str">
        <f t="shared" si="206"/>
        <v>0-2</v>
      </c>
      <c r="AV861">
        <v>2</v>
      </c>
      <c r="AW861" t="s">
        <v>84</v>
      </c>
      <c r="AX861">
        <v>5</v>
      </c>
      <c r="AY861" t="str">
        <f t="shared" si="195"/>
        <v>2-5</v>
      </c>
      <c r="AZ861">
        <v>4</v>
      </c>
      <c r="BA861" t="str">
        <f t="shared" si="207"/>
        <v>2-5</v>
      </c>
      <c r="BB861">
        <v>1</v>
      </c>
      <c r="BC861" t="str">
        <f t="shared" si="208"/>
        <v>0-1</v>
      </c>
      <c r="BD861">
        <v>3</v>
      </c>
      <c r="BE861" t="str">
        <f t="shared" si="209"/>
        <v>2-5</v>
      </c>
    </row>
    <row r="862" spans="1:57" x14ac:dyDescent="0.3">
      <c r="A862">
        <v>1203</v>
      </c>
      <c r="B862">
        <v>22</v>
      </c>
      <c r="C862" t="str">
        <f t="shared" si="196"/>
        <v>18-25</v>
      </c>
      <c r="D862" t="s">
        <v>56</v>
      </c>
      <c r="E862">
        <f t="shared" si="197"/>
        <v>1</v>
      </c>
      <c r="F862" t="s">
        <v>72</v>
      </c>
      <c r="G862">
        <v>1256</v>
      </c>
      <c r="H862" t="str">
        <f t="shared" si="198"/>
        <v>1001-1499</v>
      </c>
      <c r="I862" t="s">
        <v>73</v>
      </c>
      <c r="J862">
        <v>3</v>
      </c>
      <c r="K862" t="str">
        <f t="shared" si="199"/>
        <v>1-5</v>
      </c>
      <c r="L862">
        <v>4</v>
      </c>
      <c r="M862" t="s">
        <v>82</v>
      </c>
      <c r="N862" t="s">
        <v>60</v>
      </c>
      <c r="O862">
        <v>1</v>
      </c>
      <c r="P862">
        <v>3</v>
      </c>
      <c r="Q862" t="s">
        <v>63</v>
      </c>
      <c r="R862" t="s">
        <v>75</v>
      </c>
      <c r="S862">
        <v>48</v>
      </c>
      <c r="T862" t="str">
        <f t="shared" si="200"/>
        <v>30-50</v>
      </c>
      <c r="U862">
        <v>2</v>
      </c>
      <c r="V862" t="s">
        <v>61</v>
      </c>
      <c r="W862">
        <v>1</v>
      </c>
      <c r="X862" t="s">
        <v>76</v>
      </c>
      <c r="Y862">
        <v>4</v>
      </c>
      <c r="Z862" t="s">
        <v>65</v>
      </c>
      <c r="AA862" t="s">
        <v>77</v>
      </c>
      <c r="AB862" s="4">
        <v>2853</v>
      </c>
      <c r="AC862" s="4" t="str">
        <f t="shared" si="201"/>
        <v>$2,500-$4,000</v>
      </c>
      <c r="AD862">
        <v>4223</v>
      </c>
      <c r="AE862" t="str">
        <f t="shared" si="202"/>
        <v>$2,094-$8,000</v>
      </c>
      <c r="AF862">
        <v>0</v>
      </c>
      <c r="AG862" t="str">
        <f t="shared" si="203"/>
        <v>0-1</v>
      </c>
      <c r="AH862" t="s">
        <v>67</v>
      </c>
      <c r="AI862" t="s">
        <v>56</v>
      </c>
      <c r="AJ862">
        <v>11</v>
      </c>
      <c r="AK862" t="str">
        <f t="shared" si="204"/>
        <v>11-12%</v>
      </c>
      <c r="AL862">
        <v>3</v>
      </c>
      <c r="AM862" t="s">
        <v>68</v>
      </c>
      <c r="AN862">
        <v>2</v>
      </c>
      <c r="AO862" t="s">
        <v>61</v>
      </c>
      <c r="AP862">
        <v>80</v>
      </c>
      <c r="AQ862">
        <v>1</v>
      </c>
      <c r="AR862">
        <v>1</v>
      </c>
      <c r="AS862" t="str">
        <f t="shared" si="205"/>
        <v>0-2</v>
      </c>
      <c r="AT862">
        <v>5</v>
      </c>
      <c r="AU862" t="str">
        <f t="shared" si="206"/>
        <v>5-6</v>
      </c>
      <c r="AV862">
        <v>3</v>
      </c>
      <c r="AW862" t="s">
        <v>79</v>
      </c>
      <c r="AX862">
        <v>0</v>
      </c>
      <c r="AY862" t="str">
        <f t="shared" si="195"/>
        <v>0-1</v>
      </c>
      <c r="AZ862">
        <v>0</v>
      </c>
      <c r="BA862" t="str">
        <f t="shared" si="207"/>
        <v>0-1</v>
      </c>
      <c r="BB862">
        <v>0</v>
      </c>
      <c r="BC862" t="str">
        <f t="shared" si="208"/>
        <v>0-1</v>
      </c>
      <c r="BD862">
        <v>0</v>
      </c>
      <c r="BE862" t="str">
        <f t="shared" si="209"/>
        <v>0-1</v>
      </c>
    </row>
    <row r="863" spans="1:57" x14ac:dyDescent="0.3">
      <c r="A863">
        <v>1204</v>
      </c>
      <c r="B863">
        <v>46</v>
      </c>
      <c r="C863" t="str">
        <f t="shared" si="196"/>
        <v>46-55</v>
      </c>
      <c r="D863" t="s">
        <v>71</v>
      </c>
      <c r="E863">
        <f t="shared" si="197"/>
        <v>0</v>
      </c>
      <c r="F863" t="s">
        <v>57</v>
      </c>
      <c r="G863">
        <v>1402</v>
      </c>
      <c r="H863" t="str">
        <f t="shared" si="198"/>
        <v>1001-1499</v>
      </c>
      <c r="I863" t="s">
        <v>58</v>
      </c>
      <c r="J863">
        <v>2</v>
      </c>
      <c r="K863" t="str">
        <f t="shared" si="199"/>
        <v>1-5</v>
      </c>
      <c r="L863">
        <v>3</v>
      </c>
      <c r="M863" t="s">
        <v>85</v>
      </c>
      <c r="N863" t="s">
        <v>93</v>
      </c>
      <c r="O863">
        <v>1</v>
      </c>
      <c r="P863">
        <v>3</v>
      </c>
      <c r="Q863" t="s">
        <v>63</v>
      </c>
      <c r="R863" t="s">
        <v>62</v>
      </c>
      <c r="S863">
        <v>69</v>
      </c>
      <c r="T863" t="str">
        <f t="shared" si="200"/>
        <v>51-75</v>
      </c>
      <c r="U863">
        <v>3</v>
      </c>
      <c r="V863" t="s">
        <v>63</v>
      </c>
      <c r="W863">
        <v>4</v>
      </c>
      <c r="X863" t="s">
        <v>90</v>
      </c>
      <c r="Y863">
        <v>1</v>
      </c>
      <c r="Z863" t="s">
        <v>69</v>
      </c>
      <c r="AA863" t="s">
        <v>77</v>
      </c>
      <c r="AB863" s="4">
        <v>17048</v>
      </c>
      <c r="AC863" s="4" t="str">
        <f t="shared" si="201"/>
        <v>$16,000-$17,500</v>
      </c>
      <c r="AD863">
        <v>24097</v>
      </c>
      <c r="AE863" t="str">
        <f t="shared" si="202"/>
        <v>$22,001-$26,999</v>
      </c>
      <c r="AF863">
        <v>8</v>
      </c>
      <c r="AG863" t="str">
        <f t="shared" si="203"/>
        <v>7-9</v>
      </c>
      <c r="AH863" t="s">
        <v>67</v>
      </c>
      <c r="AI863" t="s">
        <v>71</v>
      </c>
      <c r="AJ863">
        <v>23</v>
      </c>
      <c r="AK863" t="str">
        <f t="shared" si="204"/>
        <v>18-19%</v>
      </c>
      <c r="AL863">
        <v>4</v>
      </c>
      <c r="AM863" t="s">
        <v>78</v>
      </c>
      <c r="AN863">
        <v>1</v>
      </c>
      <c r="AO863" t="s">
        <v>69</v>
      </c>
      <c r="AP863">
        <v>80</v>
      </c>
      <c r="AQ863">
        <v>0</v>
      </c>
      <c r="AR863">
        <v>28</v>
      </c>
      <c r="AS863" t="str">
        <f t="shared" si="205"/>
        <v>21-40</v>
      </c>
      <c r="AT863">
        <v>2</v>
      </c>
      <c r="AU863" t="str">
        <f t="shared" si="206"/>
        <v>0-2</v>
      </c>
      <c r="AV863">
        <v>3</v>
      </c>
      <c r="AW863" t="s">
        <v>79</v>
      </c>
      <c r="AX863">
        <v>26</v>
      </c>
      <c r="AY863" t="str">
        <f t="shared" si="195"/>
        <v>21-40</v>
      </c>
      <c r="AZ863">
        <v>15</v>
      </c>
      <c r="BA863" t="str">
        <f t="shared" si="207"/>
        <v>11-18</v>
      </c>
      <c r="BB863">
        <v>15</v>
      </c>
      <c r="BC863" t="str">
        <f t="shared" si="208"/>
        <v>11-15</v>
      </c>
      <c r="BD863">
        <v>9</v>
      </c>
      <c r="BE863" t="str">
        <f t="shared" si="209"/>
        <v>6-10</v>
      </c>
    </row>
    <row r="864" spans="1:57" x14ac:dyDescent="0.3">
      <c r="A864">
        <v>1206</v>
      </c>
      <c r="B864">
        <v>44</v>
      </c>
      <c r="C864" t="str">
        <f t="shared" si="196"/>
        <v>36-45</v>
      </c>
      <c r="D864" t="s">
        <v>71</v>
      </c>
      <c r="E864">
        <f t="shared" si="197"/>
        <v>0</v>
      </c>
      <c r="F864" t="s">
        <v>89</v>
      </c>
      <c r="G864">
        <v>111</v>
      </c>
      <c r="H864" t="str">
        <f t="shared" si="198"/>
        <v>102-500</v>
      </c>
      <c r="I864" t="s">
        <v>73</v>
      </c>
      <c r="J864">
        <v>17</v>
      </c>
      <c r="K864" t="str">
        <f t="shared" si="199"/>
        <v>11-20</v>
      </c>
      <c r="L864">
        <v>3</v>
      </c>
      <c r="M864" t="s">
        <v>85</v>
      </c>
      <c r="N864" t="s">
        <v>60</v>
      </c>
      <c r="O864">
        <v>1</v>
      </c>
      <c r="P864">
        <v>4</v>
      </c>
      <c r="Q864" t="s">
        <v>65</v>
      </c>
      <c r="R864" t="s">
        <v>75</v>
      </c>
      <c r="S864">
        <v>74</v>
      </c>
      <c r="T864" t="str">
        <f t="shared" si="200"/>
        <v>51-75</v>
      </c>
      <c r="U864">
        <v>1</v>
      </c>
      <c r="V864" t="s">
        <v>69</v>
      </c>
      <c r="W864">
        <v>1</v>
      </c>
      <c r="X864" t="s">
        <v>76</v>
      </c>
      <c r="Y864">
        <v>3</v>
      </c>
      <c r="Z864" t="s">
        <v>63</v>
      </c>
      <c r="AA864" t="s">
        <v>66</v>
      </c>
      <c r="AB864" s="4">
        <v>2290</v>
      </c>
      <c r="AC864" s="4" t="str">
        <f t="shared" si="201"/>
        <v>$1,000-$2,500</v>
      </c>
      <c r="AD864">
        <v>4279</v>
      </c>
      <c r="AE864" t="str">
        <f t="shared" si="202"/>
        <v>$2,094-$8,000</v>
      </c>
      <c r="AF864">
        <v>2</v>
      </c>
      <c r="AG864" t="str">
        <f t="shared" si="203"/>
        <v>2-3</v>
      </c>
      <c r="AH864" t="s">
        <v>67</v>
      </c>
      <c r="AI864" t="s">
        <v>71</v>
      </c>
      <c r="AJ864">
        <v>13</v>
      </c>
      <c r="AK864" t="str">
        <f t="shared" si="204"/>
        <v>13-15%</v>
      </c>
      <c r="AL864">
        <v>3</v>
      </c>
      <c r="AM864" t="s">
        <v>68</v>
      </c>
      <c r="AN864">
        <v>4</v>
      </c>
      <c r="AO864" t="s">
        <v>65</v>
      </c>
      <c r="AP864">
        <v>80</v>
      </c>
      <c r="AQ864">
        <v>0</v>
      </c>
      <c r="AR864">
        <v>6</v>
      </c>
      <c r="AS864" t="str">
        <f t="shared" si="205"/>
        <v>6-10</v>
      </c>
      <c r="AT864">
        <v>3</v>
      </c>
      <c r="AU864" t="str">
        <f t="shared" si="206"/>
        <v>3-4</v>
      </c>
      <c r="AV864">
        <v>3</v>
      </c>
      <c r="AW864" t="s">
        <v>79</v>
      </c>
      <c r="AX864">
        <v>0</v>
      </c>
      <c r="AY864" t="str">
        <f t="shared" si="195"/>
        <v>0-1</v>
      </c>
      <c r="AZ864">
        <v>0</v>
      </c>
      <c r="BA864" t="str">
        <f t="shared" si="207"/>
        <v>0-1</v>
      </c>
      <c r="BB864">
        <v>0</v>
      </c>
      <c r="BC864" t="str">
        <f t="shared" si="208"/>
        <v>0-1</v>
      </c>
      <c r="BD864">
        <v>0</v>
      </c>
      <c r="BE864" t="str">
        <f t="shared" si="209"/>
        <v>0-1</v>
      </c>
    </row>
    <row r="865" spans="1:57" x14ac:dyDescent="0.3">
      <c r="A865">
        <v>1207</v>
      </c>
      <c r="B865">
        <v>33</v>
      </c>
      <c r="C865" t="str">
        <f t="shared" si="196"/>
        <v>26-35</v>
      </c>
      <c r="D865" t="s">
        <v>71</v>
      </c>
      <c r="E865">
        <f t="shared" si="197"/>
        <v>0</v>
      </c>
      <c r="F865" t="s">
        <v>57</v>
      </c>
      <c r="G865">
        <v>147</v>
      </c>
      <c r="H865" t="str">
        <f t="shared" si="198"/>
        <v>102-500</v>
      </c>
      <c r="I865" t="s">
        <v>97</v>
      </c>
      <c r="J865">
        <v>2</v>
      </c>
      <c r="K865" t="str">
        <f t="shared" si="199"/>
        <v>1-5</v>
      </c>
      <c r="L865">
        <v>3</v>
      </c>
      <c r="M865" t="s">
        <v>85</v>
      </c>
      <c r="N865" t="s">
        <v>97</v>
      </c>
      <c r="O865">
        <v>1</v>
      </c>
      <c r="P865">
        <v>2</v>
      </c>
      <c r="Q865" t="s">
        <v>61</v>
      </c>
      <c r="R865" t="s">
        <v>75</v>
      </c>
      <c r="S865">
        <v>99</v>
      </c>
      <c r="T865" t="str">
        <f t="shared" si="200"/>
        <v>76-100</v>
      </c>
      <c r="U865">
        <v>3</v>
      </c>
      <c r="V865" t="s">
        <v>63</v>
      </c>
      <c r="W865">
        <v>1</v>
      </c>
      <c r="X865" t="s">
        <v>97</v>
      </c>
      <c r="Y865">
        <v>3</v>
      </c>
      <c r="Z865" t="s">
        <v>63</v>
      </c>
      <c r="AA865" t="s">
        <v>77</v>
      </c>
      <c r="AB865" s="4">
        <v>3600</v>
      </c>
      <c r="AC865" s="4" t="str">
        <f t="shared" si="201"/>
        <v>$2,500-$4,000</v>
      </c>
      <c r="AD865">
        <v>8429</v>
      </c>
      <c r="AE865" t="str">
        <f t="shared" si="202"/>
        <v>$8,001-$16,000</v>
      </c>
      <c r="AF865">
        <v>1</v>
      </c>
      <c r="AG865" t="str">
        <f t="shared" si="203"/>
        <v>0-1</v>
      </c>
      <c r="AH865" t="s">
        <v>67</v>
      </c>
      <c r="AI865" t="s">
        <v>71</v>
      </c>
      <c r="AJ865">
        <v>13</v>
      </c>
      <c r="AK865" t="str">
        <f t="shared" si="204"/>
        <v>13-15%</v>
      </c>
      <c r="AL865">
        <v>3</v>
      </c>
      <c r="AM865" t="s">
        <v>68</v>
      </c>
      <c r="AN865">
        <v>4</v>
      </c>
      <c r="AO865" t="s">
        <v>65</v>
      </c>
      <c r="AP865">
        <v>80</v>
      </c>
      <c r="AQ865">
        <v>1</v>
      </c>
      <c r="AR865">
        <v>5</v>
      </c>
      <c r="AS865" t="str">
        <f t="shared" si="205"/>
        <v>3-5</v>
      </c>
      <c r="AT865">
        <v>2</v>
      </c>
      <c r="AU865" t="str">
        <f t="shared" si="206"/>
        <v>0-2</v>
      </c>
      <c r="AV865">
        <v>3</v>
      </c>
      <c r="AW865" t="s">
        <v>79</v>
      </c>
      <c r="AX865">
        <v>5</v>
      </c>
      <c r="AY865" t="str">
        <f t="shared" si="195"/>
        <v>2-5</v>
      </c>
      <c r="AZ865">
        <v>4</v>
      </c>
      <c r="BA865" t="str">
        <f t="shared" si="207"/>
        <v>2-5</v>
      </c>
      <c r="BB865">
        <v>1</v>
      </c>
      <c r="BC865" t="str">
        <f t="shared" si="208"/>
        <v>0-1</v>
      </c>
      <c r="BD865">
        <v>4</v>
      </c>
      <c r="BE865" t="str">
        <f t="shared" si="209"/>
        <v>2-5</v>
      </c>
    </row>
    <row r="866" spans="1:57" x14ac:dyDescent="0.3">
      <c r="A866">
        <v>1210</v>
      </c>
      <c r="B866">
        <v>41</v>
      </c>
      <c r="C866" t="str">
        <f t="shared" si="196"/>
        <v>36-45</v>
      </c>
      <c r="D866" t="s">
        <v>56</v>
      </c>
      <c r="E866">
        <f t="shared" si="197"/>
        <v>1</v>
      </c>
      <c r="F866" t="s">
        <v>89</v>
      </c>
      <c r="G866">
        <v>906</v>
      </c>
      <c r="H866" t="str">
        <f t="shared" si="198"/>
        <v>501-1000</v>
      </c>
      <c r="I866" t="s">
        <v>73</v>
      </c>
      <c r="J866">
        <v>5</v>
      </c>
      <c r="K866" t="str">
        <f t="shared" si="199"/>
        <v>1-5</v>
      </c>
      <c r="L866">
        <v>2</v>
      </c>
      <c r="M866" t="s">
        <v>59</v>
      </c>
      <c r="N866" t="s">
        <v>60</v>
      </c>
      <c r="O866">
        <v>1</v>
      </c>
      <c r="P866">
        <v>1</v>
      </c>
      <c r="Q866" t="s">
        <v>69</v>
      </c>
      <c r="R866" t="s">
        <v>75</v>
      </c>
      <c r="S866">
        <v>95</v>
      </c>
      <c r="T866" t="str">
        <f t="shared" si="200"/>
        <v>76-100</v>
      </c>
      <c r="U866">
        <v>2</v>
      </c>
      <c r="V866" t="s">
        <v>61</v>
      </c>
      <c r="W866">
        <v>1</v>
      </c>
      <c r="X866" t="s">
        <v>76</v>
      </c>
      <c r="Y866">
        <v>1</v>
      </c>
      <c r="Z866" t="s">
        <v>69</v>
      </c>
      <c r="AA866" t="s">
        <v>86</v>
      </c>
      <c r="AB866" s="4">
        <v>2107</v>
      </c>
      <c r="AC866" s="4" t="str">
        <f t="shared" si="201"/>
        <v>$1,000-$2,500</v>
      </c>
      <c r="AD866">
        <v>20293</v>
      </c>
      <c r="AE866" t="str">
        <f t="shared" si="202"/>
        <v>$16,001-$22,000</v>
      </c>
      <c r="AF866">
        <v>6</v>
      </c>
      <c r="AG866" t="str">
        <f t="shared" si="203"/>
        <v>4-6</v>
      </c>
      <c r="AH866" t="s">
        <v>67</v>
      </c>
      <c r="AI866" t="s">
        <v>71</v>
      </c>
      <c r="AJ866">
        <v>17</v>
      </c>
      <c r="AK866" t="str">
        <f t="shared" si="204"/>
        <v>16-17%</v>
      </c>
      <c r="AL866">
        <v>3</v>
      </c>
      <c r="AM866" t="s">
        <v>68</v>
      </c>
      <c r="AN866">
        <v>1</v>
      </c>
      <c r="AO866" t="s">
        <v>69</v>
      </c>
      <c r="AP866">
        <v>80</v>
      </c>
      <c r="AQ866">
        <v>1</v>
      </c>
      <c r="AR866">
        <v>5</v>
      </c>
      <c r="AS866" t="str">
        <f t="shared" si="205"/>
        <v>3-5</v>
      </c>
      <c r="AT866">
        <v>2</v>
      </c>
      <c r="AU866" t="str">
        <f t="shared" si="206"/>
        <v>0-2</v>
      </c>
      <c r="AV866">
        <v>1</v>
      </c>
      <c r="AW866" t="s">
        <v>70</v>
      </c>
      <c r="AX866">
        <v>1</v>
      </c>
      <c r="AY866" t="str">
        <f t="shared" si="195"/>
        <v>0-1</v>
      </c>
      <c r="AZ866">
        <v>0</v>
      </c>
      <c r="BA866" t="str">
        <f t="shared" si="207"/>
        <v>0-1</v>
      </c>
      <c r="BB866">
        <v>0</v>
      </c>
      <c r="BC866" t="str">
        <f t="shared" si="208"/>
        <v>0-1</v>
      </c>
      <c r="BD866">
        <v>0</v>
      </c>
      <c r="BE866" t="str">
        <f t="shared" si="209"/>
        <v>0-1</v>
      </c>
    </row>
    <row r="867" spans="1:57" x14ac:dyDescent="0.3">
      <c r="A867">
        <v>1211</v>
      </c>
      <c r="B867">
        <v>30</v>
      </c>
      <c r="C867" t="str">
        <f t="shared" si="196"/>
        <v>26-35</v>
      </c>
      <c r="D867" t="s">
        <v>71</v>
      </c>
      <c r="E867">
        <f t="shared" si="197"/>
        <v>0</v>
      </c>
      <c r="F867" t="s">
        <v>57</v>
      </c>
      <c r="G867">
        <v>1329</v>
      </c>
      <c r="H867" t="str">
        <f t="shared" si="198"/>
        <v>1001-1499</v>
      </c>
      <c r="I867" t="s">
        <v>58</v>
      </c>
      <c r="J867">
        <v>29</v>
      </c>
      <c r="K867" t="str">
        <f t="shared" si="199"/>
        <v>21-29</v>
      </c>
      <c r="L867">
        <v>4</v>
      </c>
      <c r="M867" t="s">
        <v>82</v>
      </c>
      <c r="N867" t="s">
        <v>60</v>
      </c>
      <c r="O867">
        <v>1</v>
      </c>
      <c r="P867">
        <v>3</v>
      </c>
      <c r="Q867" t="s">
        <v>63</v>
      </c>
      <c r="R867" t="s">
        <v>75</v>
      </c>
      <c r="S867">
        <v>61</v>
      </c>
      <c r="T867" t="str">
        <f t="shared" si="200"/>
        <v>51-75</v>
      </c>
      <c r="U867">
        <v>3</v>
      </c>
      <c r="V867" t="s">
        <v>63</v>
      </c>
      <c r="W867">
        <v>2</v>
      </c>
      <c r="X867" t="s">
        <v>64</v>
      </c>
      <c r="Y867">
        <v>1</v>
      </c>
      <c r="Z867" t="s">
        <v>69</v>
      </c>
      <c r="AA867" t="s">
        <v>86</v>
      </c>
      <c r="AB867" s="4">
        <v>4115</v>
      </c>
      <c r="AC867" s="4" t="str">
        <f t="shared" si="201"/>
        <v>$4,000-$5,500</v>
      </c>
      <c r="AD867">
        <v>13192</v>
      </c>
      <c r="AE867" t="str">
        <f t="shared" si="202"/>
        <v>$8,001-$16,000</v>
      </c>
      <c r="AF867">
        <v>8</v>
      </c>
      <c r="AG867" t="str">
        <f t="shared" si="203"/>
        <v>7-9</v>
      </c>
      <c r="AH867" t="s">
        <v>67</v>
      </c>
      <c r="AI867" t="s">
        <v>71</v>
      </c>
      <c r="AJ867">
        <v>19</v>
      </c>
      <c r="AK867" t="str">
        <f t="shared" si="204"/>
        <v>18-19%</v>
      </c>
      <c r="AL867">
        <v>3</v>
      </c>
      <c r="AM867" t="s">
        <v>68</v>
      </c>
      <c r="AN867">
        <v>3</v>
      </c>
      <c r="AO867" t="s">
        <v>63</v>
      </c>
      <c r="AP867">
        <v>80</v>
      </c>
      <c r="AQ867">
        <v>3</v>
      </c>
      <c r="AR867">
        <v>8</v>
      </c>
      <c r="AS867" t="str">
        <f t="shared" si="205"/>
        <v>6-10</v>
      </c>
      <c r="AT867">
        <v>3</v>
      </c>
      <c r="AU867" t="str">
        <f t="shared" si="206"/>
        <v>3-4</v>
      </c>
      <c r="AV867">
        <v>3</v>
      </c>
      <c r="AW867" t="s">
        <v>79</v>
      </c>
      <c r="AX867">
        <v>4</v>
      </c>
      <c r="AY867" t="str">
        <f t="shared" si="195"/>
        <v>2-5</v>
      </c>
      <c r="AZ867">
        <v>3</v>
      </c>
      <c r="BA867" t="str">
        <f t="shared" si="207"/>
        <v>2-5</v>
      </c>
      <c r="BB867">
        <v>0</v>
      </c>
      <c r="BC867" t="str">
        <f t="shared" si="208"/>
        <v>0-1</v>
      </c>
      <c r="BD867">
        <v>3</v>
      </c>
      <c r="BE867" t="str">
        <f t="shared" si="209"/>
        <v>2-5</v>
      </c>
    </row>
    <row r="868" spans="1:57" x14ac:dyDescent="0.3">
      <c r="A868">
        <v>1212</v>
      </c>
      <c r="B868">
        <v>40</v>
      </c>
      <c r="C868" t="str">
        <f t="shared" si="196"/>
        <v>36-45</v>
      </c>
      <c r="D868" t="s">
        <v>71</v>
      </c>
      <c r="E868">
        <f t="shared" si="197"/>
        <v>0</v>
      </c>
      <c r="F868" t="s">
        <v>72</v>
      </c>
      <c r="G868">
        <v>1184</v>
      </c>
      <c r="H868" t="str">
        <f t="shared" si="198"/>
        <v>1001-1499</v>
      </c>
      <c r="I868" t="s">
        <v>58</v>
      </c>
      <c r="J868">
        <v>2</v>
      </c>
      <c r="K868" t="str">
        <f t="shared" si="199"/>
        <v>1-5</v>
      </c>
      <c r="L868">
        <v>4</v>
      </c>
      <c r="M868" t="s">
        <v>82</v>
      </c>
      <c r="N868" t="s">
        <v>83</v>
      </c>
      <c r="O868">
        <v>1</v>
      </c>
      <c r="P868">
        <v>2</v>
      </c>
      <c r="Q868" t="s">
        <v>61</v>
      </c>
      <c r="R868" t="s">
        <v>75</v>
      </c>
      <c r="S868">
        <v>62</v>
      </c>
      <c r="T868" t="str">
        <f t="shared" si="200"/>
        <v>51-75</v>
      </c>
      <c r="U868">
        <v>3</v>
      </c>
      <c r="V868" t="s">
        <v>63</v>
      </c>
      <c r="W868">
        <v>2</v>
      </c>
      <c r="X868" t="s">
        <v>64</v>
      </c>
      <c r="Y868">
        <v>2</v>
      </c>
      <c r="Z868" t="s">
        <v>61</v>
      </c>
      <c r="AA868" t="s">
        <v>77</v>
      </c>
      <c r="AB868" s="4">
        <v>4327</v>
      </c>
      <c r="AC868" s="4" t="str">
        <f t="shared" si="201"/>
        <v>$4,000-$5,500</v>
      </c>
      <c r="AD868">
        <v>25440</v>
      </c>
      <c r="AE868" t="str">
        <f t="shared" si="202"/>
        <v>$22,001-$26,999</v>
      </c>
      <c r="AF868">
        <v>5</v>
      </c>
      <c r="AG868" t="str">
        <f t="shared" si="203"/>
        <v>4-6</v>
      </c>
      <c r="AH868" t="s">
        <v>67</v>
      </c>
      <c r="AI868" t="s">
        <v>71</v>
      </c>
      <c r="AJ868">
        <v>12</v>
      </c>
      <c r="AK868" t="str">
        <f t="shared" si="204"/>
        <v>11-12%</v>
      </c>
      <c r="AL868">
        <v>3</v>
      </c>
      <c r="AM868" t="s">
        <v>68</v>
      </c>
      <c r="AN868">
        <v>4</v>
      </c>
      <c r="AO868" t="s">
        <v>65</v>
      </c>
      <c r="AP868">
        <v>80</v>
      </c>
      <c r="AQ868">
        <v>3</v>
      </c>
      <c r="AR868">
        <v>5</v>
      </c>
      <c r="AS868" t="str">
        <f t="shared" si="205"/>
        <v>3-5</v>
      </c>
      <c r="AT868">
        <v>2</v>
      </c>
      <c r="AU868" t="str">
        <f t="shared" si="206"/>
        <v>0-2</v>
      </c>
      <c r="AV868">
        <v>3</v>
      </c>
      <c r="AW868" t="s">
        <v>79</v>
      </c>
      <c r="AX868">
        <v>0</v>
      </c>
      <c r="AY868" t="str">
        <f t="shared" si="195"/>
        <v>0-1</v>
      </c>
      <c r="AZ868">
        <v>0</v>
      </c>
      <c r="BA868" t="str">
        <f t="shared" si="207"/>
        <v>0-1</v>
      </c>
      <c r="BB868">
        <v>0</v>
      </c>
      <c r="BC868" t="str">
        <f t="shared" si="208"/>
        <v>0-1</v>
      </c>
      <c r="BD868">
        <v>0</v>
      </c>
      <c r="BE868" t="str">
        <f t="shared" si="209"/>
        <v>0-1</v>
      </c>
    </row>
    <row r="869" spans="1:57" x14ac:dyDescent="0.3">
      <c r="A869">
        <v>1215</v>
      </c>
      <c r="B869">
        <v>50</v>
      </c>
      <c r="C869" t="str">
        <f t="shared" si="196"/>
        <v>46-55</v>
      </c>
      <c r="D869" t="s">
        <v>71</v>
      </c>
      <c r="E869">
        <f t="shared" si="197"/>
        <v>0</v>
      </c>
      <c r="F869" t="s">
        <v>72</v>
      </c>
      <c r="G869">
        <v>1421</v>
      </c>
      <c r="H869" t="str">
        <f t="shared" si="198"/>
        <v>1001-1499</v>
      </c>
      <c r="I869" t="s">
        <v>73</v>
      </c>
      <c r="J869">
        <v>2</v>
      </c>
      <c r="K869" t="str">
        <f t="shared" si="199"/>
        <v>1-5</v>
      </c>
      <c r="L869">
        <v>3</v>
      </c>
      <c r="M869" t="s">
        <v>85</v>
      </c>
      <c r="N869" t="s">
        <v>83</v>
      </c>
      <c r="O869">
        <v>1</v>
      </c>
      <c r="P869">
        <v>4</v>
      </c>
      <c r="Q869" t="s">
        <v>65</v>
      </c>
      <c r="R869" t="s">
        <v>62</v>
      </c>
      <c r="S869">
        <v>30</v>
      </c>
      <c r="T869" t="str">
        <f t="shared" si="200"/>
        <v>30-50</v>
      </c>
      <c r="U869">
        <v>3</v>
      </c>
      <c r="V869" t="s">
        <v>63</v>
      </c>
      <c r="W869">
        <v>4</v>
      </c>
      <c r="X869" t="s">
        <v>90</v>
      </c>
      <c r="Y869">
        <v>1</v>
      </c>
      <c r="Z869" t="s">
        <v>69</v>
      </c>
      <c r="AA869" t="s">
        <v>77</v>
      </c>
      <c r="AB869" s="4">
        <v>17856</v>
      </c>
      <c r="AC869" s="4" t="str">
        <f t="shared" si="201"/>
        <v>$17,500-$19,000</v>
      </c>
      <c r="AD869">
        <v>9490</v>
      </c>
      <c r="AE869" t="str">
        <f t="shared" si="202"/>
        <v>$8,001-$16,000</v>
      </c>
      <c r="AF869">
        <v>2</v>
      </c>
      <c r="AG869" t="str">
        <f t="shared" si="203"/>
        <v>2-3</v>
      </c>
      <c r="AH869" t="s">
        <v>67</v>
      </c>
      <c r="AI869" t="s">
        <v>71</v>
      </c>
      <c r="AJ869">
        <v>22</v>
      </c>
      <c r="AK869" t="str">
        <f t="shared" si="204"/>
        <v>18-19%</v>
      </c>
      <c r="AL869">
        <v>4</v>
      </c>
      <c r="AM869" t="s">
        <v>78</v>
      </c>
      <c r="AN869">
        <v>3</v>
      </c>
      <c r="AO869" t="s">
        <v>63</v>
      </c>
      <c r="AP869">
        <v>80</v>
      </c>
      <c r="AQ869">
        <v>1</v>
      </c>
      <c r="AR869">
        <v>32</v>
      </c>
      <c r="AS869" t="str">
        <f t="shared" si="205"/>
        <v>21-40</v>
      </c>
      <c r="AT869">
        <v>3</v>
      </c>
      <c r="AU869" t="str">
        <f t="shared" si="206"/>
        <v>3-4</v>
      </c>
      <c r="AV869">
        <v>3</v>
      </c>
      <c r="AW869" t="s">
        <v>79</v>
      </c>
      <c r="AX869">
        <v>2</v>
      </c>
      <c r="AY869" t="str">
        <f t="shared" si="195"/>
        <v>2-5</v>
      </c>
      <c r="AZ869">
        <v>2</v>
      </c>
      <c r="BA869" t="str">
        <f t="shared" si="207"/>
        <v>2-5</v>
      </c>
      <c r="BB869">
        <v>2</v>
      </c>
      <c r="BC869" t="str">
        <f t="shared" si="208"/>
        <v>2-5</v>
      </c>
      <c r="BD869">
        <v>2</v>
      </c>
      <c r="BE869" t="str">
        <f t="shared" si="209"/>
        <v>2-5</v>
      </c>
    </row>
    <row r="870" spans="1:57" x14ac:dyDescent="0.3">
      <c r="A870">
        <v>1216</v>
      </c>
      <c r="B870">
        <v>28</v>
      </c>
      <c r="C870" t="str">
        <f t="shared" si="196"/>
        <v>26-35</v>
      </c>
      <c r="D870" t="s">
        <v>71</v>
      </c>
      <c r="E870">
        <f t="shared" si="197"/>
        <v>0</v>
      </c>
      <c r="F870" t="s">
        <v>57</v>
      </c>
      <c r="G870">
        <v>1179</v>
      </c>
      <c r="H870" t="str">
        <f t="shared" si="198"/>
        <v>1001-1499</v>
      </c>
      <c r="I870" t="s">
        <v>73</v>
      </c>
      <c r="J870">
        <v>19</v>
      </c>
      <c r="K870" t="str">
        <f t="shared" si="199"/>
        <v>11-20</v>
      </c>
      <c r="L870">
        <v>4</v>
      </c>
      <c r="M870" t="s">
        <v>82</v>
      </c>
      <c r="N870" t="s">
        <v>83</v>
      </c>
      <c r="O870">
        <v>1</v>
      </c>
      <c r="P870">
        <v>4</v>
      </c>
      <c r="Q870" t="s">
        <v>65</v>
      </c>
      <c r="R870" t="s">
        <v>75</v>
      </c>
      <c r="S870">
        <v>78</v>
      </c>
      <c r="T870" t="str">
        <f t="shared" si="200"/>
        <v>76-100</v>
      </c>
      <c r="U870">
        <v>2</v>
      </c>
      <c r="V870" t="s">
        <v>61</v>
      </c>
      <c r="W870">
        <v>1</v>
      </c>
      <c r="X870" t="s">
        <v>81</v>
      </c>
      <c r="Y870">
        <v>1</v>
      </c>
      <c r="Z870" t="s">
        <v>69</v>
      </c>
      <c r="AA870" t="s">
        <v>77</v>
      </c>
      <c r="AB870" s="4">
        <v>3196</v>
      </c>
      <c r="AC870" s="4" t="str">
        <f t="shared" si="201"/>
        <v>$2,500-$4,000</v>
      </c>
      <c r="AD870">
        <v>12449</v>
      </c>
      <c r="AE870" t="str">
        <f t="shared" si="202"/>
        <v>$8,001-$16,000</v>
      </c>
      <c r="AF870">
        <v>1</v>
      </c>
      <c r="AG870" t="str">
        <f t="shared" si="203"/>
        <v>0-1</v>
      </c>
      <c r="AH870" t="s">
        <v>67</v>
      </c>
      <c r="AI870" t="s">
        <v>71</v>
      </c>
      <c r="AJ870">
        <v>12</v>
      </c>
      <c r="AK870" t="str">
        <f t="shared" si="204"/>
        <v>11-12%</v>
      </c>
      <c r="AL870">
        <v>3</v>
      </c>
      <c r="AM870" t="s">
        <v>68</v>
      </c>
      <c r="AN870">
        <v>3</v>
      </c>
      <c r="AO870" t="s">
        <v>63</v>
      </c>
      <c r="AP870">
        <v>80</v>
      </c>
      <c r="AQ870">
        <v>3</v>
      </c>
      <c r="AR870">
        <v>6</v>
      </c>
      <c r="AS870" t="str">
        <f t="shared" si="205"/>
        <v>6-10</v>
      </c>
      <c r="AT870">
        <v>2</v>
      </c>
      <c r="AU870" t="str">
        <f t="shared" si="206"/>
        <v>0-2</v>
      </c>
      <c r="AV870">
        <v>3</v>
      </c>
      <c r="AW870" t="s">
        <v>79</v>
      </c>
      <c r="AX870">
        <v>6</v>
      </c>
      <c r="AY870" t="str">
        <f t="shared" si="195"/>
        <v>6-10</v>
      </c>
      <c r="AZ870">
        <v>5</v>
      </c>
      <c r="BA870" t="str">
        <f t="shared" si="207"/>
        <v>2-5</v>
      </c>
      <c r="BB870">
        <v>3</v>
      </c>
      <c r="BC870" t="str">
        <f t="shared" si="208"/>
        <v>2-5</v>
      </c>
      <c r="BD870">
        <v>3</v>
      </c>
      <c r="BE870" t="str">
        <f t="shared" si="209"/>
        <v>2-5</v>
      </c>
    </row>
    <row r="871" spans="1:57" x14ac:dyDescent="0.3">
      <c r="A871">
        <v>1217</v>
      </c>
      <c r="B871">
        <v>46</v>
      </c>
      <c r="C871" t="str">
        <f t="shared" si="196"/>
        <v>46-55</v>
      </c>
      <c r="D871" t="s">
        <v>71</v>
      </c>
      <c r="E871">
        <f t="shared" si="197"/>
        <v>0</v>
      </c>
      <c r="F871" t="s">
        <v>57</v>
      </c>
      <c r="G871">
        <v>1450</v>
      </c>
      <c r="H871" t="str">
        <f t="shared" si="198"/>
        <v>1001-1499</v>
      </c>
      <c r="I871" t="s">
        <v>73</v>
      </c>
      <c r="J871">
        <v>15</v>
      </c>
      <c r="K871" t="str">
        <f t="shared" si="199"/>
        <v>11-20</v>
      </c>
      <c r="L871">
        <v>2</v>
      </c>
      <c r="M871" t="s">
        <v>59</v>
      </c>
      <c r="N871" t="s">
        <v>60</v>
      </c>
      <c r="O871">
        <v>1</v>
      </c>
      <c r="P871">
        <v>4</v>
      </c>
      <c r="Q871" t="s">
        <v>65</v>
      </c>
      <c r="R871" t="s">
        <v>75</v>
      </c>
      <c r="S871">
        <v>52</v>
      </c>
      <c r="T871" t="str">
        <f t="shared" si="200"/>
        <v>51-75</v>
      </c>
      <c r="U871">
        <v>3</v>
      </c>
      <c r="V871" t="s">
        <v>63</v>
      </c>
      <c r="W871">
        <v>5</v>
      </c>
      <c r="X871" t="s">
        <v>92</v>
      </c>
      <c r="Y871">
        <v>2</v>
      </c>
      <c r="Z871" t="s">
        <v>61</v>
      </c>
      <c r="AA871" t="s">
        <v>77</v>
      </c>
      <c r="AB871" s="4">
        <v>19081</v>
      </c>
      <c r="AC871" s="4" t="str">
        <f t="shared" si="201"/>
        <v>$19,000-$20,500</v>
      </c>
      <c r="AD871">
        <v>10849</v>
      </c>
      <c r="AE871" t="str">
        <f t="shared" si="202"/>
        <v>$8,001-$16,000</v>
      </c>
      <c r="AF871">
        <v>5</v>
      </c>
      <c r="AG871" t="str">
        <f t="shared" si="203"/>
        <v>4-6</v>
      </c>
      <c r="AH871" t="s">
        <v>67</v>
      </c>
      <c r="AI871" t="s">
        <v>71</v>
      </c>
      <c r="AJ871">
        <v>11</v>
      </c>
      <c r="AK871" t="str">
        <f t="shared" si="204"/>
        <v>11-12%</v>
      </c>
      <c r="AL871">
        <v>3</v>
      </c>
      <c r="AM871" t="s">
        <v>68</v>
      </c>
      <c r="AN871">
        <v>1</v>
      </c>
      <c r="AO871" t="s">
        <v>69</v>
      </c>
      <c r="AP871">
        <v>80</v>
      </c>
      <c r="AQ871">
        <v>1</v>
      </c>
      <c r="AR871">
        <v>25</v>
      </c>
      <c r="AS871" t="str">
        <f t="shared" si="205"/>
        <v>21-40</v>
      </c>
      <c r="AT871">
        <v>2</v>
      </c>
      <c r="AU871" t="str">
        <f t="shared" si="206"/>
        <v>0-2</v>
      </c>
      <c r="AV871">
        <v>3</v>
      </c>
      <c r="AW871" t="s">
        <v>79</v>
      </c>
      <c r="AX871">
        <v>4</v>
      </c>
      <c r="AY871" t="str">
        <f t="shared" si="195"/>
        <v>2-5</v>
      </c>
      <c r="AZ871">
        <v>2</v>
      </c>
      <c r="BA871" t="str">
        <f t="shared" si="207"/>
        <v>2-5</v>
      </c>
      <c r="BB871">
        <v>0</v>
      </c>
      <c r="BC871" t="str">
        <f t="shared" si="208"/>
        <v>0-1</v>
      </c>
      <c r="BD871">
        <v>3</v>
      </c>
      <c r="BE871" t="str">
        <f t="shared" si="209"/>
        <v>2-5</v>
      </c>
    </row>
    <row r="872" spans="1:57" x14ac:dyDescent="0.3">
      <c r="A872">
        <v>1218</v>
      </c>
      <c r="B872">
        <v>35</v>
      </c>
      <c r="C872" t="str">
        <f t="shared" si="196"/>
        <v>26-35</v>
      </c>
      <c r="D872" t="s">
        <v>71</v>
      </c>
      <c r="E872">
        <f t="shared" si="197"/>
        <v>0</v>
      </c>
      <c r="F872" t="s">
        <v>57</v>
      </c>
      <c r="G872">
        <v>1361</v>
      </c>
      <c r="H872" t="str">
        <f t="shared" si="198"/>
        <v>1001-1499</v>
      </c>
      <c r="I872" t="s">
        <v>58</v>
      </c>
      <c r="J872">
        <v>17</v>
      </c>
      <c r="K872" t="str">
        <f t="shared" si="199"/>
        <v>11-20</v>
      </c>
      <c r="L872">
        <v>4</v>
      </c>
      <c r="M872" t="s">
        <v>82</v>
      </c>
      <c r="N872" t="s">
        <v>60</v>
      </c>
      <c r="O872">
        <v>1</v>
      </c>
      <c r="P872">
        <v>3</v>
      </c>
      <c r="Q872" t="s">
        <v>63</v>
      </c>
      <c r="R872" t="s">
        <v>75</v>
      </c>
      <c r="S872">
        <v>94</v>
      </c>
      <c r="T872" t="str">
        <f t="shared" si="200"/>
        <v>76-100</v>
      </c>
      <c r="U872">
        <v>3</v>
      </c>
      <c r="V872" t="s">
        <v>63</v>
      </c>
      <c r="W872">
        <v>2</v>
      </c>
      <c r="X872" t="s">
        <v>64</v>
      </c>
      <c r="Y872">
        <v>1</v>
      </c>
      <c r="Z872" t="s">
        <v>69</v>
      </c>
      <c r="AA872" t="s">
        <v>77</v>
      </c>
      <c r="AB872" s="4">
        <v>8966</v>
      </c>
      <c r="AC872" s="4" t="str">
        <f t="shared" si="201"/>
        <v>$8,500-$10,000</v>
      </c>
      <c r="AD872">
        <v>21026</v>
      </c>
      <c r="AE872" t="str">
        <f t="shared" si="202"/>
        <v>$16,001-$22,000</v>
      </c>
      <c r="AF872">
        <v>3</v>
      </c>
      <c r="AG872" t="str">
        <f t="shared" si="203"/>
        <v>2-3</v>
      </c>
      <c r="AH872" t="s">
        <v>67</v>
      </c>
      <c r="AI872" t="s">
        <v>56</v>
      </c>
      <c r="AJ872">
        <v>15</v>
      </c>
      <c r="AK872" t="str">
        <f t="shared" si="204"/>
        <v>13-15%</v>
      </c>
      <c r="AL872">
        <v>3</v>
      </c>
      <c r="AM872" t="s">
        <v>68</v>
      </c>
      <c r="AN872">
        <v>4</v>
      </c>
      <c r="AO872" t="s">
        <v>65</v>
      </c>
      <c r="AP872">
        <v>80</v>
      </c>
      <c r="AQ872">
        <v>3</v>
      </c>
      <c r="AR872">
        <v>15</v>
      </c>
      <c r="AS872" t="str">
        <f t="shared" si="205"/>
        <v>11-20</v>
      </c>
      <c r="AT872">
        <v>2</v>
      </c>
      <c r="AU872" t="str">
        <f t="shared" si="206"/>
        <v>0-2</v>
      </c>
      <c r="AV872">
        <v>3</v>
      </c>
      <c r="AW872" t="s">
        <v>79</v>
      </c>
      <c r="AX872">
        <v>7</v>
      </c>
      <c r="AY872" t="str">
        <f t="shared" si="195"/>
        <v>6-10</v>
      </c>
      <c r="AZ872">
        <v>7</v>
      </c>
      <c r="BA872" t="str">
        <f t="shared" si="207"/>
        <v>6-10</v>
      </c>
      <c r="BB872">
        <v>1</v>
      </c>
      <c r="BC872" t="str">
        <f t="shared" si="208"/>
        <v>0-1</v>
      </c>
      <c r="BD872">
        <v>7</v>
      </c>
      <c r="BE872" t="str">
        <f t="shared" si="209"/>
        <v>6-10</v>
      </c>
    </row>
    <row r="873" spans="1:57" x14ac:dyDescent="0.3">
      <c r="A873">
        <v>1219</v>
      </c>
      <c r="B873">
        <v>24</v>
      </c>
      <c r="C873" t="str">
        <f t="shared" si="196"/>
        <v>18-25</v>
      </c>
      <c r="D873" t="s">
        <v>56</v>
      </c>
      <c r="E873">
        <f t="shared" si="197"/>
        <v>1</v>
      </c>
      <c r="F873" t="s">
        <v>57</v>
      </c>
      <c r="G873">
        <v>984</v>
      </c>
      <c r="H873" t="str">
        <f t="shared" si="198"/>
        <v>501-1000</v>
      </c>
      <c r="I873" t="s">
        <v>73</v>
      </c>
      <c r="J873">
        <v>17</v>
      </c>
      <c r="K873" t="str">
        <f t="shared" si="199"/>
        <v>11-20</v>
      </c>
      <c r="L873">
        <v>2</v>
      </c>
      <c r="M873" t="s">
        <v>59</v>
      </c>
      <c r="N873" t="s">
        <v>60</v>
      </c>
      <c r="O873">
        <v>1</v>
      </c>
      <c r="P873">
        <v>4</v>
      </c>
      <c r="Q873" t="s">
        <v>65</v>
      </c>
      <c r="R873" t="s">
        <v>62</v>
      </c>
      <c r="S873">
        <v>97</v>
      </c>
      <c r="T873" t="str">
        <f t="shared" si="200"/>
        <v>76-100</v>
      </c>
      <c r="U873">
        <v>3</v>
      </c>
      <c r="V873" t="s">
        <v>63</v>
      </c>
      <c r="W873">
        <v>1</v>
      </c>
      <c r="X873" t="s">
        <v>81</v>
      </c>
      <c r="Y873">
        <v>2</v>
      </c>
      <c r="Z873" t="s">
        <v>61</v>
      </c>
      <c r="AA873" t="s">
        <v>77</v>
      </c>
      <c r="AB873" s="4">
        <v>2210</v>
      </c>
      <c r="AC873" s="4" t="str">
        <f t="shared" si="201"/>
        <v>$1,000-$2,500</v>
      </c>
      <c r="AD873">
        <v>3372</v>
      </c>
      <c r="AE873" t="str">
        <f t="shared" si="202"/>
        <v>$2,094-$8,000</v>
      </c>
      <c r="AF873">
        <v>1</v>
      </c>
      <c r="AG873" t="str">
        <f t="shared" si="203"/>
        <v>0-1</v>
      </c>
      <c r="AH873" t="s">
        <v>67</v>
      </c>
      <c r="AI873" t="s">
        <v>71</v>
      </c>
      <c r="AJ873">
        <v>13</v>
      </c>
      <c r="AK873" t="str">
        <f t="shared" si="204"/>
        <v>13-15%</v>
      </c>
      <c r="AL873">
        <v>3</v>
      </c>
      <c r="AM873" t="s">
        <v>68</v>
      </c>
      <c r="AN873">
        <v>1</v>
      </c>
      <c r="AO873" t="s">
        <v>69</v>
      </c>
      <c r="AP873">
        <v>80</v>
      </c>
      <c r="AQ873">
        <v>1</v>
      </c>
      <c r="AR873">
        <v>1</v>
      </c>
      <c r="AS873" t="str">
        <f t="shared" si="205"/>
        <v>0-2</v>
      </c>
      <c r="AT873">
        <v>3</v>
      </c>
      <c r="AU873" t="str">
        <f t="shared" si="206"/>
        <v>3-4</v>
      </c>
      <c r="AV873">
        <v>1</v>
      </c>
      <c r="AW873" t="s">
        <v>70</v>
      </c>
      <c r="AX873">
        <v>1</v>
      </c>
      <c r="AY873" t="str">
        <f t="shared" si="195"/>
        <v>0-1</v>
      </c>
      <c r="AZ873">
        <v>0</v>
      </c>
      <c r="BA873" t="str">
        <f t="shared" si="207"/>
        <v>0-1</v>
      </c>
      <c r="BB873">
        <v>0</v>
      </c>
      <c r="BC873" t="str">
        <f t="shared" si="208"/>
        <v>0-1</v>
      </c>
      <c r="BD873">
        <v>0</v>
      </c>
      <c r="BE873" t="str">
        <f t="shared" si="209"/>
        <v>0-1</v>
      </c>
    </row>
    <row r="874" spans="1:57" x14ac:dyDescent="0.3">
      <c r="A874">
        <v>1220</v>
      </c>
      <c r="B874">
        <v>33</v>
      </c>
      <c r="C874" t="str">
        <f t="shared" si="196"/>
        <v>26-35</v>
      </c>
      <c r="D874" t="s">
        <v>71</v>
      </c>
      <c r="E874">
        <f t="shared" si="197"/>
        <v>0</v>
      </c>
      <c r="F874" t="s">
        <v>72</v>
      </c>
      <c r="G874">
        <v>1146</v>
      </c>
      <c r="H874" t="str">
        <f t="shared" si="198"/>
        <v>1001-1499</v>
      </c>
      <c r="I874" t="s">
        <v>58</v>
      </c>
      <c r="J874">
        <v>25</v>
      </c>
      <c r="K874" t="str">
        <f t="shared" si="199"/>
        <v>21-29</v>
      </c>
      <c r="L874">
        <v>3</v>
      </c>
      <c r="M874" t="s">
        <v>85</v>
      </c>
      <c r="N874" t="s">
        <v>83</v>
      </c>
      <c r="O874">
        <v>1</v>
      </c>
      <c r="P874">
        <v>2</v>
      </c>
      <c r="Q874" t="s">
        <v>61</v>
      </c>
      <c r="R874" t="s">
        <v>62</v>
      </c>
      <c r="S874">
        <v>82</v>
      </c>
      <c r="T874" t="str">
        <f t="shared" si="200"/>
        <v>76-100</v>
      </c>
      <c r="U874">
        <v>3</v>
      </c>
      <c r="V874" t="s">
        <v>63</v>
      </c>
      <c r="W874">
        <v>2</v>
      </c>
      <c r="X874" t="s">
        <v>64</v>
      </c>
      <c r="Y874">
        <v>3</v>
      </c>
      <c r="Z874" t="s">
        <v>63</v>
      </c>
      <c r="AA874" t="s">
        <v>77</v>
      </c>
      <c r="AB874" s="4">
        <v>4539</v>
      </c>
      <c r="AC874" s="4" t="str">
        <f t="shared" si="201"/>
        <v>$4,000-$5,500</v>
      </c>
      <c r="AD874">
        <v>4905</v>
      </c>
      <c r="AE874" t="str">
        <f t="shared" si="202"/>
        <v>$2,094-$8,000</v>
      </c>
      <c r="AF874">
        <v>1</v>
      </c>
      <c r="AG874" t="str">
        <f t="shared" si="203"/>
        <v>0-1</v>
      </c>
      <c r="AH874" t="s">
        <v>67</v>
      </c>
      <c r="AI874" t="s">
        <v>71</v>
      </c>
      <c r="AJ874">
        <v>12</v>
      </c>
      <c r="AK874" t="str">
        <f t="shared" si="204"/>
        <v>11-12%</v>
      </c>
      <c r="AL874">
        <v>3</v>
      </c>
      <c r="AM874" t="s">
        <v>68</v>
      </c>
      <c r="AN874">
        <v>1</v>
      </c>
      <c r="AO874" t="s">
        <v>69</v>
      </c>
      <c r="AP874">
        <v>80</v>
      </c>
      <c r="AQ874">
        <v>1</v>
      </c>
      <c r="AR874">
        <v>10</v>
      </c>
      <c r="AS874" t="str">
        <f t="shared" si="205"/>
        <v>6-10</v>
      </c>
      <c r="AT874">
        <v>3</v>
      </c>
      <c r="AU874" t="str">
        <f t="shared" si="206"/>
        <v>3-4</v>
      </c>
      <c r="AV874">
        <v>2</v>
      </c>
      <c r="AW874" t="s">
        <v>84</v>
      </c>
      <c r="AX874">
        <v>10</v>
      </c>
      <c r="AY874" t="str">
        <f t="shared" si="195"/>
        <v>6-10</v>
      </c>
      <c r="AZ874">
        <v>7</v>
      </c>
      <c r="BA874" t="str">
        <f t="shared" si="207"/>
        <v>6-10</v>
      </c>
      <c r="BB874">
        <v>0</v>
      </c>
      <c r="BC874" t="str">
        <f t="shared" si="208"/>
        <v>0-1</v>
      </c>
      <c r="BD874">
        <v>1</v>
      </c>
      <c r="BE874" t="str">
        <f t="shared" si="209"/>
        <v>0-1</v>
      </c>
    </row>
    <row r="875" spans="1:57" x14ac:dyDescent="0.3">
      <c r="A875">
        <v>1221</v>
      </c>
      <c r="B875">
        <v>36</v>
      </c>
      <c r="C875" t="str">
        <f t="shared" si="196"/>
        <v>36-45</v>
      </c>
      <c r="D875" t="s">
        <v>71</v>
      </c>
      <c r="E875">
        <f t="shared" si="197"/>
        <v>0</v>
      </c>
      <c r="F875" t="s">
        <v>57</v>
      </c>
      <c r="G875">
        <v>917</v>
      </c>
      <c r="H875" t="str">
        <f t="shared" si="198"/>
        <v>501-1000</v>
      </c>
      <c r="I875" t="s">
        <v>73</v>
      </c>
      <c r="J875">
        <v>6</v>
      </c>
      <c r="K875" t="str">
        <f t="shared" si="199"/>
        <v>6-10</v>
      </c>
      <c r="L875">
        <v>4</v>
      </c>
      <c r="M875" t="s">
        <v>82</v>
      </c>
      <c r="N875" t="s">
        <v>60</v>
      </c>
      <c r="O875">
        <v>1</v>
      </c>
      <c r="P875">
        <v>3</v>
      </c>
      <c r="Q875" t="s">
        <v>63</v>
      </c>
      <c r="R875" t="s">
        <v>75</v>
      </c>
      <c r="S875">
        <v>60</v>
      </c>
      <c r="T875" t="str">
        <f t="shared" si="200"/>
        <v>51-75</v>
      </c>
      <c r="U875">
        <v>1</v>
      </c>
      <c r="V875" t="s">
        <v>69</v>
      </c>
      <c r="W875">
        <v>1</v>
      </c>
      <c r="X875" t="s">
        <v>81</v>
      </c>
      <c r="Y875">
        <v>3</v>
      </c>
      <c r="Z875" t="s">
        <v>63</v>
      </c>
      <c r="AA875" t="s">
        <v>86</v>
      </c>
      <c r="AB875" s="4">
        <v>2741</v>
      </c>
      <c r="AC875" s="4" t="str">
        <f t="shared" si="201"/>
        <v>$2,500-$4,000</v>
      </c>
      <c r="AD875">
        <v>6865</v>
      </c>
      <c r="AE875" t="str">
        <f t="shared" si="202"/>
        <v>$2,094-$8,000</v>
      </c>
      <c r="AF875">
        <v>1</v>
      </c>
      <c r="AG875" t="str">
        <f t="shared" si="203"/>
        <v>0-1</v>
      </c>
      <c r="AH875" t="s">
        <v>67</v>
      </c>
      <c r="AI875" t="s">
        <v>71</v>
      </c>
      <c r="AJ875">
        <v>14</v>
      </c>
      <c r="AK875" t="str">
        <f t="shared" si="204"/>
        <v>13-15%</v>
      </c>
      <c r="AL875">
        <v>3</v>
      </c>
      <c r="AM875" t="s">
        <v>68</v>
      </c>
      <c r="AN875">
        <v>3</v>
      </c>
      <c r="AO875" t="s">
        <v>63</v>
      </c>
      <c r="AP875">
        <v>80</v>
      </c>
      <c r="AQ875">
        <v>1</v>
      </c>
      <c r="AR875">
        <v>7</v>
      </c>
      <c r="AS875" t="str">
        <f t="shared" si="205"/>
        <v>6-10</v>
      </c>
      <c r="AT875">
        <v>4</v>
      </c>
      <c r="AU875" t="str">
        <f t="shared" si="206"/>
        <v>3-4</v>
      </c>
      <c r="AV875">
        <v>3</v>
      </c>
      <c r="AW875" t="s">
        <v>79</v>
      </c>
      <c r="AX875">
        <v>7</v>
      </c>
      <c r="AY875" t="str">
        <f t="shared" si="195"/>
        <v>6-10</v>
      </c>
      <c r="AZ875">
        <v>7</v>
      </c>
      <c r="BA875" t="str">
        <f t="shared" si="207"/>
        <v>6-10</v>
      </c>
      <c r="BB875">
        <v>1</v>
      </c>
      <c r="BC875" t="str">
        <f t="shared" si="208"/>
        <v>0-1</v>
      </c>
      <c r="BD875">
        <v>7</v>
      </c>
      <c r="BE875" t="str">
        <f t="shared" si="209"/>
        <v>6-10</v>
      </c>
    </row>
    <row r="876" spans="1:57" x14ac:dyDescent="0.3">
      <c r="A876">
        <v>1224</v>
      </c>
      <c r="B876">
        <v>30</v>
      </c>
      <c r="C876" t="str">
        <f t="shared" si="196"/>
        <v>26-35</v>
      </c>
      <c r="D876" t="s">
        <v>71</v>
      </c>
      <c r="E876">
        <f t="shared" si="197"/>
        <v>0</v>
      </c>
      <c r="F876" t="s">
        <v>57</v>
      </c>
      <c r="G876">
        <v>853</v>
      </c>
      <c r="H876" t="str">
        <f t="shared" si="198"/>
        <v>501-1000</v>
      </c>
      <c r="I876" t="s">
        <v>73</v>
      </c>
      <c r="J876">
        <v>7</v>
      </c>
      <c r="K876" t="str">
        <f t="shared" si="199"/>
        <v>6-10</v>
      </c>
      <c r="L876">
        <v>4</v>
      </c>
      <c r="M876" t="s">
        <v>82</v>
      </c>
      <c r="N876" t="s">
        <v>60</v>
      </c>
      <c r="O876">
        <v>1</v>
      </c>
      <c r="P876">
        <v>3</v>
      </c>
      <c r="Q876" t="s">
        <v>63</v>
      </c>
      <c r="R876" t="s">
        <v>75</v>
      </c>
      <c r="S876">
        <v>49</v>
      </c>
      <c r="T876" t="str">
        <f t="shared" si="200"/>
        <v>30-50</v>
      </c>
      <c r="U876">
        <v>3</v>
      </c>
      <c r="V876" t="s">
        <v>63</v>
      </c>
      <c r="W876">
        <v>2</v>
      </c>
      <c r="X876" t="s">
        <v>81</v>
      </c>
      <c r="Y876">
        <v>3</v>
      </c>
      <c r="Z876" t="s">
        <v>63</v>
      </c>
      <c r="AA876" t="s">
        <v>86</v>
      </c>
      <c r="AB876" s="4">
        <v>3491</v>
      </c>
      <c r="AC876" s="4" t="str">
        <f t="shared" si="201"/>
        <v>$2,500-$4,000</v>
      </c>
      <c r="AD876">
        <v>11309</v>
      </c>
      <c r="AE876" t="str">
        <f t="shared" si="202"/>
        <v>$8,001-$16,000</v>
      </c>
      <c r="AF876">
        <v>1</v>
      </c>
      <c r="AG876" t="str">
        <f t="shared" si="203"/>
        <v>0-1</v>
      </c>
      <c r="AH876" t="s">
        <v>67</v>
      </c>
      <c r="AI876" t="s">
        <v>71</v>
      </c>
      <c r="AJ876">
        <v>13</v>
      </c>
      <c r="AK876" t="str">
        <f t="shared" si="204"/>
        <v>13-15%</v>
      </c>
      <c r="AL876">
        <v>3</v>
      </c>
      <c r="AM876" t="s">
        <v>68</v>
      </c>
      <c r="AN876">
        <v>1</v>
      </c>
      <c r="AO876" t="s">
        <v>69</v>
      </c>
      <c r="AP876">
        <v>80</v>
      </c>
      <c r="AQ876">
        <v>3</v>
      </c>
      <c r="AR876">
        <v>10</v>
      </c>
      <c r="AS876" t="str">
        <f t="shared" si="205"/>
        <v>6-10</v>
      </c>
      <c r="AT876">
        <v>4</v>
      </c>
      <c r="AU876" t="str">
        <f t="shared" si="206"/>
        <v>3-4</v>
      </c>
      <c r="AV876">
        <v>2</v>
      </c>
      <c r="AW876" t="s">
        <v>84</v>
      </c>
      <c r="AX876">
        <v>10</v>
      </c>
      <c r="AY876" t="str">
        <f t="shared" si="195"/>
        <v>6-10</v>
      </c>
      <c r="AZ876">
        <v>7</v>
      </c>
      <c r="BA876" t="str">
        <f t="shared" si="207"/>
        <v>6-10</v>
      </c>
      <c r="BB876">
        <v>8</v>
      </c>
      <c r="BC876" t="str">
        <f t="shared" si="208"/>
        <v>6-10</v>
      </c>
      <c r="BD876">
        <v>9</v>
      </c>
      <c r="BE876" t="str">
        <f t="shared" si="209"/>
        <v>6-10</v>
      </c>
    </row>
    <row r="877" spans="1:57" x14ac:dyDescent="0.3">
      <c r="A877">
        <v>1225</v>
      </c>
      <c r="B877">
        <v>44</v>
      </c>
      <c r="C877" t="str">
        <f t="shared" si="196"/>
        <v>36-45</v>
      </c>
      <c r="D877" t="s">
        <v>71</v>
      </c>
      <c r="E877">
        <f t="shared" si="197"/>
        <v>0</v>
      </c>
      <c r="F877" t="s">
        <v>57</v>
      </c>
      <c r="G877">
        <v>200</v>
      </c>
      <c r="H877" t="str">
        <f t="shared" si="198"/>
        <v>102-500</v>
      </c>
      <c r="I877" t="s">
        <v>73</v>
      </c>
      <c r="J877">
        <v>29</v>
      </c>
      <c r="K877" t="str">
        <f t="shared" si="199"/>
        <v>21-29</v>
      </c>
      <c r="L877">
        <v>4</v>
      </c>
      <c r="M877" t="s">
        <v>82</v>
      </c>
      <c r="N877" t="s">
        <v>80</v>
      </c>
      <c r="O877">
        <v>1</v>
      </c>
      <c r="P877">
        <v>4</v>
      </c>
      <c r="Q877" t="s">
        <v>65</v>
      </c>
      <c r="R877" t="s">
        <v>75</v>
      </c>
      <c r="S877">
        <v>32</v>
      </c>
      <c r="T877" t="str">
        <f t="shared" si="200"/>
        <v>30-50</v>
      </c>
      <c r="U877">
        <v>3</v>
      </c>
      <c r="V877" t="s">
        <v>63</v>
      </c>
      <c r="W877">
        <v>2</v>
      </c>
      <c r="X877" t="s">
        <v>76</v>
      </c>
      <c r="Y877">
        <v>4</v>
      </c>
      <c r="Z877" t="s">
        <v>65</v>
      </c>
      <c r="AA877" t="s">
        <v>66</v>
      </c>
      <c r="AB877" s="4">
        <v>4541</v>
      </c>
      <c r="AC877" s="4" t="str">
        <f t="shared" si="201"/>
        <v>$4,000-$5,500</v>
      </c>
      <c r="AD877">
        <v>7744</v>
      </c>
      <c r="AE877" t="str">
        <f t="shared" si="202"/>
        <v>$2,094-$8,000</v>
      </c>
      <c r="AF877">
        <v>1</v>
      </c>
      <c r="AG877" t="str">
        <f t="shared" si="203"/>
        <v>0-1</v>
      </c>
      <c r="AH877" t="s">
        <v>67</v>
      </c>
      <c r="AI877" t="s">
        <v>71</v>
      </c>
      <c r="AJ877">
        <v>25</v>
      </c>
      <c r="AK877" t="str">
        <f t="shared" si="204"/>
        <v>18-19%</v>
      </c>
      <c r="AL877">
        <v>4</v>
      </c>
      <c r="AM877" t="s">
        <v>78</v>
      </c>
      <c r="AN877">
        <v>2</v>
      </c>
      <c r="AO877" t="s">
        <v>61</v>
      </c>
      <c r="AP877">
        <v>80</v>
      </c>
      <c r="AQ877">
        <v>0</v>
      </c>
      <c r="AR877">
        <v>20</v>
      </c>
      <c r="AS877" t="str">
        <f t="shared" si="205"/>
        <v>11-20</v>
      </c>
      <c r="AT877">
        <v>3</v>
      </c>
      <c r="AU877" t="str">
        <f t="shared" si="206"/>
        <v>3-4</v>
      </c>
      <c r="AV877">
        <v>3</v>
      </c>
      <c r="AW877" t="s">
        <v>79</v>
      </c>
      <c r="AX877">
        <v>20</v>
      </c>
      <c r="AY877" t="str">
        <f t="shared" si="195"/>
        <v>11-20</v>
      </c>
      <c r="AZ877">
        <v>11</v>
      </c>
      <c r="BA877" t="str">
        <f t="shared" si="207"/>
        <v>11-18</v>
      </c>
      <c r="BB877">
        <v>13</v>
      </c>
      <c r="BC877" t="str">
        <f t="shared" si="208"/>
        <v>11-15</v>
      </c>
      <c r="BD877">
        <v>17</v>
      </c>
      <c r="BE877" t="str">
        <f t="shared" si="209"/>
        <v>11-17</v>
      </c>
    </row>
    <row r="878" spans="1:57" x14ac:dyDescent="0.3">
      <c r="A878">
        <v>1226</v>
      </c>
      <c r="B878">
        <v>20</v>
      </c>
      <c r="C878" t="str">
        <f t="shared" si="196"/>
        <v>18-25</v>
      </c>
      <c r="D878" t="s">
        <v>71</v>
      </c>
      <c r="E878">
        <f t="shared" si="197"/>
        <v>0</v>
      </c>
      <c r="F878" t="s">
        <v>57</v>
      </c>
      <c r="G878">
        <v>654</v>
      </c>
      <c r="H878" t="str">
        <f t="shared" si="198"/>
        <v>501-1000</v>
      </c>
      <c r="I878" t="s">
        <v>58</v>
      </c>
      <c r="J878">
        <v>21</v>
      </c>
      <c r="K878" t="str">
        <f t="shared" si="199"/>
        <v>21-29</v>
      </c>
      <c r="L878">
        <v>3</v>
      </c>
      <c r="M878" t="s">
        <v>85</v>
      </c>
      <c r="N878" t="s">
        <v>93</v>
      </c>
      <c r="O878">
        <v>1</v>
      </c>
      <c r="P878">
        <v>3</v>
      </c>
      <c r="Q878" t="s">
        <v>63</v>
      </c>
      <c r="R878" t="s">
        <v>75</v>
      </c>
      <c r="S878">
        <v>43</v>
      </c>
      <c r="T878" t="str">
        <f t="shared" si="200"/>
        <v>30-50</v>
      </c>
      <c r="U878">
        <v>4</v>
      </c>
      <c r="V878" t="s">
        <v>65</v>
      </c>
      <c r="W878">
        <v>1</v>
      </c>
      <c r="X878" t="s">
        <v>91</v>
      </c>
      <c r="Y878">
        <v>4</v>
      </c>
      <c r="Z878" t="s">
        <v>65</v>
      </c>
      <c r="AA878" t="s">
        <v>66</v>
      </c>
      <c r="AB878" s="4">
        <v>2678</v>
      </c>
      <c r="AC878" s="4" t="str">
        <f t="shared" si="201"/>
        <v>$2,500-$4,000</v>
      </c>
      <c r="AD878">
        <v>5050</v>
      </c>
      <c r="AE878" t="str">
        <f t="shared" si="202"/>
        <v>$2,094-$8,000</v>
      </c>
      <c r="AF878">
        <v>1</v>
      </c>
      <c r="AG878" t="str">
        <f t="shared" si="203"/>
        <v>0-1</v>
      </c>
      <c r="AH878" t="s">
        <v>67</v>
      </c>
      <c r="AI878" t="s">
        <v>71</v>
      </c>
      <c r="AJ878">
        <v>17</v>
      </c>
      <c r="AK878" t="str">
        <f t="shared" si="204"/>
        <v>16-17%</v>
      </c>
      <c r="AL878">
        <v>3</v>
      </c>
      <c r="AM878" t="s">
        <v>68</v>
      </c>
      <c r="AN878">
        <v>4</v>
      </c>
      <c r="AO878" t="s">
        <v>65</v>
      </c>
      <c r="AP878">
        <v>80</v>
      </c>
      <c r="AQ878">
        <v>0</v>
      </c>
      <c r="AR878">
        <v>2</v>
      </c>
      <c r="AS878" t="str">
        <f t="shared" si="205"/>
        <v>0-2</v>
      </c>
      <c r="AT878">
        <v>2</v>
      </c>
      <c r="AU878" t="str">
        <f t="shared" si="206"/>
        <v>0-2</v>
      </c>
      <c r="AV878">
        <v>3</v>
      </c>
      <c r="AW878" t="s">
        <v>79</v>
      </c>
      <c r="AX878">
        <v>2</v>
      </c>
      <c r="AY878" t="str">
        <f t="shared" si="195"/>
        <v>2-5</v>
      </c>
      <c r="AZ878">
        <v>1</v>
      </c>
      <c r="BA878" t="str">
        <f t="shared" si="207"/>
        <v>0-1</v>
      </c>
      <c r="BB878">
        <v>2</v>
      </c>
      <c r="BC878" t="str">
        <f t="shared" si="208"/>
        <v>2-5</v>
      </c>
      <c r="BD878">
        <v>2</v>
      </c>
      <c r="BE878" t="str">
        <f t="shared" si="209"/>
        <v>2-5</v>
      </c>
    </row>
    <row r="879" spans="1:57" x14ac:dyDescent="0.3">
      <c r="A879">
        <v>1228</v>
      </c>
      <c r="B879">
        <v>46</v>
      </c>
      <c r="C879" t="str">
        <f t="shared" si="196"/>
        <v>46-55</v>
      </c>
      <c r="D879" t="s">
        <v>71</v>
      </c>
      <c r="E879">
        <f t="shared" si="197"/>
        <v>0</v>
      </c>
      <c r="F879" t="s">
        <v>57</v>
      </c>
      <c r="G879">
        <v>150</v>
      </c>
      <c r="H879" t="str">
        <f t="shared" si="198"/>
        <v>102-500</v>
      </c>
      <c r="I879" t="s">
        <v>73</v>
      </c>
      <c r="J879">
        <v>2</v>
      </c>
      <c r="K879" t="str">
        <f t="shared" si="199"/>
        <v>1-5</v>
      </c>
      <c r="L879">
        <v>4</v>
      </c>
      <c r="M879" t="s">
        <v>82</v>
      </c>
      <c r="N879" t="s">
        <v>95</v>
      </c>
      <c r="O879">
        <v>1</v>
      </c>
      <c r="P879">
        <v>4</v>
      </c>
      <c r="Q879" t="s">
        <v>65</v>
      </c>
      <c r="R879" t="s">
        <v>75</v>
      </c>
      <c r="S879">
        <v>60</v>
      </c>
      <c r="T879" t="str">
        <f t="shared" si="200"/>
        <v>51-75</v>
      </c>
      <c r="U879">
        <v>3</v>
      </c>
      <c r="V879" t="s">
        <v>63</v>
      </c>
      <c r="W879">
        <v>2</v>
      </c>
      <c r="X879" t="s">
        <v>87</v>
      </c>
      <c r="Y879">
        <v>4</v>
      </c>
      <c r="Z879" t="s">
        <v>65</v>
      </c>
      <c r="AA879" t="s">
        <v>86</v>
      </c>
      <c r="AB879" s="4">
        <v>7379</v>
      </c>
      <c r="AC879" s="4" t="str">
        <f t="shared" si="201"/>
        <v>$7,000-$8,500</v>
      </c>
      <c r="AD879">
        <v>17433</v>
      </c>
      <c r="AE879" t="str">
        <f t="shared" si="202"/>
        <v>$16,001-$22,000</v>
      </c>
      <c r="AF879">
        <v>2</v>
      </c>
      <c r="AG879" t="str">
        <f t="shared" si="203"/>
        <v>2-3</v>
      </c>
      <c r="AH879" t="s">
        <v>67</v>
      </c>
      <c r="AI879" t="s">
        <v>71</v>
      </c>
      <c r="AJ879">
        <v>11</v>
      </c>
      <c r="AK879" t="str">
        <f t="shared" si="204"/>
        <v>11-12%</v>
      </c>
      <c r="AL879">
        <v>3</v>
      </c>
      <c r="AM879" t="s">
        <v>68</v>
      </c>
      <c r="AN879">
        <v>3</v>
      </c>
      <c r="AO879" t="s">
        <v>63</v>
      </c>
      <c r="AP879">
        <v>80</v>
      </c>
      <c r="AQ879">
        <v>1</v>
      </c>
      <c r="AR879">
        <v>12</v>
      </c>
      <c r="AS879" t="str">
        <f t="shared" si="205"/>
        <v>11-20</v>
      </c>
      <c r="AT879">
        <v>3</v>
      </c>
      <c r="AU879" t="str">
        <f t="shared" si="206"/>
        <v>3-4</v>
      </c>
      <c r="AV879">
        <v>2</v>
      </c>
      <c r="AW879" t="s">
        <v>84</v>
      </c>
      <c r="AX879">
        <v>6</v>
      </c>
      <c r="AY879" t="str">
        <f t="shared" si="195"/>
        <v>6-10</v>
      </c>
      <c r="AZ879">
        <v>3</v>
      </c>
      <c r="BA879" t="str">
        <f t="shared" si="207"/>
        <v>2-5</v>
      </c>
      <c r="BB879">
        <v>1</v>
      </c>
      <c r="BC879" t="str">
        <f t="shared" si="208"/>
        <v>0-1</v>
      </c>
      <c r="BD879">
        <v>4</v>
      </c>
      <c r="BE879" t="str">
        <f t="shared" si="209"/>
        <v>2-5</v>
      </c>
    </row>
    <row r="880" spans="1:57" x14ac:dyDescent="0.3">
      <c r="A880">
        <v>1231</v>
      </c>
      <c r="B880">
        <v>42</v>
      </c>
      <c r="C880" t="str">
        <f t="shared" si="196"/>
        <v>36-45</v>
      </c>
      <c r="D880" t="s">
        <v>71</v>
      </c>
      <c r="E880">
        <f t="shared" si="197"/>
        <v>0</v>
      </c>
      <c r="F880" t="s">
        <v>89</v>
      </c>
      <c r="G880">
        <v>179</v>
      </c>
      <c r="H880" t="str">
        <f t="shared" si="198"/>
        <v>102-500</v>
      </c>
      <c r="I880" t="s">
        <v>97</v>
      </c>
      <c r="J880">
        <v>2</v>
      </c>
      <c r="K880" t="str">
        <f t="shared" si="199"/>
        <v>1-5</v>
      </c>
      <c r="L880">
        <v>5</v>
      </c>
      <c r="M880" t="s">
        <v>96</v>
      </c>
      <c r="N880" t="s">
        <v>83</v>
      </c>
      <c r="O880">
        <v>1</v>
      </c>
      <c r="P880">
        <v>4</v>
      </c>
      <c r="Q880" t="s">
        <v>65</v>
      </c>
      <c r="R880" t="s">
        <v>75</v>
      </c>
      <c r="S880">
        <v>79</v>
      </c>
      <c r="T880" t="str">
        <f t="shared" si="200"/>
        <v>76-100</v>
      </c>
      <c r="U880">
        <v>4</v>
      </c>
      <c r="V880" t="s">
        <v>65</v>
      </c>
      <c r="W880">
        <v>2</v>
      </c>
      <c r="X880" t="s">
        <v>97</v>
      </c>
      <c r="Y880">
        <v>1</v>
      </c>
      <c r="Z880" t="s">
        <v>69</v>
      </c>
      <c r="AA880" t="s">
        <v>77</v>
      </c>
      <c r="AB880" s="4">
        <v>6272</v>
      </c>
      <c r="AC880" s="4" t="str">
        <f t="shared" si="201"/>
        <v>$5,500-$7,000</v>
      </c>
      <c r="AD880">
        <v>12858</v>
      </c>
      <c r="AE880" t="str">
        <f t="shared" si="202"/>
        <v>$8,001-$16,000</v>
      </c>
      <c r="AF880">
        <v>7</v>
      </c>
      <c r="AG880" t="str">
        <f t="shared" si="203"/>
        <v>7-9</v>
      </c>
      <c r="AH880" t="s">
        <v>67</v>
      </c>
      <c r="AI880" t="s">
        <v>71</v>
      </c>
      <c r="AJ880">
        <v>16</v>
      </c>
      <c r="AK880" t="str">
        <f t="shared" si="204"/>
        <v>16-17%</v>
      </c>
      <c r="AL880">
        <v>3</v>
      </c>
      <c r="AM880" t="s">
        <v>68</v>
      </c>
      <c r="AN880">
        <v>1</v>
      </c>
      <c r="AO880" t="s">
        <v>69</v>
      </c>
      <c r="AP880">
        <v>80</v>
      </c>
      <c r="AQ880">
        <v>1</v>
      </c>
      <c r="AR880">
        <v>10</v>
      </c>
      <c r="AS880" t="str">
        <f t="shared" si="205"/>
        <v>6-10</v>
      </c>
      <c r="AT880">
        <v>3</v>
      </c>
      <c r="AU880" t="str">
        <f t="shared" si="206"/>
        <v>3-4</v>
      </c>
      <c r="AV880">
        <v>4</v>
      </c>
      <c r="AW880" t="s">
        <v>94</v>
      </c>
      <c r="AX880">
        <v>4</v>
      </c>
      <c r="AY880" t="str">
        <f t="shared" si="195"/>
        <v>2-5</v>
      </c>
      <c r="AZ880">
        <v>3</v>
      </c>
      <c r="BA880" t="str">
        <f t="shared" si="207"/>
        <v>2-5</v>
      </c>
      <c r="BB880">
        <v>0</v>
      </c>
      <c r="BC880" t="str">
        <f t="shared" si="208"/>
        <v>0-1</v>
      </c>
      <c r="BD880">
        <v>3</v>
      </c>
      <c r="BE880" t="str">
        <f t="shared" si="209"/>
        <v>2-5</v>
      </c>
    </row>
    <row r="881" spans="1:57" x14ac:dyDescent="0.3">
      <c r="A881">
        <v>1233</v>
      </c>
      <c r="B881">
        <v>60</v>
      </c>
      <c r="C881" t="str">
        <f t="shared" si="196"/>
        <v>56+</v>
      </c>
      <c r="D881" t="s">
        <v>71</v>
      </c>
      <c r="E881">
        <f t="shared" si="197"/>
        <v>0</v>
      </c>
      <c r="F881" t="s">
        <v>57</v>
      </c>
      <c r="G881">
        <v>696</v>
      </c>
      <c r="H881" t="str">
        <f t="shared" si="198"/>
        <v>501-1000</v>
      </c>
      <c r="I881" t="s">
        <v>58</v>
      </c>
      <c r="J881">
        <v>7</v>
      </c>
      <c r="K881" t="str">
        <f t="shared" si="199"/>
        <v>6-10</v>
      </c>
      <c r="L881">
        <v>4</v>
      </c>
      <c r="M881" t="s">
        <v>82</v>
      </c>
      <c r="N881" t="s">
        <v>93</v>
      </c>
      <c r="O881">
        <v>1</v>
      </c>
      <c r="P881">
        <v>2</v>
      </c>
      <c r="Q881" t="s">
        <v>61</v>
      </c>
      <c r="R881" t="s">
        <v>75</v>
      </c>
      <c r="S881">
        <v>52</v>
      </c>
      <c r="T881" t="str">
        <f t="shared" si="200"/>
        <v>51-75</v>
      </c>
      <c r="U881">
        <v>4</v>
      </c>
      <c r="V881" t="s">
        <v>65</v>
      </c>
      <c r="W881">
        <v>2</v>
      </c>
      <c r="X881" t="s">
        <v>64</v>
      </c>
      <c r="Y881">
        <v>4</v>
      </c>
      <c r="Z881" t="s">
        <v>65</v>
      </c>
      <c r="AA881" t="s">
        <v>86</v>
      </c>
      <c r="AB881" s="4">
        <v>5220</v>
      </c>
      <c r="AC881" s="4" t="str">
        <f t="shared" si="201"/>
        <v>$4,000-$5,500</v>
      </c>
      <c r="AD881">
        <v>10893</v>
      </c>
      <c r="AE881" t="str">
        <f t="shared" si="202"/>
        <v>$8,001-$16,000</v>
      </c>
      <c r="AF881">
        <v>0</v>
      </c>
      <c r="AG881" t="str">
        <f t="shared" si="203"/>
        <v>0-1</v>
      </c>
      <c r="AH881" t="s">
        <v>67</v>
      </c>
      <c r="AI881" t="s">
        <v>56</v>
      </c>
      <c r="AJ881">
        <v>18</v>
      </c>
      <c r="AK881" t="str">
        <f t="shared" si="204"/>
        <v>18-19%</v>
      </c>
      <c r="AL881">
        <v>3</v>
      </c>
      <c r="AM881" t="s">
        <v>68</v>
      </c>
      <c r="AN881">
        <v>2</v>
      </c>
      <c r="AO881" t="s">
        <v>61</v>
      </c>
      <c r="AP881">
        <v>80</v>
      </c>
      <c r="AQ881">
        <v>1</v>
      </c>
      <c r="AR881">
        <v>12</v>
      </c>
      <c r="AS881" t="str">
        <f t="shared" si="205"/>
        <v>11-20</v>
      </c>
      <c r="AT881">
        <v>3</v>
      </c>
      <c r="AU881" t="str">
        <f t="shared" si="206"/>
        <v>3-4</v>
      </c>
      <c r="AV881">
        <v>3</v>
      </c>
      <c r="AW881" t="s">
        <v>79</v>
      </c>
      <c r="AX881">
        <v>11</v>
      </c>
      <c r="AY881" t="str">
        <f t="shared" si="195"/>
        <v>11-20</v>
      </c>
      <c r="AZ881">
        <v>7</v>
      </c>
      <c r="BA881" t="str">
        <f t="shared" si="207"/>
        <v>6-10</v>
      </c>
      <c r="BB881">
        <v>1</v>
      </c>
      <c r="BC881" t="str">
        <f t="shared" si="208"/>
        <v>0-1</v>
      </c>
      <c r="BD881">
        <v>9</v>
      </c>
      <c r="BE881" t="str">
        <f t="shared" si="209"/>
        <v>6-10</v>
      </c>
    </row>
    <row r="882" spans="1:57" x14ac:dyDescent="0.3">
      <c r="A882">
        <v>1234</v>
      </c>
      <c r="B882">
        <v>32</v>
      </c>
      <c r="C882" t="str">
        <f t="shared" si="196"/>
        <v>26-35</v>
      </c>
      <c r="D882" t="s">
        <v>71</v>
      </c>
      <c r="E882">
        <f t="shared" si="197"/>
        <v>0</v>
      </c>
      <c r="F882" t="s">
        <v>72</v>
      </c>
      <c r="G882">
        <v>116</v>
      </c>
      <c r="H882" t="str">
        <f t="shared" si="198"/>
        <v>102-500</v>
      </c>
      <c r="I882" t="s">
        <v>73</v>
      </c>
      <c r="J882">
        <v>13</v>
      </c>
      <c r="K882" t="str">
        <f t="shared" si="199"/>
        <v>11-20</v>
      </c>
      <c r="L882">
        <v>3</v>
      </c>
      <c r="M882" t="s">
        <v>85</v>
      </c>
      <c r="N882" t="s">
        <v>80</v>
      </c>
      <c r="O882">
        <v>1</v>
      </c>
      <c r="P882">
        <v>3</v>
      </c>
      <c r="Q882" t="s">
        <v>63</v>
      </c>
      <c r="R882" t="s">
        <v>62</v>
      </c>
      <c r="S882">
        <v>77</v>
      </c>
      <c r="T882" t="str">
        <f t="shared" si="200"/>
        <v>76-100</v>
      </c>
      <c r="U882">
        <v>2</v>
      </c>
      <c r="V882" t="s">
        <v>61</v>
      </c>
      <c r="W882">
        <v>1</v>
      </c>
      <c r="X882" t="s">
        <v>81</v>
      </c>
      <c r="Y882">
        <v>2</v>
      </c>
      <c r="Z882" t="s">
        <v>61</v>
      </c>
      <c r="AA882" t="s">
        <v>77</v>
      </c>
      <c r="AB882" s="4">
        <v>2743</v>
      </c>
      <c r="AC882" s="4" t="str">
        <f t="shared" si="201"/>
        <v>$2,500-$4,000</v>
      </c>
      <c r="AD882">
        <v>7331</v>
      </c>
      <c r="AE882" t="str">
        <f t="shared" si="202"/>
        <v>$2,094-$8,000</v>
      </c>
      <c r="AF882">
        <v>1</v>
      </c>
      <c r="AG882" t="str">
        <f t="shared" si="203"/>
        <v>0-1</v>
      </c>
      <c r="AH882" t="s">
        <v>67</v>
      </c>
      <c r="AI882" t="s">
        <v>71</v>
      </c>
      <c r="AJ882">
        <v>20</v>
      </c>
      <c r="AK882" t="str">
        <f t="shared" si="204"/>
        <v>18-19%</v>
      </c>
      <c r="AL882">
        <v>4</v>
      </c>
      <c r="AM882" t="s">
        <v>78</v>
      </c>
      <c r="AN882">
        <v>3</v>
      </c>
      <c r="AO882" t="s">
        <v>63</v>
      </c>
      <c r="AP882">
        <v>80</v>
      </c>
      <c r="AQ882">
        <v>1</v>
      </c>
      <c r="AR882">
        <v>2</v>
      </c>
      <c r="AS882" t="str">
        <f t="shared" si="205"/>
        <v>0-2</v>
      </c>
      <c r="AT882">
        <v>2</v>
      </c>
      <c r="AU882" t="str">
        <f t="shared" si="206"/>
        <v>0-2</v>
      </c>
      <c r="AV882">
        <v>3</v>
      </c>
      <c r="AW882" t="s">
        <v>79</v>
      </c>
      <c r="AX882">
        <v>2</v>
      </c>
      <c r="AY882" t="str">
        <f t="shared" si="195"/>
        <v>2-5</v>
      </c>
      <c r="AZ882">
        <v>2</v>
      </c>
      <c r="BA882" t="str">
        <f t="shared" si="207"/>
        <v>2-5</v>
      </c>
      <c r="BB882">
        <v>2</v>
      </c>
      <c r="BC882" t="str">
        <f t="shared" si="208"/>
        <v>2-5</v>
      </c>
      <c r="BD882">
        <v>2</v>
      </c>
      <c r="BE882" t="str">
        <f t="shared" si="209"/>
        <v>2-5</v>
      </c>
    </row>
    <row r="883" spans="1:57" x14ac:dyDescent="0.3">
      <c r="A883">
        <v>1235</v>
      </c>
      <c r="B883">
        <v>32</v>
      </c>
      <c r="C883" t="str">
        <f t="shared" si="196"/>
        <v>26-35</v>
      </c>
      <c r="D883" t="s">
        <v>71</v>
      </c>
      <c r="E883">
        <f t="shared" si="197"/>
        <v>0</v>
      </c>
      <c r="F883" t="s">
        <v>72</v>
      </c>
      <c r="G883">
        <v>1316</v>
      </c>
      <c r="H883" t="str">
        <f t="shared" si="198"/>
        <v>1001-1499</v>
      </c>
      <c r="I883" t="s">
        <v>73</v>
      </c>
      <c r="J883">
        <v>2</v>
      </c>
      <c r="K883" t="str">
        <f t="shared" si="199"/>
        <v>1-5</v>
      </c>
      <c r="L883">
        <v>2</v>
      </c>
      <c r="M883" t="s">
        <v>59</v>
      </c>
      <c r="N883" t="s">
        <v>60</v>
      </c>
      <c r="O883">
        <v>1</v>
      </c>
      <c r="P883">
        <v>4</v>
      </c>
      <c r="Q883" t="s">
        <v>65</v>
      </c>
      <c r="R883" t="s">
        <v>62</v>
      </c>
      <c r="S883">
        <v>38</v>
      </c>
      <c r="T883" t="str">
        <f t="shared" si="200"/>
        <v>30-50</v>
      </c>
      <c r="U883">
        <v>3</v>
      </c>
      <c r="V883" t="s">
        <v>63</v>
      </c>
      <c r="W883">
        <v>2</v>
      </c>
      <c r="X883" t="s">
        <v>76</v>
      </c>
      <c r="Y883">
        <v>3</v>
      </c>
      <c r="Z883" t="s">
        <v>63</v>
      </c>
      <c r="AA883" t="s">
        <v>66</v>
      </c>
      <c r="AB883" s="4">
        <v>4998</v>
      </c>
      <c r="AC883" s="4" t="str">
        <f t="shared" si="201"/>
        <v>$4,000-$5,500</v>
      </c>
      <c r="AD883">
        <v>2338</v>
      </c>
      <c r="AE883" t="str">
        <f t="shared" si="202"/>
        <v>$2,094-$8,000</v>
      </c>
      <c r="AF883">
        <v>4</v>
      </c>
      <c r="AG883" t="str">
        <f t="shared" si="203"/>
        <v>4-6</v>
      </c>
      <c r="AH883" t="s">
        <v>67</v>
      </c>
      <c r="AI883" t="s">
        <v>56</v>
      </c>
      <c r="AJ883">
        <v>14</v>
      </c>
      <c r="AK883" t="str">
        <f t="shared" si="204"/>
        <v>13-15%</v>
      </c>
      <c r="AL883">
        <v>3</v>
      </c>
      <c r="AM883" t="s">
        <v>68</v>
      </c>
      <c r="AN883">
        <v>4</v>
      </c>
      <c r="AO883" t="s">
        <v>65</v>
      </c>
      <c r="AP883">
        <v>80</v>
      </c>
      <c r="AQ883">
        <v>0</v>
      </c>
      <c r="AR883">
        <v>10</v>
      </c>
      <c r="AS883" t="str">
        <f t="shared" si="205"/>
        <v>6-10</v>
      </c>
      <c r="AT883">
        <v>2</v>
      </c>
      <c r="AU883" t="str">
        <f t="shared" si="206"/>
        <v>0-2</v>
      </c>
      <c r="AV883">
        <v>3</v>
      </c>
      <c r="AW883" t="s">
        <v>79</v>
      </c>
      <c r="AX883">
        <v>8</v>
      </c>
      <c r="AY883" t="str">
        <f t="shared" si="195"/>
        <v>6-10</v>
      </c>
      <c r="AZ883">
        <v>7</v>
      </c>
      <c r="BA883" t="str">
        <f t="shared" si="207"/>
        <v>6-10</v>
      </c>
      <c r="BB883">
        <v>0</v>
      </c>
      <c r="BC883" t="str">
        <f t="shared" si="208"/>
        <v>0-1</v>
      </c>
      <c r="BD883">
        <v>7</v>
      </c>
      <c r="BE883" t="str">
        <f t="shared" si="209"/>
        <v>6-10</v>
      </c>
    </row>
    <row r="884" spans="1:57" x14ac:dyDescent="0.3">
      <c r="A884">
        <v>1237</v>
      </c>
      <c r="B884">
        <v>36</v>
      </c>
      <c r="C884" t="str">
        <f t="shared" si="196"/>
        <v>36-45</v>
      </c>
      <c r="D884" t="s">
        <v>71</v>
      </c>
      <c r="E884">
        <f t="shared" si="197"/>
        <v>0</v>
      </c>
      <c r="F884" t="s">
        <v>57</v>
      </c>
      <c r="G884">
        <v>363</v>
      </c>
      <c r="H884" t="str">
        <f t="shared" si="198"/>
        <v>102-500</v>
      </c>
      <c r="I884" t="s">
        <v>73</v>
      </c>
      <c r="J884">
        <v>1</v>
      </c>
      <c r="K884" t="str">
        <f t="shared" si="199"/>
        <v>1-5</v>
      </c>
      <c r="L884">
        <v>3</v>
      </c>
      <c r="M884" t="s">
        <v>85</v>
      </c>
      <c r="N884" t="s">
        <v>95</v>
      </c>
      <c r="O884">
        <v>1</v>
      </c>
      <c r="P884">
        <v>3</v>
      </c>
      <c r="Q884" t="s">
        <v>63</v>
      </c>
      <c r="R884" t="s">
        <v>62</v>
      </c>
      <c r="S884">
        <v>77</v>
      </c>
      <c r="T884" t="str">
        <f t="shared" si="200"/>
        <v>76-100</v>
      </c>
      <c r="U884">
        <v>1</v>
      </c>
      <c r="V884" t="s">
        <v>69</v>
      </c>
      <c r="W884">
        <v>3</v>
      </c>
      <c r="X884" t="s">
        <v>87</v>
      </c>
      <c r="Y884">
        <v>1</v>
      </c>
      <c r="Z884" t="s">
        <v>69</v>
      </c>
      <c r="AA884" t="s">
        <v>86</v>
      </c>
      <c r="AB884" s="4">
        <v>10252</v>
      </c>
      <c r="AC884" s="4" t="str">
        <f t="shared" si="201"/>
        <v>$10,000-$11,500</v>
      </c>
      <c r="AD884">
        <v>4235</v>
      </c>
      <c r="AE884" t="str">
        <f t="shared" si="202"/>
        <v>$2,094-$8,000</v>
      </c>
      <c r="AF884">
        <v>2</v>
      </c>
      <c r="AG884" t="str">
        <f t="shared" si="203"/>
        <v>2-3</v>
      </c>
      <c r="AH884" t="s">
        <v>67</v>
      </c>
      <c r="AI884" t="s">
        <v>56</v>
      </c>
      <c r="AJ884">
        <v>21</v>
      </c>
      <c r="AK884" t="str">
        <f t="shared" si="204"/>
        <v>18-19%</v>
      </c>
      <c r="AL884">
        <v>4</v>
      </c>
      <c r="AM884" t="s">
        <v>78</v>
      </c>
      <c r="AN884">
        <v>3</v>
      </c>
      <c r="AO884" t="s">
        <v>63</v>
      </c>
      <c r="AP884">
        <v>80</v>
      </c>
      <c r="AQ884">
        <v>1</v>
      </c>
      <c r="AR884">
        <v>17</v>
      </c>
      <c r="AS884" t="str">
        <f t="shared" si="205"/>
        <v>11-20</v>
      </c>
      <c r="AT884">
        <v>2</v>
      </c>
      <c r="AU884" t="str">
        <f t="shared" si="206"/>
        <v>0-2</v>
      </c>
      <c r="AV884">
        <v>3</v>
      </c>
      <c r="AW884" t="s">
        <v>79</v>
      </c>
      <c r="AX884">
        <v>7</v>
      </c>
      <c r="AY884" t="str">
        <f t="shared" si="195"/>
        <v>6-10</v>
      </c>
      <c r="AZ884">
        <v>7</v>
      </c>
      <c r="BA884" t="str">
        <f t="shared" si="207"/>
        <v>6-10</v>
      </c>
      <c r="BB884">
        <v>7</v>
      </c>
      <c r="BC884" t="str">
        <f t="shared" si="208"/>
        <v>6-10</v>
      </c>
      <c r="BD884">
        <v>7</v>
      </c>
      <c r="BE884" t="str">
        <f t="shared" si="209"/>
        <v>6-10</v>
      </c>
    </row>
    <row r="885" spans="1:57" x14ac:dyDescent="0.3">
      <c r="A885">
        <v>1238</v>
      </c>
      <c r="B885">
        <v>33</v>
      </c>
      <c r="C885" t="str">
        <f t="shared" si="196"/>
        <v>26-35</v>
      </c>
      <c r="D885" t="s">
        <v>71</v>
      </c>
      <c r="E885">
        <f t="shared" si="197"/>
        <v>0</v>
      </c>
      <c r="F885" t="s">
        <v>57</v>
      </c>
      <c r="G885">
        <v>117</v>
      </c>
      <c r="H885" t="str">
        <f t="shared" si="198"/>
        <v>102-500</v>
      </c>
      <c r="I885" t="s">
        <v>73</v>
      </c>
      <c r="J885">
        <v>9</v>
      </c>
      <c r="K885" t="str">
        <f t="shared" si="199"/>
        <v>6-10</v>
      </c>
      <c r="L885">
        <v>3</v>
      </c>
      <c r="M885" t="s">
        <v>85</v>
      </c>
      <c r="N885" t="s">
        <v>83</v>
      </c>
      <c r="O885">
        <v>1</v>
      </c>
      <c r="P885">
        <v>1</v>
      </c>
      <c r="Q885" t="s">
        <v>69</v>
      </c>
      <c r="R885" t="s">
        <v>75</v>
      </c>
      <c r="S885">
        <v>60</v>
      </c>
      <c r="T885" t="str">
        <f t="shared" si="200"/>
        <v>51-75</v>
      </c>
      <c r="U885">
        <v>3</v>
      </c>
      <c r="V885" t="s">
        <v>63</v>
      </c>
      <c r="W885">
        <v>1</v>
      </c>
      <c r="X885" t="s">
        <v>76</v>
      </c>
      <c r="Y885">
        <v>4</v>
      </c>
      <c r="Z885" t="s">
        <v>65</v>
      </c>
      <c r="AA885" t="s">
        <v>77</v>
      </c>
      <c r="AB885" s="4">
        <v>2781</v>
      </c>
      <c r="AC885" s="4" t="str">
        <f t="shared" si="201"/>
        <v>$2,500-$4,000</v>
      </c>
      <c r="AD885">
        <v>6311</v>
      </c>
      <c r="AE885" t="str">
        <f t="shared" si="202"/>
        <v>$2,094-$8,000</v>
      </c>
      <c r="AF885">
        <v>0</v>
      </c>
      <c r="AG885" t="str">
        <f t="shared" si="203"/>
        <v>0-1</v>
      </c>
      <c r="AH885" t="s">
        <v>67</v>
      </c>
      <c r="AI885" t="s">
        <v>71</v>
      </c>
      <c r="AJ885">
        <v>13</v>
      </c>
      <c r="AK885" t="str">
        <f t="shared" si="204"/>
        <v>13-15%</v>
      </c>
      <c r="AL885">
        <v>3</v>
      </c>
      <c r="AM885" t="s">
        <v>68</v>
      </c>
      <c r="AN885">
        <v>2</v>
      </c>
      <c r="AO885" t="s">
        <v>61</v>
      </c>
      <c r="AP885">
        <v>80</v>
      </c>
      <c r="AQ885">
        <v>1</v>
      </c>
      <c r="AR885">
        <v>15</v>
      </c>
      <c r="AS885" t="str">
        <f t="shared" si="205"/>
        <v>11-20</v>
      </c>
      <c r="AT885">
        <v>5</v>
      </c>
      <c r="AU885" t="str">
        <f t="shared" si="206"/>
        <v>5-6</v>
      </c>
      <c r="AV885">
        <v>3</v>
      </c>
      <c r="AW885" t="s">
        <v>79</v>
      </c>
      <c r="AX885">
        <v>14</v>
      </c>
      <c r="AY885" t="str">
        <f t="shared" si="195"/>
        <v>11-20</v>
      </c>
      <c r="AZ885">
        <v>10</v>
      </c>
      <c r="BA885" t="str">
        <f t="shared" si="207"/>
        <v>6-10</v>
      </c>
      <c r="BB885">
        <v>4</v>
      </c>
      <c r="BC885" t="str">
        <f t="shared" si="208"/>
        <v>2-5</v>
      </c>
      <c r="BD885">
        <v>10</v>
      </c>
      <c r="BE885" t="str">
        <f t="shared" si="209"/>
        <v>6-10</v>
      </c>
    </row>
    <row r="886" spans="1:57" x14ac:dyDescent="0.3">
      <c r="A886">
        <v>1239</v>
      </c>
      <c r="B886">
        <v>40</v>
      </c>
      <c r="C886" t="str">
        <f t="shared" si="196"/>
        <v>36-45</v>
      </c>
      <c r="D886" t="s">
        <v>71</v>
      </c>
      <c r="E886">
        <f t="shared" si="197"/>
        <v>0</v>
      </c>
      <c r="F886" t="s">
        <v>57</v>
      </c>
      <c r="G886">
        <v>107</v>
      </c>
      <c r="H886" t="str">
        <f t="shared" si="198"/>
        <v>102-500</v>
      </c>
      <c r="I886" t="s">
        <v>58</v>
      </c>
      <c r="J886">
        <v>10</v>
      </c>
      <c r="K886" t="str">
        <f t="shared" si="199"/>
        <v>6-10</v>
      </c>
      <c r="L886">
        <v>3</v>
      </c>
      <c r="M886" t="s">
        <v>85</v>
      </c>
      <c r="N886" t="s">
        <v>95</v>
      </c>
      <c r="O886">
        <v>1</v>
      </c>
      <c r="P886">
        <v>2</v>
      </c>
      <c r="Q886" t="s">
        <v>61</v>
      </c>
      <c r="R886" t="s">
        <v>62</v>
      </c>
      <c r="S886">
        <v>84</v>
      </c>
      <c r="T886" t="str">
        <f t="shared" si="200"/>
        <v>76-100</v>
      </c>
      <c r="U886">
        <v>2</v>
      </c>
      <c r="V886" t="s">
        <v>61</v>
      </c>
      <c r="W886">
        <v>2</v>
      </c>
      <c r="X886" t="s">
        <v>64</v>
      </c>
      <c r="Y886">
        <v>2</v>
      </c>
      <c r="Z886" t="s">
        <v>61</v>
      </c>
      <c r="AA886" t="s">
        <v>86</v>
      </c>
      <c r="AB886" s="4">
        <v>6852</v>
      </c>
      <c r="AC886" s="4" t="str">
        <f t="shared" si="201"/>
        <v>$5,500-$7,000</v>
      </c>
      <c r="AD886">
        <v>11591</v>
      </c>
      <c r="AE886" t="str">
        <f t="shared" si="202"/>
        <v>$8,001-$16,000</v>
      </c>
      <c r="AF886">
        <v>7</v>
      </c>
      <c r="AG886" t="str">
        <f t="shared" si="203"/>
        <v>7-9</v>
      </c>
      <c r="AH886" t="s">
        <v>67</v>
      </c>
      <c r="AI886" t="s">
        <v>71</v>
      </c>
      <c r="AJ886">
        <v>12</v>
      </c>
      <c r="AK886" t="str">
        <f t="shared" si="204"/>
        <v>11-12%</v>
      </c>
      <c r="AL886">
        <v>3</v>
      </c>
      <c r="AM886" t="s">
        <v>68</v>
      </c>
      <c r="AN886">
        <v>2</v>
      </c>
      <c r="AO886" t="s">
        <v>61</v>
      </c>
      <c r="AP886">
        <v>80</v>
      </c>
      <c r="AQ886">
        <v>1</v>
      </c>
      <c r="AR886">
        <v>7</v>
      </c>
      <c r="AS886" t="str">
        <f t="shared" si="205"/>
        <v>6-10</v>
      </c>
      <c r="AT886">
        <v>2</v>
      </c>
      <c r="AU886" t="str">
        <f t="shared" si="206"/>
        <v>0-2</v>
      </c>
      <c r="AV886">
        <v>4</v>
      </c>
      <c r="AW886" t="s">
        <v>94</v>
      </c>
      <c r="AX886">
        <v>5</v>
      </c>
      <c r="AY886" t="str">
        <f t="shared" si="195"/>
        <v>2-5</v>
      </c>
      <c r="AZ886">
        <v>1</v>
      </c>
      <c r="BA886" t="str">
        <f t="shared" si="207"/>
        <v>0-1</v>
      </c>
      <c r="BB886">
        <v>1</v>
      </c>
      <c r="BC886" t="str">
        <f t="shared" si="208"/>
        <v>0-1</v>
      </c>
      <c r="BD886">
        <v>3</v>
      </c>
      <c r="BE886" t="str">
        <f t="shared" si="209"/>
        <v>2-5</v>
      </c>
    </row>
    <row r="887" spans="1:57" x14ac:dyDescent="0.3">
      <c r="A887">
        <v>1240</v>
      </c>
      <c r="B887">
        <v>25</v>
      </c>
      <c r="C887" t="str">
        <f t="shared" si="196"/>
        <v>18-25</v>
      </c>
      <c r="D887" t="s">
        <v>71</v>
      </c>
      <c r="E887">
        <f t="shared" si="197"/>
        <v>0</v>
      </c>
      <c r="F887" t="s">
        <v>57</v>
      </c>
      <c r="G887">
        <v>1356</v>
      </c>
      <c r="H887" t="str">
        <f t="shared" si="198"/>
        <v>1001-1499</v>
      </c>
      <c r="I887" t="s">
        <v>58</v>
      </c>
      <c r="J887">
        <v>10</v>
      </c>
      <c r="K887" t="str">
        <f t="shared" si="199"/>
        <v>6-10</v>
      </c>
      <c r="L887">
        <v>4</v>
      </c>
      <c r="M887" t="s">
        <v>82</v>
      </c>
      <c r="N887" t="s">
        <v>60</v>
      </c>
      <c r="O887">
        <v>1</v>
      </c>
      <c r="P887">
        <v>3</v>
      </c>
      <c r="Q887" t="s">
        <v>63</v>
      </c>
      <c r="R887" t="s">
        <v>75</v>
      </c>
      <c r="S887">
        <v>57</v>
      </c>
      <c r="T887" t="str">
        <f t="shared" si="200"/>
        <v>51-75</v>
      </c>
      <c r="U887">
        <v>3</v>
      </c>
      <c r="V887" t="s">
        <v>63</v>
      </c>
      <c r="W887">
        <v>2</v>
      </c>
      <c r="X887" t="s">
        <v>64</v>
      </c>
      <c r="Y887">
        <v>4</v>
      </c>
      <c r="Z887" t="s">
        <v>65</v>
      </c>
      <c r="AA887" t="s">
        <v>66</v>
      </c>
      <c r="AB887" s="4">
        <v>4950</v>
      </c>
      <c r="AC887" s="4" t="str">
        <f t="shared" si="201"/>
        <v>$4,000-$5,500</v>
      </c>
      <c r="AD887">
        <v>20623</v>
      </c>
      <c r="AE887" t="str">
        <f t="shared" si="202"/>
        <v>$16,001-$22,000</v>
      </c>
      <c r="AF887">
        <v>0</v>
      </c>
      <c r="AG887" t="str">
        <f t="shared" si="203"/>
        <v>0-1</v>
      </c>
      <c r="AH887" t="s">
        <v>67</v>
      </c>
      <c r="AI887" t="s">
        <v>71</v>
      </c>
      <c r="AJ887">
        <v>14</v>
      </c>
      <c r="AK887" t="str">
        <f t="shared" si="204"/>
        <v>13-15%</v>
      </c>
      <c r="AL887">
        <v>3</v>
      </c>
      <c r="AM887" t="s">
        <v>68</v>
      </c>
      <c r="AN887">
        <v>2</v>
      </c>
      <c r="AO887" t="s">
        <v>61</v>
      </c>
      <c r="AP887">
        <v>80</v>
      </c>
      <c r="AQ887">
        <v>0</v>
      </c>
      <c r="AR887">
        <v>5</v>
      </c>
      <c r="AS887" t="str">
        <f t="shared" si="205"/>
        <v>3-5</v>
      </c>
      <c r="AT887">
        <v>4</v>
      </c>
      <c r="AU887" t="str">
        <f t="shared" si="206"/>
        <v>3-4</v>
      </c>
      <c r="AV887">
        <v>3</v>
      </c>
      <c r="AW887" t="s">
        <v>79</v>
      </c>
      <c r="AX887">
        <v>4</v>
      </c>
      <c r="AY887" t="str">
        <f t="shared" si="195"/>
        <v>2-5</v>
      </c>
      <c r="AZ887">
        <v>3</v>
      </c>
      <c r="BA887" t="str">
        <f t="shared" si="207"/>
        <v>2-5</v>
      </c>
      <c r="BB887">
        <v>1</v>
      </c>
      <c r="BC887" t="str">
        <f t="shared" si="208"/>
        <v>0-1</v>
      </c>
      <c r="BD887">
        <v>1</v>
      </c>
      <c r="BE887" t="str">
        <f t="shared" si="209"/>
        <v>0-1</v>
      </c>
    </row>
    <row r="888" spans="1:57" x14ac:dyDescent="0.3">
      <c r="A888">
        <v>1241</v>
      </c>
      <c r="B888">
        <v>30</v>
      </c>
      <c r="C888" t="str">
        <f t="shared" si="196"/>
        <v>26-35</v>
      </c>
      <c r="D888" t="s">
        <v>71</v>
      </c>
      <c r="E888">
        <f t="shared" si="197"/>
        <v>0</v>
      </c>
      <c r="F888" t="s">
        <v>57</v>
      </c>
      <c r="G888">
        <v>1465</v>
      </c>
      <c r="H888" t="str">
        <f t="shared" si="198"/>
        <v>1001-1499</v>
      </c>
      <c r="I888" t="s">
        <v>73</v>
      </c>
      <c r="J888">
        <v>1</v>
      </c>
      <c r="K888" t="str">
        <f t="shared" si="199"/>
        <v>1-5</v>
      </c>
      <c r="L888">
        <v>3</v>
      </c>
      <c r="M888" t="s">
        <v>85</v>
      </c>
      <c r="N888" t="s">
        <v>83</v>
      </c>
      <c r="O888">
        <v>1</v>
      </c>
      <c r="P888">
        <v>4</v>
      </c>
      <c r="Q888" t="s">
        <v>65</v>
      </c>
      <c r="R888" t="s">
        <v>75</v>
      </c>
      <c r="S888">
        <v>63</v>
      </c>
      <c r="T888" t="str">
        <f t="shared" si="200"/>
        <v>51-75</v>
      </c>
      <c r="U888">
        <v>3</v>
      </c>
      <c r="V888" t="s">
        <v>63</v>
      </c>
      <c r="W888">
        <v>1</v>
      </c>
      <c r="X888" t="s">
        <v>76</v>
      </c>
      <c r="Y888">
        <v>2</v>
      </c>
      <c r="Z888" t="s">
        <v>61</v>
      </c>
      <c r="AA888" t="s">
        <v>77</v>
      </c>
      <c r="AB888" s="4">
        <v>3579</v>
      </c>
      <c r="AC888" s="4" t="str">
        <f t="shared" si="201"/>
        <v>$2,500-$4,000</v>
      </c>
      <c r="AD888">
        <v>9369</v>
      </c>
      <c r="AE888" t="str">
        <f t="shared" si="202"/>
        <v>$8,001-$16,000</v>
      </c>
      <c r="AF888">
        <v>0</v>
      </c>
      <c r="AG888" t="str">
        <f t="shared" si="203"/>
        <v>0-1</v>
      </c>
      <c r="AH888" t="s">
        <v>67</v>
      </c>
      <c r="AI888" t="s">
        <v>56</v>
      </c>
      <c r="AJ888">
        <v>21</v>
      </c>
      <c r="AK888" t="str">
        <f t="shared" si="204"/>
        <v>18-19%</v>
      </c>
      <c r="AL888">
        <v>4</v>
      </c>
      <c r="AM888" t="s">
        <v>78</v>
      </c>
      <c r="AN888">
        <v>1</v>
      </c>
      <c r="AO888" t="s">
        <v>69</v>
      </c>
      <c r="AP888">
        <v>80</v>
      </c>
      <c r="AQ888">
        <v>1</v>
      </c>
      <c r="AR888">
        <v>12</v>
      </c>
      <c r="AS888" t="str">
        <f t="shared" si="205"/>
        <v>11-20</v>
      </c>
      <c r="AT888">
        <v>2</v>
      </c>
      <c r="AU888" t="str">
        <f t="shared" si="206"/>
        <v>0-2</v>
      </c>
      <c r="AV888">
        <v>3</v>
      </c>
      <c r="AW888" t="s">
        <v>79</v>
      </c>
      <c r="AX888">
        <v>11</v>
      </c>
      <c r="AY888" t="str">
        <f t="shared" si="195"/>
        <v>11-20</v>
      </c>
      <c r="AZ888">
        <v>9</v>
      </c>
      <c r="BA888" t="str">
        <f t="shared" si="207"/>
        <v>6-10</v>
      </c>
      <c r="BB888">
        <v>5</v>
      </c>
      <c r="BC888" t="str">
        <f t="shared" si="208"/>
        <v>2-5</v>
      </c>
      <c r="BD888">
        <v>7</v>
      </c>
      <c r="BE888" t="str">
        <f t="shared" si="209"/>
        <v>6-10</v>
      </c>
    </row>
    <row r="889" spans="1:57" x14ac:dyDescent="0.3">
      <c r="A889">
        <v>1242</v>
      </c>
      <c r="B889">
        <v>42</v>
      </c>
      <c r="C889" t="str">
        <f t="shared" si="196"/>
        <v>36-45</v>
      </c>
      <c r="D889" t="s">
        <v>71</v>
      </c>
      <c r="E889">
        <f t="shared" si="197"/>
        <v>0</v>
      </c>
      <c r="F889" t="s">
        <v>72</v>
      </c>
      <c r="G889">
        <v>458</v>
      </c>
      <c r="H889" t="str">
        <f t="shared" si="198"/>
        <v>102-500</v>
      </c>
      <c r="I889" t="s">
        <v>73</v>
      </c>
      <c r="J889">
        <v>26</v>
      </c>
      <c r="K889" t="str">
        <f t="shared" si="199"/>
        <v>21-29</v>
      </c>
      <c r="L889">
        <v>5</v>
      </c>
      <c r="M889" t="s">
        <v>96</v>
      </c>
      <c r="N889" t="s">
        <v>83</v>
      </c>
      <c r="O889">
        <v>1</v>
      </c>
      <c r="P889">
        <v>1</v>
      </c>
      <c r="Q889" t="s">
        <v>69</v>
      </c>
      <c r="R889" t="s">
        <v>62</v>
      </c>
      <c r="S889">
        <v>60</v>
      </c>
      <c r="T889" t="str">
        <f t="shared" si="200"/>
        <v>51-75</v>
      </c>
      <c r="U889">
        <v>3</v>
      </c>
      <c r="V889" t="s">
        <v>63</v>
      </c>
      <c r="W889">
        <v>3</v>
      </c>
      <c r="X889" t="s">
        <v>92</v>
      </c>
      <c r="Y889">
        <v>1</v>
      </c>
      <c r="Z889" t="s">
        <v>69</v>
      </c>
      <c r="AA889" t="s">
        <v>77</v>
      </c>
      <c r="AB889" s="4">
        <v>13191</v>
      </c>
      <c r="AC889" s="4" t="str">
        <f t="shared" si="201"/>
        <v>$13,000-$14,500</v>
      </c>
      <c r="AD889">
        <v>23281</v>
      </c>
      <c r="AE889" t="str">
        <f t="shared" si="202"/>
        <v>$22,001-$26,999</v>
      </c>
      <c r="AF889">
        <v>3</v>
      </c>
      <c r="AG889" t="str">
        <f t="shared" si="203"/>
        <v>2-3</v>
      </c>
      <c r="AH889" t="s">
        <v>67</v>
      </c>
      <c r="AI889" t="s">
        <v>56</v>
      </c>
      <c r="AJ889">
        <v>17</v>
      </c>
      <c r="AK889" t="str">
        <f t="shared" si="204"/>
        <v>16-17%</v>
      </c>
      <c r="AL889">
        <v>3</v>
      </c>
      <c r="AM889" t="s">
        <v>68</v>
      </c>
      <c r="AN889">
        <v>3</v>
      </c>
      <c r="AO889" t="s">
        <v>63</v>
      </c>
      <c r="AP889">
        <v>80</v>
      </c>
      <c r="AQ889">
        <v>0</v>
      </c>
      <c r="AR889">
        <v>20</v>
      </c>
      <c r="AS889" t="str">
        <f t="shared" si="205"/>
        <v>11-20</v>
      </c>
      <c r="AT889">
        <v>6</v>
      </c>
      <c r="AU889" t="str">
        <f t="shared" si="206"/>
        <v>5-6</v>
      </c>
      <c r="AV889">
        <v>3</v>
      </c>
      <c r="AW889" t="s">
        <v>79</v>
      </c>
      <c r="AX889">
        <v>1</v>
      </c>
      <c r="AY889" t="str">
        <f t="shared" si="195"/>
        <v>0-1</v>
      </c>
      <c r="AZ889">
        <v>0</v>
      </c>
      <c r="BA889" t="str">
        <f t="shared" si="207"/>
        <v>0-1</v>
      </c>
      <c r="BB889">
        <v>0</v>
      </c>
      <c r="BC889" t="str">
        <f t="shared" si="208"/>
        <v>0-1</v>
      </c>
      <c r="BD889">
        <v>0</v>
      </c>
      <c r="BE889" t="str">
        <f t="shared" si="209"/>
        <v>0-1</v>
      </c>
    </row>
    <row r="890" spans="1:57" x14ac:dyDescent="0.3">
      <c r="A890">
        <v>1243</v>
      </c>
      <c r="B890">
        <v>35</v>
      </c>
      <c r="C890" t="str">
        <f t="shared" si="196"/>
        <v>26-35</v>
      </c>
      <c r="D890" t="s">
        <v>71</v>
      </c>
      <c r="E890">
        <f t="shared" si="197"/>
        <v>0</v>
      </c>
      <c r="F890" t="s">
        <v>89</v>
      </c>
      <c r="G890">
        <v>1212</v>
      </c>
      <c r="H890" t="str">
        <f t="shared" si="198"/>
        <v>1001-1499</v>
      </c>
      <c r="I890" t="s">
        <v>58</v>
      </c>
      <c r="J890">
        <v>8</v>
      </c>
      <c r="K890" t="str">
        <f t="shared" si="199"/>
        <v>6-10</v>
      </c>
      <c r="L890">
        <v>2</v>
      </c>
      <c r="M890" t="s">
        <v>59</v>
      </c>
      <c r="N890" t="s">
        <v>93</v>
      </c>
      <c r="O890">
        <v>1</v>
      </c>
      <c r="P890">
        <v>3</v>
      </c>
      <c r="Q890" t="s">
        <v>63</v>
      </c>
      <c r="R890" t="s">
        <v>62</v>
      </c>
      <c r="S890">
        <v>78</v>
      </c>
      <c r="T890" t="str">
        <f t="shared" si="200"/>
        <v>76-100</v>
      </c>
      <c r="U890">
        <v>2</v>
      </c>
      <c r="V890" t="s">
        <v>61</v>
      </c>
      <c r="W890">
        <v>3</v>
      </c>
      <c r="X890" t="s">
        <v>64</v>
      </c>
      <c r="Y890">
        <v>4</v>
      </c>
      <c r="Z890" t="s">
        <v>65</v>
      </c>
      <c r="AA890" t="s">
        <v>77</v>
      </c>
      <c r="AB890" s="4">
        <v>10377</v>
      </c>
      <c r="AC890" s="4" t="str">
        <f t="shared" si="201"/>
        <v>$10,000-$11,500</v>
      </c>
      <c r="AD890">
        <v>13755</v>
      </c>
      <c r="AE890" t="str">
        <f t="shared" si="202"/>
        <v>$8,001-$16,000</v>
      </c>
      <c r="AF890">
        <v>4</v>
      </c>
      <c r="AG890" t="str">
        <f t="shared" si="203"/>
        <v>4-6</v>
      </c>
      <c r="AH890" t="s">
        <v>67</v>
      </c>
      <c r="AI890" t="s">
        <v>56</v>
      </c>
      <c r="AJ890">
        <v>11</v>
      </c>
      <c r="AK890" t="str">
        <f t="shared" si="204"/>
        <v>11-12%</v>
      </c>
      <c r="AL890">
        <v>3</v>
      </c>
      <c r="AM890" t="s">
        <v>68</v>
      </c>
      <c r="AN890">
        <v>2</v>
      </c>
      <c r="AO890" t="s">
        <v>61</v>
      </c>
      <c r="AP890">
        <v>80</v>
      </c>
      <c r="AQ890">
        <v>1</v>
      </c>
      <c r="AR890">
        <v>16</v>
      </c>
      <c r="AS890" t="str">
        <f t="shared" si="205"/>
        <v>11-20</v>
      </c>
      <c r="AT890">
        <v>6</v>
      </c>
      <c r="AU890" t="str">
        <f t="shared" si="206"/>
        <v>5-6</v>
      </c>
      <c r="AV890">
        <v>2</v>
      </c>
      <c r="AW890" t="s">
        <v>84</v>
      </c>
      <c r="AX890">
        <v>13</v>
      </c>
      <c r="AY890" t="str">
        <f t="shared" si="195"/>
        <v>11-20</v>
      </c>
      <c r="AZ890">
        <v>2</v>
      </c>
      <c r="BA890" t="str">
        <f t="shared" si="207"/>
        <v>2-5</v>
      </c>
      <c r="BB890">
        <v>4</v>
      </c>
      <c r="BC890" t="str">
        <f t="shared" si="208"/>
        <v>2-5</v>
      </c>
      <c r="BD890">
        <v>12</v>
      </c>
      <c r="BE890" t="str">
        <f t="shared" si="209"/>
        <v>11-17</v>
      </c>
    </row>
    <row r="891" spans="1:57" x14ac:dyDescent="0.3">
      <c r="A891">
        <v>1244</v>
      </c>
      <c r="B891">
        <v>27</v>
      </c>
      <c r="C891" t="str">
        <f t="shared" si="196"/>
        <v>26-35</v>
      </c>
      <c r="D891" t="s">
        <v>71</v>
      </c>
      <c r="E891">
        <f t="shared" si="197"/>
        <v>0</v>
      </c>
      <c r="F891" t="s">
        <v>57</v>
      </c>
      <c r="G891">
        <v>1103</v>
      </c>
      <c r="H891" t="str">
        <f t="shared" si="198"/>
        <v>1001-1499</v>
      </c>
      <c r="I891" t="s">
        <v>73</v>
      </c>
      <c r="J891">
        <v>14</v>
      </c>
      <c r="K891" t="str">
        <f t="shared" si="199"/>
        <v>11-20</v>
      </c>
      <c r="L891">
        <v>3</v>
      </c>
      <c r="M891" t="s">
        <v>85</v>
      </c>
      <c r="N891" t="s">
        <v>60</v>
      </c>
      <c r="O891">
        <v>1</v>
      </c>
      <c r="P891">
        <v>1</v>
      </c>
      <c r="Q891" t="s">
        <v>69</v>
      </c>
      <c r="R891" t="s">
        <v>75</v>
      </c>
      <c r="S891">
        <v>42</v>
      </c>
      <c r="T891" t="str">
        <f t="shared" si="200"/>
        <v>30-50</v>
      </c>
      <c r="U891">
        <v>3</v>
      </c>
      <c r="V891" t="s">
        <v>63</v>
      </c>
      <c r="W891">
        <v>1</v>
      </c>
      <c r="X891" t="s">
        <v>76</v>
      </c>
      <c r="Y891">
        <v>1</v>
      </c>
      <c r="Z891" t="s">
        <v>69</v>
      </c>
      <c r="AA891" t="s">
        <v>77</v>
      </c>
      <c r="AB891" s="4">
        <v>2235</v>
      </c>
      <c r="AC891" s="4" t="str">
        <f t="shared" si="201"/>
        <v>$1,000-$2,500</v>
      </c>
      <c r="AD891">
        <v>14377</v>
      </c>
      <c r="AE891" t="str">
        <f t="shared" si="202"/>
        <v>$8,001-$16,000</v>
      </c>
      <c r="AF891">
        <v>1</v>
      </c>
      <c r="AG891" t="str">
        <f t="shared" si="203"/>
        <v>0-1</v>
      </c>
      <c r="AH891" t="s">
        <v>67</v>
      </c>
      <c r="AI891" t="s">
        <v>56</v>
      </c>
      <c r="AJ891">
        <v>14</v>
      </c>
      <c r="AK891" t="str">
        <f t="shared" si="204"/>
        <v>13-15%</v>
      </c>
      <c r="AL891">
        <v>3</v>
      </c>
      <c r="AM891" t="s">
        <v>68</v>
      </c>
      <c r="AN891">
        <v>4</v>
      </c>
      <c r="AO891" t="s">
        <v>65</v>
      </c>
      <c r="AP891">
        <v>80</v>
      </c>
      <c r="AQ891">
        <v>2</v>
      </c>
      <c r="AR891">
        <v>9</v>
      </c>
      <c r="AS891" t="str">
        <f t="shared" si="205"/>
        <v>6-10</v>
      </c>
      <c r="AT891">
        <v>3</v>
      </c>
      <c r="AU891" t="str">
        <f t="shared" si="206"/>
        <v>3-4</v>
      </c>
      <c r="AV891">
        <v>2</v>
      </c>
      <c r="AW891" t="s">
        <v>84</v>
      </c>
      <c r="AX891">
        <v>9</v>
      </c>
      <c r="AY891" t="str">
        <f t="shared" si="195"/>
        <v>6-10</v>
      </c>
      <c r="AZ891">
        <v>7</v>
      </c>
      <c r="BA891" t="str">
        <f t="shared" si="207"/>
        <v>6-10</v>
      </c>
      <c r="BB891">
        <v>6</v>
      </c>
      <c r="BC891" t="str">
        <f t="shared" si="208"/>
        <v>6-10</v>
      </c>
      <c r="BD891">
        <v>8</v>
      </c>
      <c r="BE891" t="str">
        <f t="shared" si="209"/>
        <v>6-10</v>
      </c>
    </row>
    <row r="892" spans="1:57" x14ac:dyDescent="0.3">
      <c r="A892">
        <v>1245</v>
      </c>
      <c r="B892">
        <v>54</v>
      </c>
      <c r="C892" t="str">
        <f t="shared" si="196"/>
        <v>46-55</v>
      </c>
      <c r="D892" t="s">
        <v>71</v>
      </c>
      <c r="E892">
        <f t="shared" si="197"/>
        <v>0</v>
      </c>
      <c r="F892" t="s">
        <v>72</v>
      </c>
      <c r="G892">
        <v>966</v>
      </c>
      <c r="H892" t="str">
        <f t="shared" si="198"/>
        <v>501-1000</v>
      </c>
      <c r="I892" t="s">
        <v>73</v>
      </c>
      <c r="J892">
        <v>1</v>
      </c>
      <c r="K892" t="str">
        <f t="shared" si="199"/>
        <v>1-5</v>
      </c>
      <c r="L892">
        <v>4</v>
      </c>
      <c r="M892" t="s">
        <v>82</v>
      </c>
      <c r="N892" t="s">
        <v>60</v>
      </c>
      <c r="O892">
        <v>1</v>
      </c>
      <c r="P892">
        <v>4</v>
      </c>
      <c r="Q892" t="s">
        <v>65</v>
      </c>
      <c r="R892" t="s">
        <v>62</v>
      </c>
      <c r="S892">
        <v>53</v>
      </c>
      <c r="T892" t="str">
        <f t="shared" si="200"/>
        <v>51-75</v>
      </c>
      <c r="U892">
        <v>3</v>
      </c>
      <c r="V892" t="s">
        <v>63</v>
      </c>
      <c r="W892">
        <v>3</v>
      </c>
      <c r="X892" t="s">
        <v>87</v>
      </c>
      <c r="Y892">
        <v>3</v>
      </c>
      <c r="Z892" t="s">
        <v>63</v>
      </c>
      <c r="AA892" t="s">
        <v>86</v>
      </c>
      <c r="AB892" s="4">
        <v>10502</v>
      </c>
      <c r="AC892" s="4" t="str">
        <f t="shared" si="201"/>
        <v>$10,000-$11,500</v>
      </c>
      <c r="AD892">
        <v>9659</v>
      </c>
      <c r="AE892" t="str">
        <f t="shared" si="202"/>
        <v>$8,001-$16,000</v>
      </c>
      <c r="AF892">
        <v>7</v>
      </c>
      <c r="AG892" t="str">
        <f t="shared" si="203"/>
        <v>7-9</v>
      </c>
      <c r="AH892" t="s">
        <v>67</v>
      </c>
      <c r="AI892" t="s">
        <v>71</v>
      </c>
      <c r="AJ892">
        <v>17</v>
      </c>
      <c r="AK892" t="str">
        <f t="shared" si="204"/>
        <v>16-17%</v>
      </c>
      <c r="AL892">
        <v>3</v>
      </c>
      <c r="AM892" t="s">
        <v>68</v>
      </c>
      <c r="AN892">
        <v>1</v>
      </c>
      <c r="AO892" t="s">
        <v>69</v>
      </c>
      <c r="AP892">
        <v>80</v>
      </c>
      <c r="AQ892">
        <v>1</v>
      </c>
      <c r="AR892">
        <v>33</v>
      </c>
      <c r="AS892" t="str">
        <f t="shared" si="205"/>
        <v>21-40</v>
      </c>
      <c r="AT892">
        <v>2</v>
      </c>
      <c r="AU892" t="str">
        <f t="shared" si="206"/>
        <v>0-2</v>
      </c>
      <c r="AV892">
        <v>1</v>
      </c>
      <c r="AW892" t="s">
        <v>70</v>
      </c>
      <c r="AX892">
        <v>5</v>
      </c>
      <c r="AY892" t="str">
        <f t="shared" si="195"/>
        <v>2-5</v>
      </c>
      <c r="AZ892">
        <v>4</v>
      </c>
      <c r="BA892" t="str">
        <f t="shared" si="207"/>
        <v>2-5</v>
      </c>
      <c r="BB892">
        <v>1</v>
      </c>
      <c r="BC892" t="str">
        <f t="shared" si="208"/>
        <v>0-1</v>
      </c>
      <c r="BD892">
        <v>4</v>
      </c>
      <c r="BE892" t="str">
        <f t="shared" si="209"/>
        <v>2-5</v>
      </c>
    </row>
    <row r="893" spans="1:57" x14ac:dyDescent="0.3">
      <c r="A893">
        <v>1246</v>
      </c>
      <c r="B893">
        <v>44</v>
      </c>
      <c r="C893" t="str">
        <f t="shared" si="196"/>
        <v>36-45</v>
      </c>
      <c r="D893" t="s">
        <v>71</v>
      </c>
      <c r="E893">
        <f t="shared" si="197"/>
        <v>0</v>
      </c>
      <c r="F893" t="s">
        <v>57</v>
      </c>
      <c r="G893">
        <v>1117</v>
      </c>
      <c r="H893" t="str">
        <f t="shared" si="198"/>
        <v>1001-1499</v>
      </c>
      <c r="I893" t="s">
        <v>73</v>
      </c>
      <c r="J893">
        <v>2</v>
      </c>
      <c r="K893" t="str">
        <f t="shared" si="199"/>
        <v>1-5</v>
      </c>
      <c r="L893">
        <v>1</v>
      </c>
      <c r="M893" t="s">
        <v>74</v>
      </c>
      <c r="N893" t="s">
        <v>60</v>
      </c>
      <c r="O893">
        <v>1</v>
      </c>
      <c r="P893">
        <v>1</v>
      </c>
      <c r="Q893" t="s">
        <v>69</v>
      </c>
      <c r="R893" t="s">
        <v>62</v>
      </c>
      <c r="S893">
        <v>72</v>
      </c>
      <c r="T893" t="str">
        <f t="shared" si="200"/>
        <v>51-75</v>
      </c>
      <c r="U893">
        <v>4</v>
      </c>
      <c r="V893" t="s">
        <v>65</v>
      </c>
      <c r="W893">
        <v>1</v>
      </c>
      <c r="X893" t="s">
        <v>76</v>
      </c>
      <c r="Y893">
        <v>4</v>
      </c>
      <c r="Z893" t="s">
        <v>65</v>
      </c>
      <c r="AA893" t="s">
        <v>77</v>
      </c>
      <c r="AB893" s="4">
        <v>2011</v>
      </c>
      <c r="AC893" s="4" t="str">
        <f t="shared" si="201"/>
        <v>$1,000-$2,500</v>
      </c>
      <c r="AD893">
        <v>19982</v>
      </c>
      <c r="AE893" t="str">
        <f t="shared" si="202"/>
        <v>$16,001-$22,000</v>
      </c>
      <c r="AF893">
        <v>1</v>
      </c>
      <c r="AG893" t="str">
        <f t="shared" si="203"/>
        <v>0-1</v>
      </c>
      <c r="AH893" t="s">
        <v>67</v>
      </c>
      <c r="AI893" t="s">
        <v>71</v>
      </c>
      <c r="AJ893">
        <v>13</v>
      </c>
      <c r="AK893" t="str">
        <f t="shared" si="204"/>
        <v>13-15%</v>
      </c>
      <c r="AL893">
        <v>3</v>
      </c>
      <c r="AM893" t="s">
        <v>68</v>
      </c>
      <c r="AN893">
        <v>4</v>
      </c>
      <c r="AO893" t="s">
        <v>65</v>
      </c>
      <c r="AP893">
        <v>80</v>
      </c>
      <c r="AQ893">
        <v>1</v>
      </c>
      <c r="AR893">
        <v>10</v>
      </c>
      <c r="AS893" t="str">
        <f t="shared" si="205"/>
        <v>6-10</v>
      </c>
      <c r="AT893">
        <v>5</v>
      </c>
      <c r="AU893" t="str">
        <f t="shared" si="206"/>
        <v>5-6</v>
      </c>
      <c r="AV893">
        <v>3</v>
      </c>
      <c r="AW893" t="s">
        <v>79</v>
      </c>
      <c r="AX893">
        <v>10</v>
      </c>
      <c r="AY893" t="str">
        <f t="shared" si="195"/>
        <v>6-10</v>
      </c>
      <c r="AZ893">
        <v>5</v>
      </c>
      <c r="BA893" t="str">
        <f t="shared" si="207"/>
        <v>2-5</v>
      </c>
      <c r="BB893">
        <v>7</v>
      </c>
      <c r="BC893" t="str">
        <f t="shared" si="208"/>
        <v>6-10</v>
      </c>
      <c r="BD893">
        <v>7</v>
      </c>
      <c r="BE893" t="str">
        <f t="shared" si="209"/>
        <v>6-10</v>
      </c>
    </row>
    <row r="894" spans="1:57" x14ac:dyDescent="0.3">
      <c r="A894">
        <v>1248</v>
      </c>
      <c r="B894">
        <v>19</v>
      </c>
      <c r="C894" t="str">
        <f t="shared" si="196"/>
        <v>18-25</v>
      </c>
      <c r="D894" t="s">
        <v>56</v>
      </c>
      <c r="E894">
        <f t="shared" si="197"/>
        <v>1</v>
      </c>
      <c r="F894" t="s">
        <v>89</v>
      </c>
      <c r="G894">
        <v>504</v>
      </c>
      <c r="H894" t="str">
        <f t="shared" si="198"/>
        <v>501-1000</v>
      </c>
      <c r="I894" t="s">
        <v>73</v>
      </c>
      <c r="J894">
        <v>10</v>
      </c>
      <c r="K894" t="str">
        <f t="shared" si="199"/>
        <v>6-10</v>
      </c>
      <c r="L894">
        <v>3</v>
      </c>
      <c r="M894" t="s">
        <v>85</v>
      </c>
      <c r="N894" t="s">
        <v>83</v>
      </c>
      <c r="O894">
        <v>1</v>
      </c>
      <c r="P894">
        <v>1</v>
      </c>
      <c r="Q894" t="s">
        <v>69</v>
      </c>
      <c r="R894" t="s">
        <v>62</v>
      </c>
      <c r="S894">
        <v>96</v>
      </c>
      <c r="T894" t="str">
        <f t="shared" si="200"/>
        <v>76-100</v>
      </c>
      <c r="U894">
        <v>2</v>
      </c>
      <c r="V894" t="s">
        <v>61</v>
      </c>
      <c r="W894">
        <v>1</v>
      </c>
      <c r="X894" t="s">
        <v>76</v>
      </c>
      <c r="Y894">
        <v>2</v>
      </c>
      <c r="Z894" t="s">
        <v>61</v>
      </c>
      <c r="AA894" t="s">
        <v>66</v>
      </c>
      <c r="AB894" s="4">
        <v>1859</v>
      </c>
      <c r="AC894" s="4" t="str">
        <f t="shared" si="201"/>
        <v>$1,000-$2,500</v>
      </c>
      <c r="AD894">
        <v>6148</v>
      </c>
      <c r="AE894" t="str">
        <f t="shared" si="202"/>
        <v>$2,094-$8,000</v>
      </c>
      <c r="AF894">
        <v>1</v>
      </c>
      <c r="AG894" t="str">
        <f t="shared" si="203"/>
        <v>0-1</v>
      </c>
      <c r="AH894" t="s">
        <v>67</v>
      </c>
      <c r="AI894" t="s">
        <v>56</v>
      </c>
      <c r="AJ894">
        <v>25</v>
      </c>
      <c r="AK894" t="str">
        <f t="shared" si="204"/>
        <v>18-19%</v>
      </c>
      <c r="AL894">
        <v>4</v>
      </c>
      <c r="AM894" t="s">
        <v>78</v>
      </c>
      <c r="AN894">
        <v>2</v>
      </c>
      <c r="AO894" t="s">
        <v>61</v>
      </c>
      <c r="AP894">
        <v>80</v>
      </c>
      <c r="AQ894">
        <v>0</v>
      </c>
      <c r="AR894">
        <v>1</v>
      </c>
      <c r="AS894" t="str">
        <f t="shared" si="205"/>
        <v>0-2</v>
      </c>
      <c r="AT894">
        <v>2</v>
      </c>
      <c r="AU894" t="str">
        <f t="shared" si="206"/>
        <v>0-2</v>
      </c>
      <c r="AV894">
        <v>4</v>
      </c>
      <c r="AW894" t="s">
        <v>94</v>
      </c>
      <c r="AX894">
        <v>1</v>
      </c>
      <c r="AY894" t="str">
        <f t="shared" si="195"/>
        <v>0-1</v>
      </c>
      <c r="AZ894">
        <v>1</v>
      </c>
      <c r="BA894" t="str">
        <f t="shared" si="207"/>
        <v>0-1</v>
      </c>
      <c r="BB894">
        <v>0</v>
      </c>
      <c r="BC894" t="str">
        <f t="shared" si="208"/>
        <v>0-1</v>
      </c>
      <c r="BD894">
        <v>0</v>
      </c>
      <c r="BE894" t="str">
        <f t="shared" si="209"/>
        <v>0-1</v>
      </c>
    </row>
    <row r="895" spans="1:57" x14ac:dyDescent="0.3">
      <c r="A895">
        <v>1249</v>
      </c>
      <c r="B895">
        <v>29</v>
      </c>
      <c r="C895" t="str">
        <f t="shared" si="196"/>
        <v>26-35</v>
      </c>
      <c r="D895" t="s">
        <v>71</v>
      </c>
      <c r="E895">
        <f t="shared" si="197"/>
        <v>0</v>
      </c>
      <c r="F895" t="s">
        <v>57</v>
      </c>
      <c r="G895">
        <v>1010</v>
      </c>
      <c r="H895" t="str">
        <f t="shared" si="198"/>
        <v>1001-1499</v>
      </c>
      <c r="I895" t="s">
        <v>73</v>
      </c>
      <c r="J895">
        <v>1</v>
      </c>
      <c r="K895" t="str">
        <f t="shared" si="199"/>
        <v>1-5</v>
      </c>
      <c r="L895">
        <v>3</v>
      </c>
      <c r="M895" t="s">
        <v>85</v>
      </c>
      <c r="N895" t="s">
        <v>60</v>
      </c>
      <c r="O895">
        <v>1</v>
      </c>
      <c r="P895">
        <v>1</v>
      </c>
      <c r="Q895" t="s">
        <v>69</v>
      </c>
      <c r="R895" t="s">
        <v>62</v>
      </c>
      <c r="S895">
        <v>97</v>
      </c>
      <c r="T895" t="str">
        <f t="shared" si="200"/>
        <v>76-100</v>
      </c>
      <c r="U895">
        <v>3</v>
      </c>
      <c r="V895" t="s">
        <v>63</v>
      </c>
      <c r="W895">
        <v>1</v>
      </c>
      <c r="X895" t="s">
        <v>76</v>
      </c>
      <c r="Y895">
        <v>4</v>
      </c>
      <c r="Z895" t="s">
        <v>65</v>
      </c>
      <c r="AA895" t="s">
        <v>86</v>
      </c>
      <c r="AB895" s="4">
        <v>3760</v>
      </c>
      <c r="AC895" s="4" t="str">
        <f t="shared" si="201"/>
        <v>$2,500-$4,000</v>
      </c>
      <c r="AD895">
        <v>5598</v>
      </c>
      <c r="AE895" t="str">
        <f t="shared" si="202"/>
        <v>$2,094-$8,000</v>
      </c>
      <c r="AF895">
        <v>1</v>
      </c>
      <c r="AG895" t="str">
        <f t="shared" si="203"/>
        <v>0-1</v>
      </c>
      <c r="AH895" t="s">
        <v>67</v>
      </c>
      <c r="AI895" t="s">
        <v>71</v>
      </c>
      <c r="AJ895">
        <v>15</v>
      </c>
      <c r="AK895" t="str">
        <f t="shared" si="204"/>
        <v>13-15%</v>
      </c>
      <c r="AL895">
        <v>3</v>
      </c>
      <c r="AM895" t="s">
        <v>68</v>
      </c>
      <c r="AN895">
        <v>1</v>
      </c>
      <c r="AO895" t="s">
        <v>69</v>
      </c>
      <c r="AP895">
        <v>80</v>
      </c>
      <c r="AQ895">
        <v>3</v>
      </c>
      <c r="AR895">
        <v>3</v>
      </c>
      <c r="AS895" t="str">
        <f t="shared" si="205"/>
        <v>3-5</v>
      </c>
      <c r="AT895">
        <v>5</v>
      </c>
      <c r="AU895" t="str">
        <f t="shared" si="206"/>
        <v>5-6</v>
      </c>
      <c r="AV895">
        <v>3</v>
      </c>
      <c r="AW895" t="s">
        <v>79</v>
      </c>
      <c r="AX895">
        <v>3</v>
      </c>
      <c r="AY895" t="str">
        <f t="shared" si="195"/>
        <v>2-5</v>
      </c>
      <c r="AZ895">
        <v>2</v>
      </c>
      <c r="BA895" t="str">
        <f t="shared" si="207"/>
        <v>2-5</v>
      </c>
      <c r="BB895">
        <v>1</v>
      </c>
      <c r="BC895" t="str">
        <f t="shared" si="208"/>
        <v>0-1</v>
      </c>
      <c r="BD895">
        <v>2</v>
      </c>
      <c r="BE895" t="str">
        <f t="shared" si="209"/>
        <v>2-5</v>
      </c>
    </row>
    <row r="896" spans="1:57" x14ac:dyDescent="0.3">
      <c r="A896">
        <v>1250</v>
      </c>
      <c r="B896">
        <v>54</v>
      </c>
      <c r="C896" t="str">
        <f t="shared" si="196"/>
        <v>46-55</v>
      </c>
      <c r="D896" t="s">
        <v>71</v>
      </c>
      <c r="E896">
        <f t="shared" si="197"/>
        <v>0</v>
      </c>
      <c r="F896" t="s">
        <v>57</v>
      </c>
      <c r="G896">
        <v>685</v>
      </c>
      <c r="H896" t="str">
        <f t="shared" si="198"/>
        <v>501-1000</v>
      </c>
      <c r="I896" t="s">
        <v>73</v>
      </c>
      <c r="J896">
        <v>3</v>
      </c>
      <c r="K896" t="str">
        <f t="shared" si="199"/>
        <v>1-5</v>
      </c>
      <c r="L896">
        <v>3</v>
      </c>
      <c r="M896" t="s">
        <v>85</v>
      </c>
      <c r="N896" t="s">
        <v>60</v>
      </c>
      <c r="O896">
        <v>1</v>
      </c>
      <c r="P896">
        <v>4</v>
      </c>
      <c r="Q896" t="s">
        <v>65</v>
      </c>
      <c r="R896" t="s">
        <v>75</v>
      </c>
      <c r="S896">
        <v>85</v>
      </c>
      <c r="T896" t="str">
        <f t="shared" si="200"/>
        <v>76-100</v>
      </c>
      <c r="U896">
        <v>3</v>
      </c>
      <c r="V896" t="s">
        <v>63</v>
      </c>
      <c r="W896">
        <v>4</v>
      </c>
      <c r="X896" t="s">
        <v>92</v>
      </c>
      <c r="Y896">
        <v>4</v>
      </c>
      <c r="Z896" t="s">
        <v>65</v>
      </c>
      <c r="AA896" t="s">
        <v>77</v>
      </c>
      <c r="AB896" s="4">
        <v>17779</v>
      </c>
      <c r="AC896" s="4" t="str">
        <f t="shared" si="201"/>
        <v>$17,500-$19,000</v>
      </c>
      <c r="AD896">
        <v>23474</v>
      </c>
      <c r="AE896" t="str">
        <f t="shared" si="202"/>
        <v>$22,001-$26,999</v>
      </c>
      <c r="AF896">
        <v>3</v>
      </c>
      <c r="AG896" t="str">
        <f t="shared" si="203"/>
        <v>2-3</v>
      </c>
      <c r="AH896" t="s">
        <v>67</v>
      </c>
      <c r="AI896" t="s">
        <v>71</v>
      </c>
      <c r="AJ896">
        <v>14</v>
      </c>
      <c r="AK896" t="str">
        <f t="shared" si="204"/>
        <v>13-15%</v>
      </c>
      <c r="AL896">
        <v>3</v>
      </c>
      <c r="AM896" t="s">
        <v>68</v>
      </c>
      <c r="AN896">
        <v>1</v>
      </c>
      <c r="AO896" t="s">
        <v>69</v>
      </c>
      <c r="AP896">
        <v>80</v>
      </c>
      <c r="AQ896">
        <v>0</v>
      </c>
      <c r="AR896">
        <v>36</v>
      </c>
      <c r="AS896" t="str">
        <f t="shared" si="205"/>
        <v>21-40</v>
      </c>
      <c r="AT896">
        <v>2</v>
      </c>
      <c r="AU896" t="str">
        <f t="shared" si="206"/>
        <v>0-2</v>
      </c>
      <c r="AV896">
        <v>3</v>
      </c>
      <c r="AW896" t="s">
        <v>79</v>
      </c>
      <c r="AX896">
        <v>10</v>
      </c>
      <c r="AY896" t="str">
        <f t="shared" si="195"/>
        <v>6-10</v>
      </c>
      <c r="AZ896">
        <v>9</v>
      </c>
      <c r="BA896" t="str">
        <f t="shared" si="207"/>
        <v>6-10</v>
      </c>
      <c r="BB896">
        <v>0</v>
      </c>
      <c r="BC896" t="str">
        <f t="shared" si="208"/>
        <v>0-1</v>
      </c>
      <c r="BD896">
        <v>9</v>
      </c>
      <c r="BE896" t="str">
        <f t="shared" si="209"/>
        <v>6-10</v>
      </c>
    </row>
    <row r="897" spans="1:57" x14ac:dyDescent="0.3">
      <c r="A897">
        <v>1251</v>
      </c>
      <c r="B897">
        <v>31</v>
      </c>
      <c r="C897" t="str">
        <f t="shared" si="196"/>
        <v>26-35</v>
      </c>
      <c r="D897" t="s">
        <v>71</v>
      </c>
      <c r="E897">
        <f t="shared" si="197"/>
        <v>0</v>
      </c>
      <c r="F897" t="s">
        <v>57</v>
      </c>
      <c r="G897">
        <v>1332</v>
      </c>
      <c r="H897" t="str">
        <f t="shared" si="198"/>
        <v>1001-1499</v>
      </c>
      <c r="I897" t="s">
        <v>73</v>
      </c>
      <c r="J897">
        <v>11</v>
      </c>
      <c r="K897" t="str">
        <f t="shared" si="199"/>
        <v>11-20</v>
      </c>
      <c r="L897">
        <v>2</v>
      </c>
      <c r="M897" t="s">
        <v>59</v>
      </c>
      <c r="N897" t="s">
        <v>83</v>
      </c>
      <c r="O897">
        <v>1</v>
      </c>
      <c r="P897">
        <v>3</v>
      </c>
      <c r="Q897" t="s">
        <v>63</v>
      </c>
      <c r="R897" t="s">
        <v>75</v>
      </c>
      <c r="S897">
        <v>80</v>
      </c>
      <c r="T897" t="str">
        <f t="shared" si="200"/>
        <v>76-100</v>
      </c>
      <c r="U897">
        <v>3</v>
      </c>
      <c r="V897" t="s">
        <v>63</v>
      </c>
      <c r="W897">
        <v>2</v>
      </c>
      <c r="X897" t="s">
        <v>88</v>
      </c>
      <c r="Y897">
        <v>1</v>
      </c>
      <c r="Z897" t="s">
        <v>69</v>
      </c>
      <c r="AA897" t="s">
        <v>77</v>
      </c>
      <c r="AB897" s="4">
        <v>6833</v>
      </c>
      <c r="AC897" s="4" t="str">
        <f t="shared" si="201"/>
        <v>$5,500-$7,000</v>
      </c>
      <c r="AD897">
        <v>17089</v>
      </c>
      <c r="AE897" t="str">
        <f t="shared" si="202"/>
        <v>$16,001-$22,000</v>
      </c>
      <c r="AF897">
        <v>1</v>
      </c>
      <c r="AG897" t="str">
        <f t="shared" si="203"/>
        <v>0-1</v>
      </c>
      <c r="AH897" t="s">
        <v>67</v>
      </c>
      <c r="AI897" t="s">
        <v>56</v>
      </c>
      <c r="AJ897">
        <v>12</v>
      </c>
      <c r="AK897" t="str">
        <f t="shared" si="204"/>
        <v>11-12%</v>
      </c>
      <c r="AL897">
        <v>3</v>
      </c>
      <c r="AM897" t="s">
        <v>68</v>
      </c>
      <c r="AN897">
        <v>4</v>
      </c>
      <c r="AO897" t="s">
        <v>65</v>
      </c>
      <c r="AP897">
        <v>80</v>
      </c>
      <c r="AQ897">
        <v>0</v>
      </c>
      <c r="AR897">
        <v>6</v>
      </c>
      <c r="AS897" t="str">
        <f t="shared" si="205"/>
        <v>6-10</v>
      </c>
      <c r="AT897">
        <v>2</v>
      </c>
      <c r="AU897" t="str">
        <f t="shared" si="206"/>
        <v>0-2</v>
      </c>
      <c r="AV897">
        <v>2</v>
      </c>
      <c r="AW897" t="s">
        <v>84</v>
      </c>
      <c r="AX897">
        <v>6</v>
      </c>
      <c r="AY897" t="str">
        <f t="shared" si="195"/>
        <v>6-10</v>
      </c>
      <c r="AZ897">
        <v>5</v>
      </c>
      <c r="BA897" t="str">
        <f t="shared" si="207"/>
        <v>2-5</v>
      </c>
      <c r="BB897">
        <v>0</v>
      </c>
      <c r="BC897" t="str">
        <f t="shared" si="208"/>
        <v>0-1</v>
      </c>
      <c r="BD897">
        <v>1</v>
      </c>
      <c r="BE897" t="str">
        <f t="shared" si="209"/>
        <v>0-1</v>
      </c>
    </row>
    <row r="898" spans="1:57" x14ac:dyDescent="0.3">
      <c r="A898">
        <v>1252</v>
      </c>
      <c r="B898">
        <v>31</v>
      </c>
      <c r="C898" t="str">
        <f t="shared" si="196"/>
        <v>26-35</v>
      </c>
      <c r="D898" t="s">
        <v>71</v>
      </c>
      <c r="E898">
        <f t="shared" si="197"/>
        <v>0</v>
      </c>
      <c r="F898" t="s">
        <v>57</v>
      </c>
      <c r="G898">
        <v>1062</v>
      </c>
      <c r="H898" t="str">
        <f t="shared" si="198"/>
        <v>1001-1499</v>
      </c>
      <c r="I898" t="s">
        <v>73</v>
      </c>
      <c r="J898">
        <v>24</v>
      </c>
      <c r="K898" t="str">
        <f t="shared" si="199"/>
        <v>21-29</v>
      </c>
      <c r="L898">
        <v>3</v>
      </c>
      <c r="M898" t="s">
        <v>85</v>
      </c>
      <c r="N898" t="s">
        <v>83</v>
      </c>
      <c r="O898">
        <v>1</v>
      </c>
      <c r="P898">
        <v>3</v>
      </c>
      <c r="Q898" t="s">
        <v>63</v>
      </c>
      <c r="R898" t="s">
        <v>62</v>
      </c>
      <c r="S898">
        <v>96</v>
      </c>
      <c r="T898" t="str">
        <f t="shared" si="200"/>
        <v>76-100</v>
      </c>
      <c r="U898">
        <v>2</v>
      </c>
      <c r="V898" t="s">
        <v>61</v>
      </c>
      <c r="W898">
        <v>2</v>
      </c>
      <c r="X898" t="s">
        <v>88</v>
      </c>
      <c r="Y898">
        <v>1</v>
      </c>
      <c r="Z898" t="s">
        <v>69</v>
      </c>
      <c r="AA898" t="s">
        <v>66</v>
      </c>
      <c r="AB898" s="4">
        <v>6812</v>
      </c>
      <c r="AC898" s="4" t="str">
        <f t="shared" si="201"/>
        <v>$5,500-$7,000</v>
      </c>
      <c r="AD898">
        <v>17198</v>
      </c>
      <c r="AE898" t="str">
        <f t="shared" si="202"/>
        <v>$16,001-$22,000</v>
      </c>
      <c r="AF898">
        <v>1</v>
      </c>
      <c r="AG898" t="str">
        <f t="shared" si="203"/>
        <v>0-1</v>
      </c>
      <c r="AH898" t="s">
        <v>67</v>
      </c>
      <c r="AI898" t="s">
        <v>71</v>
      </c>
      <c r="AJ898">
        <v>19</v>
      </c>
      <c r="AK898" t="str">
        <f t="shared" si="204"/>
        <v>18-19%</v>
      </c>
      <c r="AL898">
        <v>3</v>
      </c>
      <c r="AM898" t="s">
        <v>68</v>
      </c>
      <c r="AN898">
        <v>2</v>
      </c>
      <c r="AO898" t="s">
        <v>61</v>
      </c>
      <c r="AP898">
        <v>80</v>
      </c>
      <c r="AQ898">
        <v>0</v>
      </c>
      <c r="AR898">
        <v>10</v>
      </c>
      <c r="AS898" t="str">
        <f t="shared" si="205"/>
        <v>6-10</v>
      </c>
      <c r="AT898">
        <v>2</v>
      </c>
      <c r="AU898" t="str">
        <f t="shared" si="206"/>
        <v>0-2</v>
      </c>
      <c r="AV898">
        <v>3</v>
      </c>
      <c r="AW898" t="s">
        <v>79</v>
      </c>
      <c r="AX898">
        <v>10</v>
      </c>
      <c r="AY898" t="str">
        <f t="shared" ref="AY898:AY961" si="210">IF(AX898&lt;=1,"0-1",IF(AX898&lt;=5,"2-5",IF(AX898&lt;=10,"6-10",IF(AX898&lt;=20,"11-20","21-40"))))</f>
        <v>6-10</v>
      </c>
      <c r="AZ898">
        <v>9</v>
      </c>
      <c r="BA898" t="str">
        <f t="shared" si="207"/>
        <v>6-10</v>
      </c>
      <c r="BB898">
        <v>1</v>
      </c>
      <c r="BC898" t="str">
        <f t="shared" si="208"/>
        <v>0-1</v>
      </c>
      <c r="BD898">
        <v>8</v>
      </c>
      <c r="BE898" t="str">
        <f t="shared" si="209"/>
        <v>6-10</v>
      </c>
    </row>
    <row r="899" spans="1:57" x14ac:dyDescent="0.3">
      <c r="A899">
        <v>1254</v>
      </c>
      <c r="B899">
        <v>59</v>
      </c>
      <c r="C899" t="str">
        <f t="shared" ref="C899:C962" si="211">IF(B899&lt;=25, "18-25", IF(B899&lt;=35, "26-35", IF(B899&lt;=45, "36-45", IF(B899&lt;=55, "46-55", "56+"))))</f>
        <v>56+</v>
      </c>
      <c r="D899" t="s">
        <v>71</v>
      </c>
      <c r="E899">
        <f t="shared" ref="E899:E962" si="212">IF(D899="Yes",1,0)</f>
        <v>0</v>
      </c>
      <c r="F899" t="s">
        <v>57</v>
      </c>
      <c r="G899">
        <v>326</v>
      </c>
      <c r="H899" t="str">
        <f t="shared" ref="H899:H962" si="213">IF(G899&lt;=500,"102-500",IF(G899&lt;=1000,"501-1000","1001-1499"))</f>
        <v>102-500</v>
      </c>
      <c r="I899" t="s">
        <v>58</v>
      </c>
      <c r="J899">
        <v>3</v>
      </c>
      <c r="K899" t="str">
        <f t="shared" ref="K899:K962" si="214">IF(J899&lt;=5,"1-5",IF(J899&lt;=10,"6-10",IF(J899&lt;=20,"11-20","21-29")))</f>
        <v>1-5</v>
      </c>
      <c r="L899">
        <v>3</v>
      </c>
      <c r="M899" t="s">
        <v>85</v>
      </c>
      <c r="N899" t="s">
        <v>60</v>
      </c>
      <c r="O899">
        <v>1</v>
      </c>
      <c r="P899">
        <v>3</v>
      </c>
      <c r="Q899" t="s">
        <v>63</v>
      </c>
      <c r="R899" t="s">
        <v>62</v>
      </c>
      <c r="S899">
        <v>48</v>
      </c>
      <c r="T899" t="str">
        <f t="shared" ref="T899:T962" si="215">IF(S899&lt;=50,"30-50",IF(S899&lt;=75,"51-75","76-100"))</f>
        <v>30-50</v>
      </c>
      <c r="U899">
        <v>2</v>
      </c>
      <c r="V899" t="s">
        <v>61</v>
      </c>
      <c r="W899">
        <v>2</v>
      </c>
      <c r="X899" t="s">
        <v>64</v>
      </c>
      <c r="Y899">
        <v>4</v>
      </c>
      <c r="Z899" t="s">
        <v>65</v>
      </c>
      <c r="AA899" t="s">
        <v>66</v>
      </c>
      <c r="AB899" s="4">
        <v>5171</v>
      </c>
      <c r="AC899" s="4" t="str">
        <f t="shared" ref="AC899:AC962" si="216">IF(AB899&lt;2500,"$1,000-$2,500",IF(AB899&lt;4000,"$2,500-$4,000",IF(AB899&lt;5500,"$4,000-$5,500",IF(AB899&lt;7000,"$5,500-$7,000",IF(AB899&lt;8500,"$7,000-$8,500",IF(AB899&lt;10000,"$8,500-$10,000",IF(AB899&lt;11500,"$10,000-$11,500",IF(AB899&lt;13000,"$11,500-$13,000",IF(AB899&lt;14500,"$13,000-$14,500",IF(AB899&lt;16000,"$14,500-$16,000",IF(AB899&lt;17500,"$16,000-$17,500",IF(AB899&lt;19000,"$17,500-$19,000",IF(AB899&lt;20500,"$19,000-$20,500",IF(AB899&lt;22000,"$20,500-$22,000",IF(AB899&lt;23500,"$22,000-$23,500",IF(AB899&lt;25000,"$23,500-$25,000",IF(AB899&lt;26500,"$25,000-$26,500",IF(AB899&lt;28000,"$26,500-$28,000",IF(AB899&lt;29500,"$28,000-$29,500","$29,500+")))))))))))))))))))</f>
        <v>$4,000-$5,500</v>
      </c>
      <c r="AD899">
        <v>16490</v>
      </c>
      <c r="AE899" t="str">
        <f t="shared" ref="AE899:AE962" si="217">IF(AD899&lt;=8000,"$2,094-$8,000",IF(AD899&lt;=16000,"$8,001-$16,000",IF(AD899&lt;=22000,"$16,001-$22,000","$22,001-$26,999")))</f>
        <v>$16,001-$22,000</v>
      </c>
      <c r="AF899">
        <v>5</v>
      </c>
      <c r="AG899" t="str">
        <f t="shared" ref="AG899:AG962" si="218">IF(AF899&lt;=1,"0-1",IF(AF899&lt;=3,"2-3",IF(AF899&lt;=6,"4-6","7-9")))</f>
        <v>4-6</v>
      </c>
      <c r="AH899" t="s">
        <v>67</v>
      </c>
      <c r="AI899" t="s">
        <v>71</v>
      </c>
      <c r="AJ899">
        <v>17</v>
      </c>
      <c r="AK899" t="str">
        <f t="shared" ref="AK899:AK962" si="219">IF(AJ899&lt;=12,"11-12%",IF(AJ899&lt;=15,"13-15%",IF(AJ899&lt;=17,"16-17%","18-19%")))</f>
        <v>16-17%</v>
      </c>
      <c r="AL899">
        <v>3</v>
      </c>
      <c r="AM899" t="s">
        <v>68</v>
      </c>
      <c r="AN899">
        <v>4</v>
      </c>
      <c r="AO899" t="s">
        <v>65</v>
      </c>
      <c r="AP899">
        <v>80</v>
      </c>
      <c r="AQ899">
        <v>0</v>
      </c>
      <c r="AR899">
        <v>13</v>
      </c>
      <c r="AS899" t="str">
        <f t="shared" ref="AS899:AS962" si="220">IF(AR899&lt;=2,"0-2",IF(AR899&lt;=5,"3-5",IF(AR899&lt;=10,"6-10",IF(AR899&lt;=20,"11-20","21-40"))))</f>
        <v>11-20</v>
      </c>
      <c r="AT899">
        <v>2</v>
      </c>
      <c r="AU899" t="str">
        <f t="shared" ref="AU899:AU962" si="221">IF(AT899&lt;=2,"0-2",IF(AT899&lt;=4,"3-4","5-6"))</f>
        <v>0-2</v>
      </c>
      <c r="AV899">
        <v>3</v>
      </c>
      <c r="AW899" t="s">
        <v>79</v>
      </c>
      <c r="AX899">
        <v>6</v>
      </c>
      <c r="AY899" t="str">
        <f t="shared" si="210"/>
        <v>6-10</v>
      </c>
      <c r="AZ899">
        <v>1</v>
      </c>
      <c r="BA899" t="str">
        <f t="shared" ref="BA899:BA962" si="222">IF(AZ899&lt;=1,"0-1",IF(AZ899&lt;=5,"2-5",IF(AZ899&lt;=10,"6-10","11-18")))</f>
        <v>0-1</v>
      </c>
      <c r="BB899">
        <v>0</v>
      </c>
      <c r="BC899" t="str">
        <f t="shared" ref="BC899:BC962" si="223">IF(BB899&lt;=1,"0-1",IF(BB899&lt;=5,"2-5",IF(BB899&lt;=10,"6-10","11-15")))</f>
        <v>0-1</v>
      </c>
      <c r="BD899">
        <v>5</v>
      </c>
      <c r="BE899" t="str">
        <f t="shared" ref="BE899:BE962" si="224">IF(BD899&lt;=1,"0-1",IF(BD899&lt;=5,"2-5",IF(BD899&lt;=10,"6-10","11-17")))</f>
        <v>2-5</v>
      </c>
    </row>
    <row r="900" spans="1:57" x14ac:dyDescent="0.3">
      <c r="A900">
        <v>1255</v>
      </c>
      <c r="B900">
        <v>43</v>
      </c>
      <c r="C900" t="str">
        <f t="shared" si="211"/>
        <v>36-45</v>
      </c>
      <c r="D900" t="s">
        <v>71</v>
      </c>
      <c r="E900">
        <f t="shared" si="212"/>
        <v>0</v>
      </c>
      <c r="F900" t="s">
        <v>57</v>
      </c>
      <c r="G900">
        <v>920</v>
      </c>
      <c r="H900" t="str">
        <f t="shared" si="213"/>
        <v>501-1000</v>
      </c>
      <c r="I900" t="s">
        <v>73</v>
      </c>
      <c r="J900">
        <v>3</v>
      </c>
      <c r="K900" t="str">
        <f t="shared" si="214"/>
        <v>1-5</v>
      </c>
      <c r="L900">
        <v>3</v>
      </c>
      <c r="M900" t="s">
        <v>85</v>
      </c>
      <c r="N900" t="s">
        <v>60</v>
      </c>
      <c r="O900">
        <v>1</v>
      </c>
      <c r="P900">
        <v>3</v>
      </c>
      <c r="Q900" t="s">
        <v>63</v>
      </c>
      <c r="R900" t="s">
        <v>75</v>
      </c>
      <c r="S900">
        <v>96</v>
      </c>
      <c r="T900" t="str">
        <f t="shared" si="215"/>
        <v>76-100</v>
      </c>
      <c r="U900">
        <v>1</v>
      </c>
      <c r="V900" t="s">
        <v>69</v>
      </c>
      <c r="W900">
        <v>5</v>
      </c>
      <c r="X900" t="s">
        <v>92</v>
      </c>
      <c r="Y900">
        <v>4</v>
      </c>
      <c r="Z900" t="s">
        <v>65</v>
      </c>
      <c r="AA900" t="s">
        <v>77</v>
      </c>
      <c r="AB900" s="4">
        <v>19740</v>
      </c>
      <c r="AC900" s="4" t="str">
        <f t="shared" si="216"/>
        <v>$19,000-$20,500</v>
      </c>
      <c r="AD900">
        <v>18625</v>
      </c>
      <c r="AE900" t="str">
        <f t="shared" si="217"/>
        <v>$16,001-$22,000</v>
      </c>
      <c r="AF900">
        <v>3</v>
      </c>
      <c r="AG900" t="str">
        <f t="shared" si="218"/>
        <v>2-3</v>
      </c>
      <c r="AH900" t="s">
        <v>67</v>
      </c>
      <c r="AI900" t="s">
        <v>71</v>
      </c>
      <c r="AJ900">
        <v>14</v>
      </c>
      <c r="AK900" t="str">
        <f t="shared" si="219"/>
        <v>13-15%</v>
      </c>
      <c r="AL900">
        <v>3</v>
      </c>
      <c r="AM900" t="s">
        <v>68</v>
      </c>
      <c r="AN900">
        <v>2</v>
      </c>
      <c r="AO900" t="s">
        <v>61</v>
      </c>
      <c r="AP900">
        <v>80</v>
      </c>
      <c r="AQ900">
        <v>1</v>
      </c>
      <c r="AR900">
        <v>25</v>
      </c>
      <c r="AS900" t="str">
        <f t="shared" si="220"/>
        <v>21-40</v>
      </c>
      <c r="AT900">
        <v>2</v>
      </c>
      <c r="AU900" t="str">
        <f t="shared" si="221"/>
        <v>0-2</v>
      </c>
      <c r="AV900">
        <v>3</v>
      </c>
      <c r="AW900" t="s">
        <v>79</v>
      </c>
      <c r="AX900">
        <v>8</v>
      </c>
      <c r="AY900" t="str">
        <f t="shared" si="210"/>
        <v>6-10</v>
      </c>
      <c r="AZ900">
        <v>7</v>
      </c>
      <c r="BA900" t="str">
        <f t="shared" si="222"/>
        <v>6-10</v>
      </c>
      <c r="BB900">
        <v>0</v>
      </c>
      <c r="BC900" t="str">
        <f t="shared" si="223"/>
        <v>0-1</v>
      </c>
      <c r="BD900">
        <v>7</v>
      </c>
      <c r="BE900" t="str">
        <f t="shared" si="224"/>
        <v>6-10</v>
      </c>
    </row>
    <row r="901" spans="1:57" x14ac:dyDescent="0.3">
      <c r="A901">
        <v>1256</v>
      </c>
      <c r="B901">
        <v>49</v>
      </c>
      <c r="C901" t="str">
        <f t="shared" si="211"/>
        <v>46-55</v>
      </c>
      <c r="D901" t="s">
        <v>71</v>
      </c>
      <c r="E901">
        <f t="shared" si="212"/>
        <v>0</v>
      </c>
      <c r="F901" t="s">
        <v>57</v>
      </c>
      <c r="G901">
        <v>1098</v>
      </c>
      <c r="H901" t="str">
        <f t="shared" si="213"/>
        <v>1001-1499</v>
      </c>
      <c r="I901" t="s">
        <v>73</v>
      </c>
      <c r="J901">
        <v>4</v>
      </c>
      <c r="K901" t="str">
        <f t="shared" si="214"/>
        <v>1-5</v>
      </c>
      <c r="L901">
        <v>2</v>
      </c>
      <c r="M901" t="s">
        <v>59</v>
      </c>
      <c r="N901" t="s">
        <v>83</v>
      </c>
      <c r="O901">
        <v>1</v>
      </c>
      <c r="P901">
        <v>1</v>
      </c>
      <c r="Q901" t="s">
        <v>69</v>
      </c>
      <c r="R901" t="s">
        <v>75</v>
      </c>
      <c r="S901">
        <v>85</v>
      </c>
      <c r="T901" t="str">
        <f t="shared" si="215"/>
        <v>76-100</v>
      </c>
      <c r="U901">
        <v>2</v>
      </c>
      <c r="V901" t="s">
        <v>61</v>
      </c>
      <c r="W901">
        <v>5</v>
      </c>
      <c r="X901" t="s">
        <v>90</v>
      </c>
      <c r="Y901">
        <v>3</v>
      </c>
      <c r="Z901" t="s">
        <v>63</v>
      </c>
      <c r="AA901" t="s">
        <v>77</v>
      </c>
      <c r="AB901" s="4">
        <v>18711</v>
      </c>
      <c r="AC901" s="4" t="str">
        <f t="shared" si="216"/>
        <v>$17,500-$19,000</v>
      </c>
      <c r="AD901">
        <v>12124</v>
      </c>
      <c r="AE901" t="str">
        <f t="shared" si="217"/>
        <v>$8,001-$16,000</v>
      </c>
      <c r="AF901">
        <v>2</v>
      </c>
      <c r="AG901" t="str">
        <f t="shared" si="218"/>
        <v>2-3</v>
      </c>
      <c r="AH901" t="s">
        <v>67</v>
      </c>
      <c r="AI901" t="s">
        <v>71</v>
      </c>
      <c r="AJ901">
        <v>13</v>
      </c>
      <c r="AK901" t="str">
        <f t="shared" si="219"/>
        <v>13-15%</v>
      </c>
      <c r="AL901">
        <v>3</v>
      </c>
      <c r="AM901" t="s">
        <v>68</v>
      </c>
      <c r="AN901">
        <v>3</v>
      </c>
      <c r="AO901" t="s">
        <v>63</v>
      </c>
      <c r="AP901">
        <v>80</v>
      </c>
      <c r="AQ901">
        <v>1</v>
      </c>
      <c r="AR901">
        <v>23</v>
      </c>
      <c r="AS901" t="str">
        <f t="shared" si="220"/>
        <v>21-40</v>
      </c>
      <c r="AT901">
        <v>2</v>
      </c>
      <c r="AU901" t="str">
        <f t="shared" si="221"/>
        <v>0-2</v>
      </c>
      <c r="AV901">
        <v>4</v>
      </c>
      <c r="AW901" t="s">
        <v>94</v>
      </c>
      <c r="AX901">
        <v>1</v>
      </c>
      <c r="AY901" t="str">
        <f t="shared" si="210"/>
        <v>0-1</v>
      </c>
      <c r="AZ901">
        <v>0</v>
      </c>
      <c r="BA901" t="str">
        <f t="shared" si="222"/>
        <v>0-1</v>
      </c>
      <c r="BB901">
        <v>0</v>
      </c>
      <c r="BC901" t="str">
        <f t="shared" si="223"/>
        <v>0-1</v>
      </c>
      <c r="BD901">
        <v>0</v>
      </c>
      <c r="BE901" t="str">
        <f t="shared" si="224"/>
        <v>0-1</v>
      </c>
    </row>
    <row r="902" spans="1:57" x14ac:dyDescent="0.3">
      <c r="A902">
        <v>1257</v>
      </c>
      <c r="B902">
        <v>36</v>
      </c>
      <c r="C902" t="str">
        <f t="shared" si="211"/>
        <v>36-45</v>
      </c>
      <c r="D902" t="s">
        <v>71</v>
      </c>
      <c r="E902">
        <f t="shared" si="212"/>
        <v>0</v>
      </c>
      <c r="F902" t="s">
        <v>72</v>
      </c>
      <c r="G902">
        <v>469</v>
      </c>
      <c r="H902" t="str">
        <f t="shared" si="213"/>
        <v>102-500</v>
      </c>
      <c r="I902" t="s">
        <v>73</v>
      </c>
      <c r="J902">
        <v>3</v>
      </c>
      <c r="K902" t="str">
        <f t="shared" si="214"/>
        <v>1-5</v>
      </c>
      <c r="L902">
        <v>3</v>
      </c>
      <c r="M902" t="s">
        <v>85</v>
      </c>
      <c r="N902" t="s">
        <v>95</v>
      </c>
      <c r="O902">
        <v>1</v>
      </c>
      <c r="P902">
        <v>3</v>
      </c>
      <c r="Q902" t="s">
        <v>63</v>
      </c>
      <c r="R902" t="s">
        <v>75</v>
      </c>
      <c r="S902">
        <v>46</v>
      </c>
      <c r="T902" t="str">
        <f t="shared" si="215"/>
        <v>30-50</v>
      </c>
      <c r="U902">
        <v>3</v>
      </c>
      <c r="V902" t="s">
        <v>63</v>
      </c>
      <c r="W902">
        <v>1</v>
      </c>
      <c r="X902" t="s">
        <v>76</v>
      </c>
      <c r="Y902">
        <v>2</v>
      </c>
      <c r="Z902" t="s">
        <v>61</v>
      </c>
      <c r="AA902" t="s">
        <v>77</v>
      </c>
      <c r="AB902" s="4">
        <v>3692</v>
      </c>
      <c r="AC902" s="4" t="str">
        <f t="shared" si="216"/>
        <v>$2,500-$4,000</v>
      </c>
      <c r="AD902">
        <v>9256</v>
      </c>
      <c r="AE902" t="str">
        <f t="shared" si="217"/>
        <v>$8,001-$16,000</v>
      </c>
      <c r="AF902">
        <v>1</v>
      </c>
      <c r="AG902" t="str">
        <f t="shared" si="218"/>
        <v>0-1</v>
      </c>
      <c r="AH902" t="s">
        <v>67</v>
      </c>
      <c r="AI902" t="s">
        <v>71</v>
      </c>
      <c r="AJ902">
        <v>12</v>
      </c>
      <c r="AK902" t="str">
        <f t="shared" si="219"/>
        <v>11-12%</v>
      </c>
      <c r="AL902">
        <v>3</v>
      </c>
      <c r="AM902" t="s">
        <v>68</v>
      </c>
      <c r="AN902">
        <v>3</v>
      </c>
      <c r="AO902" t="s">
        <v>63</v>
      </c>
      <c r="AP902">
        <v>80</v>
      </c>
      <c r="AQ902">
        <v>0</v>
      </c>
      <c r="AR902">
        <v>12</v>
      </c>
      <c r="AS902" t="str">
        <f t="shared" si="220"/>
        <v>11-20</v>
      </c>
      <c r="AT902">
        <v>2</v>
      </c>
      <c r="AU902" t="str">
        <f t="shared" si="221"/>
        <v>0-2</v>
      </c>
      <c r="AV902">
        <v>2</v>
      </c>
      <c r="AW902" t="s">
        <v>84</v>
      </c>
      <c r="AX902">
        <v>11</v>
      </c>
      <c r="AY902" t="str">
        <f t="shared" si="210"/>
        <v>11-20</v>
      </c>
      <c r="AZ902">
        <v>10</v>
      </c>
      <c r="BA902" t="str">
        <f t="shared" si="222"/>
        <v>6-10</v>
      </c>
      <c r="BB902">
        <v>0</v>
      </c>
      <c r="BC902" t="str">
        <f t="shared" si="223"/>
        <v>0-1</v>
      </c>
      <c r="BD902">
        <v>7</v>
      </c>
      <c r="BE902" t="str">
        <f t="shared" si="224"/>
        <v>6-10</v>
      </c>
    </row>
    <row r="903" spans="1:57" x14ac:dyDescent="0.3">
      <c r="A903">
        <v>1258</v>
      </c>
      <c r="B903">
        <v>48</v>
      </c>
      <c r="C903" t="str">
        <f t="shared" si="211"/>
        <v>46-55</v>
      </c>
      <c r="D903" t="s">
        <v>71</v>
      </c>
      <c r="E903">
        <f t="shared" si="212"/>
        <v>0</v>
      </c>
      <c r="F903" t="s">
        <v>57</v>
      </c>
      <c r="G903">
        <v>969</v>
      </c>
      <c r="H903" t="str">
        <f t="shared" si="213"/>
        <v>501-1000</v>
      </c>
      <c r="I903" t="s">
        <v>73</v>
      </c>
      <c r="J903">
        <v>2</v>
      </c>
      <c r="K903" t="str">
        <f t="shared" si="214"/>
        <v>1-5</v>
      </c>
      <c r="L903">
        <v>2</v>
      </c>
      <c r="M903" t="s">
        <v>59</v>
      </c>
      <c r="N903" t="s">
        <v>95</v>
      </c>
      <c r="O903">
        <v>1</v>
      </c>
      <c r="P903">
        <v>4</v>
      </c>
      <c r="Q903" t="s">
        <v>65</v>
      </c>
      <c r="R903" t="s">
        <v>75</v>
      </c>
      <c r="S903">
        <v>76</v>
      </c>
      <c r="T903" t="str">
        <f t="shared" si="215"/>
        <v>76-100</v>
      </c>
      <c r="U903">
        <v>4</v>
      </c>
      <c r="V903" t="s">
        <v>65</v>
      </c>
      <c r="W903">
        <v>1</v>
      </c>
      <c r="X903" t="s">
        <v>81</v>
      </c>
      <c r="Y903">
        <v>2</v>
      </c>
      <c r="Z903" t="s">
        <v>61</v>
      </c>
      <c r="AA903" t="s">
        <v>66</v>
      </c>
      <c r="AB903" s="4">
        <v>2559</v>
      </c>
      <c r="AC903" s="4" t="str">
        <f t="shared" si="216"/>
        <v>$2,500-$4,000</v>
      </c>
      <c r="AD903">
        <v>16620</v>
      </c>
      <c r="AE903" t="str">
        <f t="shared" si="217"/>
        <v>$16,001-$22,000</v>
      </c>
      <c r="AF903">
        <v>5</v>
      </c>
      <c r="AG903" t="str">
        <f t="shared" si="218"/>
        <v>4-6</v>
      </c>
      <c r="AH903" t="s">
        <v>67</v>
      </c>
      <c r="AI903" t="s">
        <v>71</v>
      </c>
      <c r="AJ903">
        <v>11</v>
      </c>
      <c r="AK903" t="str">
        <f t="shared" si="219"/>
        <v>11-12%</v>
      </c>
      <c r="AL903">
        <v>3</v>
      </c>
      <c r="AM903" t="s">
        <v>68</v>
      </c>
      <c r="AN903">
        <v>3</v>
      </c>
      <c r="AO903" t="s">
        <v>63</v>
      </c>
      <c r="AP903">
        <v>80</v>
      </c>
      <c r="AQ903">
        <v>0</v>
      </c>
      <c r="AR903">
        <v>7</v>
      </c>
      <c r="AS903" t="str">
        <f t="shared" si="220"/>
        <v>6-10</v>
      </c>
      <c r="AT903">
        <v>4</v>
      </c>
      <c r="AU903" t="str">
        <f t="shared" si="221"/>
        <v>3-4</v>
      </c>
      <c r="AV903">
        <v>2</v>
      </c>
      <c r="AW903" t="s">
        <v>84</v>
      </c>
      <c r="AX903">
        <v>1</v>
      </c>
      <c r="AY903" t="str">
        <f t="shared" si="210"/>
        <v>0-1</v>
      </c>
      <c r="AZ903">
        <v>0</v>
      </c>
      <c r="BA903" t="str">
        <f t="shared" si="222"/>
        <v>0-1</v>
      </c>
      <c r="BB903">
        <v>0</v>
      </c>
      <c r="BC903" t="str">
        <f t="shared" si="223"/>
        <v>0-1</v>
      </c>
      <c r="BD903">
        <v>0</v>
      </c>
      <c r="BE903" t="str">
        <f t="shared" si="224"/>
        <v>0-1</v>
      </c>
    </row>
    <row r="904" spans="1:57" x14ac:dyDescent="0.3">
      <c r="A904">
        <v>1259</v>
      </c>
      <c r="B904">
        <v>27</v>
      </c>
      <c r="C904" t="str">
        <f t="shared" si="211"/>
        <v>26-35</v>
      </c>
      <c r="D904" t="s">
        <v>71</v>
      </c>
      <c r="E904">
        <f t="shared" si="212"/>
        <v>0</v>
      </c>
      <c r="F904" t="s">
        <v>57</v>
      </c>
      <c r="G904">
        <v>1167</v>
      </c>
      <c r="H904" t="str">
        <f t="shared" si="213"/>
        <v>1001-1499</v>
      </c>
      <c r="I904" t="s">
        <v>73</v>
      </c>
      <c r="J904">
        <v>4</v>
      </c>
      <c r="K904" t="str">
        <f t="shared" si="214"/>
        <v>1-5</v>
      </c>
      <c r="L904">
        <v>2</v>
      </c>
      <c r="M904" t="s">
        <v>59</v>
      </c>
      <c r="N904" t="s">
        <v>60</v>
      </c>
      <c r="O904">
        <v>1</v>
      </c>
      <c r="P904">
        <v>1</v>
      </c>
      <c r="Q904" t="s">
        <v>69</v>
      </c>
      <c r="R904" t="s">
        <v>75</v>
      </c>
      <c r="S904">
        <v>76</v>
      </c>
      <c r="T904" t="str">
        <f t="shared" si="215"/>
        <v>76-100</v>
      </c>
      <c r="U904">
        <v>3</v>
      </c>
      <c r="V904" t="s">
        <v>63</v>
      </c>
      <c r="W904">
        <v>1</v>
      </c>
      <c r="X904" t="s">
        <v>76</v>
      </c>
      <c r="Y904">
        <v>3</v>
      </c>
      <c r="Z904" t="s">
        <v>63</v>
      </c>
      <c r="AA904" t="s">
        <v>86</v>
      </c>
      <c r="AB904" s="4">
        <v>2517</v>
      </c>
      <c r="AC904" s="4" t="str">
        <f t="shared" si="216"/>
        <v>$2,500-$4,000</v>
      </c>
      <c r="AD904">
        <v>3208</v>
      </c>
      <c r="AE904" t="str">
        <f t="shared" si="217"/>
        <v>$2,094-$8,000</v>
      </c>
      <c r="AF904">
        <v>1</v>
      </c>
      <c r="AG904" t="str">
        <f t="shared" si="218"/>
        <v>0-1</v>
      </c>
      <c r="AH904" t="s">
        <v>67</v>
      </c>
      <c r="AI904" t="s">
        <v>71</v>
      </c>
      <c r="AJ904">
        <v>11</v>
      </c>
      <c r="AK904" t="str">
        <f t="shared" si="219"/>
        <v>11-12%</v>
      </c>
      <c r="AL904">
        <v>3</v>
      </c>
      <c r="AM904" t="s">
        <v>68</v>
      </c>
      <c r="AN904">
        <v>2</v>
      </c>
      <c r="AO904" t="s">
        <v>61</v>
      </c>
      <c r="AP904">
        <v>80</v>
      </c>
      <c r="AQ904">
        <v>3</v>
      </c>
      <c r="AR904">
        <v>5</v>
      </c>
      <c r="AS904" t="str">
        <f t="shared" si="220"/>
        <v>3-5</v>
      </c>
      <c r="AT904">
        <v>2</v>
      </c>
      <c r="AU904" t="str">
        <f t="shared" si="221"/>
        <v>0-2</v>
      </c>
      <c r="AV904">
        <v>3</v>
      </c>
      <c r="AW904" t="s">
        <v>79</v>
      </c>
      <c r="AX904">
        <v>5</v>
      </c>
      <c r="AY904" t="str">
        <f t="shared" si="210"/>
        <v>2-5</v>
      </c>
      <c r="AZ904">
        <v>3</v>
      </c>
      <c r="BA904" t="str">
        <f t="shared" si="222"/>
        <v>2-5</v>
      </c>
      <c r="BB904">
        <v>0</v>
      </c>
      <c r="BC904" t="str">
        <f t="shared" si="223"/>
        <v>0-1</v>
      </c>
      <c r="BD904">
        <v>3</v>
      </c>
      <c r="BE904" t="str">
        <f t="shared" si="224"/>
        <v>2-5</v>
      </c>
    </row>
    <row r="905" spans="1:57" x14ac:dyDescent="0.3">
      <c r="A905">
        <v>1260</v>
      </c>
      <c r="B905">
        <v>29</v>
      </c>
      <c r="C905" t="str">
        <f t="shared" si="211"/>
        <v>26-35</v>
      </c>
      <c r="D905" t="s">
        <v>71</v>
      </c>
      <c r="E905">
        <f t="shared" si="212"/>
        <v>0</v>
      </c>
      <c r="F905" t="s">
        <v>57</v>
      </c>
      <c r="G905">
        <v>1329</v>
      </c>
      <c r="H905" t="str">
        <f t="shared" si="213"/>
        <v>1001-1499</v>
      </c>
      <c r="I905" t="s">
        <v>73</v>
      </c>
      <c r="J905">
        <v>7</v>
      </c>
      <c r="K905" t="str">
        <f t="shared" si="214"/>
        <v>6-10</v>
      </c>
      <c r="L905">
        <v>3</v>
      </c>
      <c r="M905" t="s">
        <v>85</v>
      </c>
      <c r="N905" t="s">
        <v>60</v>
      </c>
      <c r="O905">
        <v>1</v>
      </c>
      <c r="P905">
        <v>3</v>
      </c>
      <c r="Q905" t="s">
        <v>63</v>
      </c>
      <c r="R905" t="s">
        <v>75</v>
      </c>
      <c r="S905">
        <v>82</v>
      </c>
      <c r="T905" t="str">
        <f t="shared" si="215"/>
        <v>76-100</v>
      </c>
      <c r="U905">
        <v>3</v>
      </c>
      <c r="V905" t="s">
        <v>63</v>
      </c>
      <c r="W905">
        <v>2</v>
      </c>
      <c r="X905" t="s">
        <v>88</v>
      </c>
      <c r="Y905">
        <v>4</v>
      </c>
      <c r="Z905" t="s">
        <v>65</v>
      </c>
      <c r="AA905" t="s">
        <v>86</v>
      </c>
      <c r="AB905" s="4">
        <v>6623</v>
      </c>
      <c r="AC905" s="4" t="str">
        <f t="shared" si="216"/>
        <v>$5,500-$7,000</v>
      </c>
      <c r="AD905">
        <v>4204</v>
      </c>
      <c r="AE905" t="str">
        <f t="shared" si="217"/>
        <v>$2,094-$8,000</v>
      </c>
      <c r="AF905">
        <v>1</v>
      </c>
      <c r="AG905" t="str">
        <f t="shared" si="218"/>
        <v>0-1</v>
      </c>
      <c r="AH905" t="s">
        <v>67</v>
      </c>
      <c r="AI905" t="s">
        <v>56</v>
      </c>
      <c r="AJ905">
        <v>11</v>
      </c>
      <c r="AK905" t="str">
        <f t="shared" si="219"/>
        <v>11-12%</v>
      </c>
      <c r="AL905">
        <v>3</v>
      </c>
      <c r="AM905" t="s">
        <v>68</v>
      </c>
      <c r="AN905">
        <v>2</v>
      </c>
      <c r="AO905" t="s">
        <v>61</v>
      </c>
      <c r="AP905">
        <v>80</v>
      </c>
      <c r="AQ905">
        <v>2</v>
      </c>
      <c r="AR905">
        <v>6</v>
      </c>
      <c r="AS905" t="str">
        <f t="shared" si="220"/>
        <v>6-10</v>
      </c>
      <c r="AT905">
        <v>2</v>
      </c>
      <c r="AU905" t="str">
        <f t="shared" si="221"/>
        <v>0-2</v>
      </c>
      <c r="AV905">
        <v>3</v>
      </c>
      <c r="AW905" t="s">
        <v>79</v>
      </c>
      <c r="AX905">
        <v>6</v>
      </c>
      <c r="AY905" t="str">
        <f t="shared" si="210"/>
        <v>6-10</v>
      </c>
      <c r="AZ905">
        <v>0</v>
      </c>
      <c r="BA905" t="str">
        <f t="shared" si="222"/>
        <v>0-1</v>
      </c>
      <c r="BB905">
        <v>1</v>
      </c>
      <c r="BC905" t="str">
        <f t="shared" si="223"/>
        <v>0-1</v>
      </c>
      <c r="BD905">
        <v>0</v>
      </c>
      <c r="BE905" t="str">
        <f t="shared" si="224"/>
        <v>0-1</v>
      </c>
    </row>
    <row r="906" spans="1:57" x14ac:dyDescent="0.3">
      <c r="A906">
        <v>1263</v>
      </c>
      <c r="B906">
        <v>48</v>
      </c>
      <c r="C906" t="str">
        <f t="shared" si="211"/>
        <v>46-55</v>
      </c>
      <c r="D906" t="s">
        <v>71</v>
      </c>
      <c r="E906">
        <f t="shared" si="212"/>
        <v>0</v>
      </c>
      <c r="F906" t="s">
        <v>57</v>
      </c>
      <c r="G906">
        <v>715</v>
      </c>
      <c r="H906" t="str">
        <f t="shared" si="213"/>
        <v>501-1000</v>
      </c>
      <c r="I906" t="s">
        <v>73</v>
      </c>
      <c r="J906">
        <v>1</v>
      </c>
      <c r="K906" t="str">
        <f t="shared" si="214"/>
        <v>1-5</v>
      </c>
      <c r="L906">
        <v>3</v>
      </c>
      <c r="M906" t="s">
        <v>85</v>
      </c>
      <c r="N906" t="s">
        <v>60</v>
      </c>
      <c r="O906">
        <v>1</v>
      </c>
      <c r="P906">
        <v>4</v>
      </c>
      <c r="Q906" t="s">
        <v>65</v>
      </c>
      <c r="R906" t="s">
        <v>75</v>
      </c>
      <c r="S906">
        <v>76</v>
      </c>
      <c r="T906" t="str">
        <f t="shared" si="215"/>
        <v>76-100</v>
      </c>
      <c r="U906">
        <v>2</v>
      </c>
      <c r="V906" t="s">
        <v>61</v>
      </c>
      <c r="W906">
        <v>5</v>
      </c>
      <c r="X906" t="s">
        <v>92</v>
      </c>
      <c r="Y906">
        <v>4</v>
      </c>
      <c r="Z906" t="s">
        <v>65</v>
      </c>
      <c r="AA906" t="s">
        <v>66</v>
      </c>
      <c r="AB906" s="4">
        <v>18265</v>
      </c>
      <c r="AC906" s="4" t="str">
        <f t="shared" si="216"/>
        <v>$17,500-$19,000</v>
      </c>
      <c r="AD906">
        <v>8733</v>
      </c>
      <c r="AE906" t="str">
        <f t="shared" si="217"/>
        <v>$8,001-$16,000</v>
      </c>
      <c r="AF906">
        <v>6</v>
      </c>
      <c r="AG906" t="str">
        <f t="shared" si="218"/>
        <v>4-6</v>
      </c>
      <c r="AH906" t="s">
        <v>67</v>
      </c>
      <c r="AI906" t="s">
        <v>71</v>
      </c>
      <c r="AJ906">
        <v>12</v>
      </c>
      <c r="AK906" t="str">
        <f t="shared" si="219"/>
        <v>11-12%</v>
      </c>
      <c r="AL906">
        <v>3</v>
      </c>
      <c r="AM906" t="s">
        <v>68</v>
      </c>
      <c r="AN906">
        <v>3</v>
      </c>
      <c r="AO906" t="s">
        <v>63</v>
      </c>
      <c r="AP906">
        <v>80</v>
      </c>
      <c r="AQ906">
        <v>0</v>
      </c>
      <c r="AR906">
        <v>25</v>
      </c>
      <c r="AS906" t="str">
        <f t="shared" si="220"/>
        <v>21-40</v>
      </c>
      <c r="AT906">
        <v>3</v>
      </c>
      <c r="AU906" t="str">
        <f t="shared" si="221"/>
        <v>3-4</v>
      </c>
      <c r="AV906">
        <v>4</v>
      </c>
      <c r="AW906" t="s">
        <v>94</v>
      </c>
      <c r="AX906">
        <v>1</v>
      </c>
      <c r="AY906" t="str">
        <f t="shared" si="210"/>
        <v>0-1</v>
      </c>
      <c r="AZ906">
        <v>0</v>
      </c>
      <c r="BA906" t="str">
        <f t="shared" si="222"/>
        <v>0-1</v>
      </c>
      <c r="BB906">
        <v>0</v>
      </c>
      <c r="BC906" t="str">
        <f t="shared" si="223"/>
        <v>0-1</v>
      </c>
      <c r="BD906">
        <v>0</v>
      </c>
      <c r="BE906" t="str">
        <f t="shared" si="224"/>
        <v>0-1</v>
      </c>
    </row>
    <row r="907" spans="1:57" x14ac:dyDescent="0.3">
      <c r="A907">
        <v>1264</v>
      </c>
      <c r="B907">
        <v>29</v>
      </c>
      <c r="C907" t="str">
        <f t="shared" si="211"/>
        <v>26-35</v>
      </c>
      <c r="D907" t="s">
        <v>71</v>
      </c>
      <c r="E907">
        <f t="shared" si="212"/>
        <v>0</v>
      </c>
      <c r="F907" t="s">
        <v>57</v>
      </c>
      <c r="G907">
        <v>694</v>
      </c>
      <c r="H907" t="str">
        <f t="shared" si="213"/>
        <v>501-1000</v>
      </c>
      <c r="I907" t="s">
        <v>73</v>
      </c>
      <c r="J907">
        <v>1</v>
      </c>
      <c r="K907" t="str">
        <f t="shared" si="214"/>
        <v>1-5</v>
      </c>
      <c r="L907">
        <v>3</v>
      </c>
      <c r="M907" t="s">
        <v>85</v>
      </c>
      <c r="N907" t="s">
        <v>60</v>
      </c>
      <c r="O907">
        <v>1</v>
      </c>
      <c r="P907">
        <v>4</v>
      </c>
      <c r="Q907" t="s">
        <v>65</v>
      </c>
      <c r="R907" t="s">
        <v>62</v>
      </c>
      <c r="S907">
        <v>87</v>
      </c>
      <c r="T907" t="str">
        <f t="shared" si="215"/>
        <v>76-100</v>
      </c>
      <c r="U907">
        <v>2</v>
      </c>
      <c r="V907" t="s">
        <v>61</v>
      </c>
      <c r="W907">
        <v>4</v>
      </c>
      <c r="X907" t="s">
        <v>92</v>
      </c>
      <c r="Y907">
        <v>4</v>
      </c>
      <c r="Z907" t="s">
        <v>65</v>
      </c>
      <c r="AA907" t="s">
        <v>86</v>
      </c>
      <c r="AB907" s="4">
        <v>16124</v>
      </c>
      <c r="AC907" s="4" t="str">
        <f t="shared" si="216"/>
        <v>$16,000-$17,500</v>
      </c>
      <c r="AD907">
        <v>3423</v>
      </c>
      <c r="AE907" t="str">
        <f t="shared" si="217"/>
        <v>$2,094-$8,000</v>
      </c>
      <c r="AF907">
        <v>3</v>
      </c>
      <c r="AG907" t="str">
        <f t="shared" si="218"/>
        <v>2-3</v>
      </c>
      <c r="AH907" t="s">
        <v>67</v>
      </c>
      <c r="AI907" t="s">
        <v>71</v>
      </c>
      <c r="AJ907">
        <v>14</v>
      </c>
      <c r="AK907" t="str">
        <f t="shared" si="219"/>
        <v>13-15%</v>
      </c>
      <c r="AL907">
        <v>3</v>
      </c>
      <c r="AM907" t="s">
        <v>68</v>
      </c>
      <c r="AN907">
        <v>2</v>
      </c>
      <c r="AO907" t="s">
        <v>61</v>
      </c>
      <c r="AP907">
        <v>80</v>
      </c>
      <c r="AQ907">
        <v>2</v>
      </c>
      <c r="AR907">
        <v>9</v>
      </c>
      <c r="AS907" t="str">
        <f t="shared" si="220"/>
        <v>6-10</v>
      </c>
      <c r="AT907">
        <v>2</v>
      </c>
      <c r="AU907" t="str">
        <f t="shared" si="221"/>
        <v>0-2</v>
      </c>
      <c r="AV907">
        <v>2</v>
      </c>
      <c r="AW907" t="s">
        <v>84</v>
      </c>
      <c r="AX907">
        <v>7</v>
      </c>
      <c r="AY907" t="str">
        <f t="shared" si="210"/>
        <v>6-10</v>
      </c>
      <c r="AZ907">
        <v>7</v>
      </c>
      <c r="BA907" t="str">
        <f t="shared" si="222"/>
        <v>6-10</v>
      </c>
      <c r="BB907">
        <v>1</v>
      </c>
      <c r="BC907" t="str">
        <f t="shared" si="223"/>
        <v>0-1</v>
      </c>
      <c r="BD907">
        <v>7</v>
      </c>
      <c r="BE907" t="str">
        <f t="shared" si="224"/>
        <v>6-10</v>
      </c>
    </row>
    <row r="908" spans="1:57" x14ac:dyDescent="0.3">
      <c r="A908">
        <v>1265</v>
      </c>
      <c r="B908">
        <v>34</v>
      </c>
      <c r="C908" t="str">
        <f t="shared" si="211"/>
        <v>26-35</v>
      </c>
      <c r="D908" t="s">
        <v>71</v>
      </c>
      <c r="E908">
        <f t="shared" si="212"/>
        <v>0</v>
      </c>
      <c r="F908" t="s">
        <v>57</v>
      </c>
      <c r="G908">
        <v>1320</v>
      </c>
      <c r="H908" t="str">
        <f t="shared" si="213"/>
        <v>1001-1499</v>
      </c>
      <c r="I908" t="s">
        <v>73</v>
      </c>
      <c r="J908">
        <v>20</v>
      </c>
      <c r="K908" t="str">
        <f t="shared" si="214"/>
        <v>11-20</v>
      </c>
      <c r="L908">
        <v>3</v>
      </c>
      <c r="M908" t="s">
        <v>85</v>
      </c>
      <c r="N908" t="s">
        <v>95</v>
      </c>
      <c r="O908">
        <v>1</v>
      </c>
      <c r="P908">
        <v>3</v>
      </c>
      <c r="Q908" t="s">
        <v>63</v>
      </c>
      <c r="R908" t="s">
        <v>62</v>
      </c>
      <c r="S908">
        <v>89</v>
      </c>
      <c r="T908" t="str">
        <f t="shared" si="215"/>
        <v>76-100</v>
      </c>
      <c r="U908">
        <v>4</v>
      </c>
      <c r="V908" t="s">
        <v>65</v>
      </c>
      <c r="W908">
        <v>1</v>
      </c>
      <c r="X908" t="s">
        <v>76</v>
      </c>
      <c r="Y908">
        <v>3</v>
      </c>
      <c r="Z908" t="s">
        <v>63</v>
      </c>
      <c r="AA908" t="s">
        <v>77</v>
      </c>
      <c r="AB908" s="4">
        <v>2585</v>
      </c>
      <c r="AC908" s="4" t="str">
        <f t="shared" si="216"/>
        <v>$2,500-$4,000</v>
      </c>
      <c r="AD908">
        <v>21643</v>
      </c>
      <c r="AE908" t="str">
        <f t="shared" si="217"/>
        <v>$16,001-$22,000</v>
      </c>
      <c r="AF908">
        <v>0</v>
      </c>
      <c r="AG908" t="str">
        <f t="shared" si="218"/>
        <v>0-1</v>
      </c>
      <c r="AH908" t="s">
        <v>67</v>
      </c>
      <c r="AI908" t="s">
        <v>71</v>
      </c>
      <c r="AJ908">
        <v>17</v>
      </c>
      <c r="AK908" t="str">
        <f t="shared" si="219"/>
        <v>16-17%</v>
      </c>
      <c r="AL908">
        <v>3</v>
      </c>
      <c r="AM908" t="s">
        <v>68</v>
      </c>
      <c r="AN908">
        <v>4</v>
      </c>
      <c r="AO908" t="s">
        <v>65</v>
      </c>
      <c r="AP908">
        <v>80</v>
      </c>
      <c r="AQ908">
        <v>0</v>
      </c>
      <c r="AR908">
        <v>2</v>
      </c>
      <c r="AS908" t="str">
        <f t="shared" si="220"/>
        <v>0-2</v>
      </c>
      <c r="AT908">
        <v>5</v>
      </c>
      <c r="AU908" t="str">
        <f t="shared" si="221"/>
        <v>5-6</v>
      </c>
      <c r="AV908">
        <v>2</v>
      </c>
      <c r="AW908" t="s">
        <v>84</v>
      </c>
      <c r="AX908">
        <v>1</v>
      </c>
      <c r="AY908" t="str">
        <f t="shared" si="210"/>
        <v>0-1</v>
      </c>
      <c r="AZ908">
        <v>0</v>
      </c>
      <c r="BA908" t="str">
        <f t="shared" si="222"/>
        <v>0-1</v>
      </c>
      <c r="BB908">
        <v>0</v>
      </c>
      <c r="BC908" t="str">
        <f t="shared" si="223"/>
        <v>0-1</v>
      </c>
      <c r="BD908">
        <v>0</v>
      </c>
      <c r="BE908" t="str">
        <f t="shared" si="224"/>
        <v>0-1</v>
      </c>
    </row>
    <row r="909" spans="1:57" x14ac:dyDescent="0.3">
      <c r="A909">
        <v>1267</v>
      </c>
      <c r="B909">
        <v>44</v>
      </c>
      <c r="C909" t="str">
        <f t="shared" si="211"/>
        <v>36-45</v>
      </c>
      <c r="D909" t="s">
        <v>71</v>
      </c>
      <c r="E909">
        <f t="shared" si="212"/>
        <v>0</v>
      </c>
      <c r="F909" t="s">
        <v>57</v>
      </c>
      <c r="G909">
        <v>1099</v>
      </c>
      <c r="H909" t="str">
        <f t="shared" si="213"/>
        <v>1001-1499</v>
      </c>
      <c r="I909" t="s">
        <v>58</v>
      </c>
      <c r="J909">
        <v>5</v>
      </c>
      <c r="K909" t="str">
        <f t="shared" si="214"/>
        <v>1-5</v>
      </c>
      <c r="L909">
        <v>3</v>
      </c>
      <c r="M909" t="s">
        <v>85</v>
      </c>
      <c r="N909" t="s">
        <v>93</v>
      </c>
      <c r="O909">
        <v>1</v>
      </c>
      <c r="P909">
        <v>2</v>
      </c>
      <c r="Q909" t="s">
        <v>61</v>
      </c>
      <c r="R909" t="s">
        <v>75</v>
      </c>
      <c r="S909">
        <v>88</v>
      </c>
      <c r="T909" t="str">
        <f t="shared" si="215"/>
        <v>76-100</v>
      </c>
      <c r="U909">
        <v>3</v>
      </c>
      <c r="V909" t="s">
        <v>63</v>
      </c>
      <c r="W909">
        <v>5</v>
      </c>
      <c r="X909" t="s">
        <v>90</v>
      </c>
      <c r="Y909">
        <v>2</v>
      </c>
      <c r="Z909" t="s">
        <v>61</v>
      </c>
      <c r="AA909" t="s">
        <v>77</v>
      </c>
      <c r="AB909" s="4">
        <v>18213</v>
      </c>
      <c r="AC909" s="4" t="str">
        <f t="shared" si="216"/>
        <v>$17,500-$19,000</v>
      </c>
      <c r="AD909">
        <v>8751</v>
      </c>
      <c r="AE909" t="str">
        <f t="shared" si="217"/>
        <v>$8,001-$16,000</v>
      </c>
      <c r="AF909">
        <v>7</v>
      </c>
      <c r="AG909" t="str">
        <f t="shared" si="218"/>
        <v>7-9</v>
      </c>
      <c r="AH909" t="s">
        <v>67</v>
      </c>
      <c r="AI909" t="s">
        <v>71</v>
      </c>
      <c r="AJ909">
        <v>11</v>
      </c>
      <c r="AK909" t="str">
        <f t="shared" si="219"/>
        <v>11-12%</v>
      </c>
      <c r="AL909">
        <v>3</v>
      </c>
      <c r="AM909" t="s">
        <v>68</v>
      </c>
      <c r="AN909">
        <v>3</v>
      </c>
      <c r="AO909" t="s">
        <v>63</v>
      </c>
      <c r="AP909">
        <v>80</v>
      </c>
      <c r="AQ909">
        <v>1</v>
      </c>
      <c r="AR909">
        <v>26</v>
      </c>
      <c r="AS909" t="str">
        <f t="shared" si="220"/>
        <v>21-40</v>
      </c>
      <c r="AT909">
        <v>5</v>
      </c>
      <c r="AU909" t="str">
        <f t="shared" si="221"/>
        <v>5-6</v>
      </c>
      <c r="AV909">
        <v>3</v>
      </c>
      <c r="AW909" t="s">
        <v>79</v>
      </c>
      <c r="AX909">
        <v>22</v>
      </c>
      <c r="AY909" t="str">
        <f t="shared" si="210"/>
        <v>21-40</v>
      </c>
      <c r="AZ909">
        <v>9</v>
      </c>
      <c r="BA909" t="str">
        <f t="shared" si="222"/>
        <v>6-10</v>
      </c>
      <c r="BB909">
        <v>3</v>
      </c>
      <c r="BC909" t="str">
        <f t="shared" si="223"/>
        <v>2-5</v>
      </c>
      <c r="BD909">
        <v>10</v>
      </c>
      <c r="BE909" t="str">
        <f t="shared" si="224"/>
        <v>6-10</v>
      </c>
    </row>
    <row r="910" spans="1:57" x14ac:dyDescent="0.3">
      <c r="A910">
        <v>1268</v>
      </c>
      <c r="B910">
        <v>33</v>
      </c>
      <c r="C910" t="str">
        <f t="shared" si="211"/>
        <v>26-35</v>
      </c>
      <c r="D910" t="s">
        <v>71</v>
      </c>
      <c r="E910">
        <f t="shared" si="212"/>
        <v>0</v>
      </c>
      <c r="F910" t="s">
        <v>57</v>
      </c>
      <c r="G910">
        <v>536</v>
      </c>
      <c r="H910" t="str">
        <f t="shared" si="213"/>
        <v>501-1000</v>
      </c>
      <c r="I910" t="s">
        <v>58</v>
      </c>
      <c r="J910">
        <v>10</v>
      </c>
      <c r="K910" t="str">
        <f t="shared" si="214"/>
        <v>6-10</v>
      </c>
      <c r="L910">
        <v>5</v>
      </c>
      <c r="M910" t="s">
        <v>96</v>
      </c>
      <c r="N910" t="s">
        <v>93</v>
      </c>
      <c r="O910">
        <v>1</v>
      </c>
      <c r="P910">
        <v>4</v>
      </c>
      <c r="Q910" t="s">
        <v>65</v>
      </c>
      <c r="R910" t="s">
        <v>75</v>
      </c>
      <c r="S910">
        <v>82</v>
      </c>
      <c r="T910" t="str">
        <f t="shared" si="215"/>
        <v>76-100</v>
      </c>
      <c r="U910">
        <v>4</v>
      </c>
      <c r="V910" t="s">
        <v>65</v>
      </c>
      <c r="W910">
        <v>3</v>
      </c>
      <c r="X910" t="s">
        <v>64</v>
      </c>
      <c r="Y910">
        <v>3</v>
      </c>
      <c r="Z910" t="s">
        <v>63</v>
      </c>
      <c r="AA910" t="s">
        <v>86</v>
      </c>
      <c r="AB910" s="4">
        <v>8380</v>
      </c>
      <c r="AC910" s="4" t="str">
        <f t="shared" si="216"/>
        <v>$7,000-$8,500</v>
      </c>
      <c r="AD910">
        <v>21708</v>
      </c>
      <c r="AE910" t="str">
        <f t="shared" si="217"/>
        <v>$16,001-$22,000</v>
      </c>
      <c r="AF910">
        <v>0</v>
      </c>
      <c r="AG910" t="str">
        <f t="shared" si="218"/>
        <v>0-1</v>
      </c>
      <c r="AH910" t="s">
        <v>67</v>
      </c>
      <c r="AI910" t="s">
        <v>56</v>
      </c>
      <c r="AJ910">
        <v>14</v>
      </c>
      <c r="AK910" t="str">
        <f t="shared" si="219"/>
        <v>13-15%</v>
      </c>
      <c r="AL910">
        <v>3</v>
      </c>
      <c r="AM910" t="s">
        <v>68</v>
      </c>
      <c r="AN910">
        <v>4</v>
      </c>
      <c r="AO910" t="s">
        <v>65</v>
      </c>
      <c r="AP910">
        <v>80</v>
      </c>
      <c r="AQ910">
        <v>2</v>
      </c>
      <c r="AR910">
        <v>10</v>
      </c>
      <c r="AS910" t="str">
        <f t="shared" si="220"/>
        <v>6-10</v>
      </c>
      <c r="AT910">
        <v>3</v>
      </c>
      <c r="AU910" t="str">
        <f t="shared" si="221"/>
        <v>3-4</v>
      </c>
      <c r="AV910">
        <v>3</v>
      </c>
      <c r="AW910" t="s">
        <v>79</v>
      </c>
      <c r="AX910">
        <v>9</v>
      </c>
      <c r="AY910" t="str">
        <f t="shared" si="210"/>
        <v>6-10</v>
      </c>
      <c r="AZ910">
        <v>8</v>
      </c>
      <c r="BA910" t="str">
        <f t="shared" si="222"/>
        <v>6-10</v>
      </c>
      <c r="BB910">
        <v>0</v>
      </c>
      <c r="BC910" t="str">
        <f t="shared" si="223"/>
        <v>0-1</v>
      </c>
      <c r="BD910">
        <v>8</v>
      </c>
      <c r="BE910" t="str">
        <f t="shared" si="224"/>
        <v>6-10</v>
      </c>
    </row>
    <row r="911" spans="1:57" x14ac:dyDescent="0.3">
      <c r="A911">
        <v>1269</v>
      </c>
      <c r="B911">
        <v>19</v>
      </c>
      <c r="C911" t="str">
        <f t="shared" si="211"/>
        <v>18-25</v>
      </c>
      <c r="D911" t="s">
        <v>71</v>
      </c>
      <c r="E911">
        <f t="shared" si="212"/>
        <v>0</v>
      </c>
      <c r="F911" t="s">
        <v>57</v>
      </c>
      <c r="G911">
        <v>265</v>
      </c>
      <c r="H911" t="str">
        <f t="shared" si="213"/>
        <v>102-500</v>
      </c>
      <c r="I911" t="s">
        <v>73</v>
      </c>
      <c r="J911">
        <v>25</v>
      </c>
      <c r="K911" t="str">
        <f t="shared" si="214"/>
        <v>21-29</v>
      </c>
      <c r="L911">
        <v>3</v>
      </c>
      <c r="M911" t="s">
        <v>85</v>
      </c>
      <c r="N911" t="s">
        <v>60</v>
      </c>
      <c r="O911">
        <v>1</v>
      </c>
      <c r="P911">
        <v>2</v>
      </c>
      <c r="Q911" t="s">
        <v>61</v>
      </c>
      <c r="R911" t="s">
        <v>62</v>
      </c>
      <c r="S911">
        <v>57</v>
      </c>
      <c r="T911" t="str">
        <f t="shared" si="215"/>
        <v>51-75</v>
      </c>
      <c r="U911">
        <v>4</v>
      </c>
      <c r="V911" t="s">
        <v>65</v>
      </c>
      <c r="W911">
        <v>1</v>
      </c>
      <c r="X911" t="s">
        <v>76</v>
      </c>
      <c r="Y911">
        <v>4</v>
      </c>
      <c r="Z911" t="s">
        <v>65</v>
      </c>
      <c r="AA911" t="s">
        <v>66</v>
      </c>
      <c r="AB911" s="4">
        <v>2994</v>
      </c>
      <c r="AC911" s="4" t="str">
        <f t="shared" si="216"/>
        <v>$2,500-$4,000</v>
      </c>
      <c r="AD911">
        <v>21221</v>
      </c>
      <c r="AE911" t="str">
        <f t="shared" si="217"/>
        <v>$16,001-$22,000</v>
      </c>
      <c r="AF911">
        <v>1</v>
      </c>
      <c r="AG911" t="str">
        <f t="shared" si="218"/>
        <v>0-1</v>
      </c>
      <c r="AH911" t="s">
        <v>67</v>
      </c>
      <c r="AI911" t="s">
        <v>56</v>
      </c>
      <c r="AJ911">
        <v>12</v>
      </c>
      <c r="AK911" t="str">
        <f t="shared" si="219"/>
        <v>11-12%</v>
      </c>
      <c r="AL911">
        <v>3</v>
      </c>
      <c r="AM911" t="s">
        <v>68</v>
      </c>
      <c r="AN911">
        <v>4</v>
      </c>
      <c r="AO911" t="s">
        <v>65</v>
      </c>
      <c r="AP911">
        <v>80</v>
      </c>
      <c r="AQ911">
        <v>0</v>
      </c>
      <c r="AR911">
        <v>1</v>
      </c>
      <c r="AS911" t="str">
        <f t="shared" si="220"/>
        <v>0-2</v>
      </c>
      <c r="AT911">
        <v>2</v>
      </c>
      <c r="AU911" t="str">
        <f t="shared" si="221"/>
        <v>0-2</v>
      </c>
      <c r="AV911">
        <v>3</v>
      </c>
      <c r="AW911" t="s">
        <v>79</v>
      </c>
      <c r="AX911">
        <v>1</v>
      </c>
      <c r="AY911" t="str">
        <f t="shared" si="210"/>
        <v>0-1</v>
      </c>
      <c r="AZ911">
        <v>0</v>
      </c>
      <c r="BA911" t="str">
        <f t="shared" si="222"/>
        <v>0-1</v>
      </c>
      <c r="BB911">
        <v>0</v>
      </c>
      <c r="BC911" t="str">
        <f t="shared" si="223"/>
        <v>0-1</v>
      </c>
      <c r="BD911">
        <v>1</v>
      </c>
      <c r="BE911" t="str">
        <f t="shared" si="224"/>
        <v>0-1</v>
      </c>
    </row>
    <row r="912" spans="1:57" x14ac:dyDescent="0.3">
      <c r="A912">
        <v>1270</v>
      </c>
      <c r="B912">
        <v>23</v>
      </c>
      <c r="C912" t="str">
        <f t="shared" si="211"/>
        <v>18-25</v>
      </c>
      <c r="D912" t="s">
        <v>71</v>
      </c>
      <c r="E912">
        <f t="shared" si="212"/>
        <v>0</v>
      </c>
      <c r="F912" t="s">
        <v>57</v>
      </c>
      <c r="G912">
        <v>373</v>
      </c>
      <c r="H912" t="str">
        <f t="shared" si="213"/>
        <v>102-500</v>
      </c>
      <c r="I912" t="s">
        <v>73</v>
      </c>
      <c r="J912">
        <v>1</v>
      </c>
      <c r="K912" t="str">
        <f t="shared" si="214"/>
        <v>1-5</v>
      </c>
      <c r="L912">
        <v>2</v>
      </c>
      <c r="M912" t="s">
        <v>59</v>
      </c>
      <c r="N912" t="s">
        <v>60</v>
      </c>
      <c r="O912">
        <v>1</v>
      </c>
      <c r="P912">
        <v>4</v>
      </c>
      <c r="Q912" t="s">
        <v>65</v>
      </c>
      <c r="R912" t="s">
        <v>75</v>
      </c>
      <c r="S912">
        <v>47</v>
      </c>
      <c r="T912" t="str">
        <f t="shared" si="215"/>
        <v>30-50</v>
      </c>
      <c r="U912">
        <v>3</v>
      </c>
      <c r="V912" t="s">
        <v>63</v>
      </c>
      <c r="W912">
        <v>1</v>
      </c>
      <c r="X912" t="s">
        <v>76</v>
      </c>
      <c r="Y912">
        <v>3</v>
      </c>
      <c r="Z912" t="s">
        <v>63</v>
      </c>
      <c r="AA912" t="s">
        <v>77</v>
      </c>
      <c r="AB912" s="4">
        <v>1223</v>
      </c>
      <c r="AC912" s="4" t="str">
        <f t="shared" si="216"/>
        <v>$1,000-$2,500</v>
      </c>
      <c r="AD912">
        <v>16901</v>
      </c>
      <c r="AE912" t="str">
        <f t="shared" si="217"/>
        <v>$16,001-$22,000</v>
      </c>
      <c r="AF912">
        <v>1</v>
      </c>
      <c r="AG912" t="str">
        <f t="shared" si="218"/>
        <v>0-1</v>
      </c>
      <c r="AH912" t="s">
        <v>67</v>
      </c>
      <c r="AI912" t="s">
        <v>71</v>
      </c>
      <c r="AJ912">
        <v>22</v>
      </c>
      <c r="AK912" t="str">
        <f t="shared" si="219"/>
        <v>18-19%</v>
      </c>
      <c r="AL912">
        <v>4</v>
      </c>
      <c r="AM912" t="s">
        <v>78</v>
      </c>
      <c r="AN912">
        <v>4</v>
      </c>
      <c r="AO912" t="s">
        <v>65</v>
      </c>
      <c r="AP912">
        <v>80</v>
      </c>
      <c r="AQ912">
        <v>1</v>
      </c>
      <c r="AR912">
        <v>1</v>
      </c>
      <c r="AS912" t="str">
        <f t="shared" si="220"/>
        <v>0-2</v>
      </c>
      <c r="AT912">
        <v>2</v>
      </c>
      <c r="AU912" t="str">
        <f t="shared" si="221"/>
        <v>0-2</v>
      </c>
      <c r="AV912">
        <v>3</v>
      </c>
      <c r="AW912" t="s">
        <v>79</v>
      </c>
      <c r="AX912">
        <v>1</v>
      </c>
      <c r="AY912" t="str">
        <f t="shared" si="210"/>
        <v>0-1</v>
      </c>
      <c r="AZ912">
        <v>0</v>
      </c>
      <c r="BA912" t="str">
        <f t="shared" si="222"/>
        <v>0-1</v>
      </c>
      <c r="BB912">
        <v>0</v>
      </c>
      <c r="BC912" t="str">
        <f t="shared" si="223"/>
        <v>0-1</v>
      </c>
      <c r="BD912">
        <v>1</v>
      </c>
      <c r="BE912" t="str">
        <f t="shared" si="224"/>
        <v>0-1</v>
      </c>
    </row>
    <row r="913" spans="1:57" x14ac:dyDescent="0.3">
      <c r="A913">
        <v>1273</v>
      </c>
      <c r="B913">
        <v>25</v>
      </c>
      <c r="C913" t="str">
        <f t="shared" si="211"/>
        <v>18-25</v>
      </c>
      <c r="D913" t="s">
        <v>56</v>
      </c>
      <c r="E913">
        <f t="shared" si="212"/>
        <v>1</v>
      </c>
      <c r="F913" t="s">
        <v>72</v>
      </c>
      <c r="G913">
        <v>599</v>
      </c>
      <c r="H913" t="str">
        <f t="shared" si="213"/>
        <v>501-1000</v>
      </c>
      <c r="I913" t="s">
        <v>58</v>
      </c>
      <c r="J913">
        <v>24</v>
      </c>
      <c r="K913" t="str">
        <f t="shared" si="214"/>
        <v>21-29</v>
      </c>
      <c r="L913">
        <v>1</v>
      </c>
      <c r="M913" t="s">
        <v>74</v>
      </c>
      <c r="N913" t="s">
        <v>60</v>
      </c>
      <c r="O913">
        <v>1</v>
      </c>
      <c r="P913">
        <v>3</v>
      </c>
      <c r="Q913" t="s">
        <v>63</v>
      </c>
      <c r="R913" t="s">
        <v>75</v>
      </c>
      <c r="S913">
        <v>73</v>
      </c>
      <c r="T913" t="str">
        <f t="shared" si="215"/>
        <v>51-75</v>
      </c>
      <c r="U913">
        <v>1</v>
      </c>
      <c r="V913" t="s">
        <v>69</v>
      </c>
      <c r="W913">
        <v>1</v>
      </c>
      <c r="X913" t="s">
        <v>91</v>
      </c>
      <c r="Y913">
        <v>4</v>
      </c>
      <c r="Z913" t="s">
        <v>65</v>
      </c>
      <c r="AA913" t="s">
        <v>66</v>
      </c>
      <c r="AB913" s="4">
        <v>1118</v>
      </c>
      <c r="AC913" s="4" t="str">
        <f t="shared" si="216"/>
        <v>$1,000-$2,500</v>
      </c>
      <c r="AD913">
        <v>8040</v>
      </c>
      <c r="AE913" t="str">
        <f t="shared" si="217"/>
        <v>$8,001-$16,000</v>
      </c>
      <c r="AF913">
        <v>1</v>
      </c>
      <c r="AG913" t="str">
        <f t="shared" si="218"/>
        <v>0-1</v>
      </c>
      <c r="AH913" t="s">
        <v>67</v>
      </c>
      <c r="AI913" t="s">
        <v>56</v>
      </c>
      <c r="AJ913">
        <v>14</v>
      </c>
      <c r="AK913" t="str">
        <f t="shared" si="219"/>
        <v>13-15%</v>
      </c>
      <c r="AL913">
        <v>3</v>
      </c>
      <c r="AM913" t="s">
        <v>68</v>
      </c>
      <c r="AN913">
        <v>4</v>
      </c>
      <c r="AO913" t="s">
        <v>65</v>
      </c>
      <c r="AP913">
        <v>80</v>
      </c>
      <c r="AQ913">
        <v>0</v>
      </c>
      <c r="AR913">
        <v>1</v>
      </c>
      <c r="AS913" t="str">
        <f t="shared" si="220"/>
        <v>0-2</v>
      </c>
      <c r="AT913">
        <v>4</v>
      </c>
      <c r="AU913" t="str">
        <f t="shared" si="221"/>
        <v>3-4</v>
      </c>
      <c r="AV913">
        <v>3</v>
      </c>
      <c r="AW913" t="s">
        <v>79</v>
      </c>
      <c r="AX913">
        <v>1</v>
      </c>
      <c r="AY913" t="str">
        <f t="shared" si="210"/>
        <v>0-1</v>
      </c>
      <c r="AZ913">
        <v>0</v>
      </c>
      <c r="BA913" t="str">
        <f t="shared" si="222"/>
        <v>0-1</v>
      </c>
      <c r="BB913">
        <v>1</v>
      </c>
      <c r="BC913" t="str">
        <f t="shared" si="223"/>
        <v>0-1</v>
      </c>
      <c r="BD913">
        <v>0</v>
      </c>
      <c r="BE913" t="str">
        <f t="shared" si="224"/>
        <v>0-1</v>
      </c>
    </row>
    <row r="914" spans="1:57" x14ac:dyDescent="0.3">
      <c r="A914">
        <v>1275</v>
      </c>
      <c r="B914">
        <v>26</v>
      </c>
      <c r="C914" t="str">
        <f t="shared" si="211"/>
        <v>26-35</v>
      </c>
      <c r="D914" t="s">
        <v>71</v>
      </c>
      <c r="E914">
        <f t="shared" si="212"/>
        <v>0</v>
      </c>
      <c r="F914" t="s">
        <v>57</v>
      </c>
      <c r="G914">
        <v>583</v>
      </c>
      <c r="H914" t="str">
        <f t="shared" si="213"/>
        <v>501-1000</v>
      </c>
      <c r="I914" t="s">
        <v>73</v>
      </c>
      <c r="J914">
        <v>4</v>
      </c>
      <c r="K914" t="str">
        <f t="shared" si="214"/>
        <v>1-5</v>
      </c>
      <c r="L914">
        <v>2</v>
      </c>
      <c r="M914" t="s">
        <v>59</v>
      </c>
      <c r="N914" t="s">
        <v>60</v>
      </c>
      <c r="O914">
        <v>1</v>
      </c>
      <c r="P914">
        <v>3</v>
      </c>
      <c r="Q914" t="s">
        <v>63</v>
      </c>
      <c r="R914" t="s">
        <v>75</v>
      </c>
      <c r="S914">
        <v>53</v>
      </c>
      <c r="T914" t="str">
        <f t="shared" si="215"/>
        <v>51-75</v>
      </c>
      <c r="U914">
        <v>3</v>
      </c>
      <c r="V914" t="s">
        <v>63</v>
      </c>
      <c r="W914">
        <v>1</v>
      </c>
      <c r="X914" t="s">
        <v>76</v>
      </c>
      <c r="Y914">
        <v>4</v>
      </c>
      <c r="Z914" t="s">
        <v>65</v>
      </c>
      <c r="AA914" t="s">
        <v>66</v>
      </c>
      <c r="AB914" s="4">
        <v>2875</v>
      </c>
      <c r="AC914" s="4" t="str">
        <f t="shared" si="216"/>
        <v>$2,500-$4,000</v>
      </c>
      <c r="AD914">
        <v>9973</v>
      </c>
      <c r="AE914" t="str">
        <f t="shared" si="217"/>
        <v>$8,001-$16,000</v>
      </c>
      <c r="AF914">
        <v>1</v>
      </c>
      <c r="AG914" t="str">
        <f t="shared" si="218"/>
        <v>0-1</v>
      </c>
      <c r="AH914" t="s">
        <v>67</v>
      </c>
      <c r="AI914" t="s">
        <v>56</v>
      </c>
      <c r="AJ914">
        <v>20</v>
      </c>
      <c r="AK914" t="str">
        <f t="shared" si="219"/>
        <v>18-19%</v>
      </c>
      <c r="AL914">
        <v>4</v>
      </c>
      <c r="AM914" t="s">
        <v>78</v>
      </c>
      <c r="AN914">
        <v>2</v>
      </c>
      <c r="AO914" t="s">
        <v>61</v>
      </c>
      <c r="AP914">
        <v>80</v>
      </c>
      <c r="AQ914">
        <v>0</v>
      </c>
      <c r="AR914">
        <v>8</v>
      </c>
      <c r="AS914" t="str">
        <f t="shared" si="220"/>
        <v>6-10</v>
      </c>
      <c r="AT914">
        <v>2</v>
      </c>
      <c r="AU914" t="str">
        <f t="shared" si="221"/>
        <v>0-2</v>
      </c>
      <c r="AV914">
        <v>2</v>
      </c>
      <c r="AW914" t="s">
        <v>84</v>
      </c>
      <c r="AX914">
        <v>8</v>
      </c>
      <c r="AY914" t="str">
        <f t="shared" si="210"/>
        <v>6-10</v>
      </c>
      <c r="AZ914">
        <v>5</v>
      </c>
      <c r="BA914" t="str">
        <f t="shared" si="222"/>
        <v>2-5</v>
      </c>
      <c r="BB914">
        <v>2</v>
      </c>
      <c r="BC914" t="str">
        <f t="shared" si="223"/>
        <v>2-5</v>
      </c>
      <c r="BD914">
        <v>2</v>
      </c>
      <c r="BE914" t="str">
        <f t="shared" si="224"/>
        <v>2-5</v>
      </c>
    </row>
    <row r="915" spans="1:57" x14ac:dyDescent="0.3">
      <c r="A915">
        <v>1277</v>
      </c>
      <c r="B915">
        <v>45</v>
      </c>
      <c r="C915" t="str">
        <f t="shared" si="211"/>
        <v>36-45</v>
      </c>
      <c r="D915" t="s">
        <v>56</v>
      </c>
      <c r="E915">
        <f t="shared" si="212"/>
        <v>1</v>
      </c>
      <c r="F915" t="s">
        <v>57</v>
      </c>
      <c r="G915">
        <v>1449</v>
      </c>
      <c r="H915" t="str">
        <f t="shared" si="213"/>
        <v>1001-1499</v>
      </c>
      <c r="I915" t="s">
        <v>58</v>
      </c>
      <c r="J915">
        <v>2</v>
      </c>
      <c r="K915" t="str">
        <f t="shared" si="214"/>
        <v>1-5</v>
      </c>
      <c r="L915">
        <v>3</v>
      </c>
      <c r="M915" t="s">
        <v>85</v>
      </c>
      <c r="N915" t="s">
        <v>93</v>
      </c>
      <c r="O915">
        <v>1</v>
      </c>
      <c r="P915">
        <v>1</v>
      </c>
      <c r="Q915" t="s">
        <v>69</v>
      </c>
      <c r="R915" t="s">
        <v>62</v>
      </c>
      <c r="S915">
        <v>94</v>
      </c>
      <c r="T915" t="str">
        <f t="shared" si="215"/>
        <v>76-100</v>
      </c>
      <c r="U915">
        <v>1</v>
      </c>
      <c r="V915" t="s">
        <v>69</v>
      </c>
      <c r="W915">
        <v>5</v>
      </c>
      <c r="X915" t="s">
        <v>90</v>
      </c>
      <c r="Y915">
        <v>2</v>
      </c>
      <c r="Z915" t="s">
        <v>61</v>
      </c>
      <c r="AA915" t="s">
        <v>66</v>
      </c>
      <c r="AB915" s="4">
        <v>18824</v>
      </c>
      <c r="AC915" s="4" t="str">
        <f t="shared" si="216"/>
        <v>$17,500-$19,000</v>
      </c>
      <c r="AD915">
        <v>2493</v>
      </c>
      <c r="AE915" t="str">
        <f t="shared" si="217"/>
        <v>$2,094-$8,000</v>
      </c>
      <c r="AF915">
        <v>2</v>
      </c>
      <c r="AG915" t="str">
        <f t="shared" si="218"/>
        <v>2-3</v>
      </c>
      <c r="AH915" t="s">
        <v>67</v>
      </c>
      <c r="AI915" t="s">
        <v>56</v>
      </c>
      <c r="AJ915">
        <v>16</v>
      </c>
      <c r="AK915" t="str">
        <f t="shared" si="219"/>
        <v>16-17%</v>
      </c>
      <c r="AL915">
        <v>3</v>
      </c>
      <c r="AM915" t="s">
        <v>68</v>
      </c>
      <c r="AN915">
        <v>1</v>
      </c>
      <c r="AO915" t="s">
        <v>69</v>
      </c>
      <c r="AP915">
        <v>80</v>
      </c>
      <c r="AQ915">
        <v>0</v>
      </c>
      <c r="AR915">
        <v>26</v>
      </c>
      <c r="AS915" t="str">
        <f t="shared" si="220"/>
        <v>21-40</v>
      </c>
      <c r="AT915">
        <v>2</v>
      </c>
      <c r="AU915" t="str">
        <f t="shared" si="221"/>
        <v>0-2</v>
      </c>
      <c r="AV915">
        <v>3</v>
      </c>
      <c r="AW915" t="s">
        <v>79</v>
      </c>
      <c r="AX915">
        <v>24</v>
      </c>
      <c r="AY915" t="str">
        <f t="shared" si="210"/>
        <v>21-40</v>
      </c>
      <c r="AZ915">
        <v>10</v>
      </c>
      <c r="BA915" t="str">
        <f t="shared" si="222"/>
        <v>6-10</v>
      </c>
      <c r="BB915">
        <v>1</v>
      </c>
      <c r="BC915" t="str">
        <f t="shared" si="223"/>
        <v>0-1</v>
      </c>
      <c r="BD915">
        <v>11</v>
      </c>
      <c r="BE915" t="str">
        <f t="shared" si="224"/>
        <v>11-17</v>
      </c>
    </row>
    <row r="916" spans="1:57" x14ac:dyDescent="0.3">
      <c r="A916">
        <v>1278</v>
      </c>
      <c r="B916">
        <v>55</v>
      </c>
      <c r="C916" t="str">
        <f t="shared" si="211"/>
        <v>46-55</v>
      </c>
      <c r="D916" t="s">
        <v>71</v>
      </c>
      <c r="E916">
        <f t="shared" si="212"/>
        <v>0</v>
      </c>
      <c r="F916" t="s">
        <v>89</v>
      </c>
      <c r="G916">
        <v>177</v>
      </c>
      <c r="H916" t="str">
        <f t="shared" si="213"/>
        <v>102-500</v>
      </c>
      <c r="I916" t="s">
        <v>73</v>
      </c>
      <c r="J916">
        <v>8</v>
      </c>
      <c r="K916" t="str">
        <f t="shared" si="214"/>
        <v>6-10</v>
      </c>
      <c r="L916">
        <v>1</v>
      </c>
      <c r="M916" t="s">
        <v>74</v>
      </c>
      <c r="N916" t="s">
        <v>83</v>
      </c>
      <c r="O916">
        <v>1</v>
      </c>
      <c r="P916">
        <v>4</v>
      </c>
      <c r="Q916" t="s">
        <v>65</v>
      </c>
      <c r="R916" t="s">
        <v>75</v>
      </c>
      <c r="S916">
        <v>37</v>
      </c>
      <c r="T916" t="str">
        <f t="shared" si="215"/>
        <v>30-50</v>
      </c>
      <c r="U916">
        <v>2</v>
      </c>
      <c r="V916" t="s">
        <v>61</v>
      </c>
      <c r="W916">
        <v>4</v>
      </c>
      <c r="X916" t="s">
        <v>88</v>
      </c>
      <c r="Y916">
        <v>2</v>
      </c>
      <c r="Z916" t="s">
        <v>61</v>
      </c>
      <c r="AA916" t="s">
        <v>86</v>
      </c>
      <c r="AB916" s="4">
        <v>13577</v>
      </c>
      <c r="AC916" s="4" t="str">
        <f t="shared" si="216"/>
        <v>$13,000-$14,500</v>
      </c>
      <c r="AD916">
        <v>25592</v>
      </c>
      <c r="AE916" t="str">
        <f t="shared" si="217"/>
        <v>$22,001-$26,999</v>
      </c>
      <c r="AF916">
        <v>1</v>
      </c>
      <c r="AG916" t="str">
        <f t="shared" si="218"/>
        <v>0-1</v>
      </c>
      <c r="AH916" t="s">
        <v>67</v>
      </c>
      <c r="AI916" t="s">
        <v>56</v>
      </c>
      <c r="AJ916">
        <v>15</v>
      </c>
      <c r="AK916" t="str">
        <f t="shared" si="219"/>
        <v>13-15%</v>
      </c>
      <c r="AL916">
        <v>3</v>
      </c>
      <c r="AM916" t="s">
        <v>68</v>
      </c>
      <c r="AN916">
        <v>4</v>
      </c>
      <c r="AO916" t="s">
        <v>65</v>
      </c>
      <c r="AP916">
        <v>80</v>
      </c>
      <c r="AQ916">
        <v>1</v>
      </c>
      <c r="AR916">
        <v>34</v>
      </c>
      <c r="AS916" t="str">
        <f t="shared" si="220"/>
        <v>21-40</v>
      </c>
      <c r="AT916">
        <v>3</v>
      </c>
      <c r="AU916" t="str">
        <f t="shared" si="221"/>
        <v>3-4</v>
      </c>
      <c r="AV916">
        <v>3</v>
      </c>
      <c r="AW916" t="s">
        <v>79</v>
      </c>
      <c r="AX916">
        <v>33</v>
      </c>
      <c r="AY916" t="str">
        <f t="shared" si="210"/>
        <v>21-40</v>
      </c>
      <c r="AZ916">
        <v>9</v>
      </c>
      <c r="BA916" t="str">
        <f t="shared" si="222"/>
        <v>6-10</v>
      </c>
      <c r="BB916">
        <v>15</v>
      </c>
      <c r="BC916" t="str">
        <f t="shared" si="223"/>
        <v>11-15</v>
      </c>
      <c r="BD916">
        <v>0</v>
      </c>
      <c r="BE916" t="str">
        <f t="shared" si="224"/>
        <v>0-1</v>
      </c>
    </row>
    <row r="917" spans="1:57" x14ac:dyDescent="0.3">
      <c r="A917">
        <v>1279</v>
      </c>
      <c r="B917">
        <v>21</v>
      </c>
      <c r="C917" t="str">
        <f t="shared" si="211"/>
        <v>18-25</v>
      </c>
      <c r="D917" t="s">
        <v>56</v>
      </c>
      <c r="E917">
        <f t="shared" si="212"/>
        <v>1</v>
      </c>
      <c r="F917" t="s">
        <v>72</v>
      </c>
      <c r="G917">
        <v>251</v>
      </c>
      <c r="H917" t="str">
        <f t="shared" si="213"/>
        <v>102-500</v>
      </c>
      <c r="I917" t="s">
        <v>73</v>
      </c>
      <c r="J917">
        <v>10</v>
      </c>
      <c r="K917" t="str">
        <f t="shared" si="214"/>
        <v>6-10</v>
      </c>
      <c r="L917">
        <v>2</v>
      </c>
      <c r="M917" t="s">
        <v>59</v>
      </c>
      <c r="N917" t="s">
        <v>60</v>
      </c>
      <c r="O917">
        <v>1</v>
      </c>
      <c r="P917">
        <v>1</v>
      </c>
      <c r="Q917" t="s">
        <v>69</v>
      </c>
      <c r="R917" t="s">
        <v>62</v>
      </c>
      <c r="S917">
        <v>45</v>
      </c>
      <c r="T917" t="str">
        <f t="shared" si="215"/>
        <v>30-50</v>
      </c>
      <c r="U917">
        <v>2</v>
      </c>
      <c r="V917" t="s">
        <v>61</v>
      </c>
      <c r="W917">
        <v>1</v>
      </c>
      <c r="X917" t="s">
        <v>81</v>
      </c>
      <c r="Y917">
        <v>3</v>
      </c>
      <c r="Z917" t="s">
        <v>63</v>
      </c>
      <c r="AA917" t="s">
        <v>66</v>
      </c>
      <c r="AB917" s="4">
        <v>2625</v>
      </c>
      <c r="AC917" s="4" t="str">
        <f t="shared" si="216"/>
        <v>$2,500-$4,000</v>
      </c>
      <c r="AD917">
        <v>25308</v>
      </c>
      <c r="AE917" t="str">
        <f t="shared" si="217"/>
        <v>$22,001-$26,999</v>
      </c>
      <c r="AF917">
        <v>1</v>
      </c>
      <c r="AG917" t="str">
        <f t="shared" si="218"/>
        <v>0-1</v>
      </c>
      <c r="AH917" t="s">
        <v>67</v>
      </c>
      <c r="AI917" t="s">
        <v>71</v>
      </c>
      <c r="AJ917">
        <v>20</v>
      </c>
      <c r="AK917" t="str">
        <f t="shared" si="219"/>
        <v>18-19%</v>
      </c>
      <c r="AL917">
        <v>4</v>
      </c>
      <c r="AM917" t="s">
        <v>78</v>
      </c>
      <c r="AN917">
        <v>3</v>
      </c>
      <c r="AO917" t="s">
        <v>63</v>
      </c>
      <c r="AP917">
        <v>80</v>
      </c>
      <c r="AQ917">
        <v>0</v>
      </c>
      <c r="AR917">
        <v>2</v>
      </c>
      <c r="AS917" t="str">
        <f t="shared" si="220"/>
        <v>0-2</v>
      </c>
      <c r="AT917">
        <v>2</v>
      </c>
      <c r="AU917" t="str">
        <f t="shared" si="221"/>
        <v>0-2</v>
      </c>
      <c r="AV917">
        <v>1</v>
      </c>
      <c r="AW917" t="s">
        <v>70</v>
      </c>
      <c r="AX917">
        <v>2</v>
      </c>
      <c r="AY917" t="str">
        <f t="shared" si="210"/>
        <v>2-5</v>
      </c>
      <c r="AZ917">
        <v>2</v>
      </c>
      <c r="BA917" t="str">
        <f t="shared" si="222"/>
        <v>2-5</v>
      </c>
      <c r="BB917">
        <v>2</v>
      </c>
      <c r="BC917" t="str">
        <f t="shared" si="223"/>
        <v>2-5</v>
      </c>
      <c r="BD917">
        <v>2</v>
      </c>
      <c r="BE917" t="str">
        <f t="shared" si="224"/>
        <v>2-5</v>
      </c>
    </row>
    <row r="918" spans="1:57" x14ac:dyDescent="0.3">
      <c r="A918">
        <v>1280</v>
      </c>
      <c r="B918">
        <v>46</v>
      </c>
      <c r="C918" t="str">
        <f t="shared" si="211"/>
        <v>46-55</v>
      </c>
      <c r="D918" t="s">
        <v>71</v>
      </c>
      <c r="E918">
        <f t="shared" si="212"/>
        <v>0</v>
      </c>
      <c r="F918" t="s">
        <v>57</v>
      </c>
      <c r="G918">
        <v>168</v>
      </c>
      <c r="H918" t="str">
        <f t="shared" si="213"/>
        <v>102-500</v>
      </c>
      <c r="I918" t="s">
        <v>58</v>
      </c>
      <c r="J918">
        <v>4</v>
      </c>
      <c r="K918" t="str">
        <f t="shared" si="214"/>
        <v>1-5</v>
      </c>
      <c r="L918">
        <v>2</v>
      </c>
      <c r="M918" t="s">
        <v>59</v>
      </c>
      <c r="N918" t="s">
        <v>93</v>
      </c>
      <c r="O918">
        <v>1</v>
      </c>
      <c r="P918">
        <v>4</v>
      </c>
      <c r="Q918" t="s">
        <v>65</v>
      </c>
      <c r="R918" t="s">
        <v>62</v>
      </c>
      <c r="S918">
        <v>33</v>
      </c>
      <c r="T918" t="str">
        <f t="shared" si="215"/>
        <v>30-50</v>
      </c>
      <c r="U918">
        <v>2</v>
      </c>
      <c r="V918" t="s">
        <v>61</v>
      </c>
      <c r="W918">
        <v>5</v>
      </c>
      <c r="X918" t="s">
        <v>90</v>
      </c>
      <c r="Y918">
        <v>2</v>
      </c>
      <c r="Z918" t="s">
        <v>61</v>
      </c>
      <c r="AA918" t="s">
        <v>77</v>
      </c>
      <c r="AB918" s="4">
        <v>18789</v>
      </c>
      <c r="AC918" s="4" t="str">
        <f t="shared" si="216"/>
        <v>$17,500-$19,000</v>
      </c>
      <c r="AD918">
        <v>9946</v>
      </c>
      <c r="AE918" t="str">
        <f t="shared" si="217"/>
        <v>$8,001-$16,000</v>
      </c>
      <c r="AF918">
        <v>2</v>
      </c>
      <c r="AG918" t="str">
        <f t="shared" si="218"/>
        <v>2-3</v>
      </c>
      <c r="AH918" t="s">
        <v>67</v>
      </c>
      <c r="AI918" t="s">
        <v>71</v>
      </c>
      <c r="AJ918">
        <v>14</v>
      </c>
      <c r="AK918" t="str">
        <f t="shared" si="219"/>
        <v>13-15%</v>
      </c>
      <c r="AL918">
        <v>3</v>
      </c>
      <c r="AM918" t="s">
        <v>68</v>
      </c>
      <c r="AN918">
        <v>3</v>
      </c>
      <c r="AO918" t="s">
        <v>63</v>
      </c>
      <c r="AP918">
        <v>80</v>
      </c>
      <c r="AQ918">
        <v>1</v>
      </c>
      <c r="AR918">
        <v>26</v>
      </c>
      <c r="AS918" t="str">
        <f t="shared" si="220"/>
        <v>21-40</v>
      </c>
      <c r="AT918">
        <v>2</v>
      </c>
      <c r="AU918" t="str">
        <f t="shared" si="221"/>
        <v>0-2</v>
      </c>
      <c r="AV918">
        <v>3</v>
      </c>
      <c r="AW918" t="s">
        <v>79</v>
      </c>
      <c r="AX918">
        <v>11</v>
      </c>
      <c r="AY918" t="str">
        <f t="shared" si="210"/>
        <v>11-20</v>
      </c>
      <c r="AZ918">
        <v>4</v>
      </c>
      <c r="BA918" t="str">
        <f t="shared" si="222"/>
        <v>2-5</v>
      </c>
      <c r="BB918">
        <v>0</v>
      </c>
      <c r="BC918" t="str">
        <f t="shared" si="223"/>
        <v>0-1</v>
      </c>
      <c r="BD918">
        <v>8</v>
      </c>
      <c r="BE918" t="str">
        <f t="shared" si="224"/>
        <v>6-10</v>
      </c>
    </row>
    <row r="919" spans="1:57" x14ac:dyDescent="0.3">
      <c r="A919">
        <v>1281</v>
      </c>
      <c r="B919">
        <v>34</v>
      </c>
      <c r="C919" t="str">
        <f t="shared" si="211"/>
        <v>26-35</v>
      </c>
      <c r="D919" t="s">
        <v>71</v>
      </c>
      <c r="E919">
        <f t="shared" si="212"/>
        <v>0</v>
      </c>
      <c r="F919" t="s">
        <v>57</v>
      </c>
      <c r="G919">
        <v>131</v>
      </c>
      <c r="H919" t="str">
        <f t="shared" si="213"/>
        <v>102-500</v>
      </c>
      <c r="I919" t="s">
        <v>58</v>
      </c>
      <c r="J919">
        <v>2</v>
      </c>
      <c r="K919" t="str">
        <f t="shared" si="214"/>
        <v>1-5</v>
      </c>
      <c r="L919">
        <v>3</v>
      </c>
      <c r="M919" t="s">
        <v>85</v>
      </c>
      <c r="N919" t="s">
        <v>93</v>
      </c>
      <c r="O919">
        <v>1</v>
      </c>
      <c r="P919">
        <v>3</v>
      </c>
      <c r="Q919" t="s">
        <v>63</v>
      </c>
      <c r="R919" t="s">
        <v>62</v>
      </c>
      <c r="S919">
        <v>86</v>
      </c>
      <c r="T919" t="str">
        <f t="shared" si="215"/>
        <v>76-100</v>
      </c>
      <c r="U919">
        <v>3</v>
      </c>
      <c r="V919" t="s">
        <v>63</v>
      </c>
      <c r="W919">
        <v>2</v>
      </c>
      <c r="X919" t="s">
        <v>64</v>
      </c>
      <c r="Y919">
        <v>1</v>
      </c>
      <c r="Z919" t="s">
        <v>69</v>
      </c>
      <c r="AA919" t="s">
        <v>66</v>
      </c>
      <c r="AB919" s="4">
        <v>4538</v>
      </c>
      <c r="AC919" s="4" t="str">
        <f t="shared" si="216"/>
        <v>$4,000-$5,500</v>
      </c>
      <c r="AD919">
        <v>6039</v>
      </c>
      <c r="AE919" t="str">
        <f t="shared" si="217"/>
        <v>$2,094-$8,000</v>
      </c>
      <c r="AF919">
        <v>0</v>
      </c>
      <c r="AG919" t="str">
        <f t="shared" si="218"/>
        <v>0-1</v>
      </c>
      <c r="AH919" t="s">
        <v>67</v>
      </c>
      <c r="AI919" t="s">
        <v>56</v>
      </c>
      <c r="AJ919">
        <v>12</v>
      </c>
      <c r="AK919" t="str">
        <f t="shared" si="219"/>
        <v>11-12%</v>
      </c>
      <c r="AL919">
        <v>3</v>
      </c>
      <c r="AM919" t="s">
        <v>68</v>
      </c>
      <c r="AN919">
        <v>4</v>
      </c>
      <c r="AO919" t="s">
        <v>65</v>
      </c>
      <c r="AP919">
        <v>80</v>
      </c>
      <c r="AQ919">
        <v>0</v>
      </c>
      <c r="AR919">
        <v>4</v>
      </c>
      <c r="AS919" t="str">
        <f t="shared" si="220"/>
        <v>3-5</v>
      </c>
      <c r="AT919">
        <v>3</v>
      </c>
      <c r="AU919" t="str">
        <f t="shared" si="221"/>
        <v>3-4</v>
      </c>
      <c r="AV919">
        <v>3</v>
      </c>
      <c r="AW919" t="s">
        <v>79</v>
      </c>
      <c r="AX919">
        <v>3</v>
      </c>
      <c r="AY919" t="str">
        <f t="shared" si="210"/>
        <v>2-5</v>
      </c>
      <c r="AZ919">
        <v>2</v>
      </c>
      <c r="BA919" t="str">
        <f t="shared" si="222"/>
        <v>2-5</v>
      </c>
      <c r="BB919">
        <v>0</v>
      </c>
      <c r="BC919" t="str">
        <f t="shared" si="223"/>
        <v>0-1</v>
      </c>
      <c r="BD919">
        <v>2</v>
      </c>
      <c r="BE919" t="str">
        <f t="shared" si="224"/>
        <v>2-5</v>
      </c>
    </row>
    <row r="920" spans="1:57" x14ac:dyDescent="0.3">
      <c r="A920">
        <v>1282</v>
      </c>
      <c r="B920">
        <v>51</v>
      </c>
      <c r="C920" t="str">
        <f t="shared" si="211"/>
        <v>46-55</v>
      </c>
      <c r="D920" t="s">
        <v>71</v>
      </c>
      <c r="E920">
        <f t="shared" si="212"/>
        <v>0</v>
      </c>
      <c r="F920" t="s">
        <v>72</v>
      </c>
      <c r="G920">
        <v>237</v>
      </c>
      <c r="H920" t="str">
        <f t="shared" si="213"/>
        <v>102-500</v>
      </c>
      <c r="I920" t="s">
        <v>58</v>
      </c>
      <c r="J920">
        <v>9</v>
      </c>
      <c r="K920" t="str">
        <f t="shared" si="214"/>
        <v>6-10</v>
      </c>
      <c r="L920">
        <v>3</v>
      </c>
      <c r="M920" t="s">
        <v>85</v>
      </c>
      <c r="N920" t="s">
        <v>60</v>
      </c>
      <c r="O920">
        <v>1</v>
      </c>
      <c r="P920">
        <v>4</v>
      </c>
      <c r="Q920" t="s">
        <v>65</v>
      </c>
      <c r="R920" t="s">
        <v>75</v>
      </c>
      <c r="S920">
        <v>83</v>
      </c>
      <c r="T920" t="str">
        <f t="shared" si="215"/>
        <v>76-100</v>
      </c>
      <c r="U920">
        <v>3</v>
      </c>
      <c r="V920" t="s">
        <v>63</v>
      </c>
      <c r="W920">
        <v>5</v>
      </c>
      <c r="X920" t="s">
        <v>90</v>
      </c>
      <c r="Y920">
        <v>2</v>
      </c>
      <c r="Z920" t="s">
        <v>61</v>
      </c>
      <c r="AA920" t="s">
        <v>86</v>
      </c>
      <c r="AB920" s="4">
        <v>19847</v>
      </c>
      <c r="AC920" s="4" t="str">
        <f t="shared" si="216"/>
        <v>$19,000-$20,500</v>
      </c>
      <c r="AD920">
        <v>19196</v>
      </c>
      <c r="AE920" t="str">
        <f t="shared" si="217"/>
        <v>$16,001-$22,000</v>
      </c>
      <c r="AF920">
        <v>4</v>
      </c>
      <c r="AG920" t="str">
        <f t="shared" si="218"/>
        <v>4-6</v>
      </c>
      <c r="AH920" t="s">
        <v>67</v>
      </c>
      <c r="AI920" t="s">
        <v>56</v>
      </c>
      <c r="AJ920">
        <v>24</v>
      </c>
      <c r="AK920" t="str">
        <f t="shared" si="219"/>
        <v>18-19%</v>
      </c>
      <c r="AL920">
        <v>4</v>
      </c>
      <c r="AM920" t="s">
        <v>78</v>
      </c>
      <c r="AN920">
        <v>1</v>
      </c>
      <c r="AO920" t="s">
        <v>69</v>
      </c>
      <c r="AP920">
        <v>80</v>
      </c>
      <c r="AQ920">
        <v>1</v>
      </c>
      <c r="AR920">
        <v>31</v>
      </c>
      <c r="AS920" t="str">
        <f t="shared" si="220"/>
        <v>21-40</v>
      </c>
      <c r="AT920">
        <v>5</v>
      </c>
      <c r="AU920" t="str">
        <f t="shared" si="221"/>
        <v>5-6</v>
      </c>
      <c r="AV920">
        <v>2</v>
      </c>
      <c r="AW920" t="s">
        <v>84</v>
      </c>
      <c r="AX920">
        <v>29</v>
      </c>
      <c r="AY920" t="str">
        <f t="shared" si="210"/>
        <v>21-40</v>
      </c>
      <c r="AZ920">
        <v>10</v>
      </c>
      <c r="BA920" t="str">
        <f t="shared" si="222"/>
        <v>6-10</v>
      </c>
      <c r="BB920">
        <v>11</v>
      </c>
      <c r="BC920" t="str">
        <f t="shared" si="223"/>
        <v>11-15</v>
      </c>
      <c r="BD920">
        <v>10</v>
      </c>
      <c r="BE920" t="str">
        <f t="shared" si="224"/>
        <v>6-10</v>
      </c>
    </row>
    <row r="921" spans="1:57" x14ac:dyDescent="0.3">
      <c r="A921">
        <v>1283</v>
      </c>
      <c r="B921">
        <v>59</v>
      </c>
      <c r="C921" t="str">
        <f t="shared" si="211"/>
        <v>56+</v>
      </c>
      <c r="D921" t="s">
        <v>71</v>
      </c>
      <c r="E921">
        <f t="shared" si="212"/>
        <v>0</v>
      </c>
      <c r="F921" t="s">
        <v>57</v>
      </c>
      <c r="G921">
        <v>1429</v>
      </c>
      <c r="H921" t="str">
        <f t="shared" si="213"/>
        <v>1001-1499</v>
      </c>
      <c r="I921" t="s">
        <v>73</v>
      </c>
      <c r="J921">
        <v>18</v>
      </c>
      <c r="K921" t="str">
        <f t="shared" si="214"/>
        <v>11-20</v>
      </c>
      <c r="L921">
        <v>4</v>
      </c>
      <c r="M921" t="s">
        <v>82</v>
      </c>
      <c r="N921" t="s">
        <v>83</v>
      </c>
      <c r="O921">
        <v>1</v>
      </c>
      <c r="P921">
        <v>4</v>
      </c>
      <c r="Q921" t="s">
        <v>65</v>
      </c>
      <c r="R921" t="s">
        <v>75</v>
      </c>
      <c r="S921">
        <v>67</v>
      </c>
      <c r="T921" t="str">
        <f t="shared" si="215"/>
        <v>51-75</v>
      </c>
      <c r="U921">
        <v>3</v>
      </c>
      <c r="V921" t="s">
        <v>63</v>
      </c>
      <c r="W921">
        <v>3</v>
      </c>
      <c r="X921" t="s">
        <v>87</v>
      </c>
      <c r="Y921">
        <v>4</v>
      </c>
      <c r="Z921" t="s">
        <v>65</v>
      </c>
      <c r="AA921" t="s">
        <v>66</v>
      </c>
      <c r="AB921" s="4">
        <v>10512</v>
      </c>
      <c r="AC921" s="4" t="str">
        <f t="shared" si="216"/>
        <v>$10,000-$11,500</v>
      </c>
      <c r="AD921">
        <v>20002</v>
      </c>
      <c r="AE921" t="str">
        <f t="shared" si="217"/>
        <v>$16,001-$22,000</v>
      </c>
      <c r="AF921">
        <v>6</v>
      </c>
      <c r="AG921" t="str">
        <f t="shared" si="218"/>
        <v>4-6</v>
      </c>
      <c r="AH921" t="s">
        <v>67</v>
      </c>
      <c r="AI921" t="s">
        <v>71</v>
      </c>
      <c r="AJ921">
        <v>12</v>
      </c>
      <c r="AK921" t="str">
        <f t="shared" si="219"/>
        <v>11-12%</v>
      </c>
      <c r="AL921">
        <v>3</v>
      </c>
      <c r="AM921" t="s">
        <v>68</v>
      </c>
      <c r="AN921">
        <v>4</v>
      </c>
      <c r="AO921" t="s">
        <v>65</v>
      </c>
      <c r="AP921">
        <v>80</v>
      </c>
      <c r="AQ921">
        <v>0</v>
      </c>
      <c r="AR921">
        <v>25</v>
      </c>
      <c r="AS921" t="str">
        <f t="shared" si="220"/>
        <v>21-40</v>
      </c>
      <c r="AT921">
        <v>6</v>
      </c>
      <c r="AU921" t="str">
        <f t="shared" si="221"/>
        <v>5-6</v>
      </c>
      <c r="AV921">
        <v>2</v>
      </c>
      <c r="AW921" t="s">
        <v>84</v>
      </c>
      <c r="AX921">
        <v>9</v>
      </c>
      <c r="AY921" t="str">
        <f t="shared" si="210"/>
        <v>6-10</v>
      </c>
      <c r="AZ921">
        <v>7</v>
      </c>
      <c r="BA921" t="str">
        <f t="shared" si="222"/>
        <v>6-10</v>
      </c>
      <c r="BB921">
        <v>5</v>
      </c>
      <c r="BC921" t="str">
        <f t="shared" si="223"/>
        <v>2-5</v>
      </c>
      <c r="BD921">
        <v>4</v>
      </c>
      <c r="BE921" t="str">
        <f t="shared" si="224"/>
        <v>2-5</v>
      </c>
    </row>
    <row r="922" spans="1:57" x14ac:dyDescent="0.3">
      <c r="A922">
        <v>1285</v>
      </c>
      <c r="B922">
        <v>34</v>
      </c>
      <c r="C922" t="str">
        <f t="shared" si="211"/>
        <v>26-35</v>
      </c>
      <c r="D922" t="s">
        <v>71</v>
      </c>
      <c r="E922">
        <f t="shared" si="212"/>
        <v>0</v>
      </c>
      <c r="F922" t="s">
        <v>72</v>
      </c>
      <c r="G922">
        <v>135</v>
      </c>
      <c r="H922" t="str">
        <f t="shared" si="213"/>
        <v>102-500</v>
      </c>
      <c r="I922" t="s">
        <v>73</v>
      </c>
      <c r="J922">
        <v>19</v>
      </c>
      <c r="K922" t="str">
        <f t="shared" si="214"/>
        <v>11-20</v>
      </c>
      <c r="L922">
        <v>3</v>
      </c>
      <c r="M922" t="s">
        <v>85</v>
      </c>
      <c r="N922" t="s">
        <v>83</v>
      </c>
      <c r="O922">
        <v>1</v>
      </c>
      <c r="P922">
        <v>3</v>
      </c>
      <c r="Q922" t="s">
        <v>63</v>
      </c>
      <c r="R922" t="s">
        <v>62</v>
      </c>
      <c r="S922">
        <v>46</v>
      </c>
      <c r="T922" t="str">
        <f t="shared" si="215"/>
        <v>30-50</v>
      </c>
      <c r="U922">
        <v>3</v>
      </c>
      <c r="V922" t="s">
        <v>63</v>
      </c>
      <c r="W922">
        <v>2</v>
      </c>
      <c r="X922" t="s">
        <v>81</v>
      </c>
      <c r="Y922">
        <v>2</v>
      </c>
      <c r="Z922" t="s">
        <v>61</v>
      </c>
      <c r="AA922" t="s">
        <v>86</v>
      </c>
      <c r="AB922" s="4">
        <v>4444</v>
      </c>
      <c r="AC922" s="4" t="str">
        <f t="shared" si="216"/>
        <v>$4,000-$5,500</v>
      </c>
      <c r="AD922">
        <v>22534</v>
      </c>
      <c r="AE922" t="str">
        <f t="shared" si="217"/>
        <v>$22,001-$26,999</v>
      </c>
      <c r="AF922">
        <v>4</v>
      </c>
      <c r="AG922" t="str">
        <f t="shared" si="218"/>
        <v>4-6</v>
      </c>
      <c r="AH922" t="s">
        <v>67</v>
      </c>
      <c r="AI922" t="s">
        <v>71</v>
      </c>
      <c r="AJ922">
        <v>13</v>
      </c>
      <c r="AK922" t="str">
        <f t="shared" si="219"/>
        <v>13-15%</v>
      </c>
      <c r="AL922">
        <v>3</v>
      </c>
      <c r="AM922" t="s">
        <v>68</v>
      </c>
      <c r="AN922">
        <v>3</v>
      </c>
      <c r="AO922" t="s">
        <v>63</v>
      </c>
      <c r="AP922">
        <v>80</v>
      </c>
      <c r="AQ922">
        <v>2</v>
      </c>
      <c r="AR922">
        <v>15</v>
      </c>
      <c r="AS922" t="str">
        <f t="shared" si="220"/>
        <v>11-20</v>
      </c>
      <c r="AT922">
        <v>2</v>
      </c>
      <c r="AU922" t="str">
        <f t="shared" si="221"/>
        <v>0-2</v>
      </c>
      <c r="AV922">
        <v>4</v>
      </c>
      <c r="AW922" t="s">
        <v>94</v>
      </c>
      <c r="AX922">
        <v>11</v>
      </c>
      <c r="AY922" t="str">
        <f t="shared" si="210"/>
        <v>11-20</v>
      </c>
      <c r="AZ922">
        <v>8</v>
      </c>
      <c r="BA922" t="str">
        <f t="shared" si="222"/>
        <v>6-10</v>
      </c>
      <c r="BB922">
        <v>5</v>
      </c>
      <c r="BC922" t="str">
        <f t="shared" si="223"/>
        <v>2-5</v>
      </c>
      <c r="BD922">
        <v>10</v>
      </c>
      <c r="BE922" t="str">
        <f t="shared" si="224"/>
        <v>6-10</v>
      </c>
    </row>
    <row r="923" spans="1:57" x14ac:dyDescent="0.3">
      <c r="A923">
        <v>1286</v>
      </c>
      <c r="B923">
        <v>28</v>
      </c>
      <c r="C923" t="str">
        <f t="shared" si="211"/>
        <v>26-35</v>
      </c>
      <c r="D923" t="s">
        <v>71</v>
      </c>
      <c r="E923">
        <f t="shared" si="212"/>
        <v>0</v>
      </c>
      <c r="F923" t="s">
        <v>72</v>
      </c>
      <c r="G923">
        <v>791</v>
      </c>
      <c r="H923" t="str">
        <f t="shared" si="213"/>
        <v>501-1000</v>
      </c>
      <c r="I923" t="s">
        <v>73</v>
      </c>
      <c r="J923">
        <v>1</v>
      </c>
      <c r="K923" t="str">
        <f t="shared" si="214"/>
        <v>1-5</v>
      </c>
      <c r="L923">
        <v>4</v>
      </c>
      <c r="M923" t="s">
        <v>82</v>
      </c>
      <c r="N923" t="s">
        <v>83</v>
      </c>
      <c r="O923">
        <v>1</v>
      </c>
      <c r="P923">
        <v>4</v>
      </c>
      <c r="Q923" t="s">
        <v>65</v>
      </c>
      <c r="R923" t="s">
        <v>75</v>
      </c>
      <c r="S923">
        <v>44</v>
      </c>
      <c r="T923" t="str">
        <f t="shared" si="215"/>
        <v>30-50</v>
      </c>
      <c r="U923">
        <v>3</v>
      </c>
      <c r="V923" t="s">
        <v>63</v>
      </c>
      <c r="W923">
        <v>1</v>
      </c>
      <c r="X923" t="s">
        <v>81</v>
      </c>
      <c r="Y923">
        <v>3</v>
      </c>
      <c r="Z923" t="s">
        <v>63</v>
      </c>
      <c r="AA923" t="s">
        <v>66</v>
      </c>
      <c r="AB923" s="4">
        <v>2154</v>
      </c>
      <c r="AC923" s="4" t="str">
        <f t="shared" si="216"/>
        <v>$1,000-$2,500</v>
      </c>
      <c r="AD923">
        <v>6842</v>
      </c>
      <c r="AE923" t="str">
        <f t="shared" si="217"/>
        <v>$2,094-$8,000</v>
      </c>
      <c r="AF923">
        <v>0</v>
      </c>
      <c r="AG923" t="str">
        <f t="shared" si="218"/>
        <v>0-1</v>
      </c>
      <c r="AH923" t="s">
        <v>67</v>
      </c>
      <c r="AI923" t="s">
        <v>56</v>
      </c>
      <c r="AJ923">
        <v>11</v>
      </c>
      <c r="AK923" t="str">
        <f t="shared" si="219"/>
        <v>11-12%</v>
      </c>
      <c r="AL923">
        <v>3</v>
      </c>
      <c r="AM923" t="s">
        <v>68</v>
      </c>
      <c r="AN923">
        <v>3</v>
      </c>
      <c r="AO923" t="s">
        <v>63</v>
      </c>
      <c r="AP923">
        <v>80</v>
      </c>
      <c r="AQ923">
        <v>0</v>
      </c>
      <c r="AR923">
        <v>5</v>
      </c>
      <c r="AS923" t="str">
        <f t="shared" si="220"/>
        <v>3-5</v>
      </c>
      <c r="AT923">
        <v>2</v>
      </c>
      <c r="AU923" t="str">
        <f t="shared" si="221"/>
        <v>0-2</v>
      </c>
      <c r="AV923">
        <v>2</v>
      </c>
      <c r="AW923" t="s">
        <v>84</v>
      </c>
      <c r="AX923">
        <v>4</v>
      </c>
      <c r="AY923" t="str">
        <f t="shared" si="210"/>
        <v>2-5</v>
      </c>
      <c r="AZ923">
        <v>2</v>
      </c>
      <c r="BA923" t="str">
        <f t="shared" si="222"/>
        <v>2-5</v>
      </c>
      <c r="BB923">
        <v>0</v>
      </c>
      <c r="BC923" t="str">
        <f t="shared" si="223"/>
        <v>0-1</v>
      </c>
      <c r="BD923">
        <v>2</v>
      </c>
      <c r="BE923" t="str">
        <f t="shared" si="224"/>
        <v>2-5</v>
      </c>
    </row>
    <row r="924" spans="1:57" x14ac:dyDescent="0.3">
      <c r="A924">
        <v>1288</v>
      </c>
      <c r="B924">
        <v>44</v>
      </c>
      <c r="C924" t="str">
        <f t="shared" si="211"/>
        <v>36-45</v>
      </c>
      <c r="D924" t="s">
        <v>71</v>
      </c>
      <c r="E924">
        <f t="shared" si="212"/>
        <v>0</v>
      </c>
      <c r="F924" t="s">
        <v>57</v>
      </c>
      <c r="G924">
        <v>1199</v>
      </c>
      <c r="H924" t="str">
        <f t="shared" si="213"/>
        <v>1001-1499</v>
      </c>
      <c r="I924" t="s">
        <v>73</v>
      </c>
      <c r="J924">
        <v>4</v>
      </c>
      <c r="K924" t="str">
        <f t="shared" si="214"/>
        <v>1-5</v>
      </c>
      <c r="L924">
        <v>2</v>
      </c>
      <c r="M924" t="s">
        <v>59</v>
      </c>
      <c r="N924" t="s">
        <v>60</v>
      </c>
      <c r="O924">
        <v>1</v>
      </c>
      <c r="P924">
        <v>3</v>
      </c>
      <c r="Q924" t="s">
        <v>63</v>
      </c>
      <c r="R924" t="s">
        <v>75</v>
      </c>
      <c r="S924">
        <v>92</v>
      </c>
      <c r="T924" t="str">
        <f t="shared" si="215"/>
        <v>76-100</v>
      </c>
      <c r="U924">
        <v>4</v>
      </c>
      <c r="V924" t="s">
        <v>65</v>
      </c>
      <c r="W924">
        <v>5</v>
      </c>
      <c r="X924" t="s">
        <v>90</v>
      </c>
      <c r="Y924">
        <v>1</v>
      </c>
      <c r="Z924" t="s">
        <v>69</v>
      </c>
      <c r="AA924" t="s">
        <v>86</v>
      </c>
      <c r="AB924" s="4">
        <v>19190</v>
      </c>
      <c r="AC924" s="4" t="str">
        <f t="shared" si="216"/>
        <v>$19,000-$20,500</v>
      </c>
      <c r="AD924">
        <v>17477</v>
      </c>
      <c r="AE924" t="str">
        <f t="shared" si="217"/>
        <v>$16,001-$22,000</v>
      </c>
      <c r="AF924">
        <v>1</v>
      </c>
      <c r="AG924" t="str">
        <f t="shared" si="218"/>
        <v>0-1</v>
      </c>
      <c r="AH924" t="s">
        <v>67</v>
      </c>
      <c r="AI924" t="s">
        <v>71</v>
      </c>
      <c r="AJ924">
        <v>14</v>
      </c>
      <c r="AK924" t="str">
        <f t="shared" si="219"/>
        <v>13-15%</v>
      </c>
      <c r="AL924">
        <v>3</v>
      </c>
      <c r="AM924" t="s">
        <v>68</v>
      </c>
      <c r="AN924">
        <v>4</v>
      </c>
      <c r="AO924" t="s">
        <v>65</v>
      </c>
      <c r="AP924">
        <v>80</v>
      </c>
      <c r="AQ924">
        <v>2</v>
      </c>
      <c r="AR924">
        <v>26</v>
      </c>
      <c r="AS924" t="str">
        <f t="shared" si="220"/>
        <v>21-40</v>
      </c>
      <c r="AT924">
        <v>4</v>
      </c>
      <c r="AU924" t="str">
        <f t="shared" si="221"/>
        <v>3-4</v>
      </c>
      <c r="AV924">
        <v>2</v>
      </c>
      <c r="AW924" t="s">
        <v>84</v>
      </c>
      <c r="AX924">
        <v>25</v>
      </c>
      <c r="AY924" t="str">
        <f t="shared" si="210"/>
        <v>21-40</v>
      </c>
      <c r="AZ924">
        <v>9</v>
      </c>
      <c r="BA924" t="str">
        <f t="shared" si="222"/>
        <v>6-10</v>
      </c>
      <c r="BB924">
        <v>14</v>
      </c>
      <c r="BC924" t="str">
        <f t="shared" si="223"/>
        <v>11-15</v>
      </c>
      <c r="BD924">
        <v>13</v>
      </c>
      <c r="BE924" t="str">
        <f t="shared" si="224"/>
        <v>11-17</v>
      </c>
    </row>
    <row r="925" spans="1:57" x14ac:dyDescent="0.3">
      <c r="A925">
        <v>1289</v>
      </c>
      <c r="B925">
        <v>34</v>
      </c>
      <c r="C925" t="str">
        <f t="shared" si="211"/>
        <v>26-35</v>
      </c>
      <c r="D925" t="s">
        <v>71</v>
      </c>
      <c r="E925">
        <f t="shared" si="212"/>
        <v>0</v>
      </c>
      <c r="F925" t="s">
        <v>72</v>
      </c>
      <c r="G925">
        <v>648</v>
      </c>
      <c r="H925" t="str">
        <f t="shared" si="213"/>
        <v>501-1000</v>
      </c>
      <c r="I925" t="s">
        <v>97</v>
      </c>
      <c r="J925">
        <v>11</v>
      </c>
      <c r="K925" t="str">
        <f t="shared" si="214"/>
        <v>11-20</v>
      </c>
      <c r="L925">
        <v>3</v>
      </c>
      <c r="M925" t="s">
        <v>85</v>
      </c>
      <c r="N925" t="s">
        <v>60</v>
      </c>
      <c r="O925">
        <v>1</v>
      </c>
      <c r="P925">
        <v>3</v>
      </c>
      <c r="Q925" t="s">
        <v>63</v>
      </c>
      <c r="R925" t="s">
        <v>75</v>
      </c>
      <c r="S925">
        <v>56</v>
      </c>
      <c r="T925" t="str">
        <f t="shared" si="215"/>
        <v>51-75</v>
      </c>
      <c r="U925">
        <v>2</v>
      </c>
      <c r="V925" t="s">
        <v>61</v>
      </c>
      <c r="W925">
        <v>2</v>
      </c>
      <c r="X925" t="s">
        <v>97</v>
      </c>
      <c r="Y925">
        <v>2</v>
      </c>
      <c r="Z925" t="s">
        <v>61</v>
      </c>
      <c r="AA925" t="s">
        <v>77</v>
      </c>
      <c r="AB925" s="4">
        <v>4490</v>
      </c>
      <c r="AC925" s="4" t="str">
        <f t="shared" si="216"/>
        <v>$4,000-$5,500</v>
      </c>
      <c r="AD925">
        <v>21833</v>
      </c>
      <c r="AE925" t="str">
        <f t="shared" si="217"/>
        <v>$16,001-$22,000</v>
      </c>
      <c r="AF925">
        <v>4</v>
      </c>
      <c r="AG925" t="str">
        <f t="shared" si="218"/>
        <v>4-6</v>
      </c>
      <c r="AH925" t="s">
        <v>67</v>
      </c>
      <c r="AI925" t="s">
        <v>71</v>
      </c>
      <c r="AJ925">
        <v>11</v>
      </c>
      <c r="AK925" t="str">
        <f t="shared" si="219"/>
        <v>11-12%</v>
      </c>
      <c r="AL925">
        <v>3</v>
      </c>
      <c r="AM925" t="s">
        <v>68</v>
      </c>
      <c r="AN925">
        <v>4</v>
      </c>
      <c r="AO925" t="s">
        <v>65</v>
      </c>
      <c r="AP925">
        <v>80</v>
      </c>
      <c r="AQ925">
        <v>2</v>
      </c>
      <c r="AR925">
        <v>14</v>
      </c>
      <c r="AS925" t="str">
        <f t="shared" si="220"/>
        <v>11-20</v>
      </c>
      <c r="AT925">
        <v>5</v>
      </c>
      <c r="AU925" t="str">
        <f t="shared" si="221"/>
        <v>5-6</v>
      </c>
      <c r="AV925">
        <v>4</v>
      </c>
      <c r="AW925" t="s">
        <v>94</v>
      </c>
      <c r="AX925">
        <v>10</v>
      </c>
      <c r="AY925" t="str">
        <f t="shared" si="210"/>
        <v>6-10</v>
      </c>
      <c r="AZ925">
        <v>9</v>
      </c>
      <c r="BA925" t="str">
        <f t="shared" si="222"/>
        <v>6-10</v>
      </c>
      <c r="BB925">
        <v>1</v>
      </c>
      <c r="BC925" t="str">
        <f t="shared" si="223"/>
        <v>0-1</v>
      </c>
      <c r="BD925">
        <v>8</v>
      </c>
      <c r="BE925" t="str">
        <f t="shared" si="224"/>
        <v>6-10</v>
      </c>
    </row>
    <row r="926" spans="1:57" x14ac:dyDescent="0.3">
      <c r="A926">
        <v>1291</v>
      </c>
      <c r="B926">
        <v>35</v>
      </c>
      <c r="C926" t="str">
        <f t="shared" si="211"/>
        <v>26-35</v>
      </c>
      <c r="D926" t="s">
        <v>71</v>
      </c>
      <c r="E926">
        <f t="shared" si="212"/>
        <v>0</v>
      </c>
      <c r="F926" t="s">
        <v>57</v>
      </c>
      <c r="G926">
        <v>735</v>
      </c>
      <c r="H926" t="str">
        <f t="shared" si="213"/>
        <v>501-1000</v>
      </c>
      <c r="I926" t="s">
        <v>73</v>
      </c>
      <c r="J926">
        <v>6</v>
      </c>
      <c r="K926" t="str">
        <f t="shared" si="214"/>
        <v>6-10</v>
      </c>
      <c r="L926">
        <v>1</v>
      </c>
      <c r="M926" t="s">
        <v>74</v>
      </c>
      <c r="N926" t="s">
        <v>60</v>
      </c>
      <c r="O926">
        <v>1</v>
      </c>
      <c r="P926">
        <v>3</v>
      </c>
      <c r="Q926" t="s">
        <v>63</v>
      </c>
      <c r="R926" t="s">
        <v>75</v>
      </c>
      <c r="S926">
        <v>66</v>
      </c>
      <c r="T926" t="str">
        <f t="shared" si="215"/>
        <v>51-75</v>
      </c>
      <c r="U926">
        <v>3</v>
      </c>
      <c r="V926" t="s">
        <v>63</v>
      </c>
      <c r="W926">
        <v>1</v>
      </c>
      <c r="X926" t="s">
        <v>76</v>
      </c>
      <c r="Y926">
        <v>3</v>
      </c>
      <c r="Z926" t="s">
        <v>63</v>
      </c>
      <c r="AA926" t="s">
        <v>77</v>
      </c>
      <c r="AB926" s="4">
        <v>3506</v>
      </c>
      <c r="AC926" s="4" t="str">
        <f t="shared" si="216"/>
        <v>$2,500-$4,000</v>
      </c>
      <c r="AD926">
        <v>6020</v>
      </c>
      <c r="AE926" t="str">
        <f t="shared" si="217"/>
        <v>$2,094-$8,000</v>
      </c>
      <c r="AF926">
        <v>0</v>
      </c>
      <c r="AG926" t="str">
        <f t="shared" si="218"/>
        <v>0-1</v>
      </c>
      <c r="AH926" t="s">
        <v>67</v>
      </c>
      <c r="AI926" t="s">
        <v>56</v>
      </c>
      <c r="AJ926">
        <v>14</v>
      </c>
      <c r="AK926" t="str">
        <f t="shared" si="219"/>
        <v>13-15%</v>
      </c>
      <c r="AL926">
        <v>3</v>
      </c>
      <c r="AM926" t="s">
        <v>68</v>
      </c>
      <c r="AN926">
        <v>4</v>
      </c>
      <c r="AO926" t="s">
        <v>65</v>
      </c>
      <c r="AP926">
        <v>80</v>
      </c>
      <c r="AQ926">
        <v>0</v>
      </c>
      <c r="AR926">
        <v>4</v>
      </c>
      <c r="AS926" t="str">
        <f t="shared" si="220"/>
        <v>3-5</v>
      </c>
      <c r="AT926">
        <v>3</v>
      </c>
      <c r="AU926" t="str">
        <f t="shared" si="221"/>
        <v>3-4</v>
      </c>
      <c r="AV926">
        <v>3</v>
      </c>
      <c r="AW926" t="s">
        <v>79</v>
      </c>
      <c r="AX926">
        <v>3</v>
      </c>
      <c r="AY926" t="str">
        <f t="shared" si="210"/>
        <v>2-5</v>
      </c>
      <c r="AZ926">
        <v>2</v>
      </c>
      <c r="BA926" t="str">
        <f t="shared" si="222"/>
        <v>2-5</v>
      </c>
      <c r="BB926">
        <v>2</v>
      </c>
      <c r="BC926" t="str">
        <f t="shared" si="223"/>
        <v>2-5</v>
      </c>
      <c r="BD926">
        <v>2</v>
      </c>
      <c r="BE926" t="str">
        <f t="shared" si="224"/>
        <v>2-5</v>
      </c>
    </row>
    <row r="927" spans="1:57" x14ac:dyDescent="0.3">
      <c r="A927">
        <v>1292</v>
      </c>
      <c r="B927">
        <v>42</v>
      </c>
      <c r="C927" t="str">
        <f t="shared" si="211"/>
        <v>36-45</v>
      </c>
      <c r="D927" t="s">
        <v>71</v>
      </c>
      <c r="E927">
        <f t="shared" si="212"/>
        <v>0</v>
      </c>
      <c r="F927" t="s">
        <v>57</v>
      </c>
      <c r="G927">
        <v>603</v>
      </c>
      <c r="H927" t="str">
        <f t="shared" si="213"/>
        <v>501-1000</v>
      </c>
      <c r="I927" t="s">
        <v>73</v>
      </c>
      <c r="J927">
        <v>7</v>
      </c>
      <c r="K927" t="str">
        <f t="shared" si="214"/>
        <v>6-10</v>
      </c>
      <c r="L927">
        <v>4</v>
      </c>
      <c r="M927" t="s">
        <v>82</v>
      </c>
      <c r="N927" t="s">
        <v>83</v>
      </c>
      <c r="O927">
        <v>1</v>
      </c>
      <c r="P927">
        <v>2</v>
      </c>
      <c r="Q927" t="s">
        <v>61</v>
      </c>
      <c r="R927" t="s">
        <v>62</v>
      </c>
      <c r="S927">
        <v>78</v>
      </c>
      <c r="T927" t="str">
        <f t="shared" si="215"/>
        <v>76-100</v>
      </c>
      <c r="U927">
        <v>4</v>
      </c>
      <c r="V927" t="s">
        <v>65</v>
      </c>
      <c r="W927">
        <v>2</v>
      </c>
      <c r="X927" t="s">
        <v>76</v>
      </c>
      <c r="Y927">
        <v>2</v>
      </c>
      <c r="Z927" t="s">
        <v>61</v>
      </c>
      <c r="AA927" t="s">
        <v>77</v>
      </c>
      <c r="AB927" s="4">
        <v>2372</v>
      </c>
      <c r="AC927" s="4" t="str">
        <f t="shared" si="216"/>
        <v>$1,000-$2,500</v>
      </c>
      <c r="AD927">
        <v>5628</v>
      </c>
      <c r="AE927" t="str">
        <f t="shared" si="217"/>
        <v>$2,094-$8,000</v>
      </c>
      <c r="AF927">
        <v>6</v>
      </c>
      <c r="AG927" t="str">
        <f t="shared" si="218"/>
        <v>4-6</v>
      </c>
      <c r="AH927" t="s">
        <v>67</v>
      </c>
      <c r="AI927" t="s">
        <v>56</v>
      </c>
      <c r="AJ927">
        <v>16</v>
      </c>
      <c r="AK927" t="str">
        <f t="shared" si="219"/>
        <v>16-17%</v>
      </c>
      <c r="AL927">
        <v>3</v>
      </c>
      <c r="AM927" t="s">
        <v>68</v>
      </c>
      <c r="AN927">
        <v>4</v>
      </c>
      <c r="AO927" t="s">
        <v>65</v>
      </c>
      <c r="AP927">
        <v>80</v>
      </c>
      <c r="AQ927">
        <v>0</v>
      </c>
      <c r="AR927">
        <v>18</v>
      </c>
      <c r="AS927" t="str">
        <f t="shared" si="220"/>
        <v>11-20</v>
      </c>
      <c r="AT927">
        <v>2</v>
      </c>
      <c r="AU927" t="str">
        <f t="shared" si="221"/>
        <v>0-2</v>
      </c>
      <c r="AV927">
        <v>3</v>
      </c>
      <c r="AW927" t="s">
        <v>79</v>
      </c>
      <c r="AX927">
        <v>1</v>
      </c>
      <c r="AY927" t="str">
        <f t="shared" si="210"/>
        <v>0-1</v>
      </c>
      <c r="AZ927">
        <v>0</v>
      </c>
      <c r="BA927" t="str">
        <f t="shared" si="222"/>
        <v>0-1</v>
      </c>
      <c r="BB927">
        <v>0</v>
      </c>
      <c r="BC927" t="str">
        <f t="shared" si="223"/>
        <v>0-1</v>
      </c>
      <c r="BD927">
        <v>0</v>
      </c>
      <c r="BE927" t="str">
        <f t="shared" si="224"/>
        <v>0-1</v>
      </c>
    </row>
    <row r="928" spans="1:57" x14ac:dyDescent="0.3">
      <c r="A928">
        <v>1293</v>
      </c>
      <c r="B928">
        <v>43</v>
      </c>
      <c r="C928" t="str">
        <f t="shared" si="211"/>
        <v>36-45</v>
      </c>
      <c r="D928" t="s">
        <v>71</v>
      </c>
      <c r="E928">
        <f t="shared" si="212"/>
        <v>0</v>
      </c>
      <c r="F928" t="s">
        <v>57</v>
      </c>
      <c r="G928">
        <v>531</v>
      </c>
      <c r="H928" t="str">
        <f t="shared" si="213"/>
        <v>501-1000</v>
      </c>
      <c r="I928" t="s">
        <v>58</v>
      </c>
      <c r="J928">
        <v>4</v>
      </c>
      <c r="K928" t="str">
        <f t="shared" si="214"/>
        <v>1-5</v>
      </c>
      <c r="L928">
        <v>4</v>
      </c>
      <c r="M928" t="s">
        <v>82</v>
      </c>
      <c r="N928" t="s">
        <v>93</v>
      </c>
      <c r="O928">
        <v>1</v>
      </c>
      <c r="P928">
        <v>4</v>
      </c>
      <c r="Q928" t="s">
        <v>65</v>
      </c>
      <c r="R928" t="s">
        <v>62</v>
      </c>
      <c r="S928">
        <v>56</v>
      </c>
      <c r="T928" t="str">
        <f t="shared" si="215"/>
        <v>51-75</v>
      </c>
      <c r="U928">
        <v>2</v>
      </c>
      <c r="V928" t="s">
        <v>61</v>
      </c>
      <c r="W928">
        <v>3</v>
      </c>
      <c r="X928" t="s">
        <v>64</v>
      </c>
      <c r="Y928">
        <v>4</v>
      </c>
      <c r="Z928" t="s">
        <v>65</v>
      </c>
      <c r="AA928" t="s">
        <v>66</v>
      </c>
      <c r="AB928" s="4">
        <v>10231</v>
      </c>
      <c r="AC928" s="4" t="str">
        <f t="shared" si="216"/>
        <v>$10,000-$11,500</v>
      </c>
      <c r="AD928">
        <v>20364</v>
      </c>
      <c r="AE928" t="str">
        <f t="shared" si="217"/>
        <v>$16,001-$22,000</v>
      </c>
      <c r="AF928">
        <v>3</v>
      </c>
      <c r="AG928" t="str">
        <f t="shared" si="218"/>
        <v>2-3</v>
      </c>
      <c r="AH928" t="s">
        <v>67</v>
      </c>
      <c r="AI928" t="s">
        <v>71</v>
      </c>
      <c r="AJ928">
        <v>14</v>
      </c>
      <c r="AK928" t="str">
        <f t="shared" si="219"/>
        <v>13-15%</v>
      </c>
      <c r="AL928">
        <v>3</v>
      </c>
      <c r="AM928" t="s">
        <v>68</v>
      </c>
      <c r="AN928">
        <v>4</v>
      </c>
      <c r="AO928" t="s">
        <v>65</v>
      </c>
      <c r="AP928">
        <v>80</v>
      </c>
      <c r="AQ928">
        <v>0</v>
      </c>
      <c r="AR928">
        <v>23</v>
      </c>
      <c r="AS928" t="str">
        <f t="shared" si="220"/>
        <v>21-40</v>
      </c>
      <c r="AT928">
        <v>3</v>
      </c>
      <c r="AU928" t="str">
        <f t="shared" si="221"/>
        <v>3-4</v>
      </c>
      <c r="AV928">
        <v>4</v>
      </c>
      <c r="AW928" t="s">
        <v>94</v>
      </c>
      <c r="AX928">
        <v>21</v>
      </c>
      <c r="AY928" t="str">
        <f t="shared" si="210"/>
        <v>21-40</v>
      </c>
      <c r="AZ928">
        <v>7</v>
      </c>
      <c r="BA928" t="str">
        <f t="shared" si="222"/>
        <v>6-10</v>
      </c>
      <c r="BB928">
        <v>15</v>
      </c>
      <c r="BC928" t="str">
        <f t="shared" si="223"/>
        <v>11-15</v>
      </c>
      <c r="BD928">
        <v>17</v>
      </c>
      <c r="BE928" t="str">
        <f t="shared" si="224"/>
        <v>11-17</v>
      </c>
    </row>
    <row r="929" spans="1:57" x14ac:dyDescent="0.3">
      <c r="A929">
        <v>1294</v>
      </c>
      <c r="B929">
        <v>36</v>
      </c>
      <c r="C929" t="str">
        <f t="shared" si="211"/>
        <v>36-45</v>
      </c>
      <c r="D929" t="s">
        <v>71</v>
      </c>
      <c r="E929">
        <f t="shared" si="212"/>
        <v>0</v>
      </c>
      <c r="F929" t="s">
        <v>57</v>
      </c>
      <c r="G929">
        <v>429</v>
      </c>
      <c r="H929" t="str">
        <f t="shared" si="213"/>
        <v>102-500</v>
      </c>
      <c r="I929" t="s">
        <v>73</v>
      </c>
      <c r="J929">
        <v>2</v>
      </c>
      <c r="K929" t="str">
        <f t="shared" si="214"/>
        <v>1-5</v>
      </c>
      <c r="L929">
        <v>4</v>
      </c>
      <c r="M929" t="s">
        <v>82</v>
      </c>
      <c r="N929" t="s">
        <v>60</v>
      </c>
      <c r="O929">
        <v>1</v>
      </c>
      <c r="P929">
        <v>3</v>
      </c>
      <c r="Q929" t="s">
        <v>63</v>
      </c>
      <c r="R929" t="s">
        <v>62</v>
      </c>
      <c r="S929">
        <v>53</v>
      </c>
      <c r="T929" t="str">
        <f t="shared" si="215"/>
        <v>51-75</v>
      </c>
      <c r="U929">
        <v>3</v>
      </c>
      <c r="V929" t="s">
        <v>63</v>
      </c>
      <c r="W929">
        <v>2</v>
      </c>
      <c r="X929" t="s">
        <v>87</v>
      </c>
      <c r="Y929">
        <v>2</v>
      </c>
      <c r="Z929" t="s">
        <v>61</v>
      </c>
      <c r="AA929" t="s">
        <v>66</v>
      </c>
      <c r="AB929" s="4">
        <v>5410</v>
      </c>
      <c r="AC929" s="4" t="str">
        <f t="shared" si="216"/>
        <v>$4,000-$5,500</v>
      </c>
      <c r="AD929">
        <v>2323</v>
      </c>
      <c r="AE929" t="str">
        <f t="shared" si="217"/>
        <v>$2,094-$8,000</v>
      </c>
      <c r="AF929">
        <v>9</v>
      </c>
      <c r="AG929" t="str">
        <f t="shared" si="218"/>
        <v>7-9</v>
      </c>
      <c r="AH929" t="s">
        <v>67</v>
      </c>
      <c r="AI929" t="s">
        <v>56</v>
      </c>
      <c r="AJ929">
        <v>11</v>
      </c>
      <c r="AK929" t="str">
        <f t="shared" si="219"/>
        <v>11-12%</v>
      </c>
      <c r="AL929">
        <v>3</v>
      </c>
      <c r="AM929" t="s">
        <v>68</v>
      </c>
      <c r="AN929">
        <v>4</v>
      </c>
      <c r="AO929" t="s">
        <v>65</v>
      </c>
      <c r="AP929">
        <v>80</v>
      </c>
      <c r="AQ929">
        <v>0</v>
      </c>
      <c r="AR929">
        <v>18</v>
      </c>
      <c r="AS929" t="str">
        <f t="shared" si="220"/>
        <v>11-20</v>
      </c>
      <c r="AT929">
        <v>2</v>
      </c>
      <c r="AU929" t="str">
        <f t="shared" si="221"/>
        <v>0-2</v>
      </c>
      <c r="AV929">
        <v>3</v>
      </c>
      <c r="AW929" t="s">
        <v>79</v>
      </c>
      <c r="AX929">
        <v>16</v>
      </c>
      <c r="AY929" t="str">
        <f t="shared" si="210"/>
        <v>11-20</v>
      </c>
      <c r="AZ929">
        <v>14</v>
      </c>
      <c r="BA929" t="str">
        <f t="shared" si="222"/>
        <v>11-18</v>
      </c>
      <c r="BB929">
        <v>5</v>
      </c>
      <c r="BC929" t="str">
        <f t="shared" si="223"/>
        <v>2-5</v>
      </c>
      <c r="BD929">
        <v>12</v>
      </c>
      <c r="BE929" t="str">
        <f t="shared" si="224"/>
        <v>11-17</v>
      </c>
    </row>
    <row r="930" spans="1:57" x14ac:dyDescent="0.3">
      <c r="A930">
        <v>1295</v>
      </c>
      <c r="B930">
        <v>44</v>
      </c>
      <c r="C930" t="str">
        <f t="shared" si="211"/>
        <v>36-45</v>
      </c>
      <c r="D930" t="s">
        <v>56</v>
      </c>
      <c r="E930">
        <f t="shared" si="212"/>
        <v>1</v>
      </c>
      <c r="F930" t="s">
        <v>57</v>
      </c>
      <c r="G930">
        <v>621</v>
      </c>
      <c r="H930" t="str">
        <f t="shared" si="213"/>
        <v>501-1000</v>
      </c>
      <c r="I930" t="s">
        <v>73</v>
      </c>
      <c r="J930">
        <v>15</v>
      </c>
      <c r="K930" t="str">
        <f t="shared" si="214"/>
        <v>11-20</v>
      </c>
      <c r="L930">
        <v>3</v>
      </c>
      <c r="M930" t="s">
        <v>85</v>
      </c>
      <c r="N930" t="s">
        <v>83</v>
      </c>
      <c r="O930">
        <v>1</v>
      </c>
      <c r="P930">
        <v>1</v>
      </c>
      <c r="Q930" t="s">
        <v>69</v>
      </c>
      <c r="R930" t="s">
        <v>62</v>
      </c>
      <c r="S930">
        <v>73</v>
      </c>
      <c r="T930" t="str">
        <f t="shared" si="215"/>
        <v>51-75</v>
      </c>
      <c r="U930">
        <v>3</v>
      </c>
      <c r="V930" t="s">
        <v>63</v>
      </c>
      <c r="W930">
        <v>3</v>
      </c>
      <c r="X930" t="s">
        <v>88</v>
      </c>
      <c r="Y930">
        <v>4</v>
      </c>
      <c r="Z930" t="s">
        <v>65</v>
      </c>
      <c r="AA930" t="s">
        <v>77</v>
      </c>
      <c r="AB930" s="4">
        <v>7978</v>
      </c>
      <c r="AC930" s="4" t="str">
        <f t="shared" si="216"/>
        <v>$7,000-$8,500</v>
      </c>
      <c r="AD930">
        <v>14075</v>
      </c>
      <c r="AE930" t="str">
        <f t="shared" si="217"/>
        <v>$8,001-$16,000</v>
      </c>
      <c r="AF930">
        <v>1</v>
      </c>
      <c r="AG930" t="str">
        <f t="shared" si="218"/>
        <v>0-1</v>
      </c>
      <c r="AH930" t="s">
        <v>67</v>
      </c>
      <c r="AI930" t="s">
        <v>71</v>
      </c>
      <c r="AJ930">
        <v>11</v>
      </c>
      <c r="AK930" t="str">
        <f t="shared" si="219"/>
        <v>11-12%</v>
      </c>
      <c r="AL930">
        <v>3</v>
      </c>
      <c r="AM930" t="s">
        <v>68</v>
      </c>
      <c r="AN930">
        <v>4</v>
      </c>
      <c r="AO930" t="s">
        <v>65</v>
      </c>
      <c r="AP930">
        <v>80</v>
      </c>
      <c r="AQ930">
        <v>1</v>
      </c>
      <c r="AR930">
        <v>10</v>
      </c>
      <c r="AS930" t="str">
        <f t="shared" si="220"/>
        <v>6-10</v>
      </c>
      <c r="AT930">
        <v>2</v>
      </c>
      <c r="AU930" t="str">
        <f t="shared" si="221"/>
        <v>0-2</v>
      </c>
      <c r="AV930">
        <v>3</v>
      </c>
      <c r="AW930" t="s">
        <v>79</v>
      </c>
      <c r="AX930">
        <v>10</v>
      </c>
      <c r="AY930" t="str">
        <f t="shared" si="210"/>
        <v>6-10</v>
      </c>
      <c r="AZ930">
        <v>7</v>
      </c>
      <c r="BA930" t="str">
        <f t="shared" si="222"/>
        <v>6-10</v>
      </c>
      <c r="BB930">
        <v>0</v>
      </c>
      <c r="BC930" t="str">
        <f t="shared" si="223"/>
        <v>0-1</v>
      </c>
      <c r="BD930">
        <v>5</v>
      </c>
      <c r="BE930" t="str">
        <f t="shared" si="224"/>
        <v>2-5</v>
      </c>
    </row>
    <row r="931" spans="1:57" x14ac:dyDescent="0.3">
      <c r="A931">
        <v>1296</v>
      </c>
      <c r="B931">
        <v>28</v>
      </c>
      <c r="C931" t="str">
        <f t="shared" si="211"/>
        <v>26-35</v>
      </c>
      <c r="D931" t="s">
        <v>71</v>
      </c>
      <c r="E931">
        <f t="shared" si="212"/>
        <v>0</v>
      </c>
      <c r="F931" t="s">
        <v>72</v>
      </c>
      <c r="G931">
        <v>193</v>
      </c>
      <c r="H931" t="str">
        <f t="shared" si="213"/>
        <v>102-500</v>
      </c>
      <c r="I931" t="s">
        <v>73</v>
      </c>
      <c r="J931">
        <v>2</v>
      </c>
      <c r="K931" t="str">
        <f t="shared" si="214"/>
        <v>1-5</v>
      </c>
      <c r="L931">
        <v>3</v>
      </c>
      <c r="M931" t="s">
        <v>85</v>
      </c>
      <c r="N931" t="s">
        <v>60</v>
      </c>
      <c r="O931">
        <v>1</v>
      </c>
      <c r="P931">
        <v>4</v>
      </c>
      <c r="Q931" t="s">
        <v>65</v>
      </c>
      <c r="R931" t="s">
        <v>75</v>
      </c>
      <c r="S931">
        <v>52</v>
      </c>
      <c r="T931" t="str">
        <f t="shared" si="215"/>
        <v>51-75</v>
      </c>
      <c r="U931">
        <v>2</v>
      </c>
      <c r="V931" t="s">
        <v>61</v>
      </c>
      <c r="W931">
        <v>1</v>
      </c>
      <c r="X931" t="s">
        <v>81</v>
      </c>
      <c r="Y931">
        <v>4</v>
      </c>
      <c r="Z931" t="s">
        <v>65</v>
      </c>
      <c r="AA931" t="s">
        <v>77</v>
      </c>
      <c r="AB931" s="4">
        <v>3867</v>
      </c>
      <c r="AC931" s="4" t="str">
        <f t="shared" si="216"/>
        <v>$2,500-$4,000</v>
      </c>
      <c r="AD931">
        <v>14222</v>
      </c>
      <c r="AE931" t="str">
        <f t="shared" si="217"/>
        <v>$8,001-$16,000</v>
      </c>
      <c r="AF931">
        <v>1</v>
      </c>
      <c r="AG931" t="str">
        <f t="shared" si="218"/>
        <v>0-1</v>
      </c>
      <c r="AH931" t="s">
        <v>67</v>
      </c>
      <c r="AI931" t="s">
        <v>56</v>
      </c>
      <c r="AJ931">
        <v>12</v>
      </c>
      <c r="AK931" t="str">
        <f t="shared" si="219"/>
        <v>11-12%</v>
      </c>
      <c r="AL931">
        <v>3</v>
      </c>
      <c r="AM931" t="s">
        <v>68</v>
      </c>
      <c r="AN931">
        <v>2</v>
      </c>
      <c r="AO931" t="s">
        <v>61</v>
      </c>
      <c r="AP931">
        <v>80</v>
      </c>
      <c r="AQ931">
        <v>1</v>
      </c>
      <c r="AR931">
        <v>2</v>
      </c>
      <c r="AS931" t="str">
        <f t="shared" si="220"/>
        <v>0-2</v>
      </c>
      <c r="AT931">
        <v>2</v>
      </c>
      <c r="AU931" t="str">
        <f t="shared" si="221"/>
        <v>0-2</v>
      </c>
      <c r="AV931">
        <v>3</v>
      </c>
      <c r="AW931" t="s">
        <v>79</v>
      </c>
      <c r="AX931">
        <v>2</v>
      </c>
      <c r="AY931" t="str">
        <f t="shared" si="210"/>
        <v>2-5</v>
      </c>
      <c r="AZ931">
        <v>2</v>
      </c>
      <c r="BA931" t="str">
        <f t="shared" si="222"/>
        <v>2-5</v>
      </c>
      <c r="BB931">
        <v>2</v>
      </c>
      <c r="BC931" t="str">
        <f t="shared" si="223"/>
        <v>2-5</v>
      </c>
      <c r="BD931">
        <v>2</v>
      </c>
      <c r="BE931" t="str">
        <f t="shared" si="224"/>
        <v>2-5</v>
      </c>
    </row>
    <row r="932" spans="1:57" x14ac:dyDescent="0.3">
      <c r="A932">
        <v>1297</v>
      </c>
      <c r="B932">
        <v>51</v>
      </c>
      <c r="C932" t="str">
        <f t="shared" si="211"/>
        <v>46-55</v>
      </c>
      <c r="D932" t="s">
        <v>71</v>
      </c>
      <c r="E932">
        <f t="shared" si="212"/>
        <v>0</v>
      </c>
      <c r="F932" t="s">
        <v>72</v>
      </c>
      <c r="G932">
        <v>968</v>
      </c>
      <c r="H932" t="str">
        <f t="shared" si="213"/>
        <v>501-1000</v>
      </c>
      <c r="I932" t="s">
        <v>73</v>
      </c>
      <c r="J932">
        <v>6</v>
      </c>
      <c r="K932" t="str">
        <f t="shared" si="214"/>
        <v>6-10</v>
      </c>
      <c r="L932">
        <v>2</v>
      </c>
      <c r="M932" t="s">
        <v>59</v>
      </c>
      <c r="N932" t="s">
        <v>83</v>
      </c>
      <c r="O932">
        <v>1</v>
      </c>
      <c r="P932">
        <v>2</v>
      </c>
      <c r="Q932" t="s">
        <v>61</v>
      </c>
      <c r="R932" t="s">
        <v>62</v>
      </c>
      <c r="S932">
        <v>40</v>
      </c>
      <c r="T932" t="str">
        <f t="shared" si="215"/>
        <v>30-50</v>
      </c>
      <c r="U932">
        <v>2</v>
      </c>
      <c r="V932" t="s">
        <v>61</v>
      </c>
      <c r="W932">
        <v>1</v>
      </c>
      <c r="X932" t="s">
        <v>81</v>
      </c>
      <c r="Y932">
        <v>3</v>
      </c>
      <c r="Z932" t="s">
        <v>63</v>
      </c>
      <c r="AA932" t="s">
        <v>66</v>
      </c>
      <c r="AB932" s="4">
        <v>2838</v>
      </c>
      <c r="AC932" s="4" t="str">
        <f t="shared" si="216"/>
        <v>$2,500-$4,000</v>
      </c>
      <c r="AD932">
        <v>4257</v>
      </c>
      <c r="AE932" t="str">
        <f t="shared" si="217"/>
        <v>$2,094-$8,000</v>
      </c>
      <c r="AF932">
        <v>0</v>
      </c>
      <c r="AG932" t="str">
        <f t="shared" si="218"/>
        <v>0-1</v>
      </c>
      <c r="AH932" t="s">
        <v>67</v>
      </c>
      <c r="AI932" t="s">
        <v>71</v>
      </c>
      <c r="AJ932">
        <v>14</v>
      </c>
      <c r="AK932" t="str">
        <f t="shared" si="219"/>
        <v>13-15%</v>
      </c>
      <c r="AL932">
        <v>3</v>
      </c>
      <c r="AM932" t="s">
        <v>68</v>
      </c>
      <c r="AN932">
        <v>2</v>
      </c>
      <c r="AO932" t="s">
        <v>61</v>
      </c>
      <c r="AP932">
        <v>80</v>
      </c>
      <c r="AQ932">
        <v>0</v>
      </c>
      <c r="AR932">
        <v>8</v>
      </c>
      <c r="AS932" t="str">
        <f t="shared" si="220"/>
        <v>6-10</v>
      </c>
      <c r="AT932">
        <v>6</v>
      </c>
      <c r="AU932" t="str">
        <f t="shared" si="221"/>
        <v>5-6</v>
      </c>
      <c r="AV932">
        <v>2</v>
      </c>
      <c r="AW932" t="s">
        <v>84</v>
      </c>
      <c r="AX932">
        <v>7</v>
      </c>
      <c r="AY932" t="str">
        <f t="shared" si="210"/>
        <v>6-10</v>
      </c>
      <c r="AZ932">
        <v>0</v>
      </c>
      <c r="BA932" t="str">
        <f t="shared" si="222"/>
        <v>0-1</v>
      </c>
      <c r="BB932">
        <v>7</v>
      </c>
      <c r="BC932" t="str">
        <f t="shared" si="223"/>
        <v>6-10</v>
      </c>
      <c r="BD932">
        <v>7</v>
      </c>
      <c r="BE932" t="str">
        <f t="shared" si="224"/>
        <v>6-10</v>
      </c>
    </row>
    <row r="933" spans="1:57" x14ac:dyDescent="0.3">
      <c r="A933">
        <v>1298</v>
      </c>
      <c r="B933">
        <v>30</v>
      </c>
      <c r="C933" t="str">
        <f t="shared" si="211"/>
        <v>26-35</v>
      </c>
      <c r="D933" t="s">
        <v>71</v>
      </c>
      <c r="E933">
        <f t="shared" si="212"/>
        <v>0</v>
      </c>
      <c r="F933" t="s">
        <v>89</v>
      </c>
      <c r="G933">
        <v>879</v>
      </c>
      <c r="H933" t="str">
        <f t="shared" si="213"/>
        <v>501-1000</v>
      </c>
      <c r="I933" t="s">
        <v>73</v>
      </c>
      <c r="J933">
        <v>9</v>
      </c>
      <c r="K933" t="str">
        <f t="shared" si="214"/>
        <v>6-10</v>
      </c>
      <c r="L933">
        <v>2</v>
      </c>
      <c r="M933" t="s">
        <v>59</v>
      </c>
      <c r="N933" t="s">
        <v>83</v>
      </c>
      <c r="O933">
        <v>1</v>
      </c>
      <c r="P933">
        <v>3</v>
      </c>
      <c r="Q933" t="s">
        <v>63</v>
      </c>
      <c r="R933" t="s">
        <v>62</v>
      </c>
      <c r="S933">
        <v>72</v>
      </c>
      <c r="T933" t="str">
        <f t="shared" si="215"/>
        <v>51-75</v>
      </c>
      <c r="U933">
        <v>3</v>
      </c>
      <c r="V933" t="s">
        <v>63</v>
      </c>
      <c r="W933">
        <v>2</v>
      </c>
      <c r="X933" t="s">
        <v>87</v>
      </c>
      <c r="Y933">
        <v>3</v>
      </c>
      <c r="Z933" t="s">
        <v>63</v>
      </c>
      <c r="AA933" t="s">
        <v>66</v>
      </c>
      <c r="AB933" s="4">
        <v>4695</v>
      </c>
      <c r="AC933" s="4" t="str">
        <f t="shared" si="216"/>
        <v>$4,000-$5,500</v>
      </c>
      <c r="AD933">
        <v>12858</v>
      </c>
      <c r="AE933" t="str">
        <f t="shared" si="217"/>
        <v>$8,001-$16,000</v>
      </c>
      <c r="AF933">
        <v>7</v>
      </c>
      <c r="AG933" t="str">
        <f t="shared" si="218"/>
        <v>7-9</v>
      </c>
      <c r="AH933" t="s">
        <v>67</v>
      </c>
      <c r="AI933" t="s">
        <v>56</v>
      </c>
      <c r="AJ933">
        <v>18</v>
      </c>
      <c r="AK933" t="str">
        <f t="shared" si="219"/>
        <v>18-19%</v>
      </c>
      <c r="AL933">
        <v>3</v>
      </c>
      <c r="AM933" t="s">
        <v>68</v>
      </c>
      <c r="AN933">
        <v>3</v>
      </c>
      <c r="AO933" t="s">
        <v>63</v>
      </c>
      <c r="AP933">
        <v>80</v>
      </c>
      <c r="AQ933">
        <v>0</v>
      </c>
      <c r="AR933">
        <v>10</v>
      </c>
      <c r="AS933" t="str">
        <f t="shared" si="220"/>
        <v>6-10</v>
      </c>
      <c r="AT933">
        <v>3</v>
      </c>
      <c r="AU933" t="str">
        <f t="shared" si="221"/>
        <v>3-4</v>
      </c>
      <c r="AV933">
        <v>3</v>
      </c>
      <c r="AW933" t="s">
        <v>79</v>
      </c>
      <c r="AX933">
        <v>8</v>
      </c>
      <c r="AY933" t="str">
        <f t="shared" si="210"/>
        <v>6-10</v>
      </c>
      <c r="AZ933">
        <v>4</v>
      </c>
      <c r="BA933" t="str">
        <f t="shared" si="222"/>
        <v>2-5</v>
      </c>
      <c r="BB933">
        <v>1</v>
      </c>
      <c r="BC933" t="str">
        <f t="shared" si="223"/>
        <v>0-1</v>
      </c>
      <c r="BD933">
        <v>7</v>
      </c>
      <c r="BE933" t="str">
        <f t="shared" si="224"/>
        <v>6-10</v>
      </c>
    </row>
    <row r="934" spans="1:57" x14ac:dyDescent="0.3">
      <c r="A934">
        <v>1299</v>
      </c>
      <c r="B934">
        <v>29</v>
      </c>
      <c r="C934" t="str">
        <f t="shared" si="211"/>
        <v>26-35</v>
      </c>
      <c r="D934" t="s">
        <v>56</v>
      </c>
      <c r="E934">
        <f t="shared" si="212"/>
        <v>1</v>
      </c>
      <c r="F934" t="s">
        <v>57</v>
      </c>
      <c r="G934">
        <v>806</v>
      </c>
      <c r="H934" t="str">
        <f t="shared" si="213"/>
        <v>501-1000</v>
      </c>
      <c r="I934" t="s">
        <v>73</v>
      </c>
      <c r="J934">
        <v>7</v>
      </c>
      <c r="K934" t="str">
        <f t="shared" si="214"/>
        <v>6-10</v>
      </c>
      <c r="L934">
        <v>3</v>
      </c>
      <c r="M934" t="s">
        <v>85</v>
      </c>
      <c r="N934" t="s">
        <v>95</v>
      </c>
      <c r="O934">
        <v>1</v>
      </c>
      <c r="P934">
        <v>2</v>
      </c>
      <c r="Q934" t="s">
        <v>61</v>
      </c>
      <c r="R934" t="s">
        <v>62</v>
      </c>
      <c r="S934">
        <v>39</v>
      </c>
      <c r="T934" t="str">
        <f t="shared" si="215"/>
        <v>30-50</v>
      </c>
      <c r="U934">
        <v>3</v>
      </c>
      <c r="V934" t="s">
        <v>63</v>
      </c>
      <c r="W934">
        <v>1</v>
      </c>
      <c r="X934" t="s">
        <v>81</v>
      </c>
      <c r="Y934">
        <v>3</v>
      </c>
      <c r="Z934" t="s">
        <v>63</v>
      </c>
      <c r="AA934" t="s">
        <v>86</v>
      </c>
      <c r="AB934" s="4">
        <v>3339</v>
      </c>
      <c r="AC934" s="4" t="str">
        <f t="shared" si="216"/>
        <v>$2,500-$4,000</v>
      </c>
      <c r="AD934">
        <v>17285</v>
      </c>
      <c r="AE934" t="str">
        <f t="shared" si="217"/>
        <v>$16,001-$22,000</v>
      </c>
      <c r="AF934">
        <v>3</v>
      </c>
      <c r="AG934" t="str">
        <f t="shared" si="218"/>
        <v>2-3</v>
      </c>
      <c r="AH934" t="s">
        <v>67</v>
      </c>
      <c r="AI934" t="s">
        <v>56</v>
      </c>
      <c r="AJ934">
        <v>13</v>
      </c>
      <c r="AK934" t="str">
        <f t="shared" si="219"/>
        <v>13-15%</v>
      </c>
      <c r="AL934">
        <v>3</v>
      </c>
      <c r="AM934" t="s">
        <v>68</v>
      </c>
      <c r="AN934">
        <v>1</v>
      </c>
      <c r="AO934" t="s">
        <v>69</v>
      </c>
      <c r="AP934">
        <v>80</v>
      </c>
      <c r="AQ934">
        <v>2</v>
      </c>
      <c r="AR934">
        <v>10</v>
      </c>
      <c r="AS934" t="str">
        <f t="shared" si="220"/>
        <v>6-10</v>
      </c>
      <c r="AT934">
        <v>2</v>
      </c>
      <c r="AU934" t="str">
        <f t="shared" si="221"/>
        <v>0-2</v>
      </c>
      <c r="AV934">
        <v>3</v>
      </c>
      <c r="AW934" t="s">
        <v>79</v>
      </c>
      <c r="AX934">
        <v>7</v>
      </c>
      <c r="AY934" t="str">
        <f t="shared" si="210"/>
        <v>6-10</v>
      </c>
      <c r="AZ934">
        <v>7</v>
      </c>
      <c r="BA934" t="str">
        <f t="shared" si="222"/>
        <v>6-10</v>
      </c>
      <c r="BB934">
        <v>7</v>
      </c>
      <c r="BC934" t="str">
        <f t="shared" si="223"/>
        <v>6-10</v>
      </c>
      <c r="BD934">
        <v>7</v>
      </c>
      <c r="BE934" t="str">
        <f t="shared" si="224"/>
        <v>6-10</v>
      </c>
    </row>
    <row r="935" spans="1:57" x14ac:dyDescent="0.3">
      <c r="A935">
        <v>1301</v>
      </c>
      <c r="B935">
        <v>28</v>
      </c>
      <c r="C935" t="str">
        <f t="shared" si="211"/>
        <v>26-35</v>
      </c>
      <c r="D935" t="s">
        <v>71</v>
      </c>
      <c r="E935">
        <f t="shared" si="212"/>
        <v>0</v>
      </c>
      <c r="F935" t="s">
        <v>57</v>
      </c>
      <c r="G935">
        <v>640</v>
      </c>
      <c r="H935" t="str">
        <f t="shared" si="213"/>
        <v>501-1000</v>
      </c>
      <c r="I935" t="s">
        <v>73</v>
      </c>
      <c r="J935">
        <v>1</v>
      </c>
      <c r="K935" t="str">
        <f t="shared" si="214"/>
        <v>1-5</v>
      </c>
      <c r="L935">
        <v>3</v>
      </c>
      <c r="M935" t="s">
        <v>85</v>
      </c>
      <c r="N935" t="s">
        <v>95</v>
      </c>
      <c r="O935">
        <v>1</v>
      </c>
      <c r="P935">
        <v>4</v>
      </c>
      <c r="Q935" t="s">
        <v>65</v>
      </c>
      <c r="R935" t="s">
        <v>75</v>
      </c>
      <c r="S935">
        <v>84</v>
      </c>
      <c r="T935" t="str">
        <f t="shared" si="215"/>
        <v>76-100</v>
      </c>
      <c r="U935">
        <v>3</v>
      </c>
      <c r="V935" t="s">
        <v>63</v>
      </c>
      <c r="W935">
        <v>1</v>
      </c>
      <c r="X935" t="s">
        <v>76</v>
      </c>
      <c r="Y935">
        <v>1</v>
      </c>
      <c r="Z935" t="s">
        <v>69</v>
      </c>
      <c r="AA935" t="s">
        <v>66</v>
      </c>
      <c r="AB935" s="4">
        <v>2080</v>
      </c>
      <c r="AC935" s="4" t="str">
        <f t="shared" si="216"/>
        <v>$1,000-$2,500</v>
      </c>
      <c r="AD935">
        <v>4732</v>
      </c>
      <c r="AE935" t="str">
        <f t="shared" si="217"/>
        <v>$2,094-$8,000</v>
      </c>
      <c r="AF935">
        <v>2</v>
      </c>
      <c r="AG935" t="str">
        <f t="shared" si="218"/>
        <v>2-3</v>
      </c>
      <c r="AH935" t="s">
        <v>67</v>
      </c>
      <c r="AI935" t="s">
        <v>71</v>
      </c>
      <c r="AJ935">
        <v>11</v>
      </c>
      <c r="AK935" t="str">
        <f t="shared" si="219"/>
        <v>11-12%</v>
      </c>
      <c r="AL935">
        <v>3</v>
      </c>
      <c r="AM935" t="s">
        <v>68</v>
      </c>
      <c r="AN935">
        <v>2</v>
      </c>
      <c r="AO935" t="s">
        <v>61</v>
      </c>
      <c r="AP935">
        <v>80</v>
      </c>
      <c r="AQ935">
        <v>0</v>
      </c>
      <c r="AR935">
        <v>5</v>
      </c>
      <c r="AS935" t="str">
        <f t="shared" si="220"/>
        <v>3-5</v>
      </c>
      <c r="AT935">
        <v>2</v>
      </c>
      <c r="AU935" t="str">
        <f t="shared" si="221"/>
        <v>0-2</v>
      </c>
      <c r="AV935">
        <v>2</v>
      </c>
      <c r="AW935" t="s">
        <v>84</v>
      </c>
      <c r="AX935">
        <v>3</v>
      </c>
      <c r="AY935" t="str">
        <f t="shared" si="210"/>
        <v>2-5</v>
      </c>
      <c r="AZ935">
        <v>2</v>
      </c>
      <c r="BA935" t="str">
        <f t="shared" si="222"/>
        <v>2-5</v>
      </c>
      <c r="BB935">
        <v>1</v>
      </c>
      <c r="BC935" t="str">
        <f t="shared" si="223"/>
        <v>0-1</v>
      </c>
      <c r="BD935">
        <v>2</v>
      </c>
      <c r="BE935" t="str">
        <f t="shared" si="224"/>
        <v>2-5</v>
      </c>
    </row>
    <row r="936" spans="1:57" x14ac:dyDescent="0.3">
      <c r="A936">
        <v>1303</v>
      </c>
      <c r="B936">
        <v>25</v>
      </c>
      <c r="C936" t="str">
        <f t="shared" si="211"/>
        <v>18-25</v>
      </c>
      <c r="D936" t="s">
        <v>71</v>
      </c>
      <c r="E936">
        <f t="shared" si="212"/>
        <v>0</v>
      </c>
      <c r="F936" t="s">
        <v>57</v>
      </c>
      <c r="G936">
        <v>266</v>
      </c>
      <c r="H936" t="str">
        <f t="shared" si="213"/>
        <v>102-500</v>
      </c>
      <c r="I936" t="s">
        <v>73</v>
      </c>
      <c r="J936">
        <v>1</v>
      </c>
      <c r="K936" t="str">
        <f t="shared" si="214"/>
        <v>1-5</v>
      </c>
      <c r="L936">
        <v>3</v>
      </c>
      <c r="M936" t="s">
        <v>85</v>
      </c>
      <c r="N936" t="s">
        <v>83</v>
      </c>
      <c r="O936">
        <v>1</v>
      </c>
      <c r="P936">
        <v>4</v>
      </c>
      <c r="Q936" t="s">
        <v>65</v>
      </c>
      <c r="R936" t="s">
        <v>62</v>
      </c>
      <c r="S936">
        <v>40</v>
      </c>
      <c r="T936" t="str">
        <f t="shared" si="215"/>
        <v>30-50</v>
      </c>
      <c r="U936">
        <v>3</v>
      </c>
      <c r="V936" t="s">
        <v>63</v>
      </c>
      <c r="W936">
        <v>1</v>
      </c>
      <c r="X936" t="s">
        <v>76</v>
      </c>
      <c r="Y936">
        <v>2</v>
      </c>
      <c r="Z936" t="s">
        <v>61</v>
      </c>
      <c r="AA936" t="s">
        <v>66</v>
      </c>
      <c r="AB936" s="4">
        <v>2096</v>
      </c>
      <c r="AC936" s="4" t="str">
        <f t="shared" si="216"/>
        <v>$1,000-$2,500</v>
      </c>
      <c r="AD936">
        <v>18830</v>
      </c>
      <c r="AE936" t="str">
        <f t="shared" si="217"/>
        <v>$16,001-$22,000</v>
      </c>
      <c r="AF936">
        <v>1</v>
      </c>
      <c r="AG936" t="str">
        <f t="shared" si="218"/>
        <v>0-1</v>
      </c>
      <c r="AH936" t="s">
        <v>67</v>
      </c>
      <c r="AI936" t="s">
        <v>71</v>
      </c>
      <c r="AJ936">
        <v>18</v>
      </c>
      <c r="AK936" t="str">
        <f t="shared" si="219"/>
        <v>18-19%</v>
      </c>
      <c r="AL936">
        <v>3</v>
      </c>
      <c r="AM936" t="s">
        <v>68</v>
      </c>
      <c r="AN936">
        <v>4</v>
      </c>
      <c r="AO936" t="s">
        <v>65</v>
      </c>
      <c r="AP936">
        <v>80</v>
      </c>
      <c r="AQ936">
        <v>0</v>
      </c>
      <c r="AR936">
        <v>2</v>
      </c>
      <c r="AS936" t="str">
        <f t="shared" si="220"/>
        <v>0-2</v>
      </c>
      <c r="AT936">
        <v>3</v>
      </c>
      <c r="AU936" t="str">
        <f t="shared" si="221"/>
        <v>3-4</v>
      </c>
      <c r="AV936">
        <v>2</v>
      </c>
      <c r="AW936" t="s">
        <v>84</v>
      </c>
      <c r="AX936">
        <v>2</v>
      </c>
      <c r="AY936" t="str">
        <f t="shared" si="210"/>
        <v>2-5</v>
      </c>
      <c r="AZ936">
        <v>2</v>
      </c>
      <c r="BA936" t="str">
        <f t="shared" si="222"/>
        <v>2-5</v>
      </c>
      <c r="BB936">
        <v>2</v>
      </c>
      <c r="BC936" t="str">
        <f t="shared" si="223"/>
        <v>2-5</v>
      </c>
      <c r="BD936">
        <v>1</v>
      </c>
      <c r="BE936" t="str">
        <f t="shared" si="224"/>
        <v>0-1</v>
      </c>
    </row>
    <row r="937" spans="1:57" x14ac:dyDescent="0.3">
      <c r="A937">
        <v>1304</v>
      </c>
      <c r="B937">
        <v>32</v>
      </c>
      <c r="C937" t="str">
        <f t="shared" si="211"/>
        <v>26-35</v>
      </c>
      <c r="D937" t="s">
        <v>71</v>
      </c>
      <c r="E937">
        <f t="shared" si="212"/>
        <v>0</v>
      </c>
      <c r="F937" t="s">
        <v>57</v>
      </c>
      <c r="G937">
        <v>604</v>
      </c>
      <c r="H937" t="str">
        <f t="shared" si="213"/>
        <v>501-1000</v>
      </c>
      <c r="I937" t="s">
        <v>58</v>
      </c>
      <c r="J937">
        <v>8</v>
      </c>
      <c r="K937" t="str">
        <f t="shared" si="214"/>
        <v>6-10</v>
      </c>
      <c r="L937">
        <v>3</v>
      </c>
      <c r="M937" t="s">
        <v>85</v>
      </c>
      <c r="N937" t="s">
        <v>83</v>
      </c>
      <c r="O937">
        <v>1</v>
      </c>
      <c r="P937">
        <v>3</v>
      </c>
      <c r="Q937" t="s">
        <v>63</v>
      </c>
      <c r="R937" t="s">
        <v>75</v>
      </c>
      <c r="S937">
        <v>56</v>
      </c>
      <c r="T937" t="str">
        <f t="shared" si="215"/>
        <v>51-75</v>
      </c>
      <c r="U937">
        <v>4</v>
      </c>
      <c r="V937" t="s">
        <v>65</v>
      </c>
      <c r="W937">
        <v>2</v>
      </c>
      <c r="X937" t="s">
        <v>64</v>
      </c>
      <c r="Y937">
        <v>4</v>
      </c>
      <c r="Z937" t="s">
        <v>65</v>
      </c>
      <c r="AA937" t="s">
        <v>77</v>
      </c>
      <c r="AB937" s="4">
        <v>6209</v>
      </c>
      <c r="AC937" s="4" t="str">
        <f t="shared" si="216"/>
        <v>$5,500-$7,000</v>
      </c>
      <c r="AD937">
        <v>11693</v>
      </c>
      <c r="AE937" t="str">
        <f t="shared" si="217"/>
        <v>$8,001-$16,000</v>
      </c>
      <c r="AF937">
        <v>1</v>
      </c>
      <c r="AG937" t="str">
        <f t="shared" si="218"/>
        <v>0-1</v>
      </c>
      <c r="AH937" t="s">
        <v>67</v>
      </c>
      <c r="AI937" t="s">
        <v>71</v>
      </c>
      <c r="AJ937">
        <v>15</v>
      </c>
      <c r="AK937" t="str">
        <f t="shared" si="219"/>
        <v>13-15%</v>
      </c>
      <c r="AL937">
        <v>3</v>
      </c>
      <c r="AM937" t="s">
        <v>68</v>
      </c>
      <c r="AN937">
        <v>3</v>
      </c>
      <c r="AO937" t="s">
        <v>63</v>
      </c>
      <c r="AP937">
        <v>80</v>
      </c>
      <c r="AQ937">
        <v>2</v>
      </c>
      <c r="AR937">
        <v>10</v>
      </c>
      <c r="AS937" t="str">
        <f t="shared" si="220"/>
        <v>6-10</v>
      </c>
      <c r="AT937">
        <v>4</v>
      </c>
      <c r="AU937" t="str">
        <f t="shared" si="221"/>
        <v>3-4</v>
      </c>
      <c r="AV937">
        <v>4</v>
      </c>
      <c r="AW937" t="s">
        <v>94</v>
      </c>
      <c r="AX937">
        <v>10</v>
      </c>
      <c r="AY937" t="str">
        <f t="shared" si="210"/>
        <v>6-10</v>
      </c>
      <c r="AZ937">
        <v>7</v>
      </c>
      <c r="BA937" t="str">
        <f t="shared" si="222"/>
        <v>6-10</v>
      </c>
      <c r="BB937">
        <v>0</v>
      </c>
      <c r="BC937" t="str">
        <f t="shared" si="223"/>
        <v>0-1</v>
      </c>
      <c r="BD937">
        <v>8</v>
      </c>
      <c r="BE937" t="str">
        <f t="shared" si="224"/>
        <v>6-10</v>
      </c>
    </row>
    <row r="938" spans="1:57" x14ac:dyDescent="0.3">
      <c r="A938">
        <v>1306</v>
      </c>
      <c r="B938">
        <v>45</v>
      </c>
      <c r="C938" t="str">
        <f t="shared" si="211"/>
        <v>36-45</v>
      </c>
      <c r="D938" t="s">
        <v>71</v>
      </c>
      <c r="E938">
        <f t="shared" si="212"/>
        <v>0</v>
      </c>
      <c r="F938" t="s">
        <v>72</v>
      </c>
      <c r="G938">
        <v>364</v>
      </c>
      <c r="H938" t="str">
        <f t="shared" si="213"/>
        <v>102-500</v>
      </c>
      <c r="I938" t="s">
        <v>73</v>
      </c>
      <c r="J938">
        <v>25</v>
      </c>
      <c r="K938" t="str">
        <f t="shared" si="214"/>
        <v>21-29</v>
      </c>
      <c r="L938">
        <v>3</v>
      </c>
      <c r="M938" t="s">
        <v>85</v>
      </c>
      <c r="N938" t="s">
        <v>83</v>
      </c>
      <c r="O938">
        <v>1</v>
      </c>
      <c r="P938">
        <v>2</v>
      </c>
      <c r="Q938" t="s">
        <v>61</v>
      </c>
      <c r="R938" t="s">
        <v>62</v>
      </c>
      <c r="S938">
        <v>83</v>
      </c>
      <c r="T938" t="str">
        <f t="shared" si="215"/>
        <v>76-100</v>
      </c>
      <c r="U938">
        <v>3</v>
      </c>
      <c r="V938" t="s">
        <v>63</v>
      </c>
      <c r="W938">
        <v>5</v>
      </c>
      <c r="X938" t="s">
        <v>90</v>
      </c>
      <c r="Y938">
        <v>2</v>
      </c>
      <c r="Z938" t="s">
        <v>61</v>
      </c>
      <c r="AA938" t="s">
        <v>66</v>
      </c>
      <c r="AB938" s="4">
        <v>18061</v>
      </c>
      <c r="AC938" s="4" t="str">
        <f t="shared" si="216"/>
        <v>$17,500-$19,000</v>
      </c>
      <c r="AD938">
        <v>13035</v>
      </c>
      <c r="AE938" t="str">
        <f t="shared" si="217"/>
        <v>$8,001-$16,000</v>
      </c>
      <c r="AF938">
        <v>3</v>
      </c>
      <c r="AG938" t="str">
        <f t="shared" si="218"/>
        <v>2-3</v>
      </c>
      <c r="AH938" t="s">
        <v>67</v>
      </c>
      <c r="AI938" t="s">
        <v>71</v>
      </c>
      <c r="AJ938">
        <v>22</v>
      </c>
      <c r="AK938" t="str">
        <f t="shared" si="219"/>
        <v>18-19%</v>
      </c>
      <c r="AL938">
        <v>4</v>
      </c>
      <c r="AM938" t="s">
        <v>78</v>
      </c>
      <c r="AN938">
        <v>3</v>
      </c>
      <c r="AO938" t="s">
        <v>63</v>
      </c>
      <c r="AP938">
        <v>80</v>
      </c>
      <c r="AQ938">
        <v>0</v>
      </c>
      <c r="AR938">
        <v>22</v>
      </c>
      <c r="AS938" t="str">
        <f t="shared" si="220"/>
        <v>21-40</v>
      </c>
      <c r="AT938">
        <v>4</v>
      </c>
      <c r="AU938" t="str">
        <f t="shared" si="221"/>
        <v>3-4</v>
      </c>
      <c r="AV938">
        <v>3</v>
      </c>
      <c r="AW938" t="s">
        <v>79</v>
      </c>
      <c r="AX938">
        <v>0</v>
      </c>
      <c r="AY938" t="str">
        <f t="shared" si="210"/>
        <v>0-1</v>
      </c>
      <c r="AZ938">
        <v>0</v>
      </c>
      <c r="BA938" t="str">
        <f t="shared" si="222"/>
        <v>0-1</v>
      </c>
      <c r="BB938">
        <v>0</v>
      </c>
      <c r="BC938" t="str">
        <f t="shared" si="223"/>
        <v>0-1</v>
      </c>
      <c r="BD938">
        <v>0</v>
      </c>
      <c r="BE938" t="str">
        <f t="shared" si="224"/>
        <v>0-1</v>
      </c>
    </row>
    <row r="939" spans="1:57" x14ac:dyDescent="0.3">
      <c r="A939">
        <v>1307</v>
      </c>
      <c r="B939">
        <v>39</v>
      </c>
      <c r="C939" t="str">
        <f t="shared" si="211"/>
        <v>36-45</v>
      </c>
      <c r="D939" t="s">
        <v>71</v>
      </c>
      <c r="E939">
        <f t="shared" si="212"/>
        <v>0</v>
      </c>
      <c r="F939" t="s">
        <v>57</v>
      </c>
      <c r="G939">
        <v>412</v>
      </c>
      <c r="H939" t="str">
        <f t="shared" si="213"/>
        <v>102-500</v>
      </c>
      <c r="I939" t="s">
        <v>73</v>
      </c>
      <c r="J939">
        <v>13</v>
      </c>
      <c r="K939" t="str">
        <f t="shared" si="214"/>
        <v>11-20</v>
      </c>
      <c r="L939">
        <v>4</v>
      </c>
      <c r="M939" t="s">
        <v>82</v>
      </c>
      <c r="N939" t="s">
        <v>83</v>
      </c>
      <c r="O939">
        <v>1</v>
      </c>
      <c r="P939">
        <v>3</v>
      </c>
      <c r="Q939" t="s">
        <v>63</v>
      </c>
      <c r="R939" t="s">
        <v>62</v>
      </c>
      <c r="S939">
        <v>94</v>
      </c>
      <c r="T939" t="str">
        <f t="shared" si="215"/>
        <v>76-100</v>
      </c>
      <c r="U939">
        <v>2</v>
      </c>
      <c r="V939" t="s">
        <v>61</v>
      </c>
      <c r="W939">
        <v>4</v>
      </c>
      <c r="X939" t="s">
        <v>90</v>
      </c>
      <c r="Y939">
        <v>2</v>
      </c>
      <c r="Z939" t="s">
        <v>61</v>
      </c>
      <c r="AA939" t="s">
        <v>86</v>
      </c>
      <c r="AB939" s="4">
        <v>17123</v>
      </c>
      <c r="AC939" s="4" t="str">
        <f t="shared" si="216"/>
        <v>$16,000-$17,500</v>
      </c>
      <c r="AD939">
        <v>17334</v>
      </c>
      <c r="AE939" t="str">
        <f t="shared" si="217"/>
        <v>$16,001-$22,000</v>
      </c>
      <c r="AF939">
        <v>6</v>
      </c>
      <c r="AG939" t="str">
        <f t="shared" si="218"/>
        <v>4-6</v>
      </c>
      <c r="AH939" t="s">
        <v>67</v>
      </c>
      <c r="AI939" t="s">
        <v>56</v>
      </c>
      <c r="AJ939">
        <v>13</v>
      </c>
      <c r="AK939" t="str">
        <f t="shared" si="219"/>
        <v>13-15%</v>
      </c>
      <c r="AL939">
        <v>3</v>
      </c>
      <c r="AM939" t="s">
        <v>68</v>
      </c>
      <c r="AN939">
        <v>4</v>
      </c>
      <c r="AO939" t="s">
        <v>65</v>
      </c>
      <c r="AP939">
        <v>80</v>
      </c>
      <c r="AQ939">
        <v>2</v>
      </c>
      <c r="AR939">
        <v>21</v>
      </c>
      <c r="AS939" t="str">
        <f t="shared" si="220"/>
        <v>21-40</v>
      </c>
      <c r="AT939">
        <v>4</v>
      </c>
      <c r="AU939" t="str">
        <f t="shared" si="221"/>
        <v>3-4</v>
      </c>
      <c r="AV939">
        <v>3</v>
      </c>
      <c r="AW939" t="s">
        <v>79</v>
      </c>
      <c r="AX939">
        <v>19</v>
      </c>
      <c r="AY939" t="str">
        <f t="shared" si="210"/>
        <v>11-20</v>
      </c>
      <c r="AZ939">
        <v>9</v>
      </c>
      <c r="BA939" t="str">
        <f t="shared" si="222"/>
        <v>6-10</v>
      </c>
      <c r="BB939">
        <v>15</v>
      </c>
      <c r="BC939" t="str">
        <f t="shared" si="223"/>
        <v>11-15</v>
      </c>
      <c r="BD939">
        <v>2</v>
      </c>
      <c r="BE939" t="str">
        <f t="shared" si="224"/>
        <v>2-5</v>
      </c>
    </row>
    <row r="940" spans="1:57" x14ac:dyDescent="0.3">
      <c r="A940">
        <v>1308</v>
      </c>
      <c r="B940">
        <v>58</v>
      </c>
      <c r="C940" t="str">
        <f t="shared" si="211"/>
        <v>56+</v>
      </c>
      <c r="D940" t="s">
        <v>71</v>
      </c>
      <c r="E940">
        <f t="shared" si="212"/>
        <v>0</v>
      </c>
      <c r="F940" t="s">
        <v>57</v>
      </c>
      <c r="G940">
        <v>848</v>
      </c>
      <c r="H940" t="str">
        <f t="shared" si="213"/>
        <v>501-1000</v>
      </c>
      <c r="I940" t="s">
        <v>73</v>
      </c>
      <c r="J940">
        <v>23</v>
      </c>
      <c r="K940" t="str">
        <f t="shared" si="214"/>
        <v>21-29</v>
      </c>
      <c r="L940">
        <v>4</v>
      </c>
      <c r="M940" t="s">
        <v>82</v>
      </c>
      <c r="N940" t="s">
        <v>60</v>
      </c>
      <c r="O940">
        <v>1</v>
      </c>
      <c r="P940">
        <v>1</v>
      </c>
      <c r="Q940" t="s">
        <v>69</v>
      </c>
      <c r="R940" t="s">
        <v>75</v>
      </c>
      <c r="S940">
        <v>88</v>
      </c>
      <c r="T940" t="str">
        <f t="shared" si="215"/>
        <v>76-100</v>
      </c>
      <c r="U940">
        <v>3</v>
      </c>
      <c r="V940" t="s">
        <v>63</v>
      </c>
      <c r="W940">
        <v>1</v>
      </c>
      <c r="X940" t="s">
        <v>76</v>
      </c>
      <c r="Y940">
        <v>3</v>
      </c>
      <c r="Z940" t="s">
        <v>63</v>
      </c>
      <c r="AA940" t="s">
        <v>86</v>
      </c>
      <c r="AB940" s="4">
        <v>2372</v>
      </c>
      <c r="AC940" s="4" t="str">
        <f t="shared" si="216"/>
        <v>$1,000-$2,500</v>
      </c>
      <c r="AD940">
        <v>26076</v>
      </c>
      <c r="AE940" t="str">
        <f t="shared" si="217"/>
        <v>$22,001-$26,999</v>
      </c>
      <c r="AF940">
        <v>1</v>
      </c>
      <c r="AG940" t="str">
        <f t="shared" si="218"/>
        <v>0-1</v>
      </c>
      <c r="AH940" t="s">
        <v>67</v>
      </c>
      <c r="AI940" t="s">
        <v>71</v>
      </c>
      <c r="AJ940">
        <v>12</v>
      </c>
      <c r="AK940" t="str">
        <f t="shared" si="219"/>
        <v>11-12%</v>
      </c>
      <c r="AL940">
        <v>3</v>
      </c>
      <c r="AM940" t="s">
        <v>68</v>
      </c>
      <c r="AN940">
        <v>4</v>
      </c>
      <c r="AO940" t="s">
        <v>65</v>
      </c>
      <c r="AP940">
        <v>80</v>
      </c>
      <c r="AQ940">
        <v>2</v>
      </c>
      <c r="AR940">
        <v>2</v>
      </c>
      <c r="AS940" t="str">
        <f t="shared" si="220"/>
        <v>0-2</v>
      </c>
      <c r="AT940">
        <v>3</v>
      </c>
      <c r="AU940" t="str">
        <f t="shared" si="221"/>
        <v>3-4</v>
      </c>
      <c r="AV940">
        <v>3</v>
      </c>
      <c r="AW940" t="s">
        <v>79</v>
      </c>
      <c r="AX940">
        <v>2</v>
      </c>
      <c r="AY940" t="str">
        <f t="shared" si="210"/>
        <v>2-5</v>
      </c>
      <c r="AZ940">
        <v>2</v>
      </c>
      <c r="BA940" t="str">
        <f t="shared" si="222"/>
        <v>2-5</v>
      </c>
      <c r="BB940">
        <v>2</v>
      </c>
      <c r="BC940" t="str">
        <f t="shared" si="223"/>
        <v>2-5</v>
      </c>
      <c r="BD940">
        <v>2</v>
      </c>
      <c r="BE940" t="str">
        <f t="shared" si="224"/>
        <v>2-5</v>
      </c>
    </row>
    <row r="941" spans="1:57" x14ac:dyDescent="0.3">
      <c r="A941">
        <v>1309</v>
      </c>
      <c r="B941">
        <v>32</v>
      </c>
      <c r="C941" t="str">
        <f t="shared" si="211"/>
        <v>26-35</v>
      </c>
      <c r="D941" t="s">
        <v>56</v>
      </c>
      <c r="E941">
        <f t="shared" si="212"/>
        <v>1</v>
      </c>
      <c r="F941" t="s">
        <v>57</v>
      </c>
      <c r="G941">
        <v>1089</v>
      </c>
      <c r="H941" t="str">
        <f t="shared" si="213"/>
        <v>1001-1499</v>
      </c>
      <c r="I941" t="s">
        <v>73</v>
      </c>
      <c r="J941">
        <v>7</v>
      </c>
      <c r="K941" t="str">
        <f t="shared" si="214"/>
        <v>6-10</v>
      </c>
      <c r="L941">
        <v>2</v>
      </c>
      <c r="M941" t="s">
        <v>59</v>
      </c>
      <c r="N941" t="s">
        <v>60</v>
      </c>
      <c r="O941">
        <v>1</v>
      </c>
      <c r="P941">
        <v>4</v>
      </c>
      <c r="Q941" t="s">
        <v>65</v>
      </c>
      <c r="R941" t="s">
        <v>75</v>
      </c>
      <c r="S941">
        <v>79</v>
      </c>
      <c r="T941" t="str">
        <f t="shared" si="215"/>
        <v>76-100</v>
      </c>
      <c r="U941">
        <v>3</v>
      </c>
      <c r="V941" t="s">
        <v>63</v>
      </c>
      <c r="W941">
        <v>2</v>
      </c>
      <c r="X941" t="s">
        <v>81</v>
      </c>
      <c r="Y941">
        <v>3</v>
      </c>
      <c r="Z941" t="s">
        <v>63</v>
      </c>
      <c r="AA941" t="s">
        <v>77</v>
      </c>
      <c r="AB941" s="4">
        <v>4883</v>
      </c>
      <c r="AC941" s="4" t="str">
        <f t="shared" si="216"/>
        <v>$4,000-$5,500</v>
      </c>
      <c r="AD941">
        <v>22845</v>
      </c>
      <c r="AE941" t="str">
        <f t="shared" si="217"/>
        <v>$22,001-$26,999</v>
      </c>
      <c r="AF941">
        <v>1</v>
      </c>
      <c r="AG941" t="str">
        <f t="shared" si="218"/>
        <v>0-1</v>
      </c>
      <c r="AH941" t="s">
        <v>67</v>
      </c>
      <c r="AI941" t="s">
        <v>71</v>
      </c>
      <c r="AJ941">
        <v>18</v>
      </c>
      <c r="AK941" t="str">
        <f t="shared" si="219"/>
        <v>18-19%</v>
      </c>
      <c r="AL941">
        <v>3</v>
      </c>
      <c r="AM941" t="s">
        <v>68</v>
      </c>
      <c r="AN941">
        <v>1</v>
      </c>
      <c r="AO941" t="s">
        <v>69</v>
      </c>
      <c r="AP941">
        <v>80</v>
      </c>
      <c r="AQ941">
        <v>1</v>
      </c>
      <c r="AR941">
        <v>10</v>
      </c>
      <c r="AS941" t="str">
        <f t="shared" si="220"/>
        <v>6-10</v>
      </c>
      <c r="AT941">
        <v>3</v>
      </c>
      <c r="AU941" t="str">
        <f t="shared" si="221"/>
        <v>3-4</v>
      </c>
      <c r="AV941">
        <v>3</v>
      </c>
      <c r="AW941" t="s">
        <v>79</v>
      </c>
      <c r="AX941">
        <v>10</v>
      </c>
      <c r="AY941" t="str">
        <f t="shared" si="210"/>
        <v>6-10</v>
      </c>
      <c r="AZ941">
        <v>4</v>
      </c>
      <c r="BA941" t="str">
        <f t="shared" si="222"/>
        <v>2-5</v>
      </c>
      <c r="BB941">
        <v>1</v>
      </c>
      <c r="BC941" t="str">
        <f t="shared" si="223"/>
        <v>0-1</v>
      </c>
      <c r="BD941">
        <v>1</v>
      </c>
      <c r="BE941" t="str">
        <f t="shared" si="224"/>
        <v>0-1</v>
      </c>
    </row>
    <row r="942" spans="1:57" x14ac:dyDescent="0.3">
      <c r="A942">
        <v>1310</v>
      </c>
      <c r="B942">
        <v>39</v>
      </c>
      <c r="C942" t="str">
        <f t="shared" si="211"/>
        <v>36-45</v>
      </c>
      <c r="D942" t="s">
        <v>56</v>
      </c>
      <c r="E942">
        <f t="shared" si="212"/>
        <v>1</v>
      </c>
      <c r="F942" t="s">
        <v>57</v>
      </c>
      <c r="G942">
        <v>360</v>
      </c>
      <c r="H942" t="str">
        <f t="shared" si="213"/>
        <v>102-500</v>
      </c>
      <c r="I942" t="s">
        <v>73</v>
      </c>
      <c r="J942">
        <v>23</v>
      </c>
      <c r="K942" t="str">
        <f t="shared" si="214"/>
        <v>21-29</v>
      </c>
      <c r="L942">
        <v>3</v>
      </c>
      <c r="M942" t="s">
        <v>85</v>
      </c>
      <c r="N942" t="s">
        <v>83</v>
      </c>
      <c r="O942">
        <v>1</v>
      </c>
      <c r="P942">
        <v>3</v>
      </c>
      <c r="Q942" t="s">
        <v>63</v>
      </c>
      <c r="R942" t="s">
        <v>75</v>
      </c>
      <c r="S942">
        <v>93</v>
      </c>
      <c r="T942" t="str">
        <f t="shared" si="215"/>
        <v>76-100</v>
      </c>
      <c r="U942">
        <v>3</v>
      </c>
      <c r="V942" t="s">
        <v>63</v>
      </c>
      <c r="W942">
        <v>1</v>
      </c>
      <c r="X942" t="s">
        <v>76</v>
      </c>
      <c r="Y942">
        <v>1</v>
      </c>
      <c r="Z942" t="s">
        <v>69</v>
      </c>
      <c r="AA942" t="s">
        <v>66</v>
      </c>
      <c r="AB942" s="4">
        <v>3904</v>
      </c>
      <c r="AC942" s="4" t="str">
        <f t="shared" si="216"/>
        <v>$2,500-$4,000</v>
      </c>
      <c r="AD942">
        <v>22154</v>
      </c>
      <c r="AE942" t="str">
        <f t="shared" si="217"/>
        <v>$22,001-$26,999</v>
      </c>
      <c r="AF942">
        <v>0</v>
      </c>
      <c r="AG942" t="str">
        <f t="shared" si="218"/>
        <v>0-1</v>
      </c>
      <c r="AH942" t="s">
        <v>67</v>
      </c>
      <c r="AI942" t="s">
        <v>71</v>
      </c>
      <c r="AJ942">
        <v>13</v>
      </c>
      <c r="AK942" t="str">
        <f t="shared" si="219"/>
        <v>13-15%</v>
      </c>
      <c r="AL942">
        <v>3</v>
      </c>
      <c r="AM942" t="s">
        <v>68</v>
      </c>
      <c r="AN942">
        <v>1</v>
      </c>
      <c r="AO942" t="s">
        <v>69</v>
      </c>
      <c r="AP942">
        <v>80</v>
      </c>
      <c r="AQ942">
        <v>0</v>
      </c>
      <c r="AR942">
        <v>6</v>
      </c>
      <c r="AS942" t="str">
        <f t="shared" si="220"/>
        <v>6-10</v>
      </c>
      <c r="AT942">
        <v>2</v>
      </c>
      <c r="AU942" t="str">
        <f t="shared" si="221"/>
        <v>0-2</v>
      </c>
      <c r="AV942">
        <v>3</v>
      </c>
      <c r="AW942" t="s">
        <v>79</v>
      </c>
      <c r="AX942">
        <v>5</v>
      </c>
      <c r="AY942" t="str">
        <f t="shared" si="210"/>
        <v>2-5</v>
      </c>
      <c r="AZ942">
        <v>2</v>
      </c>
      <c r="BA942" t="str">
        <f t="shared" si="222"/>
        <v>2-5</v>
      </c>
      <c r="BB942">
        <v>0</v>
      </c>
      <c r="BC942" t="str">
        <f t="shared" si="223"/>
        <v>0-1</v>
      </c>
      <c r="BD942">
        <v>3</v>
      </c>
      <c r="BE942" t="str">
        <f t="shared" si="224"/>
        <v>2-5</v>
      </c>
    </row>
    <row r="943" spans="1:57" x14ac:dyDescent="0.3">
      <c r="A943">
        <v>1311</v>
      </c>
      <c r="B943">
        <v>30</v>
      </c>
      <c r="C943" t="str">
        <f t="shared" si="211"/>
        <v>26-35</v>
      </c>
      <c r="D943" t="s">
        <v>71</v>
      </c>
      <c r="E943">
        <f t="shared" si="212"/>
        <v>0</v>
      </c>
      <c r="F943" t="s">
        <v>57</v>
      </c>
      <c r="G943">
        <v>1138</v>
      </c>
      <c r="H943" t="str">
        <f t="shared" si="213"/>
        <v>1001-1499</v>
      </c>
      <c r="I943" t="s">
        <v>73</v>
      </c>
      <c r="J943">
        <v>6</v>
      </c>
      <c r="K943" t="str">
        <f t="shared" si="214"/>
        <v>6-10</v>
      </c>
      <c r="L943">
        <v>3</v>
      </c>
      <c r="M943" t="s">
        <v>85</v>
      </c>
      <c r="N943" t="s">
        <v>95</v>
      </c>
      <c r="O943">
        <v>1</v>
      </c>
      <c r="P943">
        <v>1</v>
      </c>
      <c r="Q943" t="s">
        <v>69</v>
      </c>
      <c r="R943" t="s">
        <v>62</v>
      </c>
      <c r="S943">
        <v>48</v>
      </c>
      <c r="T943" t="str">
        <f t="shared" si="215"/>
        <v>30-50</v>
      </c>
      <c r="U943">
        <v>2</v>
      </c>
      <c r="V943" t="s">
        <v>61</v>
      </c>
      <c r="W943">
        <v>2</v>
      </c>
      <c r="X943" t="s">
        <v>81</v>
      </c>
      <c r="Y943">
        <v>4</v>
      </c>
      <c r="Z943" t="s">
        <v>65</v>
      </c>
      <c r="AA943" t="s">
        <v>77</v>
      </c>
      <c r="AB943" s="4">
        <v>4627</v>
      </c>
      <c r="AC943" s="4" t="str">
        <f t="shared" si="216"/>
        <v>$4,000-$5,500</v>
      </c>
      <c r="AD943">
        <v>23631</v>
      </c>
      <c r="AE943" t="str">
        <f t="shared" si="217"/>
        <v>$22,001-$26,999</v>
      </c>
      <c r="AF943">
        <v>0</v>
      </c>
      <c r="AG943" t="str">
        <f t="shared" si="218"/>
        <v>0-1</v>
      </c>
      <c r="AH943" t="s">
        <v>67</v>
      </c>
      <c r="AI943" t="s">
        <v>71</v>
      </c>
      <c r="AJ943">
        <v>12</v>
      </c>
      <c r="AK943" t="str">
        <f t="shared" si="219"/>
        <v>11-12%</v>
      </c>
      <c r="AL943">
        <v>3</v>
      </c>
      <c r="AM943" t="s">
        <v>68</v>
      </c>
      <c r="AN943">
        <v>1</v>
      </c>
      <c r="AO943" t="s">
        <v>69</v>
      </c>
      <c r="AP943">
        <v>80</v>
      </c>
      <c r="AQ943">
        <v>1</v>
      </c>
      <c r="AR943">
        <v>10</v>
      </c>
      <c r="AS943" t="str">
        <f t="shared" si="220"/>
        <v>6-10</v>
      </c>
      <c r="AT943">
        <v>6</v>
      </c>
      <c r="AU943" t="str">
        <f t="shared" si="221"/>
        <v>5-6</v>
      </c>
      <c r="AV943">
        <v>3</v>
      </c>
      <c r="AW943" t="s">
        <v>79</v>
      </c>
      <c r="AX943">
        <v>9</v>
      </c>
      <c r="AY943" t="str">
        <f t="shared" si="210"/>
        <v>6-10</v>
      </c>
      <c r="AZ943">
        <v>2</v>
      </c>
      <c r="BA943" t="str">
        <f t="shared" si="222"/>
        <v>2-5</v>
      </c>
      <c r="BB943">
        <v>6</v>
      </c>
      <c r="BC943" t="str">
        <f t="shared" si="223"/>
        <v>6-10</v>
      </c>
      <c r="BD943">
        <v>7</v>
      </c>
      <c r="BE943" t="str">
        <f t="shared" si="224"/>
        <v>6-10</v>
      </c>
    </row>
    <row r="944" spans="1:57" x14ac:dyDescent="0.3">
      <c r="A944">
        <v>1312</v>
      </c>
      <c r="B944">
        <v>36</v>
      </c>
      <c r="C944" t="str">
        <f t="shared" si="211"/>
        <v>36-45</v>
      </c>
      <c r="D944" t="s">
        <v>71</v>
      </c>
      <c r="E944">
        <f t="shared" si="212"/>
        <v>0</v>
      </c>
      <c r="F944" t="s">
        <v>57</v>
      </c>
      <c r="G944">
        <v>325</v>
      </c>
      <c r="H944" t="str">
        <f t="shared" si="213"/>
        <v>102-500</v>
      </c>
      <c r="I944" t="s">
        <v>73</v>
      </c>
      <c r="J944">
        <v>10</v>
      </c>
      <c r="K944" t="str">
        <f t="shared" si="214"/>
        <v>6-10</v>
      </c>
      <c r="L944">
        <v>4</v>
      </c>
      <c r="M944" t="s">
        <v>82</v>
      </c>
      <c r="N944" t="s">
        <v>95</v>
      </c>
      <c r="O944">
        <v>1</v>
      </c>
      <c r="P944">
        <v>4</v>
      </c>
      <c r="Q944" t="s">
        <v>65</v>
      </c>
      <c r="R944" t="s">
        <v>62</v>
      </c>
      <c r="S944">
        <v>63</v>
      </c>
      <c r="T944" t="str">
        <f t="shared" si="215"/>
        <v>51-75</v>
      </c>
      <c r="U944">
        <v>3</v>
      </c>
      <c r="V944" t="s">
        <v>63</v>
      </c>
      <c r="W944">
        <v>3</v>
      </c>
      <c r="X944" t="s">
        <v>88</v>
      </c>
      <c r="Y944">
        <v>3</v>
      </c>
      <c r="Z944" t="s">
        <v>63</v>
      </c>
      <c r="AA944" t="s">
        <v>77</v>
      </c>
      <c r="AB944" s="4">
        <v>7094</v>
      </c>
      <c r="AC944" s="4" t="str">
        <f t="shared" si="216"/>
        <v>$7,000-$8,500</v>
      </c>
      <c r="AD944">
        <v>5747</v>
      </c>
      <c r="AE944" t="str">
        <f t="shared" si="217"/>
        <v>$2,094-$8,000</v>
      </c>
      <c r="AF944">
        <v>3</v>
      </c>
      <c r="AG944" t="str">
        <f t="shared" si="218"/>
        <v>2-3</v>
      </c>
      <c r="AH944" t="s">
        <v>67</v>
      </c>
      <c r="AI944" t="s">
        <v>71</v>
      </c>
      <c r="AJ944">
        <v>12</v>
      </c>
      <c r="AK944" t="str">
        <f t="shared" si="219"/>
        <v>11-12%</v>
      </c>
      <c r="AL944">
        <v>3</v>
      </c>
      <c r="AM944" t="s">
        <v>68</v>
      </c>
      <c r="AN944">
        <v>1</v>
      </c>
      <c r="AO944" t="s">
        <v>69</v>
      </c>
      <c r="AP944">
        <v>80</v>
      </c>
      <c r="AQ944">
        <v>0</v>
      </c>
      <c r="AR944">
        <v>10</v>
      </c>
      <c r="AS944" t="str">
        <f t="shared" si="220"/>
        <v>6-10</v>
      </c>
      <c r="AT944">
        <v>0</v>
      </c>
      <c r="AU944" t="str">
        <f t="shared" si="221"/>
        <v>0-2</v>
      </c>
      <c r="AV944">
        <v>3</v>
      </c>
      <c r="AW944" t="s">
        <v>79</v>
      </c>
      <c r="AX944">
        <v>7</v>
      </c>
      <c r="AY944" t="str">
        <f t="shared" si="210"/>
        <v>6-10</v>
      </c>
      <c r="AZ944">
        <v>7</v>
      </c>
      <c r="BA944" t="str">
        <f t="shared" si="222"/>
        <v>6-10</v>
      </c>
      <c r="BB944">
        <v>1</v>
      </c>
      <c r="BC944" t="str">
        <f t="shared" si="223"/>
        <v>0-1</v>
      </c>
      <c r="BD944">
        <v>7</v>
      </c>
      <c r="BE944" t="str">
        <f t="shared" si="224"/>
        <v>6-10</v>
      </c>
    </row>
    <row r="945" spans="1:57" x14ac:dyDescent="0.3">
      <c r="A945">
        <v>1314</v>
      </c>
      <c r="B945">
        <v>46</v>
      </c>
      <c r="C945" t="str">
        <f t="shared" si="211"/>
        <v>46-55</v>
      </c>
      <c r="D945" t="s">
        <v>71</v>
      </c>
      <c r="E945">
        <f t="shared" si="212"/>
        <v>0</v>
      </c>
      <c r="F945" t="s">
        <v>57</v>
      </c>
      <c r="G945">
        <v>991</v>
      </c>
      <c r="H945" t="str">
        <f t="shared" si="213"/>
        <v>501-1000</v>
      </c>
      <c r="I945" t="s">
        <v>97</v>
      </c>
      <c r="J945">
        <v>1</v>
      </c>
      <c r="K945" t="str">
        <f t="shared" si="214"/>
        <v>1-5</v>
      </c>
      <c r="L945">
        <v>2</v>
      </c>
      <c r="M945" t="s">
        <v>59</v>
      </c>
      <c r="N945" t="s">
        <v>60</v>
      </c>
      <c r="O945">
        <v>1</v>
      </c>
      <c r="P945">
        <v>4</v>
      </c>
      <c r="Q945" t="s">
        <v>65</v>
      </c>
      <c r="R945" t="s">
        <v>62</v>
      </c>
      <c r="S945">
        <v>44</v>
      </c>
      <c r="T945" t="str">
        <f t="shared" si="215"/>
        <v>30-50</v>
      </c>
      <c r="U945">
        <v>3</v>
      </c>
      <c r="V945" t="s">
        <v>63</v>
      </c>
      <c r="W945">
        <v>1</v>
      </c>
      <c r="X945" t="s">
        <v>97</v>
      </c>
      <c r="Y945">
        <v>1</v>
      </c>
      <c r="Z945" t="s">
        <v>69</v>
      </c>
      <c r="AA945" t="s">
        <v>66</v>
      </c>
      <c r="AB945" s="4">
        <v>3423</v>
      </c>
      <c r="AC945" s="4" t="str">
        <f t="shared" si="216"/>
        <v>$2,500-$4,000</v>
      </c>
      <c r="AD945">
        <v>22957</v>
      </c>
      <c r="AE945" t="str">
        <f t="shared" si="217"/>
        <v>$22,001-$26,999</v>
      </c>
      <c r="AF945">
        <v>6</v>
      </c>
      <c r="AG945" t="str">
        <f t="shared" si="218"/>
        <v>4-6</v>
      </c>
      <c r="AH945" t="s">
        <v>67</v>
      </c>
      <c r="AI945" t="s">
        <v>71</v>
      </c>
      <c r="AJ945">
        <v>12</v>
      </c>
      <c r="AK945" t="str">
        <f t="shared" si="219"/>
        <v>11-12%</v>
      </c>
      <c r="AL945">
        <v>3</v>
      </c>
      <c r="AM945" t="s">
        <v>68</v>
      </c>
      <c r="AN945">
        <v>3</v>
      </c>
      <c r="AO945" t="s">
        <v>63</v>
      </c>
      <c r="AP945">
        <v>80</v>
      </c>
      <c r="AQ945">
        <v>0</v>
      </c>
      <c r="AR945">
        <v>10</v>
      </c>
      <c r="AS945" t="str">
        <f t="shared" si="220"/>
        <v>6-10</v>
      </c>
      <c r="AT945">
        <v>3</v>
      </c>
      <c r="AU945" t="str">
        <f t="shared" si="221"/>
        <v>3-4</v>
      </c>
      <c r="AV945">
        <v>4</v>
      </c>
      <c r="AW945" t="s">
        <v>94</v>
      </c>
      <c r="AX945">
        <v>7</v>
      </c>
      <c r="AY945" t="str">
        <f t="shared" si="210"/>
        <v>6-10</v>
      </c>
      <c r="AZ945">
        <v>6</v>
      </c>
      <c r="BA945" t="str">
        <f t="shared" si="222"/>
        <v>6-10</v>
      </c>
      <c r="BB945">
        <v>5</v>
      </c>
      <c r="BC945" t="str">
        <f t="shared" si="223"/>
        <v>2-5</v>
      </c>
      <c r="BD945">
        <v>7</v>
      </c>
      <c r="BE945" t="str">
        <f t="shared" si="224"/>
        <v>6-10</v>
      </c>
    </row>
    <row r="946" spans="1:57" x14ac:dyDescent="0.3">
      <c r="A946">
        <v>1315</v>
      </c>
      <c r="B946">
        <v>28</v>
      </c>
      <c r="C946" t="str">
        <f t="shared" si="211"/>
        <v>26-35</v>
      </c>
      <c r="D946" t="s">
        <v>71</v>
      </c>
      <c r="E946">
        <f t="shared" si="212"/>
        <v>0</v>
      </c>
      <c r="F946" t="s">
        <v>89</v>
      </c>
      <c r="G946">
        <v>1476</v>
      </c>
      <c r="H946" t="str">
        <f t="shared" si="213"/>
        <v>1001-1499</v>
      </c>
      <c r="I946" t="s">
        <v>73</v>
      </c>
      <c r="J946">
        <v>1</v>
      </c>
      <c r="K946" t="str">
        <f t="shared" si="214"/>
        <v>1-5</v>
      </c>
      <c r="L946">
        <v>3</v>
      </c>
      <c r="M946" t="s">
        <v>85</v>
      </c>
      <c r="N946" t="s">
        <v>60</v>
      </c>
      <c r="O946">
        <v>1</v>
      </c>
      <c r="P946">
        <v>3</v>
      </c>
      <c r="Q946" t="s">
        <v>63</v>
      </c>
      <c r="R946" t="s">
        <v>62</v>
      </c>
      <c r="S946">
        <v>55</v>
      </c>
      <c r="T946" t="str">
        <f t="shared" si="215"/>
        <v>51-75</v>
      </c>
      <c r="U946">
        <v>1</v>
      </c>
      <c r="V946" t="s">
        <v>69</v>
      </c>
      <c r="W946">
        <v>2</v>
      </c>
      <c r="X946" t="s">
        <v>81</v>
      </c>
      <c r="Y946">
        <v>4</v>
      </c>
      <c r="Z946" t="s">
        <v>65</v>
      </c>
      <c r="AA946" t="s">
        <v>77</v>
      </c>
      <c r="AB946" s="4">
        <v>6674</v>
      </c>
      <c r="AC946" s="4" t="str">
        <f t="shared" si="216"/>
        <v>$5,500-$7,000</v>
      </c>
      <c r="AD946">
        <v>16392</v>
      </c>
      <c r="AE946" t="str">
        <f t="shared" si="217"/>
        <v>$16,001-$22,000</v>
      </c>
      <c r="AF946">
        <v>0</v>
      </c>
      <c r="AG946" t="str">
        <f t="shared" si="218"/>
        <v>0-1</v>
      </c>
      <c r="AH946" t="s">
        <v>67</v>
      </c>
      <c r="AI946" t="s">
        <v>71</v>
      </c>
      <c r="AJ946">
        <v>11</v>
      </c>
      <c r="AK946" t="str">
        <f t="shared" si="219"/>
        <v>11-12%</v>
      </c>
      <c r="AL946">
        <v>3</v>
      </c>
      <c r="AM946" t="s">
        <v>68</v>
      </c>
      <c r="AN946">
        <v>1</v>
      </c>
      <c r="AO946" t="s">
        <v>69</v>
      </c>
      <c r="AP946">
        <v>80</v>
      </c>
      <c r="AQ946">
        <v>3</v>
      </c>
      <c r="AR946">
        <v>10</v>
      </c>
      <c r="AS946" t="str">
        <f t="shared" si="220"/>
        <v>6-10</v>
      </c>
      <c r="AT946">
        <v>6</v>
      </c>
      <c r="AU946" t="str">
        <f t="shared" si="221"/>
        <v>5-6</v>
      </c>
      <c r="AV946">
        <v>3</v>
      </c>
      <c r="AW946" t="s">
        <v>79</v>
      </c>
      <c r="AX946">
        <v>9</v>
      </c>
      <c r="AY946" t="str">
        <f t="shared" si="210"/>
        <v>6-10</v>
      </c>
      <c r="AZ946">
        <v>8</v>
      </c>
      <c r="BA946" t="str">
        <f t="shared" si="222"/>
        <v>6-10</v>
      </c>
      <c r="BB946">
        <v>7</v>
      </c>
      <c r="BC946" t="str">
        <f t="shared" si="223"/>
        <v>6-10</v>
      </c>
      <c r="BD946">
        <v>5</v>
      </c>
      <c r="BE946" t="str">
        <f t="shared" si="224"/>
        <v>2-5</v>
      </c>
    </row>
    <row r="947" spans="1:57" x14ac:dyDescent="0.3">
      <c r="A947">
        <v>1317</v>
      </c>
      <c r="B947">
        <v>50</v>
      </c>
      <c r="C947" t="str">
        <f t="shared" si="211"/>
        <v>46-55</v>
      </c>
      <c r="D947" t="s">
        <v>71</v>
      </c>
      <c r="E947">
        <f t="shared" si="212"/>
        <v>0</v>
      </c>
      <c r="F947" t="s">
        <v>57</v>
      </c>
      <c r="G947">
        <v>1322</v>
      </c>
      <c r="H947" t="str">
        <f t="shared" si="213"/>
        <v>1001-1499</v>
      </c>
      <c r="I947" t="s">
        <v>73</v>
      </c>
      <c r="J947">
        <v>28</v>
      </c>
      <c r="K947" t="str">
        <f t="shared" si="214"/>
        <v>21-29</v>
      </c>
      <c r="L947">
        <v>3</v>
      </c>
      <c r="M947" t="s">
        <v>85</v>
      </c>
      <c r="N947" t="s">
        <v>60</v>
      </c>
      <c r="O947">
        <v>1</v>
      </c>
      <c r="P947">
        <v>4</v>
      </c>
      <c r="Q947" t="s">
        <v>65</v>
      </c>
      <c r="R947" t="s">
        <v>62</v>
      </c>
      <c r="S947">
        <v>43</v>
      </c>
      <c r="T947" t="str">
        <f t="shared" si="215"/>
        <v>30-50</v>
      </c>
      <c r="U947">
        <v>3</v>
      </c>
      <c r="V947" t="s">
        <v>63</v>
      </c>
      <c r="W947">
        <v>4</v>
      </c>
      <c r="X947" t="s">
        <v>92</v>
      </c>
      <c r="Y947">
        <v>1</v>
      </c>
      <c r="Z947" t="s">
        <v>69</v>
      </c>
      <c r="AA947" t="s">
        <v>77</v>
      </c>
      <c r="AB947" s="4">
        <v>16880</v>
      </c>
      <c r="AC947" s="4" t="str">
        <f t="shared" si="216"/>
        <v>$16,000-$17,500</v>
      </c>
      <c r="AD947">
        <v>22422</v>
      </c>
      <c r="AE947" t="str">
        <f t="shared" si="217"/>
        <v>$22,001-$26,999</v>
      </c>
      <c r="AF947">
        <v>4</v>
      </c>
      <c r="AG947" t="str">
        <f t="shared" si="218"/>
        <v>4-6</v>
      </c>
      <c r="AH947" t="s">
        <v>67</v>
      </c>
      <c r="AI947" t="s">
        <v>56</v>
      </c>
      <c r="AJ947">
        <v>11</v>
      </c>
      <c r="AK947" t="str">
        <f t="shared" si="219"/>
        <v>11-12%</v>
      </c>
      <c r="AL947">
        <v>3</v>
      </c>
      <c r="AM947" t="s">
        <v>68</v>
      </c>
      <c r="AN947">
        <v>2</v>
      </c>
      <c r="AO947" t="s">
        <v>61</v>
      </c>
      <c r="AP947">
        <v>80</v>
      </c>
      <c r="AQ947">
        <v>0</v>
      </c>
      <c r="AR947">
        <v>25</v>
      </c>
      <c r="AS947" t="str">
        <f t="shared" si="220"/>
        <v>21-40</v>
      </c>
      <c r="AT947">
        <v>2</v>
      </c>
      <c r="AU947" t="str">
        <f t="shared" si="221"/>
        <v>0-2</v>
      </c>
      <c r="AV947">
        <v>3</v>
      </c>
      <c r="AW947" t="s">
        <v>79</v>
      </c>
      <c r="AX947">
        <v>3</v>
      </c>
      <c r="AY947" t="str">
        <f t="shared" si="210"/>
        <v>2-5</v>
      </c>
      <c r="AZ947">
        <v>2</v>
      </c>
      <c r="BA947" t="str">
        <f t="shared" si="222"/>
        <v>2-5</v>
      </c>
      <c r="BB947">
        <v>1</v>
      </c>
      <c r="BC947" t="str">
        <f t="shared" si="223"/>
        <v>0-1</v>
      </c>
      <c r="BD947">
        <v>2</v>
      </c>
      <c r="BE947" t="str">
        <f t="shared" si="224"/>
        <v>2-5</v>
      </c>
    </row>
    <row r="948" spans="1:57" x14ac:dyDescent="0.3">
      <c r="A948">
        <v>1318</v>
      </c>
      <c r="B948">
        <v>40</v>
      </c>
      <c r="C948" t="str">
        <f t="shared" si="211"/>
        <v>36-45</v>
      </c>
      <c r="D948" t="s">
        <v>56</v>
      </c>
      <c r="E948">
        <f t="shared" si="212"/>
        <v>1</v>
      </c>
      <c r="F948" t="s">
        <v>57</v>
      </c>
      <c r="G948">
        <v>299</v>
      </c>
      <c r="H948" t="str">
        <f t="shared" si="213"/>
        <v>102-500</v>
      </c>
      <c r="I948" t="s">
        <v>58</v>
      </c>
      <c r="J948">
        <v>25</v>
      </c>
      <c r="K948" t="str">
        <f t="shared" si="214"/>
        <v>21-29</v>
      </c>
      <c r="L948">
        <v>4</v>
      </c>
      <c r="M948" t="s">
        <v>82</v>
      </c>
      <c r="N948" t="s">
        <v>93</v>
      </c>
      <c r="O948">
        <v>1</v>
      </c>
      <c r="P948">
        <v>4</v>
      </c>
      <c r="Q948" t="s">
        <v>65</v>
      </c>
      <c r="R948" t="s">
        <v>75</v>
      </c>
      <c r="S948">
        <v>57</v>
      </c>
      <c r="T948" t="str">
        <f t="shared" si="215"/>
        <v>51-75</v>
      </c>
      <c r="U948">
        <v>2</v>
      </c>
      <c r="V948" t="s">
        <v>61</v>
      </c>
      <c r="W948">
        <v>3</v>
      </c>
      <c r="X948" t="s">
        <v>64</v>
      </c>
      <c r="Y948">
        <v>2</v>
      </c>
      <c r="Z948" t="s">
        <v>61</v>
      </c>
      <c r="AA948" t="s">
        <v>66</v>
      </c>
      <c r="AB948" s="4">
        <v>9094</v>
      </c>
      <c r="AC948" s="4" t="str">
        <f t="shared" si="216"/>
        <v>$8,500-$10,000</v>
      </c>
      <c r="AD948">
        <v>17235</v>
      </c>
      <c r="AE948" t="str">
        <f t="shared" si="217"/>
        <v>$16,001-$22,000</v>
      </c>
      <c r="AF948">
        <v>2</v>
      </c>
      <c r="AG948" t="str">
        <f t="shared" si="218"/>
        <v>2-3</v>
      </c>
      <c r="AH948" t="s">
        <v>67</v>
      </c>
      <c r="AI948" t="s">
        <v>56</v>
      </c>
      <c r="AJ948">
        <v>12</v>
      </c>
      <c r="AK948" t="str">
        <f t="shared" si="219"/>
        <v>11-12%</v>
      </c>
      <c r="AL948">
        <v>3</v>
      </c>
      <c r="AM948" t="s">
        <v>68</v>
      </c>
      <c r="AN948">
        <v>3</v>
      </c>
      <c r="AO948" t="s">
        <v>63</v>
      </c>
      <c r="AP948">
        <v>80</v>
      </c>
      <c r="AQ948">
        <v>0</v>
      </c>
      <c r="AR948">
        <v>9</v>
      </c>
      <c r="AS948" t="str">
        <f t="shared" si="220"/>
        <v>6-10</v>
      </c>
      <c r="AT948">
        <v>2</v>
      </c>
      <c r="AU948" t="str">
        <f t="shared" si="221"/>
        <v>0-2</v>
      </c>
      <c r="AV948">
        <v>3</v>
      </c>
      <c r="AW948" t="s">
        <v>79</v>
      </c>
      <c r="AX948">
        <v>5</v>
      </c>
      <c r="AY948" t="str">
        <f t="shared" si="210"/>
        <v>2-5</v>
      </c>
      <c r="AZ948">
        <v>4</v>
      </c>
      <c r="BA948" t="str">
        <f t="shared" si="222"/>
        <v>2-5</v>
      </c>
      <c r="BB948">
        <v>1</v>
      </c>
      <c r="BC948" t="str">
        <f t="shared" si="223"/>
        <v>0-1</v>
      </c>
      <c r="BD948">
        <v>0</v>
      </c>
      <c r="BE948" t="str">
        <f t="shared" si="224"/>
        <v>0-1</v>
      </c>
    </row>
    <row r="949" spans="1:57" x14ac:dyDescent="0.3">
      <c r="A949">
        <v>1319</v>
      </c>
      <c r="B949">
        <v>52</v>
      </c>
      <c r="C949" t="str">
        <f t="shared" si="211"/>
        <v>46-55</v>
      </c>
      <c r="D949" t="s">
        <v>56</v>
      </c>
      <c r="E949">
        <f t="shared" si="212"/>
        <v>1</v>
      </c>
      <c r="F949" t="s">
        <v>57</v>
      </c>
      <c r="G949">
        <v>1030</v>
      </c>
      <c r="H949" t="str">
        <f t="shared" si="213"/>
        <v>1001-1499</v>
      </c>
      <c r="I949" t="s">
        <v>58</v>
      </c>
      <c r="J949">
        <v>5</v>
      </c>
      <c r="K949" t="str">
        <f t="shared" si="214"/>
        <v>1-5</v>
      </c>
      <c r="L949">
        <v>3</v>
      </c>
      <c r="M949" t="s">
        <v>85</v>
      </c>
      <c r="N949" t="s">
        <v>60</v>
      </c>
      <c r="O949">
        <v>1</v>
      </c>
      <c r="P949">
        <v>2</v>
      </c>
      <c r="Q949" t="s">
        <v>61</v>
      </c>
      <c r="R949" t="s">
        <v>75</v>
      </c>
      <c r="S949">
        <v>64</v>
      </c>
      <c r="T949" t="str">
        <f t="shared" si="215"/>
        <v>51-75</v>
      </c>
      <c r="U949">
        <v>3</v>
      </c>
      <c r="V949" t="s">
        <v>63</v>
      </c>
      <c r="W949">
        <v>3</v>
      </c>
      <c r="X949" t="s">
        <v>64</v>
      </c>
      <c r="Y949">
        <v>2</v>
      </c>
      <c r="Z949" t="s">
        <v>61</v>
      </c>
      <c r="AA949" t="s">
        <v>66</v>
      </c>
      <c r="AB949" s="4">
        <v>8446</v>
      </c>
      <c r="AC949" s="4" t="str">
        <f t="shared" si="216"/>
        <v>$7,000-$8,500</v>
      </c>
      <c r="AD949">
        <v>21534</v>
      </c>
      <c r="AE949" t="str">
        <f t="shared" si="217"/>
        <v>$16,001-$22,000</v>
      </c>
      <c r="AF949">
        <v>9</v>
      </c>
      <c r="AG949" t="str">
        <f t="shared" si="218"/>
        <v>7-9</v>
      </c>
      <c r="AH949" t="s">
        <v>67</v>
      </c>
      <c r="AI949" t="s">
        <v>56</v>
      </c>
      <c r="AJ949">
        <v>19</v>
      </c>
      <c r="AK949" t="str">
        <f t="shared" si="219"/>
        <v>18-19%</v>
      </c>
      <c r="AL949">
        <v>3</v>
      </c>
      <c r="AM949" t="s">
        <v>68</v>
      </c>
      <c r="AN949">
        <v>3</v>
      </c>
      <c r="AO949" t="s">
        <v>63</v>
      </c>
      <c r="AP949">
        <v>80</v>
      </c>
      <c r="AQ949">
        <v>0</v>
      </c>
      <c r="AR949">
        <v>10</v>
      </c>
      <c r="AS949" t="str">
        <f t="shared" si="220"/>
        <v>6-10</v>
      </c>
      <c r="AT949">
        <v>2</v>
      </c>
      <c r="AU949" t="str">
        <f t="shared" si="221"/>
        <v>0-2</v>
      </c>
      <c r="AV949">
        <v>2</v>
      </c>
      <c r="AW949" t="s">
        <v>84</v>
      </c>
      <c r="AX949">
        <v>8</v>
      </c>
      <c r="AY949" t="str">
        <f t="shared" si="210"/>
        <v>6-10</v>
      </c>
      <c r="AZ949">
        <v>7</v>
      </c>
      <c r="BA949" t="str">
        <f t="shared" si="222"/>
        <v>6-10</v>
      </c>
      <c r="BB949">
        <v>7</v>
      </c>
      <c r="BC949" t="str">
        <f t="shared" si="223"/>
        <v>6-10</v>
      </c>
      <c r="BD949">
        <v>7</v>
      </c>
      <c r="BE949" t="str">
        <f t="shared" si="224"/>
        <v>6-10</v>
      </c>
    </row>
    <row r="950" spans="1:57" x14ac:dyDescent="0.3">
      <c r="A950">
        <v>1321</v>
      </c>
      <c r="B950">
        <v>30</v>
      </c>
      <c r="C950" t="str">
        <f t="shared" si="211"/>
        <v>26-35</v>
      </c>
      <c r="D950" t="s">
        <v>71</v>
      </c>
      <c r="E950">
        <f t="shared" si="212"/>
        <v>0</v>
      </c>
      <c r="F950" t="s">
        <v>57</v>
      </c>
      <c r="G950">
        <v>634</v>
      </c>
      <c r="H950" t="str">
        <f t="shared" si="213"/>
        <v>501-1000</v>
      </c>
      <c r="I950" t="s">
        <v>73</v>
      </c>
      <c r="J950">
        <v>17</v>
      </c>
      <c r="K950" t="str">
        <f t="shared" si="214"/>
        <v>11-20</v>
      </c>
      <c r="L950">
        <v>4</v>
      </c>
      <c r="M950" t="s">
        <v>82</v>
      </c>
      <c r="N950" t="s">
        <v>83</v>
      </c>
      <c r="O950">
        <v>1</v>
      </c>
      <c r="P950">
        <v>2</v>
      </c>
      <c r="Q950" t="s">
        <v>61</v>
      </c>
      <c r="R950" t="s">
        <v>62</v>
      </c>
      <c r="S950">
        <v>95</v>
      </c>
      <c r="T950" t="str">
        <f t="shared" si="215"/>
        <v>76-100</v>
      </c>
      <c r="U950">
        <v>3</v>
      </c>
      <c r="V950" t="s">
        <v>63</v>
      </c>
      <c r="W950">
        <v>3</v>
      </c>
      <c r="X950" t="s">
        <v>90</v>
      </c>
      <c r="Y950">
        <v>1</v>
      </c>
      <c r="Z950" t="s">
        <v>69</v>
      </c>
      <c r="AA950" t="s">
        <v>77</v>
      </c>
      <c r="AB950" s="4">
        <v>11916</v>
      </c>
      <c r="AC950" s="4" t="str">
        <f t="shared" si="216"/>
        <v>$11,500-$13,000</v>
      </c>
      <c r="AD950">
        <v>25927</v>
      </c>
      <c r="AE950" t="str">
        <f t="shared" si="217"/>
        <v>$22,001-$26,999</v>
      </c>
      <c r="AF950">
        <v>1</v>
      </c>
      <c r="AG950" t="str">
        <f t="shared" si="218"/>
        <v>0-1</v>
      </c>
      <c r="AH950" t="s">
        <v>67</v>
      </c>
      <c r="AI950" t="s">
        <v>56</v>
      </c>
      <c r="AJ950">
        <v>23</v>
      </c>
      <c r="AK950" t="str">
        <f t="shared" si="219"/>
        <v>18-19%</v>
      </c>
      <c r="AL950">
        <v>4</v>
      </c>
      <c r="AM950" t="s">
        <v>78</v>
      </c>
      <c r="AN950">
        <v>4</v>
      </c>
      <c r="AO950" t="s">
        <v>65</v>
      </c>
      <c r="AP950">
        <v>80</v>
      </c>
      <c r="AQ950">
        <v>2</v>
      </c>
      <c r="AR950">
        <v>9</v>
      </c>
      <c r="AS950" t="str">
        <f t="shared" si="220"/>
        <v>6-10</v>
      </c>
      <c r="AT950">
        <v>2</v>
      </c>
      <c r="AU950" t="str">
        <f t="shared" si="221"/>
        <v>0-2</v>
      </c>
      <c r="AV950">
        <v>3</v>
      </c>
      <c r="AW950" t="s">
        <v>79</v>
      </c>
      <c r="AX950">
        <v>9</v>
      </c>
      <c r="AY950" t="str">
        <f t="shared" si="210"/>
        <v>6-10</v>
      </c>
      <c r="AZ950">
        <v>1</v>
      </c>
      <c r="BA950" t="str">
        <f t="shared" si="222"/>
        <v>0-1</v>
      </c>
      <c r="BB950">
        <v>0</v>
      </c>
      <c r="BC950" t="str">
        <f t="shared" si="223"/>
        <v>0-1</v>
      </c>
      <c r="BD950">
        <v>8</v>
      </c>
      <c r="BE950" t="str">
        <f t="shared" si="224"/>
        <v>6-10</v>
      </c>
    </row>
    <row r="951" spans="1:57" x14ac:dyDescent="0.3">
      <c r="A951">
        <v>1322</v>
      </c>
      <c r="B951">
        <v>39</v>
      </c>
      <c r="C951" t="str">
        <f t="shared" si="211"/>
        <v>36-45</v>
      </c>
      <c r="D951" t="s">
        <v>71</v>
      </c>
      <c r="E951">
        <f t="shared" si="212"/>
        <v>0</v>
      </c>
      <c r="F951" t="s">
        <v>57</v>
      </c>
      <c r="G951">
        <v>524</v>
      </c>
      <c r="H951" t="str">
        <f t="shared" si="213"/>
        <v>501-1000</v>
      </c>
      <c r="I951" t="s">
        <v>73</v>
      </c>
      <c r="J951">
        <v>18</v>
      </c>
      <c r="K951" t="str">
        <f t="shared" si="214"/>
        <v>11-20</v>
      </c>
      <c r="L951">
        <v>2</v>
      </c>
      <c r="M951" t="s">
        <v>59</v>
      </c>
      <c r="N951" t="s">
        <v>60</v>
      </c>
      <c r="O951">
        <v>1</v>
      </c>
      <c r="P951">
        <v>1</v>
      </c>
      <c r="Q951" t="s">
        <v>69</v>
      </c>
      <c r="R951" t="s">
        <v>75</v>
      </c>
      <c r="S951">
        <v>32</v>
      </c>
      <c r="T951" t="str">
        <f t="shared" si="215"/>
        <v>30-50</v>
      </c>
      <c r="U951">
        <v>3</v>
      </c>
      <c r="V951" t="s">
        <v>63</v>
      </c>
      <c r="W951">
        <v>2</v>
      </c>
      <c r="X951" t="s">
        <v>87</v>
      </c>
      <c r="Y951">
        <v>3</v>
      </c>
      <c r="Z951" t="s">
        <v>63</v>
      </c>
      <c r="AA951" t="s">
        <v>66</v>
      </c>
      <c r="AB951" s="4">
        <v>4534</v>
      </c>
      <c r="AC951" s="4" t="str">
        <f t="shared" si="216"/>
        <v>$4,000-$5,500</v>
      </c>
      <c r="AD951">
        <v>13352</v>
      </c>
      <c r="AE951" t="str">
        <f t="shared" si="217"/>
        <v>$8,001-$16,000</v>
      </c>
      <c r="AF951">
        <v>0</v>
      </c>
      <c r="AG951" t="str">
        <f t="shared" si="218"/>
        <v>0-1</v>
      </c>
      <c r="AH951" t="s">
        <v>67</v>
      </c>
      <c r="AI951" t="s">
        <v>71</v>
      </c>
      <c r="AJ951">
        <v>11</v>
      </c>
      <c r="AK951" t="str">
        <f t="shared" si="219"/>
        <v>11-12%</v>
      </c>
      <c r="AL951">
        <v>3</v>
      </c>
      <c r="AM951" t="s">
        <v>68</v>
      </c>
      <c r="AN951">
        <v>1</v>
      </c>
      <c r="AO951" t="s">
        <v>69</v>
      </c>
      <c r="AP951">
        <v>80</v>
      </c>
      <c r="AQ951">
        <v>0</v>
      </c>
      <c r="AR951">
        <v>9</v>
      </c>
      <c r="AS951" t="str">
        <f t="shared" si="220"/>
        <v>6-10</v>
      </c>
      <c r="AT951">
        <v>6</v>
      </c>
      <c r="AU951" t="str">
        <f t="shared" si="221"/>
        <v>5-6</v>
      </c>
      <c r="AV951">
        <v>3</v>
      </c>
      <c r="AW951" t="s">
        <v>79</v>
      </c>
      <c r="AX951">
        <v>8</v>
      </c>
      <c r="AY951" t="str">
        <f t="shared" si="210"/>
        <v>6-10</v>
      </c>
      <c r="AZ951">
        <v>7</v>
      </c>
      <c r="BA951" t="str">
        <f t="shared" si="222"/>
        <v>6-10</v>
      </c>
      <c r="BB951">
        <v>1</v>
      </c>
      <c r="BC951" t="str">
        <f t="shared" si="223"/>
        <v>0-1</v>
      </c>
      <c r="BD951">
        <v>7</v>
      </c>
      <c r="BE951" t="str">
        <f t="shared" si="224"/>
        <v>6-10</v>
      </c>
    </row>
    <row r="952" spans="1:57" x14ac:dyDescent="0.3">
      <c r="A952">
        <v>1324</v>
      </c>
      <c r="B952">
        <v>31</v>
      </c>
      <c r="C952" t="str">
        <f t="shared" si="211"/>
        <v>26-35</v>
      </c>
      <c r="D952" t="s">
        <v>71</v>
      </c>
      <c r="E952">
        <f t="shared" si="212"/>
        <v>0</v>
      </c>
      <c r="F952" t="s">
        <v>89</v>
      </c>
      <c r="G952">
        <v>587</v>
      </c>
      <c r="H952" t="str">
        <f t="shared" si="213"/>
        <v>501-1000</v>
      </c>
      <c r="I952" t="s">
        <v>58</v>
      </c>
      <c r="J952">
        <v>2</v>
      </c>
      <c r="K952" t="str">
        <f t="shared" si="214"/>
        <v>1-5</v>
      </c>
      <c r="L952">
        <v>4</v>
      </c>
      <c r="M952" t="s">
        <v>82</v>
      </c>
      <c r="N952" t="s">
        <v>60</v>
      </c>
      <c r="O952">
        <v>1</v>
      </c>
      <c r="P952">
        <v>4</v>
      </c>
      <c r="Q952" t="s">
        <v>65</v>
      </c>
      <c r="R952" t="s">
        <v>62</v>
      </c>
      <c r="S952">
        <v>57</v>
      </c>
      <c r="T952" t="str">
        <f t="shared" si="215"/>
        <v>51-75</v>
      </c>
      <c r="U952">
        <v>3</v>
      </c>
      <c r="V952" t="s">
        <v>63</v>
      </c>
      <c r="W952">
        <v>3</v>
      </c>
      <c r="X952" t="s">
        <v>64</v>
      </c>
      <c r="Y952">
        <v>3</v>
      </c>
      <c r="Z952" t="s">
        <v>63</v>
      </c>
      <c r="AA952" t="s">
        <v>86</v>
      </c>
      <c r="AB952" s="4">
        <v>9852</v>
      </c>
      <c r="AC952" s="4" t="str">
        <f t="shared" si="216"/>
        <v>$8,500-$10,000</v>
      </c>
      <c r="AD952">
        <v>8935</v>
      </c>
      <c r="AE952" t="str">
        <f t="shared" si="217"/>
        <v>$8,001-$16,000</v>
      </c>
      <c r="AF952">
        <v>1</v>
      </c>
      <c r="AG952" t="str">
        <f t="shared" si="218"/>
        <v>0-1</v>
      </c>
      <c r="AH952" t="s">
        <v>67</v>
      </c>
      <c r="AI952" t="s">
        <v>56</v>
      </c>
      <c r="AJ952">
        <v>19</v>
      </c>
      <c r="AK952" t="str">
        <f t="shared" si="219"/>
        <v>18-19%</v>
      </c>
      <c r="AL952">
        <v>3</v>
      </c>
      <c r="AM952" t="s">
        <v>68</v>
      </c>
      <c r="AN952">
        <v>1</v>
      </c>
      <c r="AO952" t="s">
        <v>69</v>
      </c>
      <c r="AP952">
        <v>80</v>
      </c>
      <c r="AQ952">
        <v>1</v>
      </c>
      <c r="AR952">
        <v>10</v>
      </c>
      <c r="AS952" t="str">
        <f t="shared" si="220"/>
        <v>6-10</v>
      </c>
      <c r="AT952">
        <v>5</v>
      </c>
      <c r="AU952" t="str">
        <f t="shared" si="221"/>
        <v>5-6</v>
      </c>
      <c r="AV952">
        <v>2</v>
      </c>
      <c r="AW952" t="s">
        <v>84</v>
      </c>
      <c r="AX952">
        <v>10</v>
      </c>
      <c r="AY952" t="str">
        <f t="shared" si="210"/>
        <v>6-10</v>
      </c>
      <c r="AZ952">
        <v>8</v>
      </c>
      <c r="BA952" t="str">
        <f t="shared" si="222"/>
        <v>6-10</v>
      </c>
      <c r="BB952">
        <v>9</v>
      </c>
      <c r="BC952" t="str">
        <f t="shared" si="223"/>
        <v>6-10</v>
      </c>
      <c r="BD952">
        <v>6</v>
      </c>
      <c r="BE952" t="str">
        <f t="shared" si="224"/>
        <v>6-10</v>
      </c>
    </row>
    <row r="953" spans="1:57" x14ac:dyDescent="0.3">
      <c r="A953">
        <v>1329</v>
      </c>
      <c r="B953">
        <v>41</v>
      </c>
      <c r="C953" t="str">
        <f t="shared" si="211"/>
        <v>36-45</v>
      </c>
      <c r="D953" t="s">
        <v>71</v>
      </c>
      <c r="E953">
        <f t="shared" si="212"/>
        <v>0</v>
      </c>
      <c r="F953" t="s">
        <v>89</v>
      </c>
      <c r="G953">
        <v>256</v>
      </c>
      <c r="H953" t="str">
        <f t="shared" si="213"/>
        <v>102-500</v>
      </c>
      <c r="I953" t="s">
        <v>58</v>
      </c>
      <c r="J953">
        <v>10</v>
      </c>
      <c r="K953" t="str">
        <f t="shared" si="214"/>
        <v>6-10</v>
      </c>
      <c r="L953">
        <v>2</v>
      </c>
      <c r="M953" t="s">
        <v>59</v>
      </c>
      <c r="N953" t="s">
        <v>83</v>
      </c>
      <c r="O953">
        <v>1</v>
      </c>
      <c r="P953">
        <v>3</v>
      </c>
      <c r="Q953" t="s">
        <v>63</v>
      </c>
      <c r="R953" t="s">
        <v>75</v>
      </c>
      <c r="S953">
        <v>40</v>
      </c>
      <c r="T953" t="str">
        <f t="shared" si="215"/>
        <v>30-50</v>
      </c>
      <c r="U953">
        <v>1</v>
      </c>
      <c r="V953" t="s">
        <v>69</v>
      </c>
      <c r="W953">
        <v>2</v>
      </c>
      <c r="X953" t="s">
        <v>64</v>
      </c>
      <c r="Y953">
        <v>2</v>
      </c>
      <c r="Z953" t="s">
        <v>61</v>
      </c>
      <c r="AA953" t="s">
        <v>66</v>
      </c>
      <c r="AB953" s="4">
        <v>6151</v>
      </c>
      <c r="AC953" s="4" t="str">
        <f t="shared" si="216"/>
        <v>$5,500-$7,000</v>
      </c>
      <c r="AD953">
        <v>22074</v>
      </c>
      <c r="AE953" t="str">
        <f t="shared" si="217"/>
        <v>$22,001-$26,999</v>
      </c>
      <c r="AF953">
        <v>1</v>
      </c>
      <c r="AG953" t="str">
        <f t="shared" si="218"/>
        <v>0-1</v>
      </c>
      <c r="AH953" t="s">
        <v>67</v>
      </c>
      <c r="AI953" t="s">
        <v>71</v>
      </c>
      <c r="AJ953">
        <v>13</v>
      </c>
      <c r="AK953" t="str">
        <f t="shared" si="219"/>
        <v>13-15%</v>
      </c>
      <c r="AL953">
        <v>3</v>
      </c>
      <c r="AM953" t="s">
        <v>68</v>
      </c>
      <c r="AN953">
        <v>1</v>
      </c>
      <c r="AO953" t="s">
        <v>69</v>
      </c>
      <c r="AP953">
        <v>80</v>
      </c>
      <c r="AQ953">
        <v>0</v>
      </c>
      <c r="AR953">
        <v>19</v>
      </c>
      <c r="AS953" t="str">
        <f t="shared" si="220"/>
        <v>11-20</v>
      </c>
      <c r="AT953">
        <v>4</v>
      </c>
      <c r="AU953" t="str">
        <f t="shared" si="221"/>
        <v>3-4</v>
      </c>
      <c r="AV953">
        <v>3</v>
      </c>
      <c r="AW953" t="s">
        <v>79</v>
      </c>
      <c r="AX953">
        <v>19</v>
      </c>
      <c r="AY953" t="str">
        <f t="shared" si="210"/>
        <v>11-20</v>
      </c>
      <c r="AZ953">
        <v>2</v>
      </c>
      <c r="BA953" t="str">
        <f t="shared" si="222"/>
        <v>2-5</v>
      </c>
      <c r="BB953">
        <v>11</v>
      </c>
      <c r="BC953" t="str">
        <f t="shared" si="223"/>
        <v>11-15</v>
      </c>
      <c r="BD953">
        <v>9</v>
      </c>
      <c r="BE953" t="str">
        <f t="shared" si="224"/>
        <v>6-10</v>
      </c>
    </row>
    <row r="954" spans="1:57" x14ac:dyDescent="0.3">
      <c r="A954">
        <v>1331</v>
      </c>
      <c r="B954">
        <v>31</v>
      </c>
      <c r="C954" t="str">
        <f t="shared" si="211"/>
        <v>26-35</v>
      </c>
      <c r="D954" t="s">
        <v>56</v>
      </c>
      <c r="E954">
        <f t="shared" si="212"/>
        <v>1</v>
      </c>
      <c r="F954" t="s">
        <v>72</v>
      </c>
      <c r="G954">
        <v>1060</v>
      </c>
      <c r="H954" t="str">
        <f t="shared" si="213"/>
        <v>1001-1499</v>
      </c>
      <c r="I954" t="s">
        <v>58</v>
      </c>
      <c r="J954">
        <v>1</v>
      </c>
      <c r="K954" t="str">
        <f t="shared" si="214"/>
        <v>1-5</v>
      </c>
      <c r="L954">
        <v>3</v>
      </c>
      <c r="M954" t="s">
        <v>85</v>
      </c>
      <c r="N954" t="s">
        <v>60</v>
      </c>
      <c r="O954">
        <v>1</v>
      </c>
      <c r="P954">
        <v>4</v>
      </c>
      <c r="Q954" t="s">
        <v>65</v>
      </c>
      <c r="R954" t="s">
        <v>62</v>
      </c>
      <c r="S954">
        <v>54</v>
      </c>
      <c r="T954" t="str">
        <f t="shared" si="215"/>
        <v>51-75</v>
      </c>
      <c r="U954">
        <v>3</v>
      </c>
      <c r="V954" t="s">
        <v>63</v>
      </c>
      <c r="W954">
        <v>1</v>
      </c>
      <c r="X954" t="s">
        <v>91</v>
      </c>
      <c r="Y954">
        <v>2</v>
      </c>
      <c r="Z954" t="s">
        <v>61</v>
      </c>
      <c r="AA954" t="s">
        <v>66</v>
      </c>
      <c r="AB954" s="4">
        <v>2302</v>
      </c>
      <c r="AC954" s="4" t="str">
        <f t="shared" si="216"/>
        <v>$1,000-$2,500</v>
      </c>
      <c r="AD954">
        <v>8319</v>
      </c>
      <c r="AE954" t="str">
        <f t="shared" si="217"/>
        <v>$8,001-$16,000</v>
      </c>
      <c r="AF954">
        <v>1</v>
      </c>
      <c r="AG954" t="str">
        <f t="shared" si="218"/>
        <v>0-1</v>
      </c>
      <c r="AH954" t="s">
        <v>67</v>
      </c>
      <c r="AI954" t="s">
        <v>56</v>
      </c>
      <c r="AJ954">
        <v>11</v>
      </c>
      <c r="AK954" t="str">
        <f t="shared" si="219"/>
        <v>11-12%</v>
      </c>
      <c r="AL954">
        <v>3</v>
      </c>
      <c r="AM954" t="s">
        <v>68</v>
      </c>
      <c r="AN954">
        <v>1</v>
      </c>
      <c r="AO954" t="s">
        <v>69</v>
      </c>
      <c r="AP954">
        <v>80</v>
      </c>
      <c r="AQ954">
        <v>0</v>
      </c>
      <c r="AR954">
        <v>3</v>
      </c>
      <c r="AS954" t="str">
        <f t="shared" si="220"/>
        <v>3-5</v>
      </c>
      <c r="AT954">
        <v>2</v>
      </c>
      <c r="AU954" t="str">
        <f t="shared" si="221"/>
        <v>0-2</v>
      </c>
      <c r="AV954">
        <v>4</v>
      </c>
      <c r="AW954" t="s">
        <v>94</v>
      </c>
      <c r="AX954">
        <v>3</v>
      </c>
      <c r="AY954" t="str">
        <f t="shared" si="210"/>
        <v>2-5</v>
      </c>
      <c r="AZ954">
        <v>2</v>
      </c>
      <c r="BA954" t="str">
        <f t="shared" si="222"/>
        <v>2-5</v>
      </c>
      <c r="BB954">
        <v>2</v>
      </c>
      <c r="BC954" t="str">
        <f t="shared" si="223"/>
        <v>2-5</v>
      </c>
      <c r="BD954">
        <v>2</v>
      </c>
      <c r="BE954" t="str">
        <f t="shared" si="224"/>
        <v>2-5</v>
      </c>
    </row>
    <row r="955" spans="1:57" x14ac:dyDescent="0.3">
      <c r="A955">
        <v>1333</v>
      </c>
      <c r="B955">
        <v>44</v>
      </c>
      <c r="C955" t="str">
        <f t="shared" si="211"/>
        <v>36-45</v>
      </c>
      <c r="D955" t="s">
        <v>56</v>
      </c>
      <c r="E955">
        <f t="shared" si="212"/>
        <v>1</v>
      </c>
      <c r="F955" t="s">
        <v>57</v>
      </c>
      <c r="G955">
        <v>935</v>
      </c>
      <c r="H955" t="str">
        <f t="shared" si="213"/>
        <v>501-1000</v>
      </c>
      <c r="I955" t="s">
        <v>73</v>
      </c>
      <c r="J955">
        <v>3</v>
      </c>
      <c r="K955" t="str">
        <f t="shared" si="214"/>
        <v>1-5</v>
      </c>
      <c r="L955">
        <v>3</v>
      </c>
      <c r="M955" t="s">
        <v>85</v>
      </c>
      <c r="N955" t="s">
        <v>60</v>
      </c>
      <c r="O955">
        <v>1</v>
      </c>
      <c r="P955">
        <v>1</v>
      </c>
      <c r="Q955" t="s">
        <v>69</v>
      </c>
      <c r="R955" t="s">
        <v>75</v>
      </c>
      <c r="S955">
        <v>89</v>
      </c>
      <c r="T955" t="str">
        <f t="shared" si="215"/>
        <v>76-100</v>
      </c>
      <c r="U955">
        <v>3</v>
      </c>
      <c r="V955" t="s">
        <v>63</v>
      </c>
      <c r="W955">
        <v>1</v>
      </c>
      <c r="X955" t="s">
        <v>81</v>
      </c>
      <c r="Y955">
        <v>1</v>
      </c>
      <c r="Z955" t="s">
        <v>69</v>
      </c>
      <c r="AA955" t="s">
        <v>77</v>
      </c>
      <c r="AB955" s="4">
        <v>2362</v>
      </c>
      <c r="AC955" s="4" t="str">
        <f t="shared" si="216"/>
        <v>$1,000-$2,500</v>
      </c>
      <c r="AD955">
        <v>14669</v>
      </c>
      <c r="AE955" t="str">
        <f t="shared" si="217"/>
        <v>$8,001-$16,000</v>
      </c>
      <c r="AF955">
        <v>4</v>
      </c>
      <c r="AG955" t="str">
        <f t="shared" si="218"/>
        <v>4-6</v>
      </c>
      <c r="AH955" t="s">
        <v>67</v>
      </c>
      <c r="AI955" t="s">
        <v>71</v>
      </c>
      <c r="AJ955">
        <v>12</v>
      </c>
      <c r="AK955" t="str">
        <f t="shared" si="219"/>
        <v>11-12%</v>
      </c>
      <c r="AL955">
        <v>3</v>
      </c>
      <c r="AM955" t="s">
        <v>68</v>
      </c>
      <c r="AN955">
        <v>3</v>
      </c>
      <c r="AO955" t="s">
        <v>63</v>
      </c>
      <c r="AP955">
        <v>80</v>
      </c>
      <c r="AQ955">
        <v>0</v>
      </c>
      <c r="AR955">
        <v>10</v>
      </c>
      <c r="AS955" t="str">
        <f t="shared" si="220"/>
        <v>6-10</v>
      </c>
      <c r="AT955">
        <v>4</v>
      </c>
      <c r="AU955" t="str">
        <f t="shared" si="221"/>
        <v>3-4</v>
      </c>
      <c r="AV955">
        <v>4</v>
      </c>
      <c r="AW955" t="s">
        <v>94</v>
      </c>
      <c r="AX955">
        <v>3</v>
      </c>
      <c r="AY955" t="str">
        <f t="shared" si="210"/>
        <v>2-5</v>
      </c>
      <c r="AZ955">
        <v>2</v>
      </c>
      <c r="BA955" t="str">
        <f t="shared" si="222"/>
        <v>2-5</v>
      </c>
      <c r="BB955">
        <v>1</v>
      </c>
      <c r="BC955" t="str">
        <f t="shared" si="223"/>
        <v>0-1</v>
      </c>
      <c r="BD955">
        <v>2</v>
      </c>
      <c r="BE955" t="str">
        <f t="shared" si="224"/>
        <v>2-5</v>
      </c>
    </row>
    <row r="956" spans="1:57" x14ac:dyDescent="0.3">
      <c r="A956">
        <v>1334</v>
      </c>
      <c r="B956">
        <v>42</v>
      </c>
      <c r="C956" t="str">
        <f t="shared" si="211"/>
        <v>36-45</v>
      </c>
      <c r="D956" t="s">
        <v>71</v>
      </c>
      <c r="E956">
        <f t="shared" si="212"/>
        <v>0</v>
      </c>
      <c r="F956" t="s">
        <v>89</v>
      </c>
      <c r="G956">
        <v>495</v>
      </c>
      <c r="H956" t="str">
        <f t="shared" si="213"/>
        <v>102-500</v>
      </c>
      <c r="I956" t="s">
        <v>73</v>
      </c>
      <c r="J956">
        <v>2</v>
      </c>
      <c r="K956" t="str">
        <f t="shared" si="214"/>
        <v>1-5</v>
      </c>
      <c r="L956">
        <v>1</v>
      </c>
      <c r="M956" t="s">
        <v>74</v>
      </c>
      <c r="N956" t="s">
        <v>60</v>
      </c>
      <c r="O956">
        <v>1</v>
      </c>
      <c r="P956">
        <v>3</v>
      </c>
      <c r="Q956" t="s">
        <v>63</v>
      </c>
      <c r="R956" t="s">
        <v>75</v>
      </c>
      <c r="S956">
        <v>37</v>
      </c>
      <c r="T956" t="str">
        <f t="shared" si="215"/>
        <v>30-50</v>
      </c>
      <c r="U956">
        <v>3</v>
      </c>
      <c r="V956" t="s">
        <v>63</v>
      </c>
      <c r="W956">
        <v>4</v>
      </c>
      <c r="X956" t="s">
        <v>90</v>
      </c>
      <c r="Y956">
        <v>3</v>
      </c>
      <c r="Z956" t="s">
        <v>63</v>
      </c>
      <c r="AA956" t="s">
        <v>77</v>
      </c>
      <c r="AB956" s="4">
        <v>17861</v>
      </c>
      <c r="AC956" s="4" t="str">
        <f t="shared" si="216"/>
        <v>$17,500-$19,000</v>
      </c>
      <c r="AD956">
        <v>26582</v>
      </c>
      <c r="AE956" t="str">
        <f t="shared" si="217"/>
        <v>$22,001-$26,999</v>
      </c>
      <c r="AF956">
        <v>0</v>
      </c>
      <c r="AG956" t="str">
        <f t="shared" si="218"/>
        <v>0-1</v>
      </c>
      <c r="AH956" t="s">
        <v>67</v>
      </c>
      <c r="AI956" t="s">
        <v>56</v>
      </c>
      <c r="AJ956">
        <v>13</v>
      </c>
      <c r="AK956" t="str">
        <f t="shared" si="219"/>
        <v>13-15%</v>
      </c>
      <c r="AL956">
        <v>3</v>
      </c>
      <c r="AM956" t="s">
        <v>68</v>
      </c>
      <c r="AN956">
        <v>4</v>
      </c>
      <c r="AO956" t="s">
        <v>65</v>
      </c>
      <c r="AP956">
        <v>80</v>
      </c>
      <c r="AQ956">
        <v>0</v>
      </c>
      <c r="AR956">
        <v>21</v>
      </c>
      <c r="AS956" t="str">
        <f t="shared" si="220"/>
        <v>21-40</v>
      </c>
      <c r="AT956">
        <v>3</v>
      </c>
      <c r="AU956" t="str">
        <f t="shared" si="221"/>
        <v>3-4</v>
      </c>
      <c r="AV956">
        <v>2</v>
      </c>
      <c r="AW956" t="s">
        <v>84</v>
      </c>
      <c r="AX956">
        <v>20</v>
      </c>
      <c r="AY956" t="str">
        <f t="shared" si="210"/>
        <v>11-20</v>
      </c>
      <c r="AZ956">
        <v>8</v>
      </c>
      <c r="BA956" t="str">
        <f t="shared" si="222"/>
        <v>6-10</v>
      </c>
      <c r="BB956">
        <v>2</v>
      </c>
      <c r="BC956" t="str">
        <f t="shared" si="223"/>
        <v>2-5</v>
      </c>
      <c r="BD956">
        <v>10</v>
      </c>
      <c r="BE956" t="str">
        <f t="shared" si="224"/>
        <v>6-10</v>
      </c>
    </row>
    <row r="957" spans="1:57" x14ac:dyDescent="0.3">
      <c r="A957">
        <v>1336</v>
      </c>
      <c r="B957">
        <v>55</v>
      </c>
      <c r="C957" t="str">
        <f t="shared" si="211"/>
        <v>46-55</v>
      </c>
      <c r="D957" t="s">
        <v>71</v>
      </c>
      <c r="E957">
        <f t="shared" si="212"/>
        <v>0</v>
      </c>
      <c r="F957" t="s">
        <v>57</v>
      </c>
      <c r="G957">
        <v>282</v>
      </c>
      <c r="H957" t="str">
        <f t="shared" si="213"/>
        <v>102-500</v>
      </c>
      <c r="I957" t="s">
        <v>73</v>
      </c>
      <c r="J957">
        <v>2</v>
      </c>
      <c r="K957" t="str">
        <f t="shared" si="214"/>
        <v>1-5</v>
      </c>
      <c r="L957">
        <v>2</v>
      </c>
      <c r="M957" t="s">
        <v>59</v>
      </c>
      <c r="N957" t="s">
        <v>83</v>
      </c>
      <c r="O957">
        <v>1</v>
      </c>
      <c r="P957">
        <v>4</v>
      </c>
      <c r="Q957" t="s">
        <v>65</v>
      </c>
      <c r="R957" t="s">
        <v>62</v>
      </c>
      <c r="S957">
        <v>58</v>
      </c>
      <c r="T957" t="str">
        <f t="shared" si="215"/>
        <v>51-75</v>
      </c>
      <c r="U957">
        <v>1</v>
      </c>
      <c r="V957" t="s">
        <v>69</v>
      </c>
      <c r="W957">
        <v>5</v>
      </c>
      <c r="X957" t="s">
        <v>90</v>
      </c>
      <c r="Y957">
        <v>3</v>
      </c>
      <c r="Z957" t="s">
        <v>63</v>
      </c>
      <c r="AA957" t="s">
        <v>77</v>
      </c>
      <c r="AB957" s="4">
        <v>19187</v>
      </c>
      <c r="AC957" s="4" t="str">
        <f t="shared" si="216"/>
        <v>$19,000-$20,500</v>
      </c>
      <c r="AD957">
        <v>6992</v>
      </c>
      <c r="AE957" t="str">
        <f t="shared" si="217"/>
        <v>$2,094-$8,000</v>
      </c>
      <c r="AF957">
        <v>4</v>
      </c>
      <c r="AG957" t="str">
        <f t="shared" si="218"/>
        <v>4-6</v>
      </c>
      <c r="AH957" t="s">
        <v>67</v>
      </c>
      <c r="AI957" t="s">
        <v>71</v>
      </c>
      <c r="AJ957">
        <v>14</v>
      </c>
      <c r="AK957" t="str">
        <f t="shared" si="219"/>
        <v>13-15%</v>
      </c>
      <c r="AL957">
        <v>3</v>
      </c>
      <c r="AM957" t="s">
        <v>68</v>
      </c>
      <c r="AN957">
        <v>4</v>
      </c>
      <c r="AO957" t="s">
        <v>65</v>
      </c>
      <c r="AP957">
        <v>80</v>
      </c>
      <c r="AQ957">
        <v>1</v>
      </c>
      <c r="AR957">
        <v>23</v>
      </c>
      <c r="AS957" t="str">
        <f t="shared" si="220"/>
        <v>21-40</v>
      </c>
      <c r="AT957">
        <v>5</v>
      </c>
      <c r="AU957" t="str">
        <f t="shared" si="221"/>
        <v>5-6</v>
      </c>
      <c r="AV957">
        <v>3</v>
      </c>
      <c r="AW957" t="s">
        <v>79</v>
      </c>
      <c r="AX957">
        <v>19</v>
      </c>
      <c r="AY957" t="str">
        <f t="shared" si="210"/>
        <v>11-20</v>
      </c>
      <c r="AZ957">
        <v>9</v>
      </c>
      <c r="BA957" t="str">
        <f t="shared" si="222"/>
        <v>6-10</v>
      </c>
      <c r="BB957">
        <v>9</v>
      </c>
      <c r="BC957" t="str">
        <f t="shared" si="223"/>
        <v>6-10</v>
      </c>
      <c r="BD957">
        <v>11</v>
      </c>
      <c r="BE957" t="str">
        <f t="shared" si="224"/>
        <v>11-17</v>
      </c>
    </row>
    <row r="958" spans="1:57" x14ac:dyDescent="0.3">
      <c r="A958">
        <v>1338</v>
      </c>
      <c r="B958">
        <v>56</v>
      </c>
      <c r="C958" t="str">
        <f t="shared" si="211"/>
        <v>56+</v>
      </c>
      <c r="D958" t="s">
        <v>71</v>
      </c>
      <c r="E958">
        <f t="shared" si="212"/>
        <v>0</v>
      </c>
      <c r="F958" t="s">
        <v>57</v>
      </c>
      <c r="G958">
        <v>206</v>
      </c>
      <c r="H958" t="str">
        <f t="shared" si="213"/>
        <v>102-500</v>
      </c>
      <c r="I958" t="s">
        <v>97</v>
      </c>
      <c r="J958">
        <v>8</v>
      </c>
      <c r="K958" t="str">
        <f t="shared" si="214"/>
        <v>6-10</v>
      </c>
      <c r="L958">
        <v>4</v>
      </c>
      <c r="M958" t="s">
        <v>82</v>
      </c>
      <c r="N958" t="s">
        <v>60</v>
      </c>
      <c r="O958">
        <v>1</v>
      </c>
      <c r="P958">
        <v>4</v>
      </c>
      <c r="Q958" t="s">
        <v>65</v>
      </c>
      <c r="R958" t="s">
        <v>75</v>
      </c>
      <c r="S958">
        <v>99</v>
      </c>
      <c r="T958" t="str">
        <f t="shared" si="215"/>
        <v>76-100</v>
      </c>
      <c r="U958">
        <v>3</v>
      </c>
      <c r="V958" t="s">
        <v>63</v>
      </c>
      <c r="W958">
        <v>5</v>
      </c>
      <c r="X958" t="s">
        <v>90</v>
      </c>
      <c r="Y958">
        <v>2</v>
      </c>
      <c r="Z958" t="s">
        <v>61</v>
      </c>
      <c r="AA958" t="s">
        <v>66</v>
      </c>
      <c r="AB958" s="4">
        <v>19717</v>
      </c>
      <c r="AC958" s="4" t="str">
        <f t="shared" si="216"/>
        <v>$19,000-$20,500</v>
      </c>
      <c r="AD958">
        <v>4022</v>
      </c>
      <c r="AE958" t="str">
        <f t="shared" si="217"/>
        <v>$2,094-$8,000</v>
      </c>
      <c r="AF958">
        <v>6</v>
      </c>
      <c r="AG958" t="str">
        <f t="shared" si="218"/>
        <v>4-6</v>
      </c>
      <c r="AH958" t="s">
        <v>67</v>
      </c>
      <c r="AI958" t="s">
        <v>71</v>
      </c>
      <c r="AJ958">
        <v>14</v>
      </c>
      <c r="AK958" t="str">
        <f t="shared" si="219"/>
        <v>13-15%</v>
      </c>
      <c r="AL958">
        <v>3</v>
      </c>
      <c r="AM958" t="s">
        <v>68</v>
      </c>
      <c r="AN958">
        <v>1</v>
      </c>
      <c r="AO958" t="s">
        <v>69</v>
      </c>
      <c r="AP958">
        <v>80</v>
      </c>
      <c r="AQ958">
        <v>0</v>
      </c>
      <c r="AR958">
        <v>36</v>
      </c>
      <c r="AS958" t="str">
        <f t="shared" si="220"/>
        <v>21-40</v>
      </c>
      <c r="AT958">
        <v>4</v>
      </c>
      <c r="AU958" t="str">
        <f t="shared" si="221"/>
        <v>3-4</v>
      </c>
      <c r="AV958">
        <v>3</v>
      </c>
      <c r="AW958" t="s">
        <v>79</v>
      </c>
      <c r="AX958">
        <v>7</v>
      </c>
      <c r="AY958" t="str">
        <f t="shared" si="210"/>
        <v>6-10</v>
      </c>
      <c r="AZ958">
        <v>3</v>
      </c>
      <c r="BA958" t="str">
        <f t="shared" si="222"/>
        <v>2-5</v>
      </c>
      <c r="BB958">
        <v>7</v>
      </c>
      <c r="BC958" t="str">
        <f t="shared" si="223"/>
        <v>6-10</v>
      </c>
      <c r="BD958">
        <v>7</v>
      </c>
      <c r="BE958" t="str">
        <f t="shared" si="224"/>
        <v>6-10</v>
      </c>
    </row>
    <row r="959" spans="1:57" x14ac:dyDescent="0.3">
      <c r="A959">
        <v>1340</v>
      </c>
      <c r="B959">
        <v>40</v>
      </c>
      <c r="C959" t="str">
        <f t="shared" si="211"/>
        <v>36-45</v>
      </c>
      <c r="D959" t="s">
        <v>71</v>
      </c>
      <c r="E959">
        <f t="shared" si="212"/>
        <v>0</v>
      </c>
      <c r="F959" t="s">
        <v>89</v>
      </c>
      <c r="G959">
        <v>458</v>
      </c>
      <c r="H959" t="str">
        <f t="shared" si="213"/>
        <v>102-500</v>
      </c>
      <c r="I959" t="s">
        <v>73</v>
      </c>
      <c r="J959">
        <v>16</v>
      </c>
      <c r="K959" t="str">
        <f t="shared" si="214"/>
        <v>11-20</v>
      </c>
      <c r="L959">
        <v>2</v>
      </c>
      <c r="M959" t="s">
        <v>59</v>
      </c>
      <c r="N959" t="s">
        <v>60</v>
      </c>
      <c r="O959">
        <v>1</v>
      </c>
      <c r="P959">
        <v>3</v>
      </c>
      <c r="Q959" t="s">
        <v>63</v>
      </c>
      <c r="R959" t="s">
        <v>75</v>
      </c>
      <c r="S959">
        <v>74</v>
      </c>
      <c r="T959" t="str">
        <f t="shared" si="215"/>
        <v>51-75</v>
      </c>
      <c r="U959">
        <v>3</v>
      </c>
      <c r="V959" t="s">
        <v>63</v>
      </c>
      <c r="W959">
        <v>1</v>
      </c>
      <c r="X959" t="s">
        <v>76</v>
      </c>
      <c r="Y959">
        <v>3</v>
      </c>
      <c r="Z959" t="s">
        <v>63</v>
      </c>
      <c r="AA959" t="s">
        <v>86</v>
      </c>
      <c r="AB959" s="4">
        <v>3544</v>
      </c>
      <c r="AC959" s="4" t="str">
        <f t="shared" si="216"/>
        <v>$2,500-$4,000</v>
      </c>
      <c r="AD959">
        <v>8532</v>
      </c>
      <c r="AE959" t="str">
        <f t="shared" si="217"/>
        <v>$8,001-$16,000</v>
      </c>
      <c r="AF959">
        <v>9</v>
      </c>
      <c r="AG959" t="str">
        <f t="shared" si="218"/>
        <v>7-9</v>
      </c>
      <c r="AH959" t="s">
        <v>67</v>
      </c>
      <c r="AI959" t="s">
        <v>71</v>
      </c>
      <c r="AJ959">
        <v>16</v>
      </c>
      <c r="AK959" t="str">
        <f t="shared" si="219"/>
        <v>16-17%</v>
      </c>
      <c r="AL959">
        <v>3</v>
      </c>
      <c r="AM959" t="s">
        <v>68</v>
      </c>
      <c r="AN959">
        <v>2</v>
      </c>
      <c r="AO959" t="s">
        <v>61</v>
      </c>
      <c r="AP959">
        <v>80</v>
      </c>
      <c r="AQ959">
        <v>1</v>
      </c>
      <c r="AR959">
        <v>6</v>
      </c>
      <c r="AS959" t="str">
        <f t="shared" si="220"/>
        <v>6-10</v>
      </c>
      <c r="AT959">
        <v>0</v>
      </c>
      <c r="AU959" t="str">
        <f t="shared" si="221"/>
        <v>0-2</v>
      </c>
      <c r="AV959">
        <v>3</v>
      </c>
      <c r="AW959" t="s">
        <v>79</v>
      </c>
      <c r="AX959">
        <v>4</v>
      </c>
      <c r="AY959" t="str">
        <f t="shared" si="210"/>
        <v>2-5</v>
      </c>
      <c r="AZ959">
        <v>2</v>
      </c>
      <c r="BA959" t="str">
        <f t="shared" si="222"/>
        <v>2-5</v>
      </c>
      <c r="BB959">
        <v>0</v>
      </c>
      <c r="BC959" t="str">
        <f t="shared" si="223"/>
        <v>0-1</v>
      </c>
      <c r="BD959">
        <v>0</v>
      </c>
      <c r="BE959" t="str">
        <f t="shared" si="224"/>
        <v>0-1</v>
      </c>
    </row>
    <row r="960" spans="1:57" x14ac:dyDescent="0.3">
      <c r="A960">
        <v>1344</v>
      </c>
      <c r="B960">
        <v>34</v>
      </c>
      <c r="C960" t="str">
        <f t="shared" si="211"/>
        <v>26-35</v>
      </c>
      <c r="D960" t="s">
        <v>71</v>
      </c>
      <c r="E960">
        <f t="shared" si="212"/>
        <v>0</v>
      </c>
      <c r="F960" t="s">
        <v>57</v>
      </c>
      <c r="G960">
        <v>943</v>
      </c>
      <c r="H960" t="str">
        <f t="shared" si="213"/>
        <v>501-1000</v>
      </c>
      <c r="I960" t="s">
        <v>73</v>
      </c>
      <c r="J960">
        <v>9</v>
      </c>
      <c r="K960" t="str">
        <f t="shared" si="214"/>
        <v>6-10</v>
      </c>
      <c r="L960">
        <v>3</v>
      </c>
      <c r="M960" t="s">
        <v>85</v>
      </c>
      <c r="N960" t="s">
        <v>60</v>
      </c>
      <c r="O960">
        <v>1</v>
      </c>
      <c r="P960">
        <v>4</v>
      </c>
      <c r="Q960" t="s">
        <v>65</v>
      </c>
      <c r="R960" t="s">
        <v>75</v>
      </c>
      <c r="S960">
        <v>86</v>
      </c>
      <c r="T960" t="str">
        <f t="shared" si="215"/>
        <v>76-100</v>
      </c>
      <c r="U960">
        <v>3</v>
      </c>
      <c r="V960" t="s">
        <v>63</v>
      </c>
      <c r="W960">
        <v>3</v>
      </c>
      <c r="X960" t="s">
        <v>88</v>
      </c>
      <c r="Y960">
        <v>4</v>
      </c>
      <c r="Z960" t="s">
        <v>65</v>
      </c>
      <c r="AA960" t="s">
        <v>86</v>
      </c>
      <c r="AB960" s="4">
        <v>8500</v>
      </c>
      <c r="AC960" s="4" t="str">
        <f t="shared" si="216"/>
        <v>$8,500-$10,000</v>
      </c>
      <c r="AD960">
        <v>5494</v>
      </c>
      <c r="AE960" t="str">
        <f t="shared" si="217"/>
        <v>$2,094-$8,000</v>
      </c>
      <c r="AF960">
        <v>0</v>
      </c>
      <c r="AG960" t="str">
        <f t="shared" si="218"/>
        <v>0-1</v>
      </c>
      <c r="AH960" t="s">
        <v>67</v>
      </c>
      <c r="AI960" t="s">
        <v>71</v>
      </c>
      <c r="AJ960">
        <v>11</v>
      </c>
      <c r="AK960" t="str">
        <f t="shared" si="219"/>
        <v>11-12%</v>
      </c>
      <c r="AL960">
        <v>3</v>
      </c>
      <c r="AM960" t="s">
        <v>68</v>
      </c>
      <c r="AN960">
        <v>4</v>
      </c>
      <c r="AO960" t="s">
        <v>65</v>
      </c>
      <c r="AP960">
        <v>80</v>
      </c>
      <c r="AQ960">
        <v>1</v>
      </c>
      <c r="AR960">
        <v>10</v>
      </c>
      <c r="AS960" t="str">
        <f t="shared" si="220"/>
        <v>6-10</v>
      </c>
      <c r="AT960">
        <v>0</v>
      </c>
      <c r="AU960" t="str">
        <f t="shared" si="221"/>
        <v>0-2</v>
      </c>
      <c r="AV960">
        <v>2</v>
      </c>
      <c r="AW960" t="s">
        <v>84</v>
      </c>
      <c r="AX960">
        <v>9</v>
      </c>
      <c r="AY960" t="str">
        <f t="shared" si="210"/>
        <v>6-10</v>
      </c>
      <c r="AZ960">
        <v>7</v>
      </c>
      <c r="BA960" t="str">
        <f t="shared" si="222"/>
        <v>6-10</v>
      </c>
      <c r="BB960">
        <v>1</v>
      </c>
      <c r="BC960" t="str">
        <f t="shared" si="223"/>
        <v>0-1</v>
      </c>
      <c r="BD960">
        <v>6</v>
      </c>
      <c r="BE960" t="str">
        <f t="shared" si="224"/>
        <v>6-10</v>
      </c>
    </row>
    <row r="961" spans="1:57" x14ac:dyDescent="0.3">
      <c r="A961">
        <v>1346</v>
      </c>
      <c r="B961">
        <v>40</v>
      </c>
      <c r="C961" t="str">
        <f t="shared" si="211"/>
        <v>36-45</v>
      </c>
      <c r="D961" t="s">
        <v>71</v>
      </c>
      <c r="E961">
        <f t="shared" si="212"/>
        <v>0</v>
      </c>
      <c r="F961" t="s">
        <v>57</v>
      </c>
      <c r="G961">
        <v>523</v>
      </c>
      <c r="H961" t="str">
        <f t="shared" si="213"/>
        <v>501-1000</v>
      </c>
      <c r="I961" t="s">
        <v>73</v>
      </c>
      <c r="J961">
        <v>2</v>
      </c>
      <c r="K961" t="str">
        <f t="shared" si="214"/>
        <v>1-5</v>
      </c>
      <c r="L961">
        <v>3</v>
      </c>
      <c r="M961" t="s">
        <v>85</v>
      </c>
      <c r="N961" t="s">
        <v>60</v>
      </c>
      <c r="O961">
        <v>1</v>
      </c>
      <c r="P961">
        <v>3</v>
      </c>
      <c r="Q961" t="s">
        <v>63</v>
      </c>
      <c r="R961" t="s">
        <v>75</v>
      </c>
      <c r="S961">
        <v>98</v>
      </c>
      <c r="T961" t="str">
        <f t="shared" si="215"/>
        <v>76-100</v>
      </c>
      <c r="U961">
        <v>3</v>
      </c>
      <c r="V961" t="s">
        <v>63</v>
      </c>
      <c r="W961">
        <v>2</v>
      </c>
      <c r="X961" t="s">
        <v>76</v>
      </c>
      <c r="Y961">
        <v>4</v>
      </c>
      <c r="Z961" t="s">
        <v>65</v>
      </c>
      <c r="AA961" t="s">
        <v>66</v>
      </c>
      <c r="AB961" s="4">
        <v>4661</v>
      </c>
      <c r="AC961" s="4" t="str">
        <f t="shared" si="216"/>
        <v>$4,000-$5,500</v>
      </c>
      <c r="AD961">
        <v>22455</v>
      </c>
      <c r="AE961" t="str">
        <f t="shared" si="217"/>
        <v>$22,001-$26,999</v>
      </c>
      <c r="AF961">
        <v>1</v>
      </c>
      <c r="AG961" t="str">
        <f t="shared" si="218"/>
        <v>0-1</v>
      </c>
      <c r="AH961" t="s">
        <v>67</v>
      </c>
      <c r="AI961" t="s">
        <v>71</v>
      </c>
      <c r="AJ961">
        <v>13</v>
      </c>
      <c r="AK961" t="str">
        <f t="shared" si="219"/>
        <v>13-15%</v>
      </c>
      <c r="AL961">
        <v>3</v>
      </c>
      <c r="AM961" t="s">
        <v>68</v>
      </c>
      <c r="AN961">
        <v>3</v>
      </c>
      <c r="AO961" t="s">
        <v>63</v>
      </c>
      <c r="AP961">
        <v>80</v>
      </c>
      <c r="AQ961">
        <v>0</v>
      </c>
      <c r="AR961">
        <v>9</v>
      </c>
      <c r="AS961" t="str">
        <f t="shared" si="220"/>
        <v>6-10</v>
      </c>
      <c r="AT961">
        <v>4</v>
      </c>
      <c r="AU961" t="str">
        <f t="shared" si="221"/>
        <v>3-4</v>
      </c>
      <c r="AV961">
        <v>3</v>
      </c>
      <c r="AW961" t="s">
        <v>79</v>
      </c>
      <c r="AX961">
        <v>9</v>
      </c>
      <c r="AY961" t="str">
        <f t="shared" si="210"/>
        <v>6-10</v>
      </c>
      <c r="AZ961">
        <v>8</v>
      </c>
      <c r="BA961" t="str">
        <f t="shared" si="222"/>
        <v>6-10</v>
      </c>
      <c r="BB961">
        <v>8</v>
      </c>
      <c r="BC961" t="str">
        <f t="shared" si="223"/>
        <v>6-10</v>
      </c>
      <c r="BD961">
        <v>8</v>
      </c>
      <c r="BE961" t="str">
        <f t="shared" si="224"/>
        <v>6-10</v>
      </c>
    </row>
    <row r="962" spans="1:57" x14ac:dyDescent="0.3">
      <c r="A962">
        <v>1349</v>
      </c>
      <c r="B962">
        <v>41</v>
      </c>
      <c r="C962" t="str">
        <f t="shared" si="211"/>
        <v>36-45</v>
      </c>
      <c r="D962" t="s">
        <v>71</v>
      </c>
      <c r="E962">
        <f t="shared" si="212"/>
        <v>0</v>
      </c>
      <c r="F962" t="s">
        <v>72</v>
      </c>
      <c r="G962">
        <v>1018</v>
      </c>
      <c r="H962" t="str">
        <f t="shared" si="213"/>
        <v>1001-1499</v>
      </c>
      <c r="I962" t="s">
        <v>58</v>
      </c>
      <c r="J962">
        <v>1</v>
      </c>
      <c r="K962" t="str">
        <f t="shared" si="214"/>
        <v>1-5</v>
      </c>
      <c r="L962">
        <v>3</v>
      </c>
      <c r="M962" t="s">
        <v>85</v>
      </c>
      <c r="N962" t="s">
        <v>93</v>
      </c>
      <c r="O962">
        <v>1</v>
      </c>
      <c r="P962">
        <v>3</v>
      </c>
      <c r="Q962" t="s">
        <v>63</v>
      </c>
      <c r="R962" t="s">
        <v>62</v>
      </c>
      <c r="S962">
        <v>66</v>
      </c>
      <c r="T962" t="str">
        <f t="shared" si="215"/>
        <v>51-75</v>
      </c>
      <c r="U962">
        <v>3</v>
      </c>
      <c r="V962" t="s">
        <v>63</v>
      </c>
      <c r="W962">
        <v>2</v>
      </c>
      <c r="X962" t="s">
        <v>64</v>
      </c>
      <c r="Y962">
        <v>1</v>
      </c>
      <c r="Z962" t="s">
        <v>69</v>
      </c>
      <c r="AA962" t="s">
        <v>86</v>
      </c>
      <c r="AB962" s="4">
        <v>4103</v>
      </c>
      <c r="AC962" s="4" t="str">
        <f t="shared" si="216"/>
        <v>$4,000-$5,500</v>
      </c>
      <c r="AD962">
        <v>4297</v>
      </c>
      <c r="AE962" t="str">
        <f t="shared" si="217"/>
        <v>$2,094-$8,000</v>
      </c>
      <c r="AF962">
        <v>0</v>
      </c>
      <c r="AG962" t="str">
        <f t="shared" si="218"/>
        <v>0-1</v>
      </c>
      <c r="AH962" t="s">
        <v>67</v>
      </c>
      <c r="AI962" t="s">
        <v>71</v>
      </c>
      <c r="AJ962">
        <v>17</v>
      </c>
      <c r="AK962" t="str">
        <f t="shared" si="219"/>
        <v>16-17%</v>
      </c>
      <c r="AL962">
        <v>3</v>
      </c>
      <c r="AM962" t="s">
        <v>68</v>
      </c>
      <c r="AN962">
        <v>4</v>
      </c>
      <c r="AO962" t="s">
        <v>65</v>
      </c>
      <c r="AP962">
        <v>80</v>
      </c>
      <c r="AQ962">
        <v>1</v>
      </c>
      <c r="AR962">
        <v>10</v>
      </c>
      <c r="AS962" t="str">
        <f t="shared" si="220"/>
        <v>6-10</v>
      </c>
      <c r="AT962">
        <v>2</v>
      </c>
      <c r="AU962" t="str">
        <f t="shared" si="221"/>
        <v>0-2</v>
      </c>
      <c r="AV962">
        <v>3</v>
      </c>
      <c r="AW962" t="s">
        <v>79</v>
      </c>
      <c r="AX962">
        <v>9</v>
      </c>
      <c r="AY962" t="str">
        <f t="shared" ref="AY962:AY1025" si="225">IF(AX962&lt;=1,"0-1",IF(AX962&lt;=5,"2-5",IF(AX962&lt;=10,"6-10",IF(AX962&lt;=20,"11-20","21-40"))))</f>
        <v>6-10</v>
      </c>
      <c r="AZ962">
        <v>3</v>
      </c>
      <c r="BA962" t="str">
        <f t="shared" si="222"/>
        <v>2-5</v>
      </c>
      <c r="BB962">
        <v>1</v>
      </c>
      <c r="BC962" t="str">
        <f t="shared" si="223"/>
        <v>0-1</v>
      </c>
      <c r="BD962">
        <v>7</v>
      </c>
      <c r="BE962" t="str">
        <f t="shared" si="224"/>
        <v>6-10</v>
      </c>
    </row>
    <row r="963" spans="1:57" x14ac:dyDescent="0.3">
      <c r="A963">
        <v>1350</v>
      </c>
      <c r="B963">
        <v>35</v>
      </c>
      <c r="C963" t="str">
        <f t="shared" ref="C963:C1026" si="226">IF(B963&lt;=25, "18-25", IF(B963&lt;=35, "26-35", IF(B963&lt;=45, "36-45", IF(B963&lt;=55, "46-55", "56+"))))</f>
        <v>26-35</v>
      </c>
      <c r="D963" t="s">
        <v>71</v>
      </c>
      <c r="E963">
        <f t="shared" ref="E963:E1026" si="227">IF(D963="Yes",1,0)</f>
        <v>0</v>
      </c>
      <c r="F963" t="s">
        <v>72</v>
      </c>
      <c r="G963">
        <v>482</v>
      </c>
      <c r="H963" t="str">
        <f t="shared" ref="H963:H1026" si="228">IF(G963&lt;=500,"102-500",IF(G963&lt;=1000,"501-1000","1001-1499"))</f>
        <v>102-500</v>
      </c>
      <c r="I963" t="s">
        <v>73</v>
      </c>
      <c r="J963">
        <v>4</v>
      </c>
      <c r="K963" t="str">
        <f t="shared" ref="K963:K1026" si="229">IF(J963&lt;=5,"1-5",IF(J963&lt;=10,"6-10",IF(J963&lt;=20,"11-20","21-29")))</f>
        <v>1-5</v>
      </c>
      <c r="L963">
        <v>4</v>
      </c>
      <c r="M963" t="s">
        <v>82</v>
      </c>
      <c r="N963" t="s">
        <v>60</v>
      </c>
      <c r="O963">
        <v>1</v>
      </c>
      <c r="P963">
        <v>3</v>
      </c>
      <c r="Q963" t="s">
        <v>63</v>
      </c>
      <c r="R963" t="s">
        <v>75</v>
      </c>
      <c r="S963">
        <v>87</v>
      </c>
      <c r="T963" t="str">
        <f t="shared" ref="T963:T1026" si="230">IF(S963&lt;=50,"30-50",IF(S963&lt;=75,"51-75","76-100"))</f>
        <v>76-100</v>
      </c>
      <c r="U963">
        <v>3</v>
      </c>
      <c r="V963" t="s">
        <v>63</v>
      </c>
      <c r="W963">
        <v>2</v>
      </c>
      <c r="X963" t="s">
        <v>76</v>
      </c>
      <c r="Y963">
        <v>3</v>
      </c>
      <c r="Z963" t="s">
        <v>63</v>
      </c>
      <c r="AA963" t="s">
        <v>66</v>
      </c>
      <c r="AB963" s="4">
        <v>4249</v>
      </c>
      <c r="AC963" s="4" t="str">
        <f t="shared" ref="AC963:AC1026" si="231">IF(AB963&lt;2500,"$1,000-$2,500",IF(AB963&lt;4000,"$2,500-$4,000",IF(AB963&lt;5500,"$4,000-$5,500",IF(AB963&lt;7000,"$5,500-$7,000",IF(AB963&lt;8500,"$7,000-$8,500",IF(AB963&lt;10000,"$8,500-$10,000",IF(AB963&lt;11500,"$10,000-$11,500",IF(AB963&lt;13000,"$11,500-$13,000",IF(AB963&lt;14500,"$13,000-$14,500",IF(AB963&lt;16000,"$14,500-$16,000",IF(AB963&lt;17500,"$16,000-$17,500",IF(AB963&lt;19000,"$17,500-$19,000",IF(AB963&lt;20500,"$19,000-$20,500",IF(AB963&lt;22000,"$20,500-$22,000",IF(AB963&lt;23500,"$22,000-$23,500",IF(AB963&lt;25000,"$23,500-$25,000",IF(AB963&lt;26500,"$25,000-$26,500",IF(AB963&lt;28000,"$26,500-$28,000",IF(AB963&lt;29500,"$28,000-$29,500","$29,500+")))))))))))))))))))</f>
        <v>$4,000-$5,500</v>
      </c>
      <c r="AD963">
        <v>2690</v>
      </c>
      <c r="AE963" t="str">
        <f t="shared" ref="AE963:AE1026" si="232">IF(AD963&lt;=8000,"$2,094-$8,000",IF(AD963&lt;=16000,"$8,001-$16,000",IF(AD963&lt;=22000,"$16,001-$22,000","$22,001-$26,999")))</f>
        <v>$2,094-$8,000</v>
      </c>
      <c r="AF963">
        <v>1</v>
      </c>
      <c r="AG963" t="str">
        <f t="shared" ref="AG963:AG1026" si="233">IF(AF963&lt;=1,"0-1",IF(AF963&lt;=3,"2-3",IF(AF963&lt;=6,"4-6","7-9")))</f>
        <v>0-1</v>
      </c>
      <c r="AH963" t="s">
        <v>67</v>
      </c>
      <c r="AI963" t="s">
        <v>56</v>
      </c>
      <c r="AJ963">
        <v>11</v>
      </c>
      <c r="AK963" t="str">
        <f t="shared" ref="AK963:AK1026" si="234">IF(AJ963&lt;=12,"11-12%",IF(AJ963&lt;=15,"13-15%",IF(AJ963&lt;=17,"16-17%","18-19%")))</f>
        <v>11-12%</v>
      </c>
      <c r="AL963">
        <v>3</v>
      </c>
      <c r="AM963" t="s">
        <v>68</v>
      </c>
      <c r="AN963">
        <v>2</v>
      </c>
      <c r="AO963" t="s">
        <v>61</v>
      </c>
      <c r="AP963">
        <v>80</v>
      </c>
      <c r="AQ963">
        <v>0</v>
      </c>
      <c r="AR963">
        <v>9</v>
      </c>
      <c r="AS963" t="str">
        <f t="shared" ref="AS963:AS1026" si="235">IF(AR963&lt;=2,"0-2",IF(AR963&lt;=5,"3-5",IF(AR963&lt;=10,"6-10",IF(AR963&lt;=20,"11-20","21-40"))))</f>
        <v>6-10</v>
      </c>
      <c r="AT963">
        <v>3</v>
      </c>
      <c r="AU963" t="str">
        <f t="shared" ref="AU963:AU1026" si="236">IF(AT963&lt;=2,"0-2",IF(AT963&lt;=4,"3-4","5-6"))</f>
        <v>3-4</v>
      </c>
      <c r="AV963">
        <v>3</v>
      </c>
      <c r="AW963" t="s">
        <v>79</v>
      </c>
      <c r="AX963">
        <v>9</v>
      </c>
      <c r="AY963" t="str">
        <f t="shared" si="225"/>
        <v>6-10</v>
      </c>
      <c r="AZ963">
        <v>6</v>
      </c>
      <c r="BA963" t="str">
        <f t="shared" ref="BA963:BA1026" si="237">IF(AZ963&lt;=1,"0-1",IF(AZ963&lt;=5,"2-5",IF(AZ963&lt;=10,"6-10","11-18")))</f>
        <v>6-10</v>
      </c>
      <c r="BB963">
        <v>1</v>
      </c>
      <c r="BC963" t="str">
        <f t="shared" ref="BC963:BC1026" si="238">IF(BB963&lt;=1,"0-1",IF(BB963&lt;=5,"2-5",IF(BB963&lt;=10,"6-10","11-15")))</f>
        <v>0-1</v>
      </c>
      <c r="BD963">
        <v>1</v>
      </c>
      <c r="BE963" t="str">
        <f t="shared" ref="BE963:BE1026" si="239">IF(BD963&lt;=1,"0-1",IF(BD963&lt;=5,"2-5",IF(BD963&lt;=10,"6-10","11-17")))</f>
        <v>0-1</v>
      </c>
    </row>
    <row r="964" spans="1:57" x14ac:dyDescent="0.3">
      <c r="A964">
        <v>1352</v>
      </c>
      <c r="B964">
        <v>51</v>
      </c>
      <c r="C964" t="str">
        <f t="shared" si="226"/>
        <v>46-55</v>
      </c>
      <c r="D964" t="s">
        <v>71</v>
      </c>
      <c r="E964">
        <f t="shared" si="227"/>
        <v>0</v>
      </c>
      <c r="F964" t="s">
        <v>57</v>
      </c>
      <c r="G964">
        <v>770</v>
      </c>
      <c r="H964" t="str">
        <f t="shared" si="228"/>
        <v>501-1000</v>
      </c>
      <c r="I964" t="s">
        <v>97</v>
      </c>
      <c r="J964">
        <v>5</v>
      </c>
      <c r="K964" t="str">
        <f t="shared" si="229"/>
        <v>1-5</v>
      </c>
      <c r="L964">
        <v>3</v>
      </c>
      <c r="M964" t="s">
        <v>85</v>
      </c>
      <c r="N964" t="s">
        <v>60</v>
      </c>
      <c r="O964">
        <v>1</v>
      </c>
      <c r="P964">
        <v>3</v>
      </c>
      <c r="Q964" t="s">
        <v>63</v>
      </c>
      <c r="R964" t="s">
        <v>75</v>
      </c>
      <c r="S964">
        <v>84</v>
      </c>
      <c r="T964" t="str">
        <f t="shared" si="230"/>
        <v>76-100</v>
      </c>
      <c r="U964">
        <v>3</v>
      </c>
      <c r="V964" t="s">
        <v>63</v>
      </c>
      <c r="W964">
        <v>4</v>
      </c>
      <c r="X964" t="s">
        <v>90</v>
      </c>
      <c r="Y964">
        <v>2</v>
      </c>
      <c r="Z964" t="s">
        <v>61</v>
      </c>
      <c r="AA964" t="s">
        <v>86</v>
      </c>
      <c r="AB964" s="4">
        <v>14026</v>
      </c>
      <c r="AC964" s="4" t="str">
        <f t="shared" si="231"/>
        <v>$13,000-$14,500</v>
      </c>
      <c r="AD964">
        <v>17588</v>
      </c>
      <c r="AE964" t="str">
        <f t="shared" si="232"/>
        <v>$16,001-$22,000</v>
      </c>
      <c r="AF964">
        <v>1</v>
      </c>
      <c r="AG964" t="str">
        <f t="shared" si="233"/>
        <v>0-1</v>
      </c>
      <c r="AH964" t="s">
        <v>67</v>
      </c>
      <c r="AI964" t="s">
        <v>56</v>
      </c>
      <c r="AJ964">
        <v>11</v>
      </c>
      <c r="AK964" t="str">
        <f t="shared" si="234"/>
        <v>11-12%</v>
      </c>
      <c r="AL964">
        <v>3</v>
      </c>
      <c r="AM964" t="s">
        <v>68</v>
      </c>
      <c r="AN964">
        <v>2</v>
      </c>
      <c r="AO964" t="s">
        <v>61</v>
      </c>
      <c r="AP964">
        <v>80</v>
      </c>
      <c r="AQ964">
        <v>1</v>
      </c>
      <c r="AR964">
        <v>33</v>
      </c>
      <c r="AS964" t="str">
        <f t="shared" si="235"/>
        <v>21-40</v>
      </c>
      <c r="AT964">
        <v>2</v>
      </c>
      <c r="AU964" t="str">
        <f t="shared" si="236"/>
        <v>0-2</v>
      </c>
      <c r="AV964">
        <v>3</v>
      </c>
      <c r="AW964" t="s">
        <v>79</v>
      </c>
      <c r="AX964">
        <v>33</v>
      </c>
      <c r="AY964" t="str">
        <f t="shared" si="225"/>
        <v>21-40</v>
      </c>
      <c r="AZ964">
        <v>9</v>
      </c>
      <c r="BA964" t="str">
        <f t="shared" si="237"/>
        <v>6-10</v>
      </c>
      <c r="BB964">
        <v>0</v>
      </c>
      <c r="BC964" t="str">
        <f t="shared" si="238"/>
        <v>0-1</v>
      </c>
      <c r="BD964">
        <v>10</v>
      </c>
      <c r="BE964" t="str">
        <f t="shared" si="239"/>
        <v>6-10</v>
      </c>
    </row>
    <row r="965" spans="1:57" x14ac:dyDescent="0.3">
      <c r="A965">
        <v>1355</v>
      </c>
      <c r="B965">
        <v>38</v>
      </c>
      <c r="C965" t="str">
        <f t="shared" si="226"/>
        <v>36-45</v>
      </c>
      <c r="D965" t="s">
        <v>71</v>
      </c>
      <c r="E965">
        <f t="shared" si="227"/>
        <v>0</v>
      </c>
      <c r="F965" t="s">
        <v>57</v>
      </c>
      <c r="G965">
        <v>1009</v>
      </c>
      <c r="H965" t="str">
        <f t="shared" si="228"/>
        <v>1001-1499</v>
      </c>
      <c r="I965" t="s">
        <v>58</v>
      </c>
      <c r="J965">
        <v>2</v>
      </c>
      <c r="K965" t="str">
        <f t="shared" si="229"/>
        <v>1-5</v>
      </c>
      <c r="L965">
        <v>2</v>
      </c>
      <c r="M965" t="s">
        <v>59</v>
      </c>
      <c r="N965" t="s">
        <v>60</v>
      </c>
      <c r="O965">
        <v>1</v>
      </c>
      <c r="P965">
        <v>2</v>
      </c>
      <c r="Q965" t="s">
        <v>61</v>
      </c>
      <c r="R965" t="s">
        <v>62</v>
      </c>
      <c r="S965">
        <v>31</v>
      </c>
      <c r="T965" t="str">
        <f t="shared" si="230"/>
        <v>30-50</v>
      </c>
      <c r="U965">
        <v>3</v>
      </c>
      <c r="V965" t="s">
        <v>63</v>
      </c>
      <c r="W965">
        <v>2</v>
      </c>
      <c r="X965" t="s">
        <v>64</v>
      </c>
      <c r="Y965">
        <v>1</v>
      </c>
      <c r="Z965" t="s">
        <v>69</v>
      </c>
      <c r="AA965" t="s">
        <v>86</v>
      </c>
      <c r="AB965" s="4">
        <v>6893</v>
      </c>
      <c r="AC965" s="4" t="str">
        <f t="shared" si="231"/>
        <v>$5,500-$7,000</v>
      </c>
      <c r="AD965">
        <v>19461</v>
      </c>
      <c r="AE965" t="str">
        <f t="shared" si="232"/>
        <v>$16,001-$22,000</v>
      </c>
      <c r="AF965">
        <v>3</v>
      </c>
      <c r="AG965" t="str">
        <f t="shared" si="233"/>
        <v>2-3</v>
      </c>
      <c r="AH965" t="s">
        <v>67</v>
      </c>
      <c r="AI965" t="s">
        <v>71</v>
      </c>
      <c r="AJ965">
        <v>15</v>
      </c>
      <c r="AK965" t="str">
        <f t="shared" si="234"/>
        <v>13-15%</v>
      </c>
      <c r="AL965">
        <v>3</v>
      </c>
      <c r="AM965" t="s">
        <v>68</v>
      </c>
      <c r="AN965">
        <v>4</v>
      </c>
      <c r="AO965" t="s">
        <v>65</v>
      </c>
      <c r="AP965">
        <v>80</v>
      </c>
      <c r="AQ965">
        <v>1</v>
      </c>
      <c r="AR965">
        <v>11</v>
      </c>
      <c r="AS965" t="str">
        <f t="shared" si="235"/>
        <v>11-20</v>
      </c>
      <c r="AT965">
        <v>3</v>
      </c>
      <c r="AU965" t="str">
        <f t="shared" si="236"/>
        <v>3-4</v>
      </c>
      <c r="AV965">
        <v>3</v>
      </c>
      <c r="AW965" t="s">
        <v>79</v>
      </c>
      <c r="AX965">
        <v>7</v>
      </c>
      <c r="AY965" t="str">
        <f t="shared" si="225"/>
        <v>6-10</v>
      </c>
      <c r="AZ965">
        <v>7</v>
      </c>
      <c r="BA965" t="str">
        <f t="shared" si="237"/>
        <v>6-10</v>
      </c>
      <c r="BB965">
        <v>1</v>
      </c>
      <c r="BC965" t="str">
        <f t="shared" si="238"/>
        <v>0-1</v>
      </c>
      <c r="BD965">
        <v>7</v>
      </c>
      <c r="BE965" t="str">
        <f t="shared" si="239"/>
        <v>6-10</v>
      </c>
    </row>
    <row r="966" spans="1:57" x14ac:dyDescent="0.3">
      <c r="A966">
        <v>1356</v>
      </c>
      <c r="B966">
        <v>34</v>
      </c>
      <c r="C966" t="str">
        <f t="shared" si="226"/>
        <v>26-35</v>
      </c>
      <c r="D966" t="s">
        <v>71</v>
      </c>
      <c r="E966">
        <f t="shared" si="227"/>
        <v>0</v>
      </c>
      <c r="F966" t="s">
        <v>57</v>
      </c>
      <c r="G966">
        <v>507</v>
      </c>
      <c r="H966" t="str">
        <f t="shared" si="228"/>
        <v>501-1000</v>
      </c>
      <c r="I966" t="s">
        <v>58</v>
      </c>
      <c r="J966">
        <v>15</v>
      </c>
      <c r="K966" t="str">
        <f t="shared" si="229"/>
        <v>11-20</v>
      </c>
      <c r="L966">
        <v>2</v>
      </c>
      <c r="M966" t="s">
        <v>59</v>
      </c>
      <c r="N966" t="s">
        <v>83</v>
      </c>
      <c r="O966">
        <v>1</v>
      </c>
      <c r="P966">
        <v>3</v>
      </c>
      <c r="Q966" t="s">
        <v>63</v>
      </c>
      <c r="R966" t="s">
        <v>62</v>
      </c>
      <c r="S966">
        <v>66</v>
      </c>
      <c r="T966" t="str">
        <f t="shared" si="230"/>
        <v>51-75</v>
      </c>
      <c r="U966">
        <v>3</v>
      </c>
      <c r="V966" t="s">
        <v>63</v>
      </c>
      <c r="W966">
        <v>2</v>
      </c>
      <c r="X966" t="s">
        <v>64</v>
      </c>
      <c r="Y966">
        <v>1</v>
      </c>
      <c r="Z966" t="s">
        <v>69</v>
      </c>
      <c r="AA966" t="s">
        <v>66</v>
      </c>
      <c r="AB966" s="4">
        <v>6125</v>
      </c>
      <c r="AC966" s="4" t="str">
        <f t="shared" si="231"/>
        <v>$5,500-$7,000</v>
      </c>
      <c r="AD966">
        <v>23553</v>
      </c>
      <c r="AE966" t="str">
        <f t="shared" si="232"/>
        <v>$22,001-$26,999</v>
      </c>
      <c r="AF966">
        <v>1</v>
      </c>
      <c r="AG966" t="str">
        <f t="shared" si="233"/>
        <v>0-1</v>
      </c>
      <c r="AH966" t="s">
        <v>67</v>
      </c>
      <c r="AI966" t="s">
        <v>71</v>
      </c>
      <c r="AJ966">
        <v>12</v>
      </c>
      <c r="AK966" t="str">
        <f t="shared" si="234"/>
        <v>11-12%</v>
      </c>
      <c r="AL966">
        <v>3</v>
      </c>
      <c r="AM966" t="s">
        <v>68</v>
      </c>
      <c r="AN966">
        <v>4</v>
      </c>
      <c r="AO966" t="s">
        <v>65</v>
      </c>
      <c r="AP966">
        <v>80</v>
      </c>
      <c r="AQ966">
        <v>0</v>
      </c>
      <c r="AR966">
        <v>10</v>
      </c>
      <c r="AS966" t="str">
        <f t="shared" si="235"/>
        <v>6-10</v>
      </c>
      <c r="AT966">
        <v>6</v>
      </c>
      <c r="AU966" t="str">
        <f t="shared" si="236"/>
        <v>5-6</v>
      </c>
      <c r="AV966">
        <v>4</v>
      </c>
      <c r="AW966" t="s">
        <v>94</v>
      </c>
      <c r="AX966">
        <v>10</v>
      </c>
      <c r="AY966" t="str">
        <f t="shared" si="225"/>
        <v>6-10</v>
      </c>
      <c r="AZ966">
        <v>8</v>
      </c>
      <c r="BA966" t="str">
        <f t="shared" si="237"/>
        <v>6-10</v>
      </c>
      <c r="BB966">
        <v>9</v>
      </c>
      <c r="BC966" t="str">
        <f t="shared" si="238"/>
        <v>6-10</v>
      </c>
      <c r="BD966">
        <v>6</v>
      </c>
      <c r="BE966" t="str">
        <f t="shared" si="239"/>
        <v>6-10</v>
      </c>
    </row>
    <row r="967" spans="1:57" x14ac:dyDescent="0.3">
      <c r="A967">
        <v>1358</v>
      </c>
      <c r="B967">
        <v>25</v>
      </c>
      <c r="C967" t="str">
        <f t="shared" si="226"/>
        <v>18-25</v>
      </c>
      <c r="D967" t="s">
        <v>71</v>
      </c>
      <c r="E967">
        <f t="shared" si="227"/>
        <v>0</v>
      </c>
      <c r="F967" t="s">
        <v>57</v>
      </c>
      <c r="G967">
        <v>882</v>
      </c>
      <c r="H967" t="str">
        <f t="shared" si="228"/>
        <v>501-1000</v>
      </c>
      <c r="I967" t="s">
        <v>73</v>
      </c>
      <c r="J967">
        <v>19</v>
      </c>
      <c r="K967" t="str">
        <f t="shared" si="229"/>
        <v>11-20</v>
      </c>
      <c r="L967">
        <v>1</v>
      </c>
      <c r="M967" t="s">
        <v>74</v>
      </c>
      <c r="N967" t="s">
        <v>83</v>
      </c>
      <c r="O967">
        <v>1</v>
      </c>
      <c r="P967">
        <v>4</v>
      </c>
      <c r="Q967" t="s">
        <v>65</v>
      </c>
      <c r="R967" t="s">
        <v>75</v>
      </c>
      <c r="S967">
        <v>67</v>
      </c>
      <c r="T967" t="str">
        <f t="shared" si="230"/>
        <v>51-75</v>
      </c>
      <c r="U967">
        <v>3</v>
      </c>
      <c r="V967" t="s">
        <v>63</v>
      </c>
      <c r="W967">
        <v>1</v>
      </c>
      <c r="X967" t="s">
        <v>81</v>
      </c>
      <c r="Y967">
        <v>4</v>
      </c>
      <c r="Z967" t="s">
        <v>65</v>
      </c>
      <c r="AA967" t="s">
        <v>77</v>
      </c>
      <c r="AB967" s="4">
        <v>3669</v>
      </c>
      <c r="AC967" s="4" t="str">
        <f t="shared" si="231"/>
        <v>$2,500-$4,000</v>
      </c>
      <c r="AD967">
        <v>9075</v>
      </c>
      <c r="AE967" t="str">
        <f t="shared" si="232"/>
        <v>$8,001-$16,000</v>
      </c>
      <c r="AF967">
        <v>3</v>
      </c>
      <c r="AG967" t="str">
        <f t="shared" si="233"/>
        <v>2-3</v>
      </c>
      <c r="AH967" t="s">
        <v>67</v>
      </c>
      <c r="AI967" t="s">
        <v>71</v>
      </c>
      <c r="AJ967">
        <v>11</v>
      </c>
      <c r="AK967" t="str">
        <f t="shared" si="234"/>
        <v>11-12%</v>
      </c>
      <c r="AL967">
        <v>3</v>
      </c>
      <c r="AM967" t="s">
        <v>68</v>
      </c>
      <c r="AN967">
        <v>3</v>
      </c>
      <c r="AO967" t="s">
        <v>63</v>
      </c>
      <c r="AP967">
        <v>80</v>
      </c>
      <c r="AQ967">
        <v>3</v>
      </c>
      <c r="AR967">
        <v>7</v>
      </c>
      <c r="AS967" t="str">
        <f t="shared" si="235"/>
        <v>6-10</v>
      </c>
      <c r="AT967">
        <v>6</v>
      </c>
      <c r="AU967" t="str">
        <f t="shared" si="236"/>
        <v>5-6</v>
      </c>
      <c r="AV967">
        <v>2</v>
      </c>
      <c r="AW967" t="s">
        <v>84</v>
      </c>
      <c r="AX967">
        <v>3</v>
      </c>
      <c r="AY967" t="str">
        <f t="shared" si="225"/>
        <v>2-5</v>
      </c>
      <c r="AZ967">
        <v>2</v>
      </c>
      <c r="BA967" t="str">
        <f t="shared" si="237"/>
        <v>2-5</v>
      </c>
      <c r="BB967">
        <v>1</v>
      </c>
      <c r="BC967" t="str">
        <f t="shared" si="238"/>
        <v>0-1</v>
      </c>
      <c r="BD967">
        <v>2</v>
      </c>
      <c r="BE967" t="str">
        <f t="shared" si="239"/>
        <v>2-5</v>
      </c>
    </row>
    <row r="968" spans="1:57" x14ac:dyDescent="0.3">
      <c r="A968">
        <v>1360</v>
      </c>
      <c r="B968">
        <v>58</v>
      </c>
      <c r="C968" t="str">
        <f t="shared" si="226"/>
        <v>56+</v>
      </c>
      <c r="D968" t="s">
        <v>56</v>
      </c>
      <c r="E968">
        <f t="shared" si="227"/>
        <v>1</v>
      </c>
      <c r="F968" t="s">
        <v>57</v>
      </c>
      <c r="G968">
        <v>601</v>
      </c>
      <c r="H968" t="str">
        <f t="shared" si="228"/>
        <v>501-1000</v>
      </c>
      <c r="I968" t="s">
        <v>73</v>
      </c>
      <c r="J968">
        <v>7</v>
      </c>
      <c r="K968" t="str">
        <f t="shared" si="229"/>
        <v>6-10</v>
      </c>
      <c r="L968">
        <v>4</v>
      </c>
      <c r="M968" t="s">
        <v>82</v>
      </c>
      <c r="N968" t="s">
        <v>83</v>
      </c>
      <c r="O968">
        <v>1</v>
      </c>
      <c r="P968">
        <v>3</v>
      </c>
      <c r="Q968" t="s">
        <v>63</v>
      </c>
      <c r="R968" t="s">
        <v>62</v>
      </c>
      <c r="S968">
        <v>53</v>
      </c>
      <c r="T968" t="str">
        <f t="shared" si="230"/>
        <v>51-75</v>
      </c>
      <c r="U968">
        <v>2</v>
      </c>
      <c r="V968" t="s">
        <v>61</v>
      </c>
      <c r="W968">
        <v>3</v>
      </c>
      <c r="X968" t="s">
        <v>87</v>
      </c>
      <c r="Y968">
        <v>1</v>
      </c>
      <c r="Z968" t="s">
        <v>69</v>
      </c>
      <c r="AA968" t="s">
        <v>77</v>
      </c>
      <c r="AB968" s="4">
        <v>10008</v>
      </c>
      <c r="AC968" s="4" t="str">
        <f t="shared" si="231"/>
        <v>$10,000-$11,500</v>
      </c>
      <c r="AD968">
        <v>12023</v>
      </c>
      <c r="AE968" t="str">
        <f t="shared" si="232"/>
        <v>$8,001-$16,000</v>
      </c>
      <c r="AF968">
        <v>7</v>
      </c>
      <c r="AG968" t="str">
        <f t="shared" si="233"/>
        <v>7-9</v>
      </c>
      <c r="AH968" t="s">
        <v>67</v>
      </c>
      <c r="AI968" t="s">
        <v>56</v>
      </c>
      <c r="AJ968">
        <v>14</v>
      </c>
      <c r="AK968" t="str">
        <f t="shared" si="234"/>
        <v>13-15%</v>
      </c>
      <c r="AL968">
        <v>3</v>
      </c>
      <c r="AM968" t="s">
        <v>68</v>
      </c>
      <c r="AN968">
        <v>4</v>
      </c>
      <c r="AO968" t="s">
        <v>65</v>
      </c>
      <c r="AP968">
        <v>80</v>
      </c>
      <c r="AQ968">
        <v>0</v>
      </c>
      <c r="AR968">
        <v>31</v>
      </c>
      <c r="AS968" t="str">
        <f t="shared" si="235"/>
        <v>21-40</v>
      </c>
      <c r="AT968">
        <v>0</v>
      </c>
      <c r="AU968" t="str">
        <f t="shared" si="236"/>
        <v>0-2</v>
      </c>
      <c r="AV968">
        <v>2</v>
      </c>
      <c r="AW968" t="s">
        <v>84</v>
      </c>
      <c r="AX968">
        <v>10</v>
      </c>
      <c r="AY968" t="str">
        <f t="shared" si="225"/>
        <v>6-10</v>
      </c>
      <c r="AZ968">
        <v>9</v>
      </c>
      <c r="BA968" t="str">
        <f t="shared" si="237"/>
        <v>6-10</v>
      </c>
      <c r="BB968">
        <v>5</v>
      </c>
      <c r="BC968" t="str">
        <f t="shared" si="238"/>
        <v>2-5</v>
      </c>
      <c r="BD968">
        <v>9</v>
      </c>
      <c r="BE968" t="str">
        <f t="shared" si="239"/>
        <v>6-10</v>
      </c>
    </row>
    <row r="969" spans="1:57" x14ac:dyDescent="0.3">
      <c r="A969">
        <v>1361</v>
      </c>
      <c r="B969">
        <v>40</v>
      </c>
      <c r="C969" t="str">
        <f t="shared" si="226"/>
        <v>36-45</v>
      </c>
      <c r="D969" t="s">
        <v>71</v>
      </c>
      <c r="E969">
        <f t="shared" si="227"/>
        <v>0</v>
      </c>
      <c r="F969" t="s">
        <v>57</v>
      </c>
      <c r="G969">
        <v>329</v>
      </c>
      <c r="H969" t="str">
        <f t="shared" si="228"/>
        <v>102-500</v>
      </c>
      <c r="I969" t="s">
        <v>73</v>
      </c>
      <c r="J969">
        <v>1</v>
      </c>
      <c r="K969" t="str">
        <f t="shared" si="229"/>
        <v>1-5</v>
      </c>
      <c r="L969">
        <v>4</v>
      </c>
      <c r="M969" t="s">
        <v>82</v>
      </c>
      <c r="N969" t="s">
        <v>60</v>
      </c>
      <c r="O969">
        <v>1</v>
      </c>
      <c r="P969">
        <v>2</v>
      </c>
      <c r="Q969" t="s">
        <v>61</v>
      </c>
      <c r="R969" t="s">
        <v>75</v>
      </c>
      <c r="S969">
        <v>88</v>
      </c>
      <c r="T969" t="str">
        <f t="shared" si="230"/>
        <v>76-100</v>
      </c>
      <c r="U969">
        <v>3</v>
      </c>
      <c r="V969" t="s">
        <v>63</v>
      </c>
      <c r="W969">
        <v>1</v>
      </c>
      <c r="X969" t="s">
        <v>81</v>
      </c>
      <c r="Y969">
        <v>2</v>
      </c>
      <c r="Z969" t="s">
        <v>61</v>
      </c>
      <c r="AA969" t="s">
        <v>77</v>
      </c>
      <c r="AB969" s="4">
        <v>2387</v>
      </c>
      <c r="AC969" s="4" t="str">
        <f t="shared" si="231"/>
        <v>$1,000-$2,500</v>
      </c>
      <c r="AD969">
        <v>6762</v>
      </c>
      <c r="AE969" t="str">
        <f t="shared" si="232"/>
        <v>$2,094-$8,000</v>
      </c>
      <c r="AF969">
        <v>3</v>
      </c>
      <c r="AG969" t="str">
        <f t="shared" si="233"/>
        <v>2-3</v>
      </c>
      <c r="AH969" t="s">
        <v>67</v>
      </c>
      <c r="AI969" t="s">
        <v>71</v>
      </c>
      <c r="AJ969">
        <v>22</v>
      </c>
      <c r="AK969" t="str">
        <f t="shared" si="234"/>
        <v>18-19%</v>
      </c>
      <c r="AL969">
        <v>4</v>
      </c>
      <c r="AM969" t="s">
        <v>78</v>
      </c>
      <c r="AN969">
        <v>3</v>
      </c>
      <c r="AO969" t="s">
        <v>63</v>
      </c>
      <c r="AP969">
        <v>80</v>
      </c>
      <c r="AQ969">
        <v>1</v>
      </c>
      <c r="AR969">
        <v>7</v>
      </c>
      <c r="AS969" t="str">
        <f t="shared" si="235"/>
        <v>6-10</v>
      </c>
      <c r="AT969">
        <v>3</v>
      </c>
      <c r="AU969" t="str">
        <f t="shared" si="236"/>
        <v>3-4</v>
      </c>
      <c r="AV969">
        <v>3</v>
      </c>
      <c r="AW969" t="s">
        <v>79</v>
      </c>
      <c r="AX969">
        <v>4</v>
      </c>
      <c r="AY969" t="str">
        <f t="shared" si="225"/>
        <v>2-5</v>
      </c>
      <c r="AZ969">
        <v>2</v>
      </c>
      <c r="BA969" t="str">
        <f t="shared" si="237"/>
        <v>2-5</v>
      </c>
      <c r="BB969">
        <v>0</v>
      </c>
      <c r="BC969" t="str">
        <f t="shared" si="238"/>
        <v>0-1</v>
      </c>
      <c r="BD969">
        <v>3</v>
      </c>
      <c r="BE969" t="str">
        <f t="shared" si="239"/>
        <v>2-5</v>
      </c>
    </row>
    <row r="970" spans="1:57" x14ac:dyDescent="0.3">
      <c r="A970">
        <v>1362</v>
      </c>
      <c r="B970">
        <v>36</v>
      </c>
      <c r="C970" t="str">
        <f t="shared" si="226"/>
        <v>36-45</v>
      </c>
      <c r="D970" t="s">
        <v>71</v>
      </c>
      <c r="E970">
        <f t="shared" si="227"/>
        <v>0</v>
      </c>
      <c r="F970" t="s">
        <v>72</v>
      </c>
      <c r="G970">
        <v>607</v>
      </c>
      <c r="H970" t="str">
        <f t="shared" si="228"/>
        <v>501-1000</v>
      </c>
      <c r="I970" t="s">
        <v>58</v>
      </c>
      <c r="J970">
        <v>7</v>
      </c>
      <c r="K970" t="str">
        <f t="shared" si="229"/>
        <v>6-10</v>
      </c>
      <c r="L970">
        <v>3</v>
      </c>
      <c r="M970" t="s">
        <v>85</v>
      </c>
      <c r="N970" t="s">
        <v>93</v>
      </c>
      <c r="O970">
        <v>1</v>
      </c>
      <c r="P970">
        <v>1</v>
      </c>
      <c r="Q970" t="s">
        <v>69</v>
      </c>
      <c r="R970" t="s">
        <v>62</v>
      </c>
      <c r="S970">
        <v>83</v>
      </c>
      <c r="T970" t="str">
        <f t="shared" si="230"/>
        <v>76-100</v>
      </c>
      <c r="U970">
        <v>4</v>
      </c>
      <c r="V970" t="s">
        <v>65</v>
      </c>
      <c r="W970">
        <v>2</v>
      </c>
      <c r="X970" t="s">
        <v>64</v>
      </c>
      <c r="Y970">
        <v>1</v>
      </c>
      <c r="Z970" t="s">
        <v>69</v>
      </c>
      <c r="AA970" t="s">
        <v>77</v>
      </c>
      <c r="AB970" s="4">
        <v>4639</v>
      </c>
      <c r="AC970" s="4" t="str">
        <f t="shared" si="231"/>
        <v>$4,000-$5,500</v>
      </c>
      <c r="AD970">
        <v>2261</v>
      </c>
      <c r="AE970" t="str">
        <f t="shared" si="232"/>
        <v>$2,094-$8,000</v>
      </c>
      <c r="AF970">
        <v>2</v>
      </c>
      <c r="AG970" t="str">
        <f t="shared" si="233"/>
        <v>2-3</v>
      </c>
      <c r="AH970" t="s">
        <v>67</v>
      </c>
      <c r="AI970" t="s">
        <v>71</v>
      </c>
      <c r="AJ970">
        <v>16</v>
      </c>
      <c r="AK970" t="str">
        <f t="shared" si="234"/>
        <v>16-17%</v>
      </c>
      <c r="AL970">
        <v>3</v>
      </c>
      <c r="AM970" t="s">
        <v>68</v>
      </c>
      <c r="AN970">
        <v>4</v>
      </c>
      <c r="AO970" t="s">
        <v>65</v>
      </c>
      <c r="AP970">
        <v>80</v>
      </c>
      <c r="AQ970">
        <v>1</v>
      </c>
      <c r="AR970">
        <v>17</v>
      </c>
      <c r="AS970" t="str">
        <f t="shared" si="235"/>
        <v>11-20</v>
      </c>
      <c r="AT970">
        <v>2</v>
      </c>
      <c r="AU970" t="str">
        <f t="shared" si="236"/>
        <v>0-2</v>
      </c>
      <c r="AV970">
        <v>2</v>
      </c>
      <c r="AW970" t="s">
        <v>84</v>
      </c>
      <c r="AX970">
        <v>15</v>
      </c>
      <c r="AY970" t="str">
        <f t="shared" si="225"/>
        <v>11-20</v>
      </c>
      <c r="AZ970">
        <v>7</v>
      </c>
      <c r="BA970" t="str">
        <f t="shared" si="237"/>
        <v>6-10</v>
      </c>
      <c r="BB970">
        <v>6</v>
      </c>
      <c r="BC970" t="str">
        <f t="shared" si="238"/>
        <v>6-10</v>
      </c>
      <c r="BD970">
        <v>13</v>
      </c>
      <c r="BE970" t="str">
        <f t="shared" si="239"/>
        <v>11-17</v>
      </c>
    </row>
    <row r="971" spans="1:57" x14ac:dyDescent="0.3">
      <c r="A971">
        <v>1363</v>
      </c>
      <c r="B971">
        <v>48</v>
      </c>
      <c r="C971" t="str">
        <f t="shared" si="226"/>
        <v>46-55</v>
      </c>
      <c r="D971" t="s">
        <v>71</v>
      </c>
      <c r="E971">
        <f t="shared" si="227"/>
        <v>0</v>
      </c>
      <c r="F971" t="s">
        <v>57</v>
      </c>
      <c r="G971">
        <v>855</v>
      </c>
      <c r="H971" t="str">
        <f t="shared" si="228"/>
        <v>501-1000</v>
      </c>
      <c r="I971" t="s">
        <v>73</v>
      </c>
      <c r="J971">
        <v>4</v>
      </c>
      <c r="K971" t="str">
        <f t="shared" si="229"/>
        <v>1-5</v>
      </c>
      <c r="L971">
        <v>3</v>
      </c>
      <c r="M971" t="s">
        <v>85</v>
      </c>
      <c r="N971" t="s">
        <v>60</v>
      </c>
      <c r="O971">
        <v>1</v>
      </c>
      <c r="P971">
        <v>4</v>
      </c>
      <c r="Q971" t="s">
        <v>65</v>
      </c>
      <c r="R971" t="s">
        <v>75</v>
      </c>
      <c r="S971">
        <v>54</v>
      </c>
      <c r="T971" t="str">
        <f t="shared" si="230"/>
        <v>51-75</v>
      </c>
      <c r="U971">
        <v>3</v>
      </c>
      <c r="V971" t="s">
        <v>63</v>
      </c>
      <c r="W971">
        <v>3</v>
      </c>
      <c r="X971" t="s">
        <v>87</v>
      </c>
      <c r="Y971">
        <v>4</v>
      </c>
      <c r="Z971" t="s">
        <v>65</v>
      </c>
      <c r="AA971" t="s">
        <v>66</v>
      </c>
      <c r="AB971" s="4">
        <v>7898</v>
      </c>
      <c r="AC971" s="4" t="str">
        <f t="shared" si="231"/>
        <v>$7,000-$8,500</v>
      </c>
      <c r="AD971">
        <v>18706</v>
      </c>
      <c r="AE971" t="str">
        <f t="shared" si="232"/>
        <v>$16,001-$22,000</v>
      </c>
      <c r="AF971">
        <v>1</v>
      </c>
      <c r="AG971" t="str">
        <f t="shared" si="233"/>
        <v>0-1</v>
      </c>
      <c r="AH971" t="s">
        <v>67</v>
      </c>
      <c r="AI971" t="s">
        <v>71</v>
      </c>
      <c r="AJ971">
        <v>11</v>
      </c>
      <c r="AK971" t="str">
        <f t="shared" si="234"/>
        <v>11-12%</v>
      </c>
      <c r="AL971">
        <v>3</v>
      </c>
      <c r="AM971" t="s">
        <v>68</v>
      </c>
      <c r="AN971">
        <v>3</v>
      </c>
      <c r="AO971" t="s">
        <v>63</v>
      </c>
      <c r="AP971">
        <v>80</v>
      </c>
      <c r="AQ971">
        <v>0</v>
      </c>
      <c r="AR971">
        <v>11</v>
      </c>
      <c r="AS971" t="str">
        <f t="shared" si="235"/>
        <v>11-20</v>
      </c>
      <c r="AT971">
        <v>2</v>
      </c>
      <c r="AU971" t="str">
        <f t="shared" si="236"/>
        <v>0-2</v>
      </c>
      <c r="AV971">
        <v>3</v>
      </c>
      <c r="AW971" t="s">
        <v>79</v>
      </c>
      <c r="AX971">
        <v>10</v>
      </c>
      <c r="AY971" t="str">
        <f t="shared" si="225"/>
        <v>6-10</v>
      </c>
      <c r="AZ971">
        <v>9</v>
      </c>
      <c r="BA971" t="str">
        <f t="shared" si="237"/>
        <v>6-10</v>
      </c>
      <c r="BB971">
        <v>0</v>
      </c>
      <c r="BC971" t="str">
        <f t="shared" si="238"/>
        <v>0-1</v>
      </c>
      <c r="BD971">
        <v>8</v>
      </c>
      <c r="BE971" t="str">
        <f t="shared" si="239"/>
        <v>6-10</v>
      </c>
    </row>
    <row r="972" spans="1:57" x14ac:dyDescent="0.3">
      <c r="A972">
        <v>1364</v>
      </c>
      <c r="B972">
        <v>27</v>
      </c>
      <c r="C972" t="str">
        <f t="shared" si="226"/>
        <v>26-35</v>
      </c>
      <c r="D972" t="s">
        <v>71</v>
      </c>
      <c r="E972">
        <f t="shared" si="227"/>
        <v>0</v>
      </c>
      <c r="F972" t="s">
        <v>57</v>
      </c>
      <c r="G972">
        <v>1291</v>
      </c>
      <c r="H972" t="str">
        <f t="shared" si="228"/>
        <v>1001-1499</v>
      </c>
      <c r="I972" t="s">
        <v>58</v>
      </c>
      <c r="J972">
        <v>11</v>
      </c>
      <c r="K972" t="str">
        <f t="shared" si="229"/>
        <v>11-20</v>
      </c>
      <c r="L972">
        <v>3</v>
      </c>
      <c r="M972" t="s">
        <v>85</v>
      </c>
      <c r="N972" t="s">
        <v>83</v>
      </c>
      <c r="O972">
        <v>1</v>
      </c>
      <c r="P972">
        <v>3</v>
      </c>
      <c r="Q972" t="s">
        <v>63</v>
      </c>
      <c r="R972" t="s">
        <v>62</v>
      </c>
      <c r="S972">
        <v>98</v>
      </c>
      <c r="T972" t="str">
        <f t="shared" si="230"/>
        <v>76-100</v>
      </c>
      <c r="U972">
        <v>4</v>
      </c>
      <c r="V972" t="s">
        <v>65</v>
      </c>
      <c r="W972">
        <v>1</v>
      </c>
      <c r="X972" t="s">
        <v>91</v>
      </c>
      <c r="Y972">
        <v>4</v>
      </c>
      <c r="Z972" t="s">
        <v>65</v>
      </c>
      <c r="AA972" t="s">
        <v>77</v>
      </c>
      <c r="AB972" s="4">
        <v>2534</v>
      </c>
      <c r="AC972" s="4" t="str">
        <f t="shared" si="231"/>
        <v>$2,500-$4,000</v>
      </c>
      <c r="AD972">
        <v>6527</v>
      </c>
      <c r="AE972" t="str">
        <f t="shared" si="232"/>
        <v>$2,094-$8,000</v>
      </c>
      <c r="AF972">
        <v>8</v>
      </c>
      <c r="AG972" t="str">
        <f t="shared" si="233"/>
        <v>7-9</v>
      </c>
      <c r="AH972" t="s">
        <v>67</v>
      </c>
      <c r="AI972" t="s">
        <v>71</v>
      </c>
      <c r="AJ972">
        <v>14</v>
      </c>
      <c r="AK972" t="str">
        <f t="shared" si="234"/>
        <v>13-15%</v>
      </c>
      <c r="AL972">
        <v>3</v>
      </c>
      <c r="AM972" t="s">
        <v>68</v>
      </c>
      <c r="AN972">
        <v>2</v>
      </c>
      <c r="AO972" t="s">
        <v>61</v>
      </c>
      <c r="AP972">
        <v>80</v>
      </c>
      <c r="AQ972">
        <v>1</v>
      </c>
      <c r="AR972">
        <v>5</v>
      </c>
      <c r="AS972" t="str">
        <f t="shared" si="235"/>
        <v>3-5</v>
      </c>
      <c r="AT972">
        <v>4</v>
      </c>
      <c r="AU972" t="str">
        <f t="shared" si="236"/>
        <v>3-4</v>
      </c>
      <c r="AV972">
        <v>3</v>
      </c>
      <c r="AW972" t="s">
        <v>79</v>
      </c>
      <c r="AX972">
        <v>1</v>
      </c>
      <c r="AY972" t="str">
        <f t="shared" si="225"/>
        <v>0-1</v>
      </c>
      <c r="AZ972">
        <v>0</v>
      </c>
      <c r="BA972" t="str">
        <f t="shared" si="237"/>
        <v>0-1</v>
      </c>
      <c r="BB972">
        <v>0</v>
      </c>
      <c r="BC972" t="str">
        <f t="shared" si="238"/>
        <v>0-1</v>
      </c>
      <c r="BD972">
        <v>0</v>
      </c>
      <c r="BE972" t="str">
        <f t="shared" si="239"/>
        <v>0-1</v>
      </c>
    </row>
    <row r="973" spans="1:57" x14ac:dyDescent="0.3">
      <c r="A973">
        <v>1367</v>
      </c>
      <c r="B973">
        <v>51</v>
      </c>
      <c r="C973" t="str">
        <f t="shared" si="226"/>
        <v>46-55</v>
      </c>
      <c r="D973" t="s">
        <v>71</v>
      </c>
      <c r="E973">
        <f t="shared" si="227"/>
        <v>0</v>
      </c>
      <c r="F973" t="s">
        <v>57</v>
      </c>
      <c r="G973">
        <v>1405</v>
      </c>
      <c r="H973" t="str">
        <f t="shared" si="228"/>
        <v>1001-1499</v>
      </c>
      <c r="I973" t="s">
        <v>73</v>
      </c>
      <c r="J973">
        <v>11</v>
      </c>
      <c r="K973" t="str">
        <f t="shared" si="229"/>
        <v>11-20</v>
      </c>
      <c r="L973">
        <v>2</v>
      </c>
      <c r="M973" t="s">
        <v>59</v>
      </c>
      <c r="N973" t="s">
        <v>95</v>
      </c>
      <c r="O973">
        <v>1</v>
      </c>
      <c r="P973">
        <v>4</v>
      </c>
      <c r="Q973" t="s">
        <v>65</v>
      </c>
      <c r="R973" t="s">
        <v>62</v>
      </c>
      <c r="S973">
        <v>82</v>
      </c>
      <c r="T973" t="str">
        <f t="shared" si="230"/>
        <v>76-100</v>
      </c>
      <c r="U973">
        <v>2</v>
      </c>
      <c r="V973" t="s">
        <v>61</v>
      </c>
      <c r="W973">
        <v>4</v>
      </c>
      <c r="X973" t="s">
        <v>87</v>
      </c>
      <c r="Y973">
        <v>2</v>
      </c>
      <c r="Z973" t="s">
        <v>61</v>
      </c>
      <c r="AA973" t="s">
        <v>66</v>
      </c>
      <c r="AB973" s="4">
        <v>13142</v>
      </c>
      <c r="AC973" s="4" t="str">
        <f t="shared" si="231"/>
        <v>$13,000-$14,500</v>
      </c>
      <c r="AD973">
        <v>24439</v>
      </c>
      <c r="AE973" t="str">
        <f t="shared" si="232"/>
        <v>$22,001-$26,999</v>
      </c>
      <c r="AF973">
        <v>3</v>
      </c>
      <c r="AG973" t="str">
        <f t="shared" si="233"/>
        <v>2-3</v>
      </c>
      <c r="AH973" t="s">
        <v>67</v>
      </c>
      <c r="AI973" t="s">
        <v>71</v>
      </c>
      <c r="AJ973">
        <v>16</v>
      </c>
      <c r="AK973" t="str">
        <f t="shared" si="234"/>
        <v>16-17%</v>
      </c>
      <c r="AL973">
        <v>3</v>
      </c>
      <c r="AM973" t="s">
        <v>68</v>
      </c>
      <c r="AN973">
        <v>2</v>
      </c>
      <c r="AO973" t="s">
        <v>61</v>
      </c>
      <c r="AP973">
        <v>80</v>
      </c>
      <c r="AQ973">
        <v>0</v>
      </c>
      <c r="AR973">
        <v>29</v>
      </c>
      <c r="AS973" t="str">
        <f t="shared" si="235"/>
        <v>21-40</v>
      </c>
      <c r="AT973">
        <v>1</v>
      </c>
      <c r="AU973" t="str">
        <f t="shared" si="236"/>
        <v>0-2</v>
      </c>
      <c r="AV973">
        <v>2</v>
      </c>
      <c r="AW973" t="s">
        <v>84</v>
      </c>
      <c r="AX973">
        <v>5</v>
      </c>
      <c r="AY973" t="str">
        <f t="shared" si="225"/>
        <v>2-5</v>
      </c>
      <c r="AZ973">
        <v>2</v>
      </c>
      <c r="BA973" t="str">
        <f t="shared" si="237"/>
        <v>2-5</v>
      </c>
      <c r="BB973">
        <v>0</v>
      </c>
      <c r="BC973" t="str">
        <f t="shared" si="238"/>
        <v>0-1</v>
      </c>
      <c r="BD973">
        <v>3</v>
      </c>
      <c r="BE973" t="str">
        <f t="shared" si="239"/>
        <v>2-5</v>
      </c>
    </row>
    <row r="974" spans="1:57" x14ac:dyDescent="0.3">
      <c r="A974">
        <v>1368</v>
      </c>
      <c r="B974">
        <v>18</v>
      </c>
      <c r="C974" t="str">
        <f t="shared" si="226"/>
        <v>18-25</v>
      </c>
      <c r="D974" t="s">
        <v>71</v>
      </c>
      <c r="E974">
        <f t="shared" si="227"/>
        <v>0</v>
      </c>
      <c r="F974" t="s">
        <v>89</v>
      </c>
      <c r="G974">
        <v>1124</v>
      </c>
      <c r="H974" t="str">
        <f t="shared" si="228"/>
        <v>1001-1499</v>
      </c>
      <c r="I974" t="s">
        <v>73</v>
      </c>
      <c r="J974">
        <v>1</v>
      </c>
      <c r="K974" t="str">
        <f t="shared" si="229"/>
        <v>1-5</v>
      </c>
      <c r="L974">
        <v>3</v>
      </c>
      <c r="M974" t="s">
        <v>85</v>
      </c>
      <c r="N974" t="s">
        <v>60</v>
      </c>
      <c r="O974">
        <v>1</v>
      </c>
      <c r="P974">
        <v>4</v>
      </c>
      <c r="Q974" t="s">
        <v>65</v>
      </c>
      <c r="R974" t="s">
        <v>62</v>
      </c>
      <c r="S974">
        <v>97</v>
      </c>
      <c r="T974" t="str">
        <f t="shared" si="230"/>
        <v>76-100</v>
      </c>
      <c r="U974">
        <v>3</v>
      </c>
      <c r="V974" t="s">
        <v>63</v>
      </c>
      <c r="W974">
        <v>1</v>
      </c>
      <c r="X974" t="s">
        <v>81</v>
      </c>
      <c r="Y974">
        <v>4</v>
      </c>
      <c r="Z974" t="s">
        <v>65</v>
      </c>
      <c r="AA974" t="s">
        <v>66</v>
      </c>
      <c r="AB974" s="4">
        <v>1611</v>
      </c>
      <c r="AC974" s="4" t="str">
        <f t="shared" si="231"/>
        <v>$1,000-$2,500</v>
      </c>
      <c r="AD974">
        <v>19305</v>
      </c>
      <c r="AE974" t="str">
        <f t="shared" si="232"/>
        <v>$16,001-$22,000</v>
      </c>
      <c r="AF974">
        <v>1</v>
      </c>
      <c r="AG974" t="str">
        <f t="shared" si="233"/>
        <v>0-1</v>
      </c>
      <c r="AH974" t="s">
        <v>67</v>
      </c>
      <c r="AI974" t="s">
        <v>71</v>
      </c>
      <c r="AJ974">
        <v>15</v>
      </c>
      <c r="AK974" t="str">
        <f t="shared" si="234"/>
        <v>13-15%</v>
      </c>
      <c r="AL974">
        <v>3</v>
      </c>
      <c r="AM974" t="s">
        <v>68</v>
      </c>
      <c r="AN974">
        <v>3</v>
      </c>
      <c r="AO974" t="s">
        <v>63</v>
      </c>
      <c r="AP974">
        <v>80</v>
      </c>
      <c r="AQ974">
        <v>0</v>
      </c>
      <c r="AR974">
        <v>0</v>
      </c>
      <c r="AS974" t="str">
        <f t="shared" si="235"/>
        <v>0-2</v>
      </c>
      <c r="AT974">
        <v>5</v>
      </c>
      <c r="AU974" t="str">
        <f t="shared" si="236"/>
        <v>5-6</v>
      </c>
      <c r="AV974">
        <v>4</v>
      </c>
      <c r="AW974" t="s">
        <v>94</v>
      </c>
      <c r="AX974">
        <v>0</v>
      </c>
      <c r="AY974" t="str">
        <f t="shared" si="225"/>
        <v>0-1</v>
      </c>
      <c r="AZ974">
        <v>0</v>
      </c>
      <c r="BA974" t="str">
        <f t="shared" si="237"/>
        <v>0-1</v>
      </c>
      <c r="BB974">
        <v>0</v>
      </c>
      <c r="BC974" t="str">
        <f t="shared" si="238"/>
        <v>0-1</v>
      </c>
      <c r="BD974">
        <v>0</v>
      </c>
      <c r="BE974" t="str">
        <f t="shared" si="239"/>
        <v>0-1</v>
      </c>
    </row>
    <row r="975" spans="1:57" x14ac:dyDescent="0.3">
      <c r="A975">
        <v>1369</v>
      </c>
      <c r="B975">
        <v>35</v>
      </c>
      <c r="C975" t="str">
        <f t="shared" si="226"/>
        <v>26-35</v>
      </c>
      <c r="D975" t="s">
        <v>71</v>
      </c>
      <c r="E975">
        <f t="shared" si="227"/>
        <v>0</v>
      </c>
      <c r="F975" t="s">
        <v>57</v>
      </c>
      <c r="G975">
        <v>817</v>
      </c>
      <c r="H975" t="str">
        <f t="shared" si="228"/>
        <v>501-1000</v>
      </c>
      <c r="I975" t="s">
        <v>73</v>
      </c>
      <c r="J975">
        <v>1</v>
      </c>
      <c r="K975" t="str">
        <f t="shared" si="229"/>
        <v>1-5</v>
      </c>
      <c r="L975">
        <v>3</v>
      </c>
      <c r="M975" t="s">
        <v>85</v>
      </c>
      <c r="N975" t="s">
        <v>83</v>
      </c>
      <c r="O975">
        <v>1</v>
      </c>
      <c r="P975">
        <v>4</v>
      </c>
      <c r="Q975" t="s">
        <v>65</v>
      </c>
      <c r="R975" t="s">
        <v>62</v>
      </c>
      <c r="S975">
        <v>60</v>
      </c>
      <c r="T975" t="str">
        <f t="shared" si="230"/>
        <v>51-75</v>
      </c>
      <c r="U975">
        <v>2</v>
      </c>
      <c r="V975" t="s">
        <v>61</v>
      </c>
      <c r="W975">
        <v>2</v>
      </c>
      <c r="X975" t="s">
        <v>81</v>
      </c>
      <c r="Y975">
        <v>4</v>
      </c>
      <c r="Z975" t="s">
        <v>65</v>
      </c>
      <c r="AA975" t="s">
        <v>77</v>
      </c>
      <c r="AB975" s="4">
        <v>5363</v>
      </c>
      <c r="AC975" s="4" t="str">
        <f t="shared" si="231"/>
        <v>$4,000-$5,500</v>
      </c>
      <c r="AD975">
        <v>10846</v>
      </c>
      <c r="AE975" t="str">
        <f t="shared" si="232"/>
        <v>$8,001-$16,000</v>
      </c>
      <c r="AF975">
        <v>0</v>
      </c>
      <c r="AG975" t="str">
        <f t="shared" si="233"/>
        <v>0-1</v>
      </c>
      <c r="AH975" t="s">
        <v>67</v>
      </c>
      <c r="AI975" t="s">
        <v>71</v>
      </c>
      <c r="AJ975">
        <v>12</v>
      </c>
      <c r="AK975" t="str">
        <f t="shared" si="234"/>
        <v>11-12%</v>
      </c>
      <c r="AL975">
        <v>3</v>
      </c>
      <c r="AM975" t="s">
        <v>68</v>
      </c>
      <c r="AN975">
        <v>2</v>
      </c>
      <c r="AO975" t="s">
        <v>61</v>
      </c>
      <c r="AP975">
        <v>80</v>
      </c>
      <c r="AQ975">
        <v>1</v>
      </c>
      <c r="AR975">
        <v>10</v>
      </c>
      <c r="AS975" t="str">
        <f t="shared" si="235"/>
        <v>6-10</v>
      </c>
      <c r="AT975">
        <v>0</v>
      </c>
      <c r="AU975" t="str">
        <f t="shared" si="236"/>
        <v>0-2</v>
      </c>
      <c r="AV975">
        <v>3</v>
      </c>
      <c r="AW975" t="s">
        <v>79</v>
      </c>
      <c r="AX975">
        <v>9</v>
      </c>
      <c r="AY975" t="str">
        <f t="shared" si="225"/>
        <v>6-10</v>
      </c>
      <c r="AZ975">
        <v>7</v>
      </c>
      <c r="BA975" t="str">
        <f t="shared" si="237"/>
        <v>6-10</v>
      </c>
      <c r="BB975">
        <v>0</v>
      </c>
      <c r="BC975" t="str">
        <f t="shared" si="238"/>
        <v>0-1</v>
      </c>
      <c r="BD975">
        <v>0</v>
      </c>
      <c r="BE975" t="str">
        <f t="shared" si="239"/>
        <v>0-1</v>
      </c>
    </row>
    <row r="976" spans="1:57" x14ac:dyDescent="0.3">
      <c r="A976">
        <v>1371</v>
      </c>
      <c r="B976">
        <v>27</v>
      </c>
      <c r="C976" t="str">
        <f t="shared" si="226"/>
        <v>26-35</v>
      </c>
      <c r="D976" t="s">
        <v>71</v>
      </c>
      <c r="E976">
        <f t="shared" si="227"/>
        <v>0</v>
      </c>
      <c r="F976" t="s">
        <v>72</v>
      </c>
      <c r="G976">
        <v>793</v>
      </c>
      <c r="H976" t="str">
        <f t="shared" si="228"/>
        <v>501-1000</v>
      </c>
      <c r="I976" t="s">
        <v>58</v>
      </c>
      <c r="J976">
        <v>2</v>
      </c>
      <c r="K976" t="str">
        <f t="shared" si="229"/>
        <v>1-5</v>
      </c>
      <c r="L976">
        <v>1</v>
      </c>
      <c r="M976" t="s">
        <v>74</v>
      </c>
      <c r="N976" t="s">
        <v>60</v>
      </c>
      <c r="O976">
        <v>1</v>
      </c>
      <c r="P976">
        <v>4</v>
      </c>
      <c r="Q976" t="s">
        <v>65</v>
      </c>
      <c r="R976" t="s">
        <v>75</v>
      </c>
      <c r="S976">
        <v>43</v>
      </c>
      <c r="T976" t="str">
        <f t="shared" si="230"/>
        <v>30-50</v>
      </c>
      <c r="U976">
        <v>1</v>
      </c>
      <c r="V976" t="s">
        <v>69</v>
      </c>
      <c r="W976">
        <v>2</v>
      </c>
      <c r="X976" t="s">
        <v>64</v>
      </c>
      <c r="Y976">
        <v>4</v>
      </c>
      <c r="Z976" t="s">
        <v>65</v>
      </c>
      <c r="AA976" t="s">
        <v>66</v>
      </c>
      <c r="AB976" s="4">
        <v>5071</v>
      </c>
      <c r="AC976" s="4" t="str">
        <f t="shared" si="231"/>
        <v>$4,000-$5,500</v>
      </c>
      <c r="AD976">
        <v>20392</v>
      </c>
      <c r="AE976" t="str">
        <f t="shared" si="232"/>
        <v>$16,001-$22,000</v>
      </c>
      <c r="AF976">
        <v>3</v>
      </c>
      <c r="AG976" t="str">
        <f t="shared" si="233"/>
        <v>2-3</v>
      </c>
      <c r="AH976" t="s">
        <v>67</v>
      </c>
      <c r="AI976" t="s">
        <v>71</v>
      </c>
      <c r="AJ976">
        <v>20</v>
      </c>
      <c r="AK976" t="str">
        <f t="shared" si="234"/>
        <v>18-19%</v>
      </c>
      <c r="AL976">
        <v>4</v>
      </c>
      <c r="AM976" t="s">
        <v>78</v>
      </c>
      <c r="AN976">
        <v>2</v>
      </c>
      <c r="AO976" t="s">
        <v>61</v>
      </c>
      <c r="AP976">
        <v>80</v>
      </c>
      <c r="AQ976">
        <v>0</v>
      </c>
      <c r="AR976">
        <v>8</v>
      </c>
      <c r="AS976" t="str">
        <f t="shared" si="235"/>
        <v>6-10</v>
      </c>
      <c r="AT976">
        <v>3</v>
      </c>
      <c r="AU976" t="str">
        <f t="shared" si="236"/>
        <v>3-4</v>
      </c>
      <c r="AV976">
        <v>3</v>
      </c>
      <c r="AW976" t="s">
        <v>79</v>
      </c>
      <c r="AX976">
        <v>6</v>
      </c>
      <c r="AY976" t="str">
        <f t="shared" si="225"/>
        <v>6-10</v>
      </c>
      <c r="AZ976">
        <v>2</v>
      </c>
      <c r="BA976" t="str">
        <f t="shared" si="237"/>
        <v>2-5</v>
      </c>
      <c r="BB976">
        <v>0</v>
      </c>
      <c r="BC976" t="str">
        <f t="shared" si="238"/>
        <v>0-1</v>
      </c>
      <c r="BD976">
        <v>0</v>
      </c>
      <c r="BE976" t="str">
        <f t="shared" si="239"/>
        <v>0-1</v>
      </c>
    </row>
    <row r="977" spans="1:57" x14ac:dyDescent="0.3">
      <c r="A977">
        <v>1372</v>
      </c>
      <c r="B977">
        <v>55</v>
      </c>
      <c r="C977" t="str">
        <f t="shared" si="226"/>
        <v>46-55</v>
      </c>
      <c r="D977" t="s">
        <v>56</v>
      </c>
      <c r="E977">
        <f t="shared" si="227"/>
        <v>1</v>
      </c>
      <c r="F977" t="s">
        <v>57</v>
      </c>
      <c r="G977">
        <v>267</v>
      </c>
      <c r="H977" t="str">
        <f t="shared" si="228"/>
        <v>102-500</v>
      </c>
      <c r="I977" t="s">
        <v>58</v>
      </c>
      <c r="J977">
        <v>13</v>
      </c>
      <c r="K977" t="str">
        <f t="shared" si="229"/>
        <v>11-20</v>
      </c>
      <c r="L977">
        <v>4</v>
      </c>
      <c r="M977" t="s">
        <v>82</v>
      </c>
      <c r="N977" t="s">
        <v>93</v>
      </c>
      <c r="O977">
        <v>1</v>
      </c>
      <c r="P977">
        <v>1</v>
      </c>
      <c r="Q977" t="s">
        <v>69</v>
      </c>
      <c r="R977" t="s">
        <v>75</v>
      </c>
      <c r="S977">
        <v>85</v>
      </c>
      <c r="T977" t="str">
        <f t="shared" si="230"/>
        <v>76-100</v>
      </c>
      <c r="U977">
        <v>4</v>
      </c>
      <c r="V977" t="s">
        <v>65</v>
      </c>
      <c r="W977">
        <v>4</v>
      </c>
      <c r="X977" t="s">
        <v>64</v>
      </c>
      <c r="Y977">
        <v>3</v>
      </c>
      <c r="Z977" t="s">
        <v>63</v>
      </c>
      <c r="AA977" t="s">
        <v>66</v>
      </c>
      <c r="AB977" s="4">
        <v>13695</v>
      </c>
      <c r="AC977" s="4" t="str">
        <f t="shared" si="231"/>
        <v>$13,000-$14,500</v>
      </c>
      <c r="AD977">
        <v>9277</v>
      </c>
      <c r="AE977" t="str">
        <f t="shared" si="232"/>
        <v>$8,001-$16,000</v>
      </c>
      <c r="AF977">
        <v>6</v>
      </c>
      <c r="AG977" t="str">
        <f t="shared" si="233"/>
        <v>4-6</v>
      </c>
      <c r="AH977" t="s">
        <v>67</v>
      </c>
      <c r="AI977" t="s">
        <v>56</v>
      </c>
      <c r="AJ977">
        <v>17</v>
      </c>
      <c r="AK977" t="str">
        <f t="shared" si="234"/>
        <v>16-17%</v>
      </c>
      <c r="AL977">
        <v>3</v>
      </c>
      <c r="AM977" t="s">
        <v>68</v>
      </c>
      <c r="AN977">
        <v>3</v>
      </c>
      <c r="AO977" t="s">
        <v>63</v>
      </c>
      <c r="AP977">
        <v>80</v>
      </c>
      <c r="AQ977">
        <v>0</v>
      </c>
      <c r="AR977">
        <v>24</v>
      </c>
      <c r="AS977" t="str">
        <f t="shared" si="235"/>
        <v>21-40</v>
      </c>
      <c r="AT977">
        <v>2</v>
      </c>
      <c r="AU977" t="str">
        <f t="shared" si="236"/>
        <v>0-2</v>
      </c>
      <c r="AV977">
        <v>2</v>
      </c>
      <c r="AW977" t="s">
        <v>84</v>
      </c>
      <c r="AX977">
        <v>19</v>
      </c>
      <c r="AY977" t="str">
        <f t="shared" si="225"/>
        <v>11-20</v>
      </c>
      <c r="AZ977">
        <v>7</v>
      </c>
      <c r="BA977" t="str">
        <f t="shared" si="237"/>
        <v>6-10</v>
      </c>
      <c r="BB977">
        <v>3</v>
      </c>
      <c r="BC977" t="str">
        <f t="shared" si="238"/>
        <v>2-5</v>
      </c>
      <c r="BD977">
        <v>8</v>
      </c>
      <c r="BE977" t="str">
        <f t="shared" si="239"/>
        <v>6-10</v>
      </c>
    </row>
    <row r="978" spans="1:57" x14ac:dyDescent="0.3">
      <c r="A978">
        <v>1373</v>
      </c>
      <c r="B978">
        <v>56</v>
      </c>
      <c r="C978" t="str">
        <f t="shared" si="226"/>
        <v>56+</v>
      </c>
      <c r="D978" t="s">
        <v>71</v>
      </c>
      <c r="E978">
        <f t="shared" si="227"/>
        <v>0</v>
      </c>
      <c r="F978" t="s">
        <v>57</v>
      </c>
      <c r="G978">
        <v>1369</v>
      </c>
      <c r="H978" t="str">
        <f t="shared" si="228"/>
        <v>1001-1499</v>
      </c>
      <c r="I978" t="s">
        <v>73</v>
      </c>
      <c r="J978">
        <v>23</v>
      </c>
      <c r="K978" t="str">
        <f t="shared" si="229"/>
        <v>21-29</v>
      </c>
      <c r="L978">
        <v>3</v>
      </c>
      <c r="M978" t="s">
        <v>85</v>
      </c>
      <c r="N978" t="s">
        <v>60</v>
      </c>
      <c r="O978">
        <v>1</v>
      </c>
      <c r="P978">
        <v>4</v>
      </c>
      <c r="Q978" t="s">
        <v>65</v>
      </c>
      <c r="R978" t="s">
        <v>75</v>
      </c>
      <c r="S978">
        <v>68</v>
      </c>
      <c r="T978" t="str">
        <f t="shared" si="230"/>
        <v>51-75</v>
      </c>
      <c r="U978">
        <v>3</v>
      </c>
      <c r="V978" t="s">
        <v>63</v>
      </c>
      <c r="W978">
        <v>4</v>
      </c>
      <c r="X978" t="s">
        <v>87</v>
      </c>
      <c r="Y978">
        <v>2</v>
      </c>
      <c r="Z978" t="s">
        <v>61</v>
      </c>
      <c r="AA978" t="s">
        <v>77</v>
      </c>
      <c r="AB978" s="4">
        <v>13402</v>
      </c>
      <c r="AC978" s="4" t="str">
        <f t="shared" si="231"/>
        <v>$13,000-$14,500</v>
      </c>
      <c r="AD978">
        <v>18235</v>
      </c>
      <c r="AE978" t="str">
        <f t="shared" si="232"/>
        <v>$16,001-$22,000</v>
      </c>
      <c r="AF978">
        <v>4</v>
      </c>
      <c r="AG978" t="str">
        <f t="shared" si="233"/>
        <v>4-6</v>
      </c>
      <c r="AH978" t="s">
        <v>67</v>
      </c>
      <c r="AI978" t="s">
        <v>56</v>
      </c>
      <c r="AJ978">
        <v>12</v>
      </c>
      <c r="AK978" t="str">
        <f t="shared" si="234"/>
        <v>11-12%</v>
      </c>
      <c r="AL978">
        <v>3</v>
      </c>
      <c r="AM978" t="s">
        <v>68</v>
      </c>
      <c r="AN978">
        <v>1</v>
      </c>
      <c r="AO978" t="s">
        <v>69</v>
      </c>
      <c r="AP978">
        <v>80</v>
      </c>
      <c r="AQ978">
        <v>1</v>
      </c>
      <c r="AR978">
        <v>33</v>
      </c>
      <c r="AS978" t="str">
        <f t="shared" si="235"/>
        <v>21-40</v>
      </c>
      <c r="AT978">
        <v>0</v>
      </c>
      <c r="AU978" t="str">
        <f t="shared" si="236"/>
        <v>0-2</v>
      </c>
      <c r="AV978">
        <v>3</v>
      </c>
      <c r="AW978" t="s">
        <v>79</v>
      </c>
      <c r="AX978">
        <v>19</v>
      </c>
      <c r="AY978" t="str">
        <f t="shared" si="225"/>
        <v>11-20</v>
      </c>
      <c r="AZ978">
        <v>16</v>
      </c>
      <c r="BA978" t="str">
        <f t="shared" si="237"/>
        <v>11-18</v>
      </c>
      <c r="BB978">
        <v>15</v>
      </c>
      <c r="BC978" t="str">
        <f t="shared" si="238"/>
        <v>11-15</v>
      </c>
      <c r="BD978">
        <v>9</v>
      </c>
      <c r="BE978" t="str">
        <f t="shared" si="239"/>
        <v>6-10</v>
      </c>
    </row>
    <row r="979" spans="1:57" x14ac:dyDescent="0.3">
      <c r="A979">
        <v>1374</v>
      </c>
      <c r="B979">
        <v>34</v>
      </c>
      <c r="C979" t="str">
        <f t="shared" si="226"/>
        <v>26-35</v>
      </c>
      <c r="D979" t="s">
        <v>71</v>
      </c>
      <c r="E979">
        <f t="shared" si="227"/>
        <v>0</v>
      </c>
      <c r="F979" t="s">
        <v>89</v>
      </c>
      <c r="G979">
        <v>999</v>
      </c>
      <c r="H979" t="str">
        <f t="shared" si="228"/>
        <v>501-1000</v>
      </c>
      <c r="I979" t="s">
        <v>73</v>
      </c>
      <c r="J979">
        <v>26</v>
      </c>
      <c r="K979" t="str">
        <f t="shared" si="229"/>
        <v>21-29</v>
      </c>
      <c r="L979">
        <v>1</v>
      </c>
      <c r="M979" t="s">
        <v>74</v>
      </c>
      <c r="N979" t="s">
        <v>95</v>
      </c>
      <c r="O979">
        <v>1</v>
      </c>
      <c r="P979">
        <v>1</v>
      </c>
      <c r="Q979" t="s">
        <v>69</v>
      </c>
      <c r="R979" t="s">
        <v>62</v>
      </c>
      <c r="S979">
        <v>92</v>
      </c>
      <c r="T979" t="str">
        <f t="shared" si="230"/>
        <v>76-100</v>
      </c>
      <c r="U979">
        <v>2</v>
      </c>
      <c r="V979" t="s">
        <v>61</v>
      </c>
      <c r="W979">
        <v>1</v>
      </c>
      <c r="X979" t="s">
        <v>76</v>
      </c>
      <c r="Y979">
        <v>3</v>
      </c>
      <c r="Z979" t="s">
        <v>63</v>
      </c>
      <c r="AA979" t="s">
        <v>86</v>
      </c>
      <c r="AB979" s="4">
        <v>2029</v>
      </c>
      <c r="AC979" s="4" t="str">
        <f t="shared" si="231"/>
        <v>$1,000-$2,500</v>
      </c>
      <c r="AD979">
        <v>15891</v>
      </c>
      <c r="AE979" t="str">
        <f t="shared" si="232"/>
        <v>$8,001-$16,000</v>
      </c>
      <c r="AF979">
        <v>1</v>
      </c>
      <c r="AG979" t="str">
        <f t="shared" si="233"/>
        <v>0-1</v>
      </c>
      <c r="AH979" t="s">
        <v>67</v>
      </c>
      <c r="AI979" t="s">
        <v>71</v>
      </c>
      <c r="AJ979">
        <v>20</v>
      </c>
      <c r="AK979" t="str">
        <f t="shared" si="234"/>
        <v>18-19%</v>
      </c>
      <c r="AL979">
        <v>4</v>
      </c>
      <c r="AM979" t="s">
        <v>78</v>
      </c>
      <c r="AN979">
        <v>3</v>
      </c>
      <c r="AO979" t="s">
        <v>63</v>
      </c>
      <c r="AP979">
        <v>80</v>
      </c>
      <c r="AQ979">
        <v>3</v>
      </c>
      <c r="AR979">
        <v>5</v>
      </c>
      <c r="AS979" t="str">
        <f t="shared" si="235"/>
        <v>3-5</v>
      </c>
      <c r="AT979">
        <v>2</v>
      </c>
      <c r="AU979" t="str">
        <f t="shared" si="236"/>
        <v>0-2</v>
      </c>
      <c r="AV979">
        <v>3</v>
      </c>
      <c r="AW979" t="s">
        <v>79</v>
      </c>
      <c r="AX979">
        <v>5</v>
      </c>
      <c r="AY979" t="str">
        <f t="shared" si="225"/>
        <v>2-5</v>
      </c>
      <c r="AZ979">
        <v>4</v>
      </c>
      <c r="BA979" t="str">
        <f t="shared" si="237"/>
        <v>2-5</v>
      </c>
      <c r="BB979">
        <v>0</v>
      </c>
      <c r="BC979" t="str">
        <f t="shared" si="238"/>
        <v>0-1</v>
      </c>
      <c r="BD979">
        <v>0</v>
      </c>
      <c r="BE979" t="str">
        <f t="shared" si="239"/>
        <v>0-1</v>
      </c>
    </row>
    <row r="980" spans="1:57" x14ac:dyDescent="0.3">
      <c r="A980">
        <v>1375</v>
      </c>
      <c r="B980">
        <v>40</v>
      </c>
      <c r="C980" t="str">
        <f t="shared" si="226"/>
        <v>36-45</v>
      </c>
      <c r="D980" t="s">
        <v>71</v>
      </c>
      <c r="E980">
        <f t="shared" si="227"/>
        <v>0</v>
      </c>
      <c r="F980" t="s">
        <v>57</v>
      </c>
      <c r="G980">
        <v>1202</v>
      </c>
      <c r="H980" t="str">
        <f t="shared" si="228"/>
        <v>1001-1499</v>
      </c>
      <c r="I980" t="s">
        <v>73</v>
      </c>
      <c r="J980">
        <v>2</v>
      </c>
      <c r="K980" t="str">
        <f t="shared" si="229"/>
        <v>1-5</v>
      </c>
      <c r="L980">
        <v>1</v>
      </c>
      <c r="M980" t="s">
        <v>74</v>
      </c>
      <c r="N980" t="s">
        <v>83</v>
      </c>
      <c r="O980">
        <v>1</v>
      </c>
      <c r="P980">
        <v>2</v>
      </c>
      <c r="Q980" t="s">
        <v>61</v>
      </c>
      <c r="R980" t="s">
        <v>62</v>
      </c>
      <c r="S980">
        <v>89</v>
      </c>
      <c r="T980" t="str">
        <f t="shared" si="230"/>
        <v>76-100</v>
      </c>
      <c r="U980">
        <v>4</v>
      </c>
      <c r="V980" t="s">
        <v>65</v>
      </c>
      <c r="W980">
        <v>2</v>
      </c>
      <c r="X980" t="s">
        <v>88</v>
      </c>
      <c r="Y980">
        <v>3</v>
      </c>
      <c r="Z980" t="s">
        <v>63</v>
      </c>
      <c r="AA980" t="s">
        <v>86</v>
      </c>
      <c r="AB980" s="4">
        <v>6377</v>
      </c>
      <c r="AC980" s="4" t="str">
        <f t="shared" si="231"/>
        <v>$5,500-$7,000</v>
      </c>
      <c r="AD980">
        <v>13888</v>
      </c>
      <c r="AE980" t="str">
        <f t="shared" si="232"/>
        <v>$8,001-$16,000</v>
      </c>
      <c r="AF980">
        <v>5</v>
      </c>
      <c r="AG980" t="str">
        <f t="shared" si="233"/>
        <v>4-6</v>
      </c>
      <c r="AH980" t="s">
        <v>67</v>
      </c>
      <c r="AI980" t="s">
        <v>71</v>
      </c>
      <c r="AJ980">
        <v>20</v>
      </c>
      <c r="AK980" t="str">
        <f t="shared" si="234"/>
        <v>18-19%</v>
      </c>
      <c r="AL980">
        <v>4</v>
      </c>
      <c r="AM980" t="s">
        <v>78</v>
      </c>
      <c r="AN980">
        <v>2</v>
      </c>
      <c r="AO980" t="s">
        <v>61</v>
      </c>
      <c r="AP980">
        <v>80</v>
      </c>
      <c r="AQ980">
        <v>3</v>
      </c>
      <c r="AR980">
        <v>15</v>
      </c>
      <c r="AS980" t="str">
        <f t="shared" si="235"/>
        <v>11-20</v>
      </c>
      <c r="AT980">
        <v>0</v>
      </c>
      <c r="AU980" t="str">
        <f t="shared" si="236"/>
        <v>0-2</v>
      </c>
      <c r="AV980">
        <v>3</v>
      </c>
      <c r="AW980" t="s">
        <v>79</v>
      </c>
      <c r="AX980">
        <v>12</v>
      </c>
      <c r="AY980" t="str">
        <f t="shared" si="225"/>
        <v>11-20</v>
      </c>
      <c r="AZ980">
        <v>11</v>
      </c>
      <c r="BA980" t="str">
        <f t="shared" si="237"/>
        <v>11-18</v>
      </c>
      <c r="BB980">
        <v>11</v>
      </c>
      <c r="BC980" t="str">
        <f t="shared" si="238"/>
        <v>11-15</v>
      </c>
      <c r="BD980">
        <v>8</v>
      </c>
      <c r="BE980" t="str">
        <f t="shared" si="239"/>
        <v>6-10</v>
      </c>
    </row>
    <row r="981" spans="1:57" x14ac:dyDescent="0.3">
      <c r="A981">
        <v>1377</v>
      </c>
      <c r="B981">
        <v>34</v>
      </c>
      <c r="C981" t="str">
        <f t="shared" si="226"/>
        <v>26-35</v>
      </c>
      <c r="D981" t="s">
        <v>71</v>
      </c>
      <c r="E981">
        <f t="shared" si="227"/>
        <v>0</v>
      </c>
      <c r="F981" t="s">
        <v>57</v>
      </c>
      <c r="G981">
        <v>285</v>
      </c>
      <c r="H981" t="str">
        <f t="shared" si="228"/>
        <v>102-500</v>
      </c>
      <c r="I981" t="s">
        <v>73</v>
      </c>
      <c r="J981">
        <v>29</v>
      </c>
      <c r="K981" t="str">
        <f t="shared" si="229"/>
        <v>21-29</v>
      </c>
      <c r="L981">
        <v>3</v>
      </c>
      <c r="M981" t="s">
        <v>85</v>
      </c>
      <c r="N981" t="s">
        <v>83</v>
      </c>
      <c r="O981">
        <v>1</v>
      </c>
      <c r="P981">
        <v>2</v>
      </c>
      <c r="Q981" t="s">
        <v>61</v>
      </c>
      <c r="R981" t="s">
        <v>75</v>
      </c>
      <c r="S981">
        <v>86</v>
      </c>
      <c r="T981" t="str">
        <f t="shared" si="230"/>
        <v>76-100</v>
      </c>
      <c r="U981">
        <v>3</v>
      </c>
      <c r="V981" t="s">
        <v>63</v>
      </c>
      <c r="W981">
        <v>2</v>
      </c>
      <c r="X981" t="s">
        <v>81</v>
      </c>
      <c r="Y981">
        <v>3</v>
      </c>
      <c r="Z981" t="s">
        <v>63</v>
      </c>
      <c r="AA981" t="s">
        <v>77</v>
      </c>
      <c r="AB981" s="4">
        <v>5429</v>
      </c>
      <c r="AC981" s="4" t="str">
        <f t="shared" si="231"/>
        <v>$4,000-$5,500</v>
      </c>
      <c r="AD981">
        <v>17491</v>
      </c>
      <c r="AE981" t="str">
        <f t="shared" si="232"/>
        <v>$16,001-$22,000</v>
      </c>
      <c r="AF981">
        <v>4</v>
      </c>
      <c r="AG981" t="str">
        <f t="shared" si="233"/>
        <v>4-6</v>
      </c>
      <c r="AH981" t="s">
        <v>67</v>
      </c>
      <c r="AI981" t="s">
        <v>71</v>
      </c>
      <c r="AJ981">
        <v>13</v>
      </c>
      <c r="AK981" t="str">
        <f t="shared" si="234"/>
        <v>13-15%</v>
      </c>
      <c r="AL981">
        <v>3</v>
      </c>
      <c r="AM981" t="s">
        <v>68</v>
      </c>
      <c r="AN981">
        <v>1</v>
      </c>
      <c r="AO981" t="s">
        <v>69</v>
      </c>
      <c r="AP981">
        <v>80</v>
      </c>
      <c r="AQ981">
        <v>2</v>
      </c>
      <c r="AR981">
        <v>10</v>
      </c>
      <c r="AS981" t="str">
        <f t="shared" si="235"/>
        <v>6-10</v>
      </c>
      <c r="AT981">
        <v>1</v>
      </c>
      <c r="AU981" t="str">
        <f t="shared" si="236"/>
        <v>0-2</v>
      </c>
      <c r="AV981">
        <v>3</v>
      </c>
      <c r="AW981" t="s">
        <v>79</v>
      </c>
      <c r="AX981">
        <v>8</v>
      </c>
      <c r="AY981" t="str">
        <f t="shared" si="225"/>
        <v>6-10</v>
      </c>
      <c r="AZ981">
        <v>7</v>
      </c>
      <c r="BA981" t="str">
        <f t="shared" si="237"/>
        <v>6-10</v>
      </c>
      <c r="BB981">
        <v>7</v>
      </c>
      <c r="BC981" t="str">
        <f t="shared" si="238"/>
        <v>6-10</v>
      </c>
      <c r="BD981">
        <v>7</v>
      </c>
      <c r="BE981" t="str">
        <f t="shared" si="239"/>
        <v>6-10</v>
      </c>
    </row>
    <row r="982" spans="1:57" x14ac:dyDescent="0.3">
      <c r="A982">
        <v>1379</v>
      </c>
      <c r="B982">
        <v>31</v>
      </c>
      <c r="C982" t="str">
        <f t="shared" si="226"/>
        <v>26-35</v>
      </c>
      <c r="D982" t="s">
        <v>56</v>
      </c>
      <c r="E982">
        <f t="shared" si="227"/>
        <v>1</v>
      </c>
      <c r="F982" t="s">
        <v>72</v>
      </c>
      <c r="G982">
        <v>703</v>
      </c>
      <c r="H982" t="str">
        <f t="shared" si="228"/>
        <v>501-1000</v>
      </c>
      <c r="I982" t="s">
        <v>58</v>
      </c>
      <c r="J982">
        <v>2</v>
      </c>
      <c r="K982" t="str">
        <f t="shared" si="229"/>
        <v>1-5</v>
      </c>
      <c r="L982">
        <v>3</v>
      </c>
      <c r="M982" t="s">
        <v>85</v>
      </c>
      <c r="N982" t="s">
        <v>60</v>
      </c>
      <c r="O982">
        <v>1</v>
      </c>
      <c r="P982">
        <v>3</v>
      </c>
      <c r="Q982" t="s">
        <v>63</v>
      </c>
      <c r="R982" t="s">
        <v>62</v>
      </c>
      <c r="S982">
        <v>90</v>
      </c>
      <c r="T982" t="str">
        <f t="shared" si="230"/>
        <v>76-100</v>
      </c>
      <c r="U982">
        <v>2</v>
      </c>
      <c r="V982" t="s">
        <v>61</v>
      </c>
      <c r="W982">
        <v>1</v>
      </c>
      <c r="X982" t="s">
        <v>91</v>
      </c>
      <c r="Y982">
        <v>4</v>
      </c>
      <c r="Z982" t="s">
        <v>65</v>
      </c>
      <c r="AA982" t="s">
        <v>66</v>
      </c>
      <c r="AB982" s="4">
        <v>2785</v>
      </c>
      <c r="AC982" s="4" t="str">
        <f t="shared" si="231"/>
        <v>$2,500-$4,000</v>
      </c>
      <c r="AD982">
        <v>11882</v>
      </c>
      <c r="AE982" t="str">
        <f t="shared" si="232"/>
        <v>$8,001-$16,000</v>
      </c>
      <c r="AF982">
        <v>7</v>
      </c>
      <c r="AG982" t="str">
        <f t="shared" si="233"/>
        <v>7-9</v>
      </c>
      <c r="AH982" t="s">
        <v>67</v>
      </c>
      <c r="AI982" t="s">
        <v>71</v>
      </c>
      <c r="AJ982">
        <v>14</v>
      </c>
      <c r="AK982" t="str">
        <f t="shared" si="234"/>
        <v>13-15%</v>
      </c>
      <c r="AL982">
        <v>3</v>
      </c>
      <c r="AM982" t="s">
        <v>68</v>
      </c>
      <c r="AN982">
        <v>3</v>
      </c>
      <c r="AO982" t="s">
        <v>63</v>
      </c>
      <c r="AP982">
        <v>80</v>
      </c>
      <c r="AQ982">
        <v>0</v>
      </c>
      <c r="AR982">
        <v>3</v>
      </c>
      <c r="AS982" t="str">
        <f t="shared" si="235"/>
        <v>3-5</v>
      </c>
      <c r="AT982">
        <v>3</v>
      </c>
      <c r="AU982" t="str">
        <f t="shared" si="236"/>
        <v>3-4</v>
      </c>
      <c r="AV982">
        <v>4</v>
      </c>
      <c r="AW982" t="s">
        <v>94</v>
      </c>
      <c r="AX982">
        <v>1</v>
      </c>
      <c r="AY982" t="str">
        <f t="shared" si="225"/>
        <v>0-1</v>
      </c>
      <c r="AZ982">
        <v>0</v>
      </c>
      <c r="BA982" t="str">
        <f t="shared" si="237"/>
        <v>0-1</v>
      </c>
      <c r="BB982">
        <v>0</v>
      </c>
      <c r="BC982" t="str">
        <f t="shared" si="238"/>
        <v>0-1</v>
      </c>
      <c r="BD982">
        <v>0</v>
      </c>
      <c r="BE982" t="str">
        <f t="shared" si="239"/>
        <v>0-1</v>
      </c>
    </row>
    <row r="983" spans="1:57" x14ac:dyDescent="0.3">
      <c r="A983">
        <v>1380</v>
      </c>
      <c r="B983">
        <v>35</v>
      </c>
      <c r="C983" t="str">
        <f t="shared" si="226"/>
        <v>26-35</v>
      </c>
      <c r="D983" t="s">
        <v>56</v>
      </c>
      <c r="E983">
        <f t="shared" si="227"/>
        <v>1</v>
      </c>
      <c r="F983" t="s">
        <v>72</v>
      </c>
      <c r="G983">
        <v>662</v>
      </c>
      <c r="H983" t="str">
        <f t="shared" si="228"/>
        <v>501-1000</v>
      </c>
      <c r="I983" t="s">
        <v>58</v>
      </c>
      <c r="J983">
        <v>18</v>
      </c>
      <c r="K983" t="str">
        <f t="shared" si="229"/>
        <v>11-20</v>
      </c>
      <c r="L983">
        <v>4</v>
      </c>
      <c r="M983" t="s">
        <v>82</v>
      </c>
      <c r="N983" t="s">
        <v>93</v>
      </c>
      <c r="O983">
        <v>1</v>
      </c>
      <c r="P983">
        <v>4</v>
      </c>
      <c r="Q983" t="s">
        <v>65</v>
      </c>
      <c r="R983" t="s">
        <v>62</v>
      </c>
      <c r="S983">
        <v>67</v>
      </c>
      <c r="T983" t="str">
        <f t="shared" si="230"/>
        <v>51-75</v>
      </c>
      <c r="U983">
        <v>3</v>
      </c>
      <c r="V983" t="s">
        <v>63</v>
      </c>
      <c r="W983">
        <v>2</v>
      </c>
      <c r="X983" t="s">
        <v>64</v>
      </c>
      <c r="Y983">
        <v>3</v>
      </c>
      <c r="Z983" t="s">
        <v>63</v>
      </c>
      <c r="AA983" t="s">
        <v>77</v>
      </c>
      <c r="AB983" s="4">
        <v>4614</v>
      </c>
      <c r="AC983" s="4" t="str">
        <f t="shared" si="231"/>
        <v>$4,000-$5,500</v>
      </c>
      <c r="AD983">
        <v>23288</v>
      </c>
      <c r="AE983" t="str">
        <f t="shared" si="232"/>
        <v>$22,001-$26,999</v>
      </c>
      <c r="AF983">
        <v>0</v>
      </c>
      <c r="AG983" t="str">
        <f t="shared" si="233"/>
        <v>0-1</v>
      </c>
      <c r="AH983" t="s">
        <v>67</v>
      </c>
      <c r="AI983" t="s">
        <v>56</v>
      </c>
      <c r="AJ983">
        <v>18</v>
      </c>
      <c r="AK983" t="str">
        <f t="shared" si="234"/>
        <v>18-19%</v>
      </c>
      <c r="AL983">
        <v>3</v>
      </c>
      <c r="AM983" t="s">
        <v>68</v>
      </c>
      <c r="AN983">
        <v>3</v>
      </c>
      <c r="AO983" t="s">
        <v>63</v>
      </c>
      <c r="AP983">
        <v>80</v>
      </c>
      <c r="AQ983">
        <v>1</v>
      </c>
      <c r="AR983">
        <v>5</v>
      </c>
      <c r="AS983" t="str">
        <f t="shared" si="235"/>
        <v>3-5</v>
      </c>
      <c r="AT983">
        <v>0</v>
      </c>
      <c r="AU983" t="str">
        <f t="shared" si="236"/>
        <v>0-2</v>
      </c>
      <c r="AV983">
        <v>2</v>
      </c>
      <c r="AW983" t="s">
        <v>84</v>
      </c>
      <c r="AX983">
        <v>4</v>
      </c>
      <c r="AY983" t="str">
        <f t="shared" si="225"/>
        <v>2-5</v>
      </c>
      <c r="AZ983">
        <v>2</v>
      </c>
      <c r="BA983" t="str">
        <f t="shared" si="237"/>
        <v>2-5</v>
      </c>
      <c r="BB983">
        <v>3</v>
      </c>
      <c r="BC983" t="str">
        <f t="shared" si="238"/>
        <v>2-5</v>
      </c>
      <c r="BD983">
        <v>2</v>
      </c>
      <c r="BE983" t="str">
        <f t="shared" si="239"/>
        <v>2-5</v>
      </c>
    </row>
    <row r="984" spans="1:57" x14ac:dyDescent="0.3">
      <c r="A984">
        <v>1382</v>
      </c>
      <c r="B984">
        <v>38</v>
      </c>
      <c r="C984" t="str">
        <f t="shared" si="226"/>
        <v>36-45</v>
      </c>
      <c r="D984" t="s">
        <v>71</v>
      </c>
      <c r="E984">
        <f t="shared" si="227"/>
        <v>0</v>
      </c>
      <c r="F984" t="s">
        <v>72</v>
      </c>
      <c r="G984">
        <v>693</v>
      </c>
      <c r="H984" t="str">
        <f t="shared" si="228"/>
        <v>501-1000</v>
      </c>
      <c r="I984" t="s">
        <v>73</v>
      </c>
      <c r="J984">
        <v>7</v>
      </c>
      <c r="K984" t="str">
        <f t="shared" si="229"/>
        <v>6-10</v>
      </c>
      <c r="L984">
        <v>3</v>
      </c>
      <c r="M984" t="s">
        <v>85</v>
      </c>
      <c r="N984" t="s">
        <v>60</v>
      </c>
      <c r="O984">
        <v>1</v>
      </c>
      <c r="P984">
        <v>4</v>
      </c>
      <c r="Q984" t="s">
        <v>65</v>
      </c>
      <c r="R984" t="s">
        <v>75</v>
      </c>
      <c r="S984">
        <v>57</v>
      </c>
      <c r="T984" t="str">
        <f t="shared" si="230"/>
        <v>51-75</v>
      </c>
      <c r="U984">
        <v>4</v>
      </c>
      <c r="V984" t="s">
        <v>65</v>
      </c>
      <c r="W984">
        <v>1</v>
      </c>
      <c r="X984" t="s">
        <v>76</v>
      </c>
      <c r="Y984">
        <v>3</v>
      </c>
      <c r="Z984" t="s">
        <v>63</v>
      </c>
      <c r="AA984" t="s">
        <v>86</v>
      </c>
      <c r="AB984" s="4">
        <v>2610</v>
      </c>
      <c r="AC984" s="4" t="str">
        <f t="shared" si="231"/>
        <v>$2,500-$4,000</v>
      </c>
      <c r="AD984">
        <v>15748</v>
      </c>
      <c r="AE984" t="str">
        <f t="shared" si="232"/>
        <v>$8,001-$16,000</v>
      </c>
      <c r="AF984">
        <v>1</v>
      </c>
      <c r="AG984" t="str">
        <f t="shared" si="233"/>
        <v>0-1</v>
      </c>
      <c r="AH984" t="s">
        <v>67</v>
      </c>
      <c r="AI984" t="s">
        <v>71</v>
      </c>
      <c r="AJ984">
        <v>11</v>
      </c>
      <c r="AK984" t="str">
        <f t="shared" si="234"/>
        <v>11-12%</v>
      </c>
      <c r="AL984">
        <v>3</v>
      </c>
      <c r="AM984" t="s">
        <v>68</v>
      </c>
      <c r="AN984">
        <v>4</v>
      </c>
      <c r="AO984" t="s">
        <v>65</v>
      </c>
      <c r="AP984">
        <v>80</v>
      </c>
      <c r="AQ984">
        <v>3</v>
      </c>
      <c r="AR984">
        <v>4</v>
      </c>
      <c r="AS984" t="str">
        <f t="shared" si="235"/>
        <v>3-5</v>
      </c>
      <c r="AT984">
        <v>2</v>
      </c>
      <c r="AU984" t="str">
        <f t="shared" si="236"/>
        <v>0-2</v>
      </c>
      <c r="AV984">
        <v>3</v>
      </c>
      <c r="AW984" t="s">
        <v>79</v>
      </c>
      <c r="AX984">
        <v>4</v>
      </c>
      <c r="AY984" t="str">
        <f t="shared" si="225"/>
        <v>2-5</v>
      </c>
      <c r="AZ984">
        <v>2</v>
      </c>
      <c r="BA984" t="str">
        <f t="shared" si="237"/>
        <v>2-5</v>
      </c>
      <c r="BB984">
        <v>0</v>
      </c>
      <c r="BC984" t="str">
        <f t="shared" si="238"/>
        <v>0-1</v>
      </c>
      <c r="BD984">
        <v>3</v>
      </c>
      <c r="BE984" t="str">
        <f t="shared" si="239"/>
        <v>2-5</v>
      </c>
    </row>
    <row r="985" spans="1:57" x14ac:dyDescent="0.3">
      <c r="A985">
        <v>1383</v>
      </c>
      <c r="B985">
        <v>34</v>
      </c>
      <c r="C985" t="str">
        <f t="shared" si="226"/>
        <v>26-35</v>
      </c>
      <c r="D985" t="s">
        <v>71</v>
      </c>
      <c r="E985">
        <f t="shared" si="227"/>
        <v>0</v>
      </c>
      <c r="F985" t="s">
        <v>57</v>
      </c>
      <c r="G985">
        <v>404</v>
      </c>
      <c r="H985" t="str">
        <f t="shared" si="228"/>
        <v>102-500</v>
      </c>
      <c r="I985" t="s">
        <v>73</v>
      </c>
      <c r="J985">
        <v>2</v>
      </c>
      <c r="K985" t="str">
        <f t="shared" si="229"/>
        <v>1-5</v>
      </c>
      <c r="L985">
        <v>4</v>
      </c>
      <c r="M985" t="s">
        <v>82</v>
      </c>
      <c r="N985" t="s">
        <v>95</v>
      </c>
      <c r="O985">
        <v>1</v>
      </c>
      <c r="P985">
        <v>3</v>
      </c>
      <c r="Q985" t="s">
        <v>63</v>
      </c>
      <c r="R985" t="s">
        <v>62</v>
      </c>
      <c r="S985">
        <v>98</v>
      </c>
      <c r="T985" t="str">
        <f t="shared" si="230"/>
        <v>76-100</v>
      </c>
      <c r="U985">
        <v>3</v>
      </c>
      <c r="V985" t="s">
        <v>63</v>
      </c>
      <c r="W985">
        <v>2</v>
      </c>
      <c r="X985" t="s">
        <v>88</v>
      </c>
      <c r="Y985">
        <v>4</v>
      </c>
      <c r="Z985" t="s">
        <v>65</v>
      </c>
      <c r="AA985" t="s">
        <v>66</v>
      </c>
      <c r="AB985" s="4">
        <v>6687</v>
      </c>
      <c r="AC985" s="4" t="str">
        <f t="shared" si="231"/>
        <v>$5,500-$7,000</v>
      </c>
      <c r="AD985">
        <v>6163</v>
      </c>
      <c r="AE985" t="str">
        <f t="shared" si="232"/>
        <v>$2,094-$8,000</v>
      </c>
      <c r="AF985">
        <v>1</v>
      </c>
      <c r="AG985" t="str">
        <f t="shared" si="233"/>
        <v>0-1</v>
      </c>
      <c r="AH985" t="s">
        <v>67</v>
      </c>
      <c r="AI985" t="s">
        <v>71</v>
      </c>
      <c r="AJ985">
        <v>11</v>
      </c>
      <c r="AK985" t="str">
        <f t="shared" si="234"/>
        <v>11-12%</v>
      </c>
      <c r="AL985">
        <v>3</v>
      </c>
      <c r="AM985" t="s">
        <v>68</v>
      </c>
      <c r="AN985">
        <v>4</v>
      </c>
      <c r="AO985" t="s">
        <v>65</v>
      </c>
      <c r="AP985">
        <v>80</v>
      </c>
      <c r="AQ985">
        <v>0</v>
      </c>
      <c r="AR985">
        <v>14</v>
      </c>
      <c r="AS985" t="str">
        <f t="shared" si="235"/>
        <v>11-20</v>
      </c>
      <c r="AT985">
        <v>2</v>
      </c>
      <c r="AU985" t="str">
        <f t="shared" si="236"/>
        <v>0-2</v>
      </c>
      <c r="AV985">
        <v>4</v>
      </c>
      <c r="AW985" t="s">
        <v>94</v>
      </c>
      <c r="AX985">
        <v>14</v>
      </c>
      <c r="AY985" t="str">
        <f t="shared" si="225"/>
        <v>11-20</v>
      </c>
      <c r="AZ985">
        <v>11</v>
      </c>
      <c r="BA985" t="str">
        <f t="shared" si="237"/>
        <v>11-18</v>
      </c>
      <c r="BB985">
        <v>4</v>
      </c>
      <c r="BC985" t="str">
        <f t="shared" si="238"/>
        <v>2-5</v>
      </c>
      <c r="BD985">
        <v>11</v>
      </c>
      <c r="BE985" t="str">
        <f t="shared" si="239"/>
        <v>11-17</v>
      </c>
    </row>
    <row r="986" spans="1:57" x14ac:dyDescent="0.3">
      <c r="A986">
        <v>1387</v>
      </c>
      <c r="B986">
        <v>28</v>
      </c>
      <c r="C986" t="str">
        <f t="shared" si="226"/>
        <v>26-35</v>
      </c>
      <c r="D986" t="s">
        <v>71</v>
      </c>
      <c r="E986">
        <f t="shared" si="227"/>
        <v>0</v>
      </c>
      <c r="F986" t="s">
        <v>57</v>
      </c>
      <c r="G986">
        <v>736</v>
      </c>
      <c r="H986" t="str">
        <f t="shared" si="228"/>
        <v>501-1000</v>
      </c>
      <c r="I986" t="s">
        <v>58</v>
      </c>
      <c r="J986">
        <v>26</v>
      </c>
      <c r="K986" t="str">
        <f t="shared" si="229"/>
        <v>21-29</v>
      </c>
      <c r="L986">
        <v>3</v>
      </c>
      <c r="M986" t="s">
        <v>85</v>
      </c>
      <c r="N986" t="s">
        <v>60</v>
      </c>
      <c r="O986">
        <v>1</v>
      </c>
      <c r="P986">
        <v>3</v>
      </c>
      <c r="Q986" t="s">
        <v>63</v>
      </c>
      <c r="R986" t="s">
        <v>75</v>
      </c>
      <c r="S986">
        <v>48</v>
      </c>
      <c r="T986" t="str">
        <f t="shared" si="230"/>
        <v>30-50</v>
      </c>
      <c r="U986">
        <v>2</v>
      </c>
      <c r="V986" t="s">
        <v>61</v>
      </c>
      <c r="W986">
        <v>2</v>
      </c>
      <c r="X986" t="s">
        <v>64</v>
      </c>
      <c r="Y986">
        <v>1</v>
      </c>
      <c r="Z986" t="s">
        <v>69</v>
      </c>
      <c r="AA986" t="s">
        <v>77</v>
      </c>
      <c r="AB986" s="4">
        <v>4724</v>
      </c>
      <c r="AC986" s="4" t="str">
        <f t="shared" si="231"/>
        <v>$4,000-$5,500</v>
      </c>
      <c r="AD986">
        <v>24232</v>
      </c>
      <c r="AE986" t="str">
        <f t="shared" si="232"/>
        <v>$22,001-$26,999</v>
      </c>
      <c r="AF986">
        <v>1</v>
      </c>
      <c r="AG986" t="str">
        <f t="shared" si="233"/>
        <v>0-1</v>
      </c>
      <c r="AH986" t="s">
        <v>67</v>
      </c>
      <c r="AI986" t="s">
        <v>71</v>
      </c>
      <c r="AJ986">
        <v>11</v>
      </c>
      <c r="AK986" t="str">
        <f t="shared" si="234"/>
        <v>11-12%</v>
      </c>
      <c r="AL986">
        <v>3</v>
      </c>
      <c r="AM986" t="s">
        <v>68</v>
      </c>
      <c r="AN986">
        <v>3</v>
      </c>
      <c r="AO986" t="s">
        <v>63</v>
      </c>
      <c r="AP986">
        <v>80</v>
      </c>
      <c r="AQ986">
        <v>1</v>
      </c>
      <c r="AR986">
        <v>5</v>
      </c>
      <c r="AS986" t="str">
        <f t="shared" si="235"/>
        <v>3-5</v>
      </c>
      <c r="AT986">
        <v>0</v>
      </c>
      <c r="AU986" t="str">
        <f t="shared" si="236"/>
        <v>0-2</v>
      </c>
      <c r="AV986">
        <v>3</v>
      </c>
      <c r="AW986" t="s">
        <v>79</v>
      </c>
      <c r="AX986">
        <v>5</v>
      </c>
      <c r="AY986" t="str">
        <f t="shared" si="225"/>
        <v>2-5</v>
      </c>
      <c r="AZ986">
        <v>3</v>
      </c>
      <c r="BA986" t="str">
        <f t="shared" si="237"/>
        <v>2-5</v>
      </c>
      <c r="BB986">
        <v>0</v>
      </c>
      <c r="BC986" t="str">
        <f t="shared" si="238"/>
        <v>0-1</v>
      </c>
      <c r="BD986">
        <v>4</v>
      </c>
      <c r="BE986" t="str">
        <f t="shared" si="239"/>
        <v>2-5</v>
      </c>
    </row>
    <row r="987" spans="1:57" x14ac:dyDescent="0.3">
      <c r="A987">
        <v>1389</v>
      </c>
      <c r="B987">
        <v>31</v>
      </c>
      <c r="C987" t="str">
        <f t="shared" si="226"/>
        <v>26-35</v>
      </c>
      <c r="D987" t="s">
        <v>56</v>
      </c>
      <c r="E987">
        <f t="shared" si="227"/>
        <v>1</v>
      </c>
      <c r="F987" t="s">
        <v>57</v>
      </c>
      <c r="G987">
        <v>330</v>
      </c>
      <c r="H987" t="str">
        <f t="shared" si="228"/>
        <v>102-500</v>
      </c>
      <c r="I987" t="s">
        <v>73</v>
      </c>
      <c r="J987">
        <v>22</v>
      </c>
      <c r="K987" t="str">
        <f t="shared" si="229"/>
        <v>21-29</v>
      </c>
      <c r="L987">
        <v>4</v>
      </c>
      <c r="M987" t="s">
        <v>82</v>
      </c>
      <c r="N987" t="s">
        <v>83</v>
      </c>
      <c r="O987">
        <v>1</v>
      </c>
      <c r="P987">
        <v>4</v>
      </c>
      <c r="Q987" t="s">
        <v>65</v>
      </c>
      <c r="R987" t="s">
        <v>75</v>
      </c>
      <c r="S987">
        <v>98</v>
      </c>
      <c r="T987" t="str">
        <f t="shared" si="230"/>
        <v>76-100</v>
      </c>
      <c r="U987">
        <v>3</v>
      </c>
      <c r="V987" t="s">
        <v>63</v>
      </c>
      <c r="W987">
        <v>2</v>
      </c>
      <c r="X987" t="s">
        <v>87</v>
      </c>
      <c r="Y987">
        <v>3</v>
      </c>
      <c r="Z987" t="s">
        <v>63</v>
      </c>
      <c r="AA987" t="s">
        <v>77</v>
      </c>
      <c r="AB987" s="4">
        <v>6179</v>
      </c>
      <c r="AC987" s="4" t="str">
        <f t="shared" si="231"/>
        <v>$5,500-$7,000</v>
      </c>
      <c r="AD987">
        <v>21057</v>
      </c>
      <c r="AE987" t="str">
        <f t="shared" si="232"/>
        <v>$16,001-$22,000</v>
      </c>
      <c r="AF987">
        <v>1</v>
      </c>
      <c r="AG987" t="str">
        <f t="shared" si="233"/>
        <v>0-1</v>
      </c>
      <c r="AH987" t="s">
        <v>67</v>
      </c>
      <c r="AI987" t="s">
        <v>56</v>
      </c>
      <c r="AJ987">
        <v>15</v>
      </c>
      <c r="AK987" t="str">
        <f t="shared" si="234"/>
        <v>13-15%</v>
      </c>
      <c r="AL987">
        <v>3</v>
      </c>
      <c r="AM987" t="s">
        <v>68</v>
      </c>
      <c r="AN987">
        <v>4</v>
      </c>
      <c r="AO987" t="s">
        <v>65</v>
      </c>
      <c r="AP987">
        <v>80</v>
      </c>
      <c r="AQ987">
        <v>2</v>
      </c>
      <c r="AR987">
        <v>10</v>
      </c>
      <c r="AS987" t="str">
        <f t="shared" si="235"/>
        <v>6-10</v>
      </c>
      <c r="AT987">
        <v>3</v>
      </c>
      <c r="AU987" t="str">
        <f t="shared" si="236"/>
        <v>3-4</v>
      </c>
      <c r="AV987">
        <v>2</v>
      </c>
      <c r="AW987" t="s">
        <v>84</v>
      </c>
      <c r="AX987">
        <v>10</v>
      </c>
      <c r="AY987" t="str">
        <f t="shared" si="225"/>
        <v>6-10</v>
      </c>
      <c r="AZ987">
        <v>2</v>
      </c>
      <c r="BA987" t="str">
        <f t="shared" si="237"/>
        <v>2-5</v>
      </c>
      <c r="BB987">
        <v>6</v>
      </c>
      <c r="BC987" t="str">
        <f t="shared" si="238"/>
        <v>6-10</v>
      </c>
      <c r="BD987">
        <v>7</v>
      </c>
      <c r="BE987" t="str">
        <f t="shared" si="239"/>
        <v>6-10</v>
      </c>
    </row>
    <row r="988" spans="1:57" x14ac:dyDescent="0.3">
      <c r="A988">
        <v>1390</v>
      </c>
      <c r="B988">
        <v>39</v>
      </c>
      <c r="C988" t="str">
        <f t="shared" si="226"/>
        <v>36-45</v>
      </c>
      <c r="D988" t="s">
        <v>71</v>
      </c>
      <c r="E988">
        <f t="shared" si="227"/>
        <v>0</v>
      </c>
      <c r="F988" t="s">
        <v>57</v>
      </c>
      <c r="G988">
        <v>1498</v>
      </c>
      <c r="H988" t="str">
        <f t="shared" si="228"/>
        <v>1001-1499</v>
      </c>
      <c r="I988" t="s">
        <v>58</v>
      </c>
      <c r="J988">
        <v>21</v>
      </c>
      <c r="K988" t="str">
        <f t="shared" si="229"/>
        <v>21-29</v>
      </c>
      <c r="L988">
        <v>4</v>
      </c>
      <c r="M988" t="s">
        <v>82</v>
      </c>
      <c r="N988" t="s">
        <v>60</v>
      </c>
      <c r="O988">
        <v>1</v>
      </c>
      <c r="P988">
        <v>1</v>
      </c>
      <c r="Q988" t="s">
        <v>69</v>
      </c>
      <c r="R988" t="s">
        <v>75</v>
      </c>
      <c r="S988">
        <v>44</v>
      </c>
      <c r="T988" t="str">
        <f t="shared" si="230"/>
        <v>30-50</v>
      </c>
      <c r="U988">
        <v>2</v>
      </c>
      <c r="V988" t="s">
        <v>61</v>
      </c>
      <c r="W988">
        <v>2</v>
      </c>
      <c r="X988" t="s">
        <v>64</v>
      </c>
      <c r="Y988">
        <v>4</v>
      </c>
      <c r="Z988" t="s">
        <v>65</v>
      </c>
      <c r="AA988" t="s">
        <v>77</v>
      </c>
      <c r="AB988" s="4">
        <v>6120</v>
      </c>
      <c r="AC988" s="4" t="str">
        <f t="shared" si="231"/>
        <v>$5,500-$7,000</v>
      </c>
      <c r="AD988">
        <v>3567</v>
      </c>
      <c r="AE988" t="str">
        <f t="shared" si="232"/>
        <v>$2,094-$8,000</v>
      </c>
      <c r="AF988">
        <v>3</v>
      </c>
      <c r="AG988" t="str">
        <f t="shared" si="233"/>
        <v>2-3</v>
      </c>
      <c r="AH988" t="s">
        <v>67</v>
      </c>
      <c r="AI988" t="s">
        <v>56</v>
      </c>
      <c r="AJ988">
        <v>12</v>
      </c>
      <c r="AK988" t="str">
        <f t="shared" si="234"/>
        <v>11-12%</v>
      </c>
      <c r="AL988">
        <v>3</v>
      </c>
      <c r="AM988" t="s">
        <v>68</v>
      </c>
      <c r="AN988">
        <v>4</v>
      </c>
      <c r="AO988" t="s">
        <v>65</v>
      </c>
      <c r="AP988">
        <v>80</v>
      </c>
      <c r="AQ988">
        <v>2</v>
      </c>
      <c r="AR988">
        <v>8</v>
      </c>
      <c r="AS988" t="str">
        <f t="shared" si="235"/>
        <v>6-10</v>
      </c>
      <c r="AT988">
        <v>2</v>
      </c>
      <c r="AU988" t="str">
        <f t="shared" si="236"/>
        <v>0-2</v>
      </c>
      <c r="AV988">
        <v>4</v>
      </c>
      <c r="AW988" t="s">
        <v>94</v>
      </c>
      <c r="AX988">
        <v>5</v>
      </c>
      <c r="AY988" t="str">
        <f t="shared" si="225"/>
        <v>2-5</v>
      </c>
      <c r="AZ988">
        <v>4</v>
      </c>
      <c r="BA988" t="str">
        <f t="shared" si="237"/>
        <v>2-5</v>
      </c>
      <c r="BB988">
        <v>1</v>
      </c>
      <c r="BC988" t="str">
        <f t="shared" si="238"/>
        <v>0-1</v>
      </c>
      <c r="BD988">
        <v>4</v>
      </c>
      <c r="BE988" t="str">
        <f t="shared" si="239"/>
        <v>2-5</v>
      </c>
    </row>
    <row r="989" spans="1:57" x14ac:dyDescent="0.3">
      <c r="A989">
        <v>1391</v>
      </c>
      <c r="B989">
        <v>51</v>
      </c>
      <c r="C989" t="str">
        <f t="shared" si="226"/>
        <v>46-55</v>
      </c>
      <c r="D989" t="s">
        <v>71</v>
      </c>
      <c r="E989">
        <f t="shared" si="227"/>
        <v>0</v>
      </c>
      <c r="F989" t="s">
        <v>72</v>
      </c>
      <c r="G989">
        <v>541</v>
      </c>
      <c r="H989" t="str">
        <f t="shared" si="228"/>
        <v>501-1000</v>
      </c>
      <c r="I989" t="s">
        <v>58</v>
      </c>
      <c r="J989">
        <v>2</v>
      </c>
      <c r="K989" t="str">
        <f t="shared" si="229"/>
        <v>1-5</v>
      </c>
      <c r="L989">
        <v>3</v>
      </c>
      <c r="M989" t="s">
        <v>85</v>
      </c>
      <c r="N989" t="s">
        <v>93</v>
      </c>
      <c r="O989">
        <v>1</v>
      </c>
      <c r="P989">
        <v>2</v>
      </c>
      <c r="Q989" t="s">
        <v>61</v>
      </c>
      <c r="R989" t="s">
        <v>75</v>
      </c>
      <c r="S989">
        <v>52</v>
      </c>
      <c r="T989" t="str">
        <f t="shared" si="230"/>
        <v>51-75</v>
      </c>
      <c r="U989">
        <v>3</v>
      </c>
      <c r="V989" t="s">
        <v>63</v>
      </c>
      <c r="W989">
        <v>3</v>
      </c>
      <c r="X989" t="s">
        <v>64</v>
      </c>
      <c r="Y989">
        <v>2</v>
      </c>
      <c r="Z989" t="s">
        <v>61</v>
      </c>
      <c r="AA989" t="s">
        <v>77</v>
      </c>
      <c r="AB989" s="4">
        <v>10596</v>
      </c>
      <c r="AC989" s="4" t="str">
        <f t="shared" si="231"/>
        <v>$10,000-$11,500</v>
      </c>
      <c r="AD989">
        <v>15395</v>
      </c>
      <c r="AE989" t="str">
        <f t="shared" si="232"/>
        <v>$8,001-$16,000</v>
      </c>
      <c r="AF989">
        <v>2</v>
      </c>
      <c r="AG989" t="str">
        <f t="shared" si="233"/>
        <v>2-3</v>
      </c>
      <c r="AH989" t="s">
        <v>67</v>
      </c>
      <c r="AI989" t="s">
        <v>71</v>
      </c>
      <c r="AJ989">
        <v>11</v>
      </c>
      <c r="AK989" t="str">
        <f t="shared" si="234"/>
        <v>11-12%</v>
      </c>
      <c r="AL989">
        <v>3</v>
      </c>
      <c r="AM989" t="s">
        <v>68</v>
      </c>
      <c r="AN989">
        <v>2</v>
      </c>
      <c r="AO989" t="s">
        <v>61</v>
      </c>
      <c r="AP989">
        <v>80</v>
      </c>
      <c r="AQ989">
        <v>0</v>
      </c>
      <c r="AR989">
        <v>14</v>
      </c>
      <c r="AS989" t="str">
        <f t="shared" si="235"/>
        <v>11-20</v>
      </c>
      <c r="AT989">
        <v>5</v>
      </c>
      <c r="AU989" t="str">
        <f t="shared" si="236"/>
        <v>5-6</v>
      </c>
      <c r="AV989">
        <v>3</v>
      </c>
      <c r="AW989" t="s">
        <v>79</v>
      </c>
      <c r="AX989">
        <v>4</v>
      </c>
      <c r="AY989" t="str">
        <f t="shared" si="225"/>
        <v>2-5</v>
      </c>
      <c r="AZ989">
        <v>2</v>
      </c>
      <c r="BA989" t="str">
        <f t="shared" si="237"/>
        <v>2-5</v>
      </c>
      <c r="BB989">
        <v>3</v>
      </c>
      <c r="BC989" t="str">
        <f t="shared" si="238"/>
        <v>2-5</v>
      </c>
      <c r="BD989">
        <v>2</v>
      </c>
      <c r="BE989" t="str">
        <f t="shared" si="239"/>
        <v>2-5</v>
      </c>
    </row>
    <row r="990" spans="1:57" x14ac:dyDescent="0.3">
      <c r="A990">
        <v>1392</v>
      </c>
      <c r="B990">
        <v>41</v>
      </c>
      <c r="C990" t="str">
        <f t="shared" si="226"/>
        <v>36-45</v>
      </c>
      <c r="D990" t="s">
        <v>71</v>
      </c>
      <c r="E990">
        <f t="shared" si="227"/>
        <v>0</v>
      </c>
      <c r="F990" t="s">
        <v>72</v>
      </c>
      <c r="G990">
        <v>1200</v>
      </c>
      <c r="H990" t="str">
        <f t="shared" si="228"/>
        <v>1001-1499</v>
      </c>
      <c r="I990" t="s">
        <v>73</v>
      </c>
      <c r="J990">
        <v>22</v>
      </c>
      <c r="K990" t="str">
        <f t="shared" si="229"/>
        <v>21-29</v>
      </c>
      <c r="L990">
        <v>3</v>
      </c>
      <c r="M990" t="s">
        <v>85</v>
      </c>
      <c r="N990" t="s">
        <v>60</v>
      </c>
      <c r="O990">
        <v>1</v>
      </c>
      <c r="P990">
        <v>4</v>
      </c>
      <c r="Q990" t="s">
        <v>65</v>
      </c>
      <c r="R990" t="s">
        <v>62</v>
      </c>
      <c r="S990">
        <v>75</v>
      </c>
      <c r="T990" t="str">
        <f t="shared" si="230"/>
        <v>51-75</v>
      </c>
      <c r="U990">
        <v>3</v>
      </c>
      <c r="V990" t="s">
        <v>63</v>
      </c>
      <c r="W990">
        <v>2</v>
      </c>
      <c r="X990" t="s">
        <v>76</v>
      </c>
      <c r="Y990">
        <v>4</v>
      </c>
      <c r="Z990" t="s">
        <v>65</v>
      </c>
      <c r="AA990" t="s">
        <v>86</v>
      </c>
      <c r="AB990" s="4">
        <v>5467</v>
      </c>
      <c r="AC990" s="4" t="str">
        <f t="shared" si="231"/>
        <v>$4,000-$5,500</v>
      </c>
      <c r="AD990">
        <v>13953</v>
      </c>
      <c r="AE990" t="str">
        <f t="shared" si="232"/>
        <v>$8,001-$16,000</v>
      </c>
      <c r="AF990">
        <v>3</v>
      </c>
      <c r="AG990" t="str">
        <f t="shared" si="233"/>
        <v>2-3</v>
      </c>
      <c r="AH990" t="s">
        <v>67</v>
      </c>
      <c r="AI990" t="s">
        <v>56</v>
      </c>
      <c r="AJ990">
        <v>14</v>
      </c>
      <c r="AK990" t="str">
        <f t="shared" si="234"/>
        <v>13-15%</v>
      </c>
      <c r="AL990">
        <v>3</v>
      </c>
      <c r="AM990" t="s">
        <v>68</v>
      </c>
      <c r="AN990">
        <v>1</v>
      </c>
      <c r="AO990" t="s">
        <v>69</v>
      </c>
      <c r="AP990">
        <v>80</v>
      </c>
      <c r="AQ990">
        <v>2</v>
      </c>
      <c r="AR990">
        <v>12</v>
      </c>
      <c r="AS990" t="str">
        <f t="shared" si="235"/>
        <v>11-20</v>
      </c>
      <c r="AT990">
        <v>4</v>
      </c>
      <c r="AU990" t="str">
        <f t="shared" si="236"/>
        <v>3-4</v>
      </c>
      <c r="AV990">
        <v>2</v>
      </c>
      <c r="AW990" t="s">
        <v>84</v>
      </c>
      <c r="AX990">
        <v>6</v>
      </c>
      <c r="AY990" t="str">
        <f t="shared" si="225"/>
        <v>6-10</v>
      </c>
      <c r="AZ990">
        <v>2</v>
      </c>
      <c r="BA990" t="str">
        <f t="shared" si="237"/>
        <v>2-5</v>
      </c>
      <c r="BB990">
        <v>3</v>
      </c>
      <c r="BC990" t="str">
        <f t="shared" si="238"/>
        <v>2-5</v>
      </c>
      <c r="BD990">
        <v>3</v>
      </c>
      <c r="BE990" t="str">
        <f t="shared" si="239"/>
        <v>2-5</v>
      </c>
    </row>
    <row r="991" spans="1:57" x14ac:dyDescent="0.3">
      <c r="A991">
        <v>1394</v>
      </c>
      <c r="B991">
        <v>37</v>
      </c>
      <c r="C991" t="str">
        <f t="shared" si="226"/>
        <v>36-45</v>
      </c>
      <c r="D991" t="s">
        <v>71</v>
      </c>
      <c r="E991">
        <f t="shared" si="227"/>
        <v>0</v>
      </c>
      <c r="F991" t="s">
        <v>57</v>
      </c>
      <c r="G991">
        <v>1439</v>
      </c>
      <c r="H991" t="str">
        <f t="shared" si="228"/>
        <v>1001-1499</v>
      </c>
      <c r="I991" t="s">
        <v>73</v>
      </c>
      <c r="J991">
        <v>4</v>
      </c>
      <c r="K991" t="str">
        <f t="shared" si="229"/>
        <v>1-5</v>
      </c>
      <c r="L991">
        <v>1</v>
      </c>
      <c r="M991" t="s">
        <v>74</v>
      </c>
      <c r="N991" t="s">
        <v>60</v>
      </c>
      <c r="O991">
        <v>1</v>
      </c>
      <c r="P991">
        <v>3</v>
      </c>
      <c r="Q991" t="s">
        <v>63</v>
      </c>
      <c r="R991" t="s">
        <v>75</v>
      </c>
      <c r="S991">
        <v>54</v>
      </c>
      <c r="T991" t="str">
        <f t="shared" si="230"/>
        <v>51-75</v>
      </c>
      <c r="U991">
        <v>3</v>
      </c>
      <c r="V991" t="s">
        <v>63</v>
      </c>
      <c r="W991">
        <v>1</v>
      </c>
      <c r="X991" t="s">
        <v>76</v>
      </c>
      <c r="Y991">
        <v>3</v>
      </c>
      <c r="Z991" t="s">
        <v>63</v>
      </c>
      <c r="AA991" t="s">
        <v>77</v>
      </c>
      <c r="AB991" s="4">
        <v>2996</v>
      </c>
      <c r="AC991" s="4" t="str">
        <f t="shared" si="231"/>
        <v>$2,500-$4,000</v>
      </c>
      <c r="AD991">
        <v>5182</v>
      </c>
      <c r="AE991" t="str">
        <f t="shared" si="232"/>
        <v>$2,094-$8,000</v>
      </c>
      <c r="AF991">
        <v>7</v>
      </c>
      <c r="AG991" t="str">
        <f t="shared" si="233"/>
        <v>7-9</v>
      </c>
      <c r="AH991" t="s">
        <v>67</v>
      </c>
      <c r="AI991" t="s">
        <v>56</v>
      </c>
      <c r="AJ991">
        <v>15</v>
      </c>
      <c r="AK991" t="str">
        <f t="shared" si="234"/>
        <v>13-15%</v>
      </c>
      <c r="AL991">
        <v>3</v>
      </c>
      <c r="AM991" t="s">
        <v>68</v>
      </c>
      <c r="AN991">
        <v>4</v>
      </c>
      <c r="AO991" t="s">
        <v>65</v>
      </c>
      <c r="AP991">
        <v>80</v>
      </c>
      <c r="AQ991">
        <v>0</v>
      </c>
      <c r="AR991">
        <v>8</v>
      </c>
      <c r="AS991" t="str">
        <f t="shared" si="235"/>
        <v>6-10</v>
      </c>
      <c r="AT991">
        <v>2</v>
      </c>
      <c r="AU991" t="str">
        <f t="shared" si="236"/>
        <v>0-2</v>
      </c>
      <c r="AV991">
        <v>3</v>
      </c>
      <c r="AW991" t="s">
        <v>79</v>
      </c>
      <c r="AX991">
        <v>6</v>
      </c>
      <c r="AY991" t="str">
        <f t="shared" si="225"/>
        <v>6-10</v>
      </c>
      <c r="AZ991">
        <v>4</v>
      </c>
      <c r="BA991" t="str">
        <f t="shared" si="237"/>
        <v>2-5</v>
      </c>
      <c r="BB991">
        <v>1</v>
      </c>
      <c r="BC991" t="str">
        <f t="shared" si="238"/>
        <v>0-1</v>
      </c>
      <c r="BD991">
        <v>3</v>
      </c>
      <c r="BE991" t="str">
        <f t="shared" si="239"/>
        <v>2-5</v>
      </c>
    </row>
    <row r="992" spans="1:57" x14ac:dyDescent="0.3">
      <c r="A992">
        <v>1395</v>
      </c>
      <c r="B992">
        <v>33</v>
      </c>
      <c r="C992" t="str">
        <f t="shared" si="226"/>
        <v>26-35</v>
      </c>
      <c r="D992" t="s">
        <v>71</v>
      </c>
      <c r="E992">
        <f t="shared" si="227"/>
        <v>0</v>
      </c>
      <c r="F992" t="s">
        <v>72</v>
      </c>
      <c r="G992">
        <v>1111</v>
      </c>
      <c r="H992" t="str">
        <f t="shared" si="228"/>
        <v>1001-1499</v>
      </c>
      <c r="I992" t="s">
        <v>58</v>
      </c>
      <c r="J992">
        <v>5</v>
      </c>
      <c r="K992" t="str">
        <f t="shared" si="229"/>
        <v>1-5</v>
      </c>
      <c r="L992">
        <v>1</v>
      </c>
      <c r="M992" t="s">
        <v>74</v>
      </c>
      <c r="N992" t="s">
        <v>60</v>
      </c>
      <c r="O992">
        <v>1</v>
      </c>
      <c r="P992">
        <v>2</v>
      </c>
      <c r="Q992" t="s">
        <v>61</v>
      </c>
      <c r="R992" t="s">
        <v>75</v>
      </c>
      <c r="S992">
        <v>61</v>
      </c>
      <c r="T992" t="str">
        <f t="shared" si="230"/>
        <v>51-75</v>
      </c>
      <c r="U992">
        <v>3</v>
      </c>
      <c r="V992" t="s">
        <v>63</v>
      </c>
      <c r="W992">
        <v>2</v>
      </c>
      <c r="X992" t="s">
        <v>64</v>
      </c>
      <c r="Y992">
        <v>4</v>
      </c>
      <c r="Z992" t="s">
        <v>65</v>
      </c>
      <c r="AA992" t="s">
        <v>77</v>
      </c>
      <c r="AB992" s="4">
        <v>9998</v>
      </c>
      <c r="AC992" s="4" t="str">
        <f t="shared" si="231"/>
        <v>$8,500-$10,000</v>
      </c>
      <c r="AD992">
        <v>19293</v>
      </c>
      <c r="AE992" t="str">
        <f t="shared" si="232"/>
        <v>$16,001-$22,000</v>
      </c>
      <c r="AF992">
        <v>6</v>
      </c>
      <c r="AG992" t="str">
        <f t="shared" si="233"/>
        <v>4-6</v>
      </c>
      <c r="AH992" t="s">
        <v>67</v>
      </c>
      <c r="AI992" t="s">
        <v>71</v>
      </c>
      <c r="AJ992">
        <v>13</v>
      </c>
      <c r="AK992" t="str">
        <f t="shared" si="234"/>
        <v>13-15%</v>
      </c>
      <c r="AL992">
        <v>3</v>
      </c>
      <c r="AM992" t="s">
        <v>68</v>
      </c>
      <c r="AN992">
        <v>1</v>
      </c>
      <c r="AO992" t="s">
        <v>69</v>
      </c>
      <c r="AP992">
        <v>80</v>
      </c>
      <c r="AQ992">
        <v>0</v>
      </c>
      <c r="AR992">
        <v>8</v>
      </c>
      <c r="AS992" t="str">
        <f t="shared" si="235"/>
        <v>6-10</v>
      </c>
      <c r="AT992">
        <v>2</v>
      </c>
      <c r="AU992" t="str">
        <f t="shared" si="236"/>
        <v>0-2</v>
      </c>
      <c r="AV992">
        <v>4</v>
      </c>
      <c r="AW992" t="s">
        <v>94</v>
      </c>
      <c r="AX992">
        <v>5</v>
      </c>
      <c r="AY992" t="str">
        <f t="shared" si="225"/>
        <v>2-5</v>
      </c>
      <c r="AZ992">
        <v>4</v>
      </c>
      <c r="BA992" t="str">
        <f t="shared" si="237"/>
        <v>2-5</v>
      </c>
      <c r="BB992">
        <v>1</v>
      </c>
      <c r="BC992" t="str">
        <f t="shared" si="238"/>
        <v>0-1</v>
      </c>
      <c r="BD992">
        <v>2</v>
      </c>
      <c r="BE992" t="str">
        <f t="shared" si="239"/>
        <v>2-5</v>
      </c>
    </row>
    <row r="993" spans="1:57" x14ac:dyDescent="0.3">
      <c r="A993">
        <v>1396</v>
      </c>
      <c r="B993">
        <v>32</v>
      </c>
      <c r="C993" t="str">
        <f t="shared" si="226"/>
        <v>26-35</v>
      </c>
      <c r="D993" t="s">
        <v>71</v>
      </c>
      <c r="E993">
        <f t="shared" si="227"/>
        <v>0</v>
      </c>
      <c r="F993" t="s">
        <v>57</v>
      </c>
      <c r="G993">
        <v>499</v>
      </c>
      <c r="H993" t="str">
        <f t="shared" si="228"/>
        <v>102-500</v>
      </c>
      <c r="I993" t="s">
        <v>58</v>
      </c>
      <c r="J993">
        <v>2</v>
      </c>
      <c r="K993" t="str">
        <f t="shared" si="229"/>
        <v>1-5</v>
      </c>
      <c r="L993">
        <v>1</v>
      </c>
      <c r="M993" t="s">
        <v>74</v>
      </c>
      <c r="N993" t="s">
        <v>93</v>
      </c>
      <c r="O993">
        <v>1</v>
      </c>
      <c r="P993">
        <v>3</v>
      </c>
      <c r="Q993" t="s">
        <v>63</v>
      </c>
      <c r="R993" t="s">
        <v>75</v>
      </c>
      <c r="S993">
        <v>36</v>
      </c>
      <c r="T993" t="str">
        <f t="shared" si="230"/>
        <v>30-50</v>
      </c>
      <c r="U993">
        <v>3</v>
      </c>
      <c r="V993" t="s">
        <v>63</v>
      </c>
      <c r="W993">
        <v>2</v>
      </c>
      <c r="X993" t="s">
        <v>64</v>
      </c>
      <c r="Y993">
        <v>2</v>
      </c>
      <c r="Z993" t="s">
        <v>61</v>
      </c>
      <c r="AA993" t="s">
        <v>77</v>
      </c>
      <c r="AB993" s="4">
        <v>4078</v>
      </c>
      <c r="AC993" s="4" t="str">
        <f t="shared" si="231"/>
        <v>$4,000-$5,500</v>
      </c>
      <c r="AD993">
        <v>20497</v>
      </c>
      <c r="AE993" t="str">
        <f t="shared" si="232"/>
        <v>$16,001-$22,000</v>
      </c>
      <c r="AF993">
        <v>0</v>
      </c>
      <c r="AG993" t="str">
        <f t="shared" si="233"/>
        <v>0-1</v>
      </c>
      <c r="AH993" t="s">
        <v>67</v>
      </c>
      <c r="AI993" t="s">
        <v>56</v>
      </c>
      <c r="AJ993">
        <v>13</v>
      </c>
      <c r="AK993" t="str">
        <f t="shared" si="234"/>
        <v>13-15%</v>
      </c>
      <c r="AL993">
        <v>3</v>
      </c>
      <c r="AM993" t="s">
        <v>68</v>
      </c>
      <c r="AN993">
        <v>1</v>
      </c>
      <c r="AO993" t="s">
        <v>69</v>
      </c>
      <c r="AP993">
        <v>80</v>
      </c>
      <c r="AQ993">
        <v>3</v>
      </c>
      <c r="AR993">
        <v>4</v>
      </c>
      <c r="AS993" t="str">
        <f t="shared" si="235"/>
        <v>3-5</v>
      </c>
      <c r="AT993">
        <v>3</v>
      </c>
      <c r="AU993" t="str">
        <f t="shared" si="236"/>
        <v>3-4</v>
      </c>
      <c r="AV993">
        <v>2</v>
      </c>
      <c r="AW993" t="s">
        <v>84</v>
      </c>
      <c r="AX993">
        <v>3</v>
      </c>
      <c r="AY993" t="str">
        <f t="shared" si="225"/>
        <v>2-5</v>
      </c>
      <c r="AZ993">
        <v>2</v>
      </c>
      <c r="BA993" t="str">
        <f t="shared" si="237"/>
        <v>2-5</v>
      </c>
      <c r="BB993">
        <v>1</v>
      </c>
      <c r="BC993" t="str">
        <f t="shared" si="238"/>
        <v>0-1</v>
      </c>
      <c r="BD993">
        <v>2</v>
      </c>
      <c r="BE993" t="str">
        <f t="shared" si="239"/>
        <v>2-5</v>
      </c>
    </row>
    <row r="994" spans="1:57" x14ac:dyDescent="0.3">
      <c r="A994">
        <v>1397</v>
      </c>
      <c r="B994">
        <v>39</v>
      </c>
      <c r="C994" t="str">
        <f t="shared" si="226"/>
        <v>36-45</v>
      </c>
      <c r="D994" t="s">
        <v>71</v>
      </c>
      <c r="E994">
        <f t="shared" si="227"/>
        <v>0</v>
      </c>
      <c r="F994" t="s">
        <v>89</v>
      </c>
      <c r="G994">
        <v>1485</v>
      </c>
      <c r="H994" t="str">
        <f t="shared" si="228"/>
        <v>1001-1499</v>
      </c>
      <c r="I994" t="s">
        <v>73</v>
      </c>
      <c r="J994">
        <v>25</v>
      </c>
      <c r="K994" t="str">
        <f t="shared" si="229"/>
        <v>21-29</v>
      </c>
      <c r="L994">
        <v>2</v>
      </c>
      <c r="M994" t="s">
        <v>59</v>
      </c>
      <c r="N994" t="s">
        <v>60</v>
      </c>
      <c r="O994">
        <v>1</v>
      </c>
      <c r="P994">
        <v>3</v>
      </c>
      <c r="Q994" t="s">
        <v>63</v>
      </c>
      <c r="R994" t="s">
        <v>75</v>
      </c>
      <c r="S994">
        <v>71</v>
      </c>
      <c r="T994" t="str">
        <f t="shared" si="230"/>
        <v>51-75</v>
      </c>
      <c r="U994">
        <v>3</v>
      </c>
      <c r="V994" t="s">
        <v>63</v>
      </c>
      <c r="W994">
        <v>3</v>
      </c>
      <c r="X994" t="s">
        <v>88</v>
      </c>
      <c r="Y994">
        <v>3</v>
      </c>
      <c r="Z994" t="s">
        <v>63</v>
      </c>
      <c r="AA994" t="s">
        <v>77</v>
      </c>
      <c r="AB994" s="4">
        <v>10920</v>
      </c>
      <c r="AC994" s="4" t="str">
        <f t="shared" si="231"/>
        <v>$10,000-$11,500</v>
      </c>
      <c r="AD994">
        <v>3449</v>
      </c>
      <c r="AE994" t="str">
        <f t="shared" si="232"/>
        <v>$2,094-$8,000</v>
      </c>
      <c r="AF994">
        <v>3</v>
      </c>
      <c r="AG994" t="str">
        <f t="shared" si="233"/>
        <v>2-3</v>
      </c>
      <c r="AH994" t="s">
        <v>67</v>
      </c>
      <c r="AI994" t="s">
        <v>71</v>
      </c>
      <c r="AJ994">
        <v>21</v>
      </c>
      <c r="AK994" t="str">
        <f t="shared" si="234"/>
        <v>18-19%</v>
      </c>
      <c r="AL994">
        <v>4</v>
      </c>
      <c r="AM994" t="s">
        <v>78</v>
      </c>
      <c r="AN994">
        <v>2</v>
      </c>
      <c r="AO994" t="s">
        <v>61</v>
      </c>
      <c r="AP994">
        <v>80</v>
      </c>
      <c r="AQ994">
        <v>1</v>
      </c>
      <c r="AR994">
        <v>13</v>
      </c>
      <c r="AS994" t="str">
        <f t="shared" si="235"/>
        <v>11-20</v>
      </c>
      <c r="AT994">
        <v>2</v>
      </c>
      <c r="AU994" t="str">
        <f t="shared" si="236"/>
        <v>0-2</v>
      </c>
      <c r="AV994">
        <v>3</v>
      </c>
      <c r="AW994" t="s">
        <v>79</v>
      </c>
      <c r="AX994">
        <v>6</v>
      </c>
      <c r="AY994" t="str">
        <f t="shared" si="225"/>
        <v>6-10</v>
      </c>
      <c r="AZ994">
        <v>4</v>
      </c>
      <c r="BA994" t="str">
        <f t="shared" si="237"/>
        <v>2-5</v>
      </c>
      <c r="BB994">
        <v>0</v>
      </c>
      <c r="BC994" t="str">
        <f t="shared" si="238"/>
        <v>0-1</v>
      </c>
      <c r="BD994">
        <v>5</v>
      </c>
      <c r="BE994" t="str">
        <f t="shared" si="239"/>
        <v>2-5</v>
      </c>
    </row>
    <row r="995" spans="1:57" x14ac:dyDescent="0.3">
      <c r="A995">
        <v>1399</v>
      </c>
      <c r="B995">
        <v>25</v>
      </c>
      <c r="C995" t="str">
        <f t="shared" si="226"/>
        <v>18-25</v>
      </c>
      <c r="D995" t="s">
        <v>71</v>
      </c>
      <c r="E995">
        <f t="shared" si="227"/>
        <v>0</v>
      </c>
      <c r="F995" t="s">
        <v>57</v>
      </c>
      <c r="G995">
        <v>1372</v>
      </c>
      <c r="H995" t="str">
        <f t="shared" si="228"/>
        <v>1001-1499</v>
      </c>
      <c r="I995" t="s">
        <v>58</v>
      </c>
      <c r="J995">
        <v>18</v>
      </c>
      <c r="K995" t="str">
        <f t="shared" si="229"/>
        <v>11-20</v>
      </c>
      <c r="L995">
        <v>1</v>
      </c>
      <c r="M995" t="s">
        <v>74</v>
      </c>
      <c r="N995" t="s">
        <v>60</v>
      </c>
      <c r="O995">
        <v>1</v>
      </c>
      <c r="P995">
        <v>1</v>
      </c>
      <c r="Q995" t="s">
        <v>69</v>
      </c>
      <c r="R995" t="s">
        <v>75</v>
      </c>
      <c r="S995">
        <v>93</v>
      </c>
      <c r="T995" t="str">
        <f t="shared" si="230"/>
        <v>76-100</v>
      </c>
      <c r="U995">
        <v>4</v>
      </c>
      <c r="V995" t="s">
        <v>65</v>
      </c>
      <c r="W995">
        <v>2</v>
      </c>
      <c r="X995" t="s">
        <v>64</v>
      </c>
      <c r="Y995">
        <v>3</v>
      </c>
      <c r="Z995" t="s">
        <v>63</v>
      </c>
      <c r="AA995" t="s">
        <v>77</v>
      </c>
      <c r="AB995" s="4">
        <v>6232</v>
      </c>
      <c r="AC995" s="4" t="str">
        <f t="shared" si="231"/>
        <v>$5,500-$7,000</v>
      </c>
      <c r="AD995">
        <v>12477</v>
      </c>
      <c r="AE995" t="str">
        <f t="shared" si="232"/>
        <v>$8,001-$16,000</v>
      </c>
      <c r="AF995">
        <v>2</v>
      </c>
      <c r="AG995" t="str">
        <f t="shared" si="233"/>
        <v>2-3</v>
      </c>
      <c r="AH995" t="s">
        <v>67</v>
      </c>
      <c r="AI995" t="s">
        <v>71</v>
      </c>
      <c r="AJ995">
        <v>11</v>
      </c>
      <c r="AK995" t="str">
        <f t="shared" si="234"/>
        <v>11-12%</v>
      </c>
      <c r="AL995">
        <v>3</v>
      </c>
      <c r="AM995" t="s">
        <v>68</v>
      </c>
      <c r="AN995">
        <v>2</v>
      </c>
      <c r="AO995" t="s">
        <v>61</v>
      </c>
      <c r="AP995">
        <v>80</v>
      </c>
      <c r="AQ995">
        <v>0</v>
      </c>
      <c r="AR995">
        <v>6</v>
      </c>
      <c r="AS995" t="str">
        <f t="shared" si="235"/>
        <v>6-10</v>
      </c>
      <c r="AT995">
        <v>3</v>
      </c>
      <c r="AU995" t="str">
        <f t="shared" si="236"/>
        <v>3-4</v>
      </c>
      <c r="AV995">
        <v>2</v>
      </c>
      <c r="AW995" t="s">
        <v>84</v>
      </c>
      <c r="AX995">
        <v>3</v>
      </c>
      <c r="AY995" t="str">
        <f t="shared" si="225"/>
        <v>2-5</v>
      </c>
      <c r="AZ995">
        <v>2</v>
      </c>
      <c r="BA995" t="str">
        <f t="shared" si="237"/>
        <v>2-5</v>
      </c>
      <c r="BB995">
        <v>1</v>
      </c>
      <c r="BC995" t="str">
        <f t="shared" si="238"/>
        <v>0-1</v>
      </c>
      <c r="BD995">
        <v>2</v>
      </c>
      <c r="BE995" t="str">
        <f t="shared" si="239"/>
        <v>2-5</v>
      </c>
    </row>
    <row r="996" spans="1:57" x14ac:dyDescent="0.3">
      <c r="A996">
        <v>1401</v>
      </c>
      <c r="B996">
        <v>52</v>
      </c>
      <c r="C996" t="str">
        <f t="shared" si="226"/>
        <v>46-55</v>
      </c>
      <c r="D996" t="s">
        <v>71</v>
      </c>
      <c r="E996">
        <f t="shared" si="227"/>
        <v>0</v>
      </c>
      <c r="F996" t="s">
        <v>72</v>
      </c>
      <c r="G996">
        <v>322</v>
      </c>
      <c r="H996" t="str">
        <f t="shared" si="228"/>
        <v>102-500</v>
      </c>
      <c r="I996" t="s">
        <v>73</v>
      </c>
      <c r="J996">
        <v>28</v>
      </c>
      <c r="K996" t="str">
        <f t="shared" si="229"/>
        <v>21-29</v>
      </c>
      <c r="L996">
        <v>2</v>
      </c>
      <c r="M996" t="s">
        <v>59</v>
      </c>
      <c r="N996" t="s">
        <v>83</v>
      </c>
      <c r="O996">
        <v>1</v>
      </c>
      <c r="P996">
        <v>4</v>
      </c>
      <c r="Q996" t="s">
        <v>65</v>
      </c>
      <c r="R996" t="s">
        <v>62</v>
      </c>
      <c r="S996">
        <v>59</v>
      </c>
      <c r="T996" t="str">
        <f t="shared" si="230"/>
        <v>51-75</v>
      </c>
      <c r="U996">
        <v>4</v>
      </c>
      <c r="V996" t="s">
        <v>65</v>
      </c>
      <c r="W996">
        <v>4</v>
      </c>
      <c r="X996" t="s">
        <v>87</v>
      </c>
      <c r="Y996">
        <v>3</v>
      </c>
      <c r="Z996" t="s">
        <v>63</v>
      </c>
      <c r="AA996" t="s">
        <v>77</v>
      </c>
      <c r="AB996" s="4">
        <v>13247</v>
      </c>
      <c r="AC996" s="4" t="str">
        <f t="shared" si="231"/>
        <v>$13,000-$14,500</v>
      </c>
      <c r="AD996">
        <v>9731</v>
      </c>
      <c r="AE996" t="str">
        <f t="shared" si="232"/>
        <v>$8,001-$16,000</v>
      </c>
      <c r="AF996">
        <v>2</v>
      </c>
      <c r="AG996" t="str">
        <f t="shared" si="233"/>
        <v>2-3</v>
      </c>
      <c r="AH996" t="s">
        <v>67</v>
      </c>
      <c r="AI996" t="s">
        <v>56</v>
      </c>
      <c r="AJ996">
        <v>11</v>
      </c>
      <c r="AK996" t="str">
        <f t="shared" si="234"/>
        <v>11-12%</v>
      </c>
      <c r="AL996">
        <v>3</v>
      </c>
      <c r="AM996" t="s">
        <v>68</v>
      </c>
      <c r="AN996">
        <v>2</v>
      </c>
      <c r="AO996" t="s">
        <v>61</v>
      </c>
      <c r="AP996">
        <v>80</v>
      </c>
      <c r="AQ996">
        <v>1</v>
      </c>
      <c r="AR996">
        <v>24</v>
      </c>
      <c r="AS996" t="str">
        <f t="shared" si="235"/>
        <v>21-40</v>
      </c>
      <c r="AT996">
        <v>3</v>
      </c>
      <c r="AU996" t="str">
        <f t="shared" si="236"/>
        <v>3-4</v>
      </c>
      <c r="AV996">
        <v>2</v>
      </c>
      <c r="AW996" t="s">
        <v>84</v>
      </c>
      <c r="AX996">
        <v>5</v>
      </c>
      <c r="AY996" t="str">
        <f t="shared" si="225"/>
        <v>2-5</v>
      </c>
      <c r="AZ996">
        <v>3</v>
      </c>
      <c r="BA996" t="str">
        <f t="shared" si="237"/>
        <v>2-5</v>
      </c>
      <c r="BB996">
        <v>0</v>
      </c>
      <c r="BC996" t="str">
        <f t="shared" si="238"/>
        <v>0-1</v>
      </c>
      <c r="BD996">
        <v>2</v>
      </c>
      <c r="BE996" t="str">
        <f t="shared" si="239"/>
        <v>2-5</v>
      </c>
    </row>
    <row r="997" spans="1:57" x14ac:dyDescent="0.3">
      <c r="A997">
        <v>1402</v>
      </c>
      <c r="B997">
        <v>43</v>
      </c>
      <c r="C997" t="str">
        <f t="shared" si="226"/>
        <v>36-45</v>
      </c>
      <c r="D997" t="s">
        <v>71</v>
      </c>
      <c r="E997">
        <f t="shared" si="227"/>
        <v>0</v>
      </c>
      <c r="F997" t="s">
        <v>57</v>
      </c>
      <c r="G997">
        <v>930</v>
      </c>
      <c r="H997" t="str">
        <f t="shared" si="228"/>
        <v>501-1000</v>
      </c>
      <c r="I997" t="s">
        <v>73</v>
      </c>
      <c r="J997">
        <v>6</v>
      </c>
      <c r="K997" t="str">
        <f t="shared" si="229"/>
        <v>6-10</v>
      </c>
      <c r="L997">
        <v>3</v>
      </c>
      <c r="M997" t="s">
        <v>85</v>
      </c>
      <c r="N997" t="s">
        <v>83</v>
      </c>
      <c r="O997">
        <v>1</v>
      </c>
      <c r="P997">
        <v>1</v>
      </c>
      <c r="Q997" t="s">
        <v>69</v>
      </c>
      <c r="R997" t="s">
        <v>62</v>
      </c>
      <c r="S997">
        <v>73</v>
      </c>
      <c r="T997" t="str">
        <f t="shared" si="230"/>
        <v>51-75</v>
      </c>
      <c r="U997">
        <v>2</v>
      </c>
      <c r="V997" t="s">
        <v>61</v>
      </c>
      <c r="W997">
        <v>2</v>
      </c>
      <c r="X997" t="s">
        <v>76</v>
      </c>
      <c r="Y997">
        <v>3</v>
      </c>
      <c r="Z997" t="s">
        <v>63</v>
      </c>
      <c r="AA997" t="s">
        <v>66</v>
      </c>
      <c r="AB997" s="4">
        <v>4081</v>
      </c>
      <c r="AC997" s="4" t="str">
        <f t="shared" si="231"/>
        <v>$4,000-$5,500</v>
      </c>
      <c r="AD997">
        <v>20003</v>
      </c>
      <c r="AE997" t="str">
        <f t="shared" si="232"/>
        <v>$16,001-$22,000</v>
      </c>
      <c r="AF997">
        <v>1</v>
      </c>
      <c r="AG997" t="str">
        <f t="shared" si="233"/>
        <v>0-1</v>
      </c>
      <c r="AH997" t="s">
        <v>67</v>
      </c>
      <c r="AI997" t="s">
        <v>56</v>
      </c>
      <c r="AJ997">
        <v>14</v>
      </c>
      <c r="AK997" t="str">
        <f t="shared" si="234"/>
        <v>13-15%</v>
      </c>
      <c r="AL997">
        <v>3</v>
      </c>
      <c r="AM997" t="s">
        <v>68</v>
      </c>
      <c r="AN997">
        <v>1</v>
      </c>
      <c r="AO997" t="s">
        <v>69</v>
      </c>
      <c r="AP997">
        <v>80</v>
      </c>
      <c r="AQ997">
        <v>0</v>
      </c>
      <c r="AR997">
        <v>20</v>
      </c>
      <c r="AS997" t="str">
        <f t="shared" si="235"/>
        <v>11-20</v>
      </c>
      <c r="AT997">
        <v>3</v>
      </c>
      <c r="AU997" t="str">
        <f t="shared" si="236"/>
        <v>3-4</v>
      </c>
      <c r="AV997">
        <v>1</v>
      </c>
      <c r="AW997" t="s">
        <v>70</v>
      </c>
      <c r="AX997">
        <v>20</v>
      </c>
      <c r="AY997" t="str">
        <f t="shared" si="225"/>
        <v>11-20</v>
      </c>
      <c r="AZ997">
        <v>7</v>
      </c>
      <c r="BA997" t="str">
        <f t="shared" si="237"/>
        <v>6-10</v>
      </c>
      <c r="BB997">
        <v>1</v>
      </c>
      <c r="BC997" t="str">
        <f t="shared" si="238"/>
        <v>0-1</v>
      </c>
      <c r="BD997">
        <v>8</v>
      </c>
      <c r="BE997" t="str">
        <f t="shared" si="239"/>
        <v>6-10</v>
      </c>
    </row>
    <row r="998" spans="1:57" x14ac:dyDescent="0.3">
      <c r="A998">
        <v>1403</v>
      </c>
      <c r="B998">
        <v>27</v>
      </c>
      <c r="C998" t="str">
        <f t="shared" si="226"/>
        <v>26-35</v>
      </c>
      <c r="D998" t="s">
        <v>71</v>
      </c>
      <c r="E998">
        <f t="shared" si="227"/>
        <v>0</v>
      </c>
      <c r="F998" t="s">
        <v>57</v>
      </c>
      <c r="G998">
        <v>205</v>
      </c>
      <c r="H998" t="str">
        <f t="shared" si="228"/>
        <v>102-500</v>
      </c>
      <c r="I998" t="s">
        <v>58</v>
      </c>
      <c r="J998">
        <v>10</v>
      </c>
      <c r="K998" t="str">
        <f t="shared" si="229"/>
        <v>6-10</v>
      </c>
      <c r="L998">
        <v>3</v>
      </c>
      <c r="M998" t="s">
        <v>85</v>
      </c>
      <c r="N998" t="s">
        <v>93</v>
      </c>
      <c r="O998">
        <v>1</v>
      </c>
      <c r="P998">
        <v>4</v>
      </c>
      <c r="Q998" t="s">
        <v>65</v>
      </c>
      <c r="R998" t="s">
        <v>62</v>
      </c>
      <c r="S998">
        <v>98</v>
      </c>
      <c r="T998" t="str">
        <f t="shared" si="230"/>
        <v>76-100</v>
      </c>
      <c r="U998">
        <v>2</v>
      </c>
      <c r="V998" t="s">
        <v>61</v>
      </c>
      <c r="W998">
        <v>2</v>
      </c>
      <c r="X998" t="s">
        <v>64</v>
      </c>
      <c r="Y998">
        <v>4</v>
      </c>
      <c r="Z998" t="s">
        <v>65</v>
      </c>
      <c r="AA998" t="s">
        <v>77</v>
      </c>
      <c r="AB998" s="4">
        <v>5769</v>
      </c>
      <c r="AC998" s="4" t="str">
        <f t="shared" si="231"/>
        <v>$5,500-$7,000</v>
      </c>
      <c r="AD998">
        <v>7100</v>
      </c>
      <c r="AE998" t="str">
        <f t="shared" si="232"/>
        <v>$2,094-$8,000</v>
      </c>
      <c r="AF998">
        <v>1</v>
      </c>
      <c r="AG998" t="str">
        <f t="shared" si="233"/>
        <v>0-1</v>
      </c>
      <c r="AH998" t="s">
        <v>67</v>
      </c>
      <c r="AI998" t="s">
        <v>56</v>
      </c>
      <c r="AJ998">
        <v>11</v>
      </c>
      <c r="AK998" t="str">
        <f t="shared" si="234"/>
        <v>11-12%</v>
      </c>
      <c r="AL998">
        <v>3</v>
      </c>
      <c r="AM998" t="s">
        <v>68</v>
      </c>
      <c r="AN998">
        <v>4</v>
      </c>
      <c r="AO998" t="s">
        <v>65</v>
      </c>
      <c r="AP998">
        <v>80</v>
      </c>
      <c r="AQ998">
        <v>0</v>
      </c>
      <c r="AR998">
        <v>6</v>
      </c>
      <c r="AS998" t="str">
        <f t="shared" si="235"/>
        <v>6-10</v>
      </c>
      <c r="AT998">
        <v>3</v>
      </c>
      <c r="AU998" t="str">
        <f t="shared" si="236"/>
        <v>3-4</v>
      </c>
      <c r="AV998">
        <v>3</v>
      </c>
      <c r="AW998" t="s">
        <v>79</v>
      </c>
      <c r="AX998">
        <v>6</v>
      </c>
      <c r="AY998" t="str">
        <f t="shared" si="225"/>
        <v>6-10</v>
      </c>
      <c r="AZ998">
        <v>2</v>
      </c>
      <c r="BA998" t="str">
        <f t="shared" si="237"/>
        <v>2-5</v>
      </c>
      <c r="BB998">
        <v>4</v>
      </c>
      <c r="BC998" t="str">
        <f t="shared" si="238"/>
        <v>2-5</v>
      </c>
      <c r="BD998">
        <v>4</v>
      </c>
      <c r="BE998" t="str">
        <f t="shared" si="239"/>
        <v>2-5</v>
      </c>
    </row>
    <row r="999" spans="1:57" x14ac:dyDescent="0.3">
      <c r="A999">
        <v>1405</v>
      </c>
      <c r="B999">
        <v>27</v>
      </c>
      <c r="C999" t="str">
        <f t="shared" si="226"/>
        <v>26-35</v>
      </c>
      <c r="D999" t="s">
        <v>56</v>
      </c>
      <c r="E999">
        <f t="shared" si="227"/>
        <v>1</v>
      </c>
      <c r="F999" t="s">
        <v>57</v>
      </c>
      <c r="G999">
        <v>135</v>
      </c>
      <c r="H999" t="str">
        <f t="shared" si="228"/>
        <v>102-500</v>
      </c>
      <c r="I999" t="s">
        <v>73</v>
      </c>
      <c r="J999">
        <v>17</v>
      </c>
      <c r="K999" t="str">
        <f t="shared" si="229"/>
        <v>11-20</v>
      </c>
      <c r="L999">
        <v>4</v>
      </c>
      <c r="M999" t="s">
        <v>82</v>
      </c>
      <c r="N999" t="s">
        <v>60</v>
      </c>
      <c r="O999">
        <v>1</v>
      </c>
      <c r="P999">
        <v>4</v>
      </c>
      <c r="Q999" t="s">
        <v>65</v>
      </c>
      <c r="R999" t="s">
        <v>62</v>
      </c>
      <c r="S999">
        <v>51</v>
      </c>
      <c r="T999" t="str">
        <f t="shared" si="230"/>
        <v>51-75</v>
      </c>
      <c r="U999">
        <v>3</v>
      </c>
      <c r="V999" t="s">
        <v>63</v>
      </c>
      <c r="W999">
        <v>1</v>
      </c>
      <c r="X999" t="s">
        <v>76</v>
      </c>
      <c r="Y999">
        <v>3</v>
      </c>
      <c r="Z999" t="s">
        <v>63</v>
      </c>
      <c r="AA999" t="s">
        <v>66</v>
      </c>
      <c r="AB999" s="4">
        <v>2394</v>
      </c>
      <c r="AC999" s="4" t="str">
        <f t="shared" si="231"/>
        <v>$1,000-$2,500</v>
      </c>
      <c r="AD999">
        <v>25681</v>
      </c>
      <c r="AE999" t="str">
        <f t="shared" si="232"/>
        <v>$22,001-$26,999</v>
      </c>
      <c r="AF999">
        <v>1</v>
      </c>
      <c r="AG999" t="str">
        <f t="shared" si="233"/>
        <v>0-1</v>
      </c>
      <c r="AH999" t="s">
        <v>67</v>
      </c>
      <c r="AI999" t="s">
        <v>56</v>
      </c>
      <c r="AJ999">
        <v>13</v>
      </c>
      <c r="AK999" t="str">
        <f t="shared" si="234"/>
        <v>13-15%</v>
      </c>
      <c r="AL999">
        <v>3</v>
      </c>
      <c r="AM999" t="s">
        <v>68</v>
      </c>
      <c r="AN999">
        <v>4</v>
      </c>
      <c r="AO999" t="s">
        <v>65</v>
      </c>
      <c r="AP999">
        <v>80</v>
      </c>
      <c r="AQ999">
        <v>0</v>
      </c>
      <c r="AR999">
        <v>8</v>
      </c>
      <c r="AS999" t="str">
        <f t="shared" si="235"/>
        <v>6-10</v>
      </c>
      <c r="AT999">
        <v>2</v>
      </c>
      <c r="AU999" t="str">
        <f t="shared" si="236"/>
        <v>0-2</v>
      </c>
      <c r="AV999">
        <v>3</v>
      </c>
      <c r="AW999" t="s">
        <v>79</v>
      </c>
      <c r="AX999">
        <v>8</v>
      </c>
      <c r="AY999" t="str">
        <f t="shared" si="225"/>
        <v>6-10</v>
      </c>
      <c r="AZ999">
        <v>2</v>
      </c>
      <c r="BA999" t="str">
        <f t="shared" si="237"/>
        <v>2-5</v>
      </c>
      <c r="BB999">
        <v>7</v>
      </c>
      <c r="BC999" t="str">
        <f t="shared" si="238"/>
        <v>6-10</v>
      </c>
      <c r="BD999">
        <v>7</v>
      </c>
      <c r="BE999" t="str">
        <f t="shared" si="239"/>
        <v>6-10</v>
      </c>
    </row>
    <row r="1000" spans="1:57" x14ac:dyDescent="0.3">
      <c r="A1000">
        <v>1407</v>
      </c>
      <c r="B1000">
        <v>26</v>
      </c>
      <c r="C1000" t="str">
        <f t="shared" si="226"/>
        <v>26-35</v>
      </c>
      <c r="D1000" t="s">
        <v>71</v>
      </c>
      <c r="E1000">
        <f t="shared" si="227"/>
        <v>0</v>
      </c>
      <c r="F1000" t="s">
        <v>57</v>
      </c>
      <c r="G1000">
        <v>683</v>
      </c>
      <c r="H1000" t="str">
        <f t="shared" si="228"/>
        <v>501-1000</v>
      </c>
      <c r="I1000" t="s">
        <v>73</v>
      </c>
      <c r="J1000">
        <v>2</v>
      </c>
      <c r="K1000" t="str">
        <f t="shared" si="229"/>
        <v>1-5</v>
      </c>
      <c r="L1000">
        <v>1</v>
      </c>
      <c r="M1000" t="s">
        <v>74</v>
      </c>
      <c r="N1000" t="s">
        <v>83</v>
      </c>
      <c r="O1000">
        <v>1</v>
      </c>
      <c r="P1000">
        <v>1</v>
      </c>
      <c r="Q1000" t="s">
        <v>69</v>
      </c>
      <c r="R1000" t="s">
        <v>75</v>
      </c>
      <c r="S1000">
        <v>36</v>
      </c>
      <c r="T1000" t="str">
        <f t="shared" si="230"/>
        <v>30-50</v>
      </c>
      <c r="U1000">
        <v>2</v>
      </c>
      <c r="V1000" t="s">
        <v>61</v>
      </c>
      <c r="W1000">
        <v>1</v>
      </c>
      <c r="X1000" t="s">
        <v>76</v>
      </c>
      <c r="Y1000">
        <v>4</v>
      </c>
      <c r="Z1000" t="s">
        <v>65</v>
      </c>
      <c r="AA1000" t="s">
        <v>66</v>
      </c>
      <c r="AB1000" s="4">
        <v>3904</v>
      </c>
      <c r="AC1000" s="4" t="str">
        <f t="shared" si="231"/>
        <v>$2,500-$4,000</v>
      </c>
      <c r="AD1000">
        <v>4050</v>
      </c>
      <c r="AE1000" t="str">
        <f t="shared" si="232"/>
        <v>$2,094-$8,000</v>
      </c>
      <c r="AF1000">
        <v>0</v>
      </c>
      <c r="AG1000" t="str">
        <f t="shared" si="233"/>
        <v>0-1</v>
      </c>
      <c r="AH1000" t="s">
        <v>67</v>
      </c>
      <c r="AI1000" t="s">
        <v>71</v>
      </c>
      <c r="AJ1000">
        <v>12</v>
      </c>
      <c r="AK1000" t="str">
        <f t="shared" si="234"/>
        <v>11-12%</v>
      </c>
      <c r="AL1000">
        <v>3</v>
      </c>
      <c r="AM1000" t="s">
        <v>68</v>
      </c>
      <c r="AN1000">
        <v>4</v>
      </c>
      <c r="AO1000" t="s">
        <v>65</v>
      </c>
      <c r="AP1000">
        <v>80</v>
      </c>
      <c r="AQ1000">
        <v>0</v>
      </c>
      <c r="AR1000">
        <v>5</v>
      </c>
      <c r="AS1000" t="str">
        <f t="shared" si="235"/>
        <v>3-5</v>
      </c>
      <c r="AT1000">
        <v>2</v>
      </c>
      <c r="AU1000" t="str">
        <f t="shared" si="236"/>
        <v>0-2</v>
      </c>
      <c r="AV1000">
        <v>3</v>
      </c>
      <c r="AW1000" t="s">
        <v>79</v>
      </c>
      <c r="AX1000">
        <v>4</v>
      </c>
      <c r="AY1000" t="str">
        <f t="shared" si="225"/>
        <v>2-5</v>
      </c>
      <c r="AZ1000">
        <v>3</v>
      </c>
      <c r="BA1000" t="str">
        <f t="shared" si="237"/>
        <v>2-5</v>
      </c>
      <c r="BB1000">
        <v>1</v>
      </c>
      <c r="BC1000" t="str">
        <f t="shared" si="238"/>
        <v>0-1</v>
      </c>
      <c r="BD1000">
        <v>1</v>
      </c>
      <c r="BE1000" t="str">
        <f t="shared" si="239"/>
        <v>0-1</v>
      </c>
    </row>
    <row r="1001" spans="1:57" x14ac:dyDescent="0.3">
      <c r="A1001">
        <v>1408</v>
      </c>
      <c r="B1001">
        <v>42</v>
      </c>
      <c r="C1001" t="str">
        <f t="shared" si="226"/>
        <v>36-45</v>
      </c>
      <c r="D1001" t="s">
        <v>71</v>
      </c>
      <c r="E1001">
        <f t="shared" si="227"/>
        <v>0</v>
      </c>
      <c r="F1001" t="s">
        <v>57</v>
      </c>
      <c r="G1001">
        <v>1147</v>
      </c>
      <c r="H1001" t="str">
        <f t="shared" si="228"/>
        <v>1001-1499</v>
      </c>
      <c r="I1001" t="s">
        <v>97</v>
      </c>
      <c r="J1001">
        <v>10</v>
      </c>
      <c r="K1001" t="str">
        <f t="shared" si="229"/>
        <v>6-10</v>
      </c>
      <c r="L1001">
        <v>3</v>
      </c>
      <c r="M1001" t="s">
        <v>85</v>
      </c>
      <c r="N1001" t="s">
        <v>97</v>
      </c>
      <c r="O1001">
        <v>1</v>
      </c>
      <c r="P1001">
        <v>3</v>
      </c>
      <c r="Q1001" t="s">
        <v>63</v>
      </c>
      <c r="R1001" t="s">
        <v>62</v>
      </c>
      <c r="S1001">
        <v>31</v>
      </c>
      <c r="T1001" t="str">
        <f t="shared" si="230"/>
        <v>30-50</v>
      </c>
      <c r="U1001">
        <v>3</v>
      </c>
      <c r="V1001" t="s">
        <v>63</v>
      </c>
      <c r="W1001">
        <v>4</v>
      </c>
      <c r="X1001" t="s">
        <v>90</v>
      </c>
      <c r="Y1001">
        <v>1</v>
      </c>
      <c r="Z1001" t="s">
        <v>69</v>
      </c>
      <c r="AA1001" t="s">
        <v>77</v>
      </c>
      <c r="AB1001" s="4">
        <v>16799</v>
      </c>
      <c r="AC1001" s="4" t="str">
        <f t="shared" si="231"/>
        <v>$16,000-$17,500</v>
      </c>
      <c r="AD1001">
        <v>16616</v>
      </c>
      <c r="AE1001" t="str">
        <f t="shared" si="232"/>
        <v>$16,001-$22,000</v>
      </c>
      <c r="AF1001">
        <v>0</v>
      </c>
      <c r="AG1001" t="str">
        <f t="shared" si="233"/>
        <v>0-1</v>
      </c>
      <c r="AH1001" t="s">
        <v>67</v>
      </c>
      <c r="AI1001" t="s">
        <v>71</v>
      </c>
      <c r="AJ1001">
        <v>14</v>
      </c>
      <c r="AK1001" t="str">
        <f t="shared" si="234"/>
        <v>13-15%</v>
      </c>
      <c r="AL1001">
        <v>3</v>
      </c>
      <c r="AM1001" t="s">
        <v>68</v>
      </c>
      <c r="AN1001">
        <v>3</v>
      </c>
      <c r="AO1001" t="s">
        <v>63</v>
      </c>
      <c r="AP1001">
        <v>80</v>
      </c>
      <c r="AQ1001">
        <v>1</v>
      </c>
      <c r="AR1001">
        <v>21</v>
      </c>
      <c r="AS1001" t="str">
        <f t="shared" si="235"/>
        <v>21-40</v>
      </c>
      <c r="AT1001">
        <v>5</v>
      </c>
      <c r="AU1001" t="str">
        <f t="shared" si="236"/>
        <v>5-6</v>
      </c>
      <c r="AV1001">
        <v>3</v>
      </c>
      <c r="AW1001" t="s">
        <v>79</v>
      </c>
      <c r="AX1001">
        <v>20</v>
      </c>
      <c r="AY1001" t="str">
        <f t="shared" si="225"/>
        <v>11-20</v>
      </c>
      <c r="AZ1001">
        <v>7</v>
      </c>
      <c r="BA1001" t="str">
        <f t="shared" si="237"/>
        <v>6-10</v>
      </c>
      <c r="BB1001">
        <v>0</v>
      </c>
      <c r="BC1001" t="str">
        <f t="shared" si="238"/>
        <v>0-1</v>
      </c>
      <c r="BD1001">
        <v>9</v>
      </c>
      <c r="BE1001" t="str">
        <f t="shared" si="239"/>
        <v>6-10</v>
      </c>
    </row>
    <row r="1002" spans="1:57" x14ac:dyDescent="0.3">
      <c r="A1002">
        <v>1409</v>
      </c>
      <c r="B1002">
        <v>52</v>
      </c>
      <c r="C1002" t="str">
        <f t="shared" si="226"/>
        <v>46-55</v>
      </c>
      <c r="D1002" t="s">
        <v>71</v>
      </c>
      <c r="E1002">
        <f t="shared" si="227"/>
        <v>0</v>
      </c>
      <c r="F1002" t="s">
        <v>57</v>
      </c>
      <c r="G1002">
        <v>258</v>
      </c>
      <c r="H1002" t="str">
        <f t="shared" si="228"/>
        <v>102-500</v>
      </c>
      <c r="I1002" t="s">
        <v>73</v>
      </c>
      <c r="J1002">
        <v>8</v>
      </c>
      <c r="K1002" t="str">
        <f t="shared" si="229"/>
        <v>6-10</v>
      </c>
      <c r="L1002">
        <v>4</v>
      </c>
      <c r="M1002" t="s">
        <v>82</v>
      </c>
      <c r="N1002" t="s">
        <v>80</v>
      </c>
      <c r="O1002">
        <v>1</v>
      </c>
      <c r="P1002">
        <v>3</v>
      </c>
      <c r="Q1002" t="s">
        <v>63</v>
      </c>
      <c r="R1002" t="s">
        <v>62</v>
      </c>
      <c r="S1002">
        <v>54</v>
      </c>
      <c r="T1002" t="str">
        <f t="shared" si="230"/>
        <v>51-75</v>
      </c>
      <c r="U1002">
        <v>3</v>
      </c>
      <c r="V1002" t="s">
        <v>63</v>
      </c>
      <c r="W1002">
        <v>1</v>
      </c>
      <c r="X1002" t="s">
        <v>81</v>
      </c>
      <c r="Y1002">
        <v>1</v>
      </c>
      <c r="Z1002" t="s">
        <v>69</v>
      </c>
      <c r="AA1002" t="s">
        <v>77</v>
      </c>
      <c r="AB1002" s="4">
        <v>2950</v>
      </c>
      <c r="AC1002" s="4" t="str">
        <f t="shared" si="231"/>
        <v>$2,500-$4,000</v>
      </c>
      <c r="AD1002">
        <v>17363</v>
      </c>
      <c r="AE1002" t="str">
        <f t="shared" si="232"/>
        <v>$16,001-$22,000</v>
      </c>
      <c r="AF1002">
        <v>9</v>
      </c>
      <c r="AG1002" t="str">
        <f t="shared" si="233"/>
        <v>7-9</v>
      </c>
      <c r="AH1002" t="s">
        <v>67</v>
      </c>
      <c r="AI1002" t="s">
        <v>71</v>
      </c>
      <c r="AJ1002">
        <v>13</v>
      </c>
      <c r="AK1002" t="str">
        <f t="shared" si="234"/>
        <v>13-15%</v>
      </c>
      <c r="AL1002">
        <v>3</v>
      </c>
      <c r="AM1002" t="s">
        <v>68</v>
      </c>
      <c r="AN1002">
        <v>3</v>
      </c>
      <c r="AO1002" t="s">
        <v>63</v>
      </c>
      <c r="AP1002">
        <v>80</v>
      </c>
      <c r="AQ1002">
        <v>0</v>
      </c>
      <c r="AR1002">
        <v>12</v>
      </c>
      <c r="AS1002" t="str">
        <f t="shared" si="235"/>
        <v>11-20</v>
      </c>
      <c r="AT1002">
        <v>2</v>
      </c>
      <c r="AU1002" t="str">
        <f t="shared" si="236"/>
        <v>0-2</v>
      </c>
      <c r="AV1002">
        <v>1</v>
      </c>
      <c r="AW1002" t="s">
        <v>70</v>
      </c>
      <c r="AX1002">
        <v>5</v>
      </c>
      <c r="AY1002" t="str">
        <f t="shared" si="225"/>
        <v>2-5</v>
      </c>
      <c r="AZ1002">
        <v>4</v>
      </c>
      <c r="BA1002" t="str">
        <f t="shared" si="237"/>
        <v>2-5</v>
      </c>
      <c r="BB1002">
        <v>0</v>
      </c>
      <c r="BC1002" t="str">
        <f t="shared" si="238"/>
        <v>0-1</v>
      </c>
      <c r="BD1002">
        <v>4</v>
      </c>
      <c r="BE1002" t="str">
        <f t="shared" si="239"/>
        <v>2-5</v>
      </c>
    </row>
    <row r="1003" spans="1:57" x14ac:dyDescent="0.3">
      <c r="A1003">
        <v>1411</v>
      </c>
      <c r="B1003">
        <v>37</v>
      </c>
      <c r="C1003" t="str">
        <f t="shared" si="226"/>
        <v>36-45</v>
      </c>
      <c r="D1003" t="s">
        <v>71</v>
      </c>
      <c r="E1003">
        <f t="shared" si="227"/>
        <v>0</v>
      </c>
      <c r="F1003" t="s">
        <v>57</v>
      </c>
      <c r="G1003">
        <v>1462</v>
      </c>
      <c r="H1003" t="str">
        <f t="shared" si="228"/>
        <v>1001-1499</v>
      </c>
      <c r="I1003" t="s">
        <v>73</v>
      </c>
      <c r="J1003">
        <v>11</v>
      </c>
      <c r="K1003" t="str">
        <f t="shared" si="229"/>
        <v>11-20</v>
      </c>
      <c r="L1003">
        <v>3</v>
      </c>
      <c r="M1003" t="s">
        <v>85</v>
      </c>
      <c r="N1003" t="s">
        <v>83</v>
      </c>
      <c r="O1003">
        <v>1</v>
      </c>
      <c r="P1003">
        <v>1</v>
      </c>
      <c r="Q1003" t="s">
        <v>69</v>
      </c>
      <c r="R1003" t="s">
        <v>62</v>
      </c>
      <c r="S1003">
        <v>94</v>
      </c>
      <c r="T1003" t="str">
        <f t="shared" si="230"/>
        <v>76-100</v>
      </c>
      <c r="U1003">
        <v>3</v>
      </c>
      <c r="V1003" t="s">
        <v>63</v>
      </c>
      <c r="W1003">
        <v>1</v>
      </c>
      <c r="X1003" t="s">
        <v>81</v>
      </c>
      <c r="Y1003">
        <v>3</v>
      </c>
      <c r="Z1003" t="s">
        <v>63</v>
      </c>
      <c r="AA1003" t="s">
        <v>66</v>
      </c>
      <c r="AB1003" s="4">
        <v>3629</v>
      </c>
      <c r="AC1003" s="4" t="str">
        <f t="shared" si="231"/>
        <v>$2,500-$4,000</v>
      </c>
      <c r="AD1003">
        <v>19106</v>
      </c>
      <c r="AE1003" t="str">
        <f t="shared" si="232"/>
        <v>$16,001-$22,000</v>
      </c>
      <c r="AF1003">
        <v>4</v>
      </c>
      <c r="AG1003" t="str">
        <f t="shared" si="233"/>
        <v>4-6</v>
      </c>
      <c r="AH1003" t="s">
        <v>67</v>
      </c>
      <c r="AI1003" t="s">
        <v>71</v>
      </c>
      <c r="AJ1003">
        <v>18</v>
      </c>
      <c r="AK1003" t="str">
        <f t="shared" si="234"/>
        <v>18-19%</v>
      </c>
      <c r="AL1003">
        <v>3</v>
      </c>
      <c r="AM1003" t="s">
        <v>68</v>
      </c>
      <c r="AN1003">
        <v>1</v>
      </c>
      <c r="AO1003" t="s">
        <v>69</v>
      </c>
      <c r="AP1003">
        <v>80</v>
      </c>
      <c r="AQ1003">
        <v>0</v>
      </c>
      <c r="AR1003">
        <v>8</v>
      </c>
      <c r="AS1003" t="str">
        <f t="shared" si="235"/>
        <v>6-10</v>
      </c>
      <c r="AT1003">
        <v>6</v>
      </c>
      <c r="AU1003" t="str">
        <f t="shared" si="236"/>
        <v>5-6</v>
      </c>
      <c r="AV1003">
        <v>3</v>
      </c>
      <c r="AW1003" t="s">
        <v>79</v>
      </c>
      <c r="AX1003">
        <v>3</v>
      </c>
      <c r="AY1003" t="str">
        <f t="shared" si="225"/>
        <v>2-5</v>
      </c>
      <c r="AZ1003">
        <v>2</v>
      </c>
      <c r="BA1003" t="str">
        <f t="shared" si="237"/>
        <v>2-5</v>
      </c>
      <c r="BB1003">
        <v>0</v>
      </c>
      <c r="BC1003" t="str">
        <f t="shared" si="238"/>
        <v>0-1</v>
      </c>
      <c r="BD1003">
        <v>2</v>
      </c>
      <c r="BE1003" t="str">
        <f t="shared" si="239"/>
        <v>2-5</v>
      </c>
    </row>
    <row r="1004" spans="1:57" x14ac:dyDescent="0.3">
      <c r="A1004">
        <v>1412</v>
      </c>
      <c r="B1004">
        <v>35</v>
      </c>
      <c r="C1004" t="str">
        <f t="shared" si="226"/>
        <v>26-35</v>
      </c>
      <c r="D1004" t="s">
        <v>71</v>
      </c>
      <c r="E1004">
        <f t="shared" si="227"/>
        <v>0</v>
      </c>
      <c r="F1004" t="s">
        <v>72</v>
      </c>
      <c r="G1004">
        <v>200</v>
      </c>
      <c r="H1004" t="str">
        <f t="shared" si="228"/>
        <v>102-500</v>
      </c>
      <c r="I1004" t="s">
        <v>73</v>
      </c>
      <c r="J1004">
        <v>18</v>
      </c>
      <c r="K1004" t="str">
        <f t="shared" si="229"/>
        <v>11-20</v>
      </c>
      <c r="L1004">
        <v>2</v>
      </c>
      <c r="M1004" t="s">
        <v>59</v>
      </c>
      <c r="N1004" t="s">
        <v>60</v>
      </c>
      <c r="O1004">
        <v>1</v>
      </c>
      <c r="P1004">
        <v>3</v>
      </c>
      <c r="Q1004" t="s">
        <v>63</v>
      </c>
      <c r="R1004" t="s">
        <v>75</v>
      </c>
      <c r="S1004">
        <v>60</v>
      </c>
      <c r="T1004" t="str">
        <f t="shared" si="230"/>
        <v>51-75</v>
      </c>
      <c r="U1004">
        <v>3</v>
      </c>
      <c r="V1004" t="s">
        <v>63</v>
      </c>
      <c r="W1004">
        <v>3</v>
      </c>
      <c r="X1004" t="s">
        <v>87</v>
      </c>
      <c r="Y1004">
        <v>4</v>
      </c>
      <c r="Z1004" t="s">
        <v>65</v>
      </c>
      <c r="AA1004" t="s">
        <v>66</v>
      </c>
      <c r="AB1004" s="4">
        <v>9362</v>
      </c>
      <c r="AC1004" s="4" t="str">
        <f t="shared" si="231"/>
        <v>$8,500-$10,000</v>
      </c>
      <c r="AD1004">
        <v>19944</v>
      </c>
      <c r="AE1004" t="str">
        <f t="shared" si="232"/>
        <v>$16,001-$22,000</v>
      </c>
      <c r="AF1004">
        <v>2</v>
      </c>
      <c r="AG1004" t="str">
        <f t="shared" si="233"/>
        <v>2-3</v>
      </c>
      <c r="AH1004" t="s">
        <v>67</v>
      </c>
      <c r="AI1004" t="s">
        <v>71</v>
      </c>
      <c r="AJ1004">
        <v>11</v>
      </c>
      <c r="AK1004" t="str">
        <f t="shared" si="234"/>
        <v>11-12%</v>
      </c>
      <c r="AL1004">
        <v>3</v>
      </c>
      <c r="AM1004" t="s">
        <v>68</v>
      </c>
      <c r="AN1004">
        <v>3</v>
      </c>
      <c r="AO1004" t="s">
        <v>63</v>
      </c>
      <c r="AP1004">
        <v>80</v>
      </c>
      <c r="AQ1004">
        <v>0</v>
      </c>
      <c r="AR1004">
        <v>10</v>
      </c>
      <c r="AS1004" t="str">
        <f t="shared" si="235"/>
        <v>6-10</v>
      </c>
      <c r="AT1004">
        <v>2</v>
      </c>
      <c r="AU1004" t="str">
        <f t="shared" si="236"/>
        <v>0-2</v>
      </c>
      <c r="AV1004">
        <v>3</v>
      </c>
      <c r="AW1004" t="s">
        <v>79</v>
      </c>
      <c r="AX1004">
        <v>2</v>
      </c>
      <c r="AY1004" t="str">
        <f t="shared" si="225"/>
        <v>2-5</v>
      </c>
      <c r="AZ1004">
        <v>2</v>
      </c>
      <c r="BA1004" t="str">
        <f t="shared" si="237"/>
        <v>2-5</v>
      </c>
      <c r="BB1004">
        <v>2</v>
      </c>
      <c r="BC1004" t="str">
        <f t="shared" si="238"/>
        <v>2-5</v>
      </c>
      <c r="BD1004">
        <v>2</v>
      </c>
      <c r="BE1004" t="str">
        <f t="shared" si="239"/>
        <v>2-5</v>
      </c>
    </row>
    <row r="1005" spans="1:57" x14ac:dyDescent="0.3">
      <c r="A1005">
        <v>1415</v>
      </c>
      <c r="B1005">
        <v>25</v>
      </c>
      <c r="C1005" t="str">
        <f t="shared" si="226"/>
        <v>18-25</v>
      </c>
      <c r="D1005" t="s">
        <v>71</v>
      </c>
      <c r="E1005">
        <f t="shared" si="227"/>
        <v>0</v>
      </c>
      <c r="F1005" t="s">
        <v>57</v>
      </c>
      <c r="G1005">
        <v>949</v>
      </c>
      <c r="H1005" t="str">
        <f t="shared" si="228"/>
        <v>501-1000</v>
      </c>
      <c r="I1005" t="s">
        <v>73</v>
      </c>
      <c r="J1005">
        <v>1</v>
      </c>
      <c r="K1005" t="str">
        <f t="shared" si="229"/>
        <v>1-5</v>
      </c>
      <c r="L1005">
        <v>3</v>
      </c>
      <c r="M1005" t="s">
        <v>85</v>
      </c>
      <c r="N1005" t="s">
        <v>95</v>
      </c>
      <c r="O1005">
        <v>1</v>
      </c>
      <c r="P1005">
        <v>1</v>
      </c>
      <c r="Q1005" t="s">
        <v>69</v>
      </c>
      <c r="R1005" t="s">
        <v>75</v>
      </c>
      <c r="S1005">
        <v>81</v>
      </c>
      <c r="T1005" t="str">
        <f t="shared" si="230"/>
        <v>76-100</v>
      </c>
      <c r="U1005">
        <v>3</v>
      </c>
      <c r="V1005" t="s">
        <v>63</v>
      </c>
      <c r="W1005">
        <v>1</v>
      </c>
      <c r="X1005" t="s">
        <v>81</v>
      </c>
      <c r="Y1005">
        <v>4</v>
      </c>
      <c r="Z1005" t="s">
        <v>65</v>
      </c>
      <c r="AA1005" t="s">
        <v>77</v>
      </c>
      <c r="AB1005" s="4">
        <v>3229</v>
      </c>
      <c r="AC1005" s="4" t="str">
        <f t="shared" si="231"/>
        <v>$2,500-$4,000</v>
      </c>
      <c r="AD1005">
        <v>4910</v>
      </c>
      <c r="AE1005" t="str">
        <f t="shared" si="232"/>
        <v>$2,094-$8,000</v>
      </c>
      <c r="AF1005">
        <v>4</v>
      </c>
      <c r="AG1005" t="str">
        <f t="shared" si="233"/>
        <v>4-6</v>
      </c>
      <c r="AH1005" t="s">
        <v>67</v>
      </c>
      <c r="AI1005" t="s">
        <v>71</v>
      </c>
      <c r="AJ1005">
        <v>11</v>
      </c>
      <c r="AK1005" t="str">
        <f t="shared" si="234"/>
        <v>11-12%</v>
      </c>
      <c r="AL1005">
        <v>3</v>
      </c>
      <c r="AM1005" t="s">
        <v>68</v>
      </c>
      <c r="AN1005">
        <v>2</v>
      </c>
      <c r="AO1005" t="s">
        <v>61</v>
      </c>
      <c r="AP1005">
        <v>80</v>
      </c>
      <c r="AQ1005">
        <v>1</v>
      </c>
      <c r="AR1005">
        <v>7</v>
      </c>
      <c r="AS1005" t="str">
        <f t="shared" si="235"/>
        <v>6-10</v>
      </c>
      <c r="AT1005">
        <v>2</v>
      </c>
      <c r="AU1005" t="str">
        <f t="shared" si="236"/>
        <v>0-2</v>
      </c>
      <c r="AV1005">
        <v>2</v>
      </c>
      <c r="AW1005" t="s">
        <v>84</v>
      </c>
      <c r="AX1005">
        <v>3</v>
      </c>
      <c r="AY1005" t="str">
        <f t="shared" si="225"/>
        <v>2-5</v>
      </c>
      <c r="AZ1005">
        <v>2</v>
      </c>
      <c r="BA1005" t="str">
        <f t="shared" si="237"/>
        <v>2-5</v>
      </c>
      <c r="BB1005">
        <v>0</v>
      </c>
      <c r="BC1005" t="str">
        <f t="shared" si="238"/>
        <v>0-1</v>
      </c>
      <c r="BD1005">
        <v>2</v>
      </c>
      <c r="BE1005" t="str">
        <f t="shared" si="239"/>
        <v>2-5</v>
      </c>
    </row>
    <row r="1006" spans="1:57" x14ac:dyDescent="0.3">
      <c r="A1006">
        <v>1417</v>
      </c>
      <c r="B1006">
        <v>26</v>
      </c>
      <c r="C1006" t="str">
        <f t="shared" si="226"/>
        <v>26-35</v>
      </c>
      <c r="D1006" t="s">
        <v>71</v>
      </c>
      <c r="E1006">
        <f t="shared" si="227"/>
        <v>0</v>
      </c>
      <c r="F1006" t="s">
        <v>57</v>
      </c>
      <c r="G1006">
        <v>652</v>
      </c>
      <c r="H1006" t="str">
        <f t="shared" si="228"/>
        <v>501-1000</v>
      </c>
      <c r="I1006" t="s">
        <v>73</v>
      </c>
      <c r="J1006">
        <v>7</v>
      </c>
      <c r="K1006" t="str">
        <f t="shared" si="229"/>
        <v>6-10</v>
      </c>
      <c r="L1006">
        <v>3</v>
      </c>
      <c r="M1006" t="s">
        <v>85</v>
      </c>
      <c r="N1006" t="s">
        <v>80</v>
      </c>
      <c r="O1006">
        <v>1</v>
      </c>
      <c r="P1006">
        <v>3</v>
      </c>
      <c r="Q1006" t="s">
        <v>63</v>
      </c>
      <c r="R1006" t="s">
        <v>75</v>
      </c>
      <c r="S1006">
        <v>100</v>
      </c>
      <c r="T1006" t="str">
        <f t="shared" si="230"/>
        <v>76-100</v>
      </c>
      <c r="U1006">
        <v>4</v>
      </c>
      <c r="V1006" t="s">
        <v>65</v>
      </c>
      <c r="W1006">
        <v>1</v>
      </c>
      <c r="X1006" t="s">
        <v>81</v>
      </c>
      <c r="Y1006">
        <v>1</v>
      </c>
      <c r="Z1006" t="s">
        <v>69</v>
      </c>
      <c r="AA1006" t="s">
        <v>66</v>
      </c>
      <c r="AB1006" s="4">
        <v>3578</v>
      </c>
      <c r="AC1006" s="4" t="str">
        <f t="shared" si="231"/>
        <v>$2,500-$4,000</v>
      </c>
      <c r="AD1006">
        <v>23577</v>
      </c>
      <c r="AE1006" t="str">
        <f t="shared" si="232"/>
        <v>$22,001-$26,999</v>
      </c>
      <c r="AF1006">
        <v>0</v>
      </c>
      <c r="AG1006" t="str">
        <f t="shared" si="233"/>
        <v>0-1</v>
      </c>
      <c r="AH1006" t="s">
        <v>67</v>
      </c>
      <c r="AI1006" t="s">
        <v>71</v>
      </c>
      <c r="AJ1006">
        <v>12</v>
      </c>
      <c r="AK1006" t="str">
        <f t="shared" si="234"/>
        <v>11-12%</v>
      </c>
      <c r="AL1006">
        <v>3</v>
      </c>
      <c r="AM1006" t="s">
        <v>68</v>
      </c>
      <c r="AN1006">
        <v>4</v>
      </c>
      <c r="AO1006" t="s">
        <v>65</v>
      </c>
      <c r="AP1006">
        <v>80</v>
      </c>
      <c r="AQ1006">
        <v>0</v>
      </c>
      <c r="AR1006">
        <v>8</v>
      </c>
      <c r="AS1006" t="str">
        <f t="shared" si="235"/>
        <v>6-10</v>
      </c>
      <c r="AT1006">
        <v>2</v>
      </c>
      <c r="AU1006" t="str">
        <f t="shared" si="236"/>
        <v>0-2</v>
      </c>
      <c r="AV1006">
        <v>3</v>
      </c>
      <c r="AW1006" t="s">
        <v>79</v>
      </c>
      <c r="AX1006">
        <v>7</v>
      </c>
      <c r="AY1006" t="str">
        <f t="shared" si="225"/>
        <v>6-10</v>
      </c>
      <c r="AZ1006">
        <v>7</v>
      </c>
      <c r="BA1006" t="str">
        <f t="shared" si="237"/>
        <v>6-10</v>
      </c>
      <c r="BB1006">
        <v>0</v>
      </c>
      <c r="BC1006" t="str">
        <f t="shared" si="238"/>
        <v>0-1</v>
      </c>
      <c r="BD1006">
        <v>7</v>
      </c>
      <c r="BE1006" t="str">
        <f t="shared" si="239"/>
        <v>6-10</v>
      </c>
    </row>
    <row r="1007" spans="1:57" x14ac:dyDescent="0.3">
      <c r="A1007">
        <v>1419</v>
      </c>
      <c r="B1007">
        <v>29</v>
      </c>
      <c r="C1007" t="str">
        <f t="shared" si="226"/>
        <v>26-35</v>
      </c>
      <c r="D1007" t="s">
        <v>71</v>
      </c>
      <c r="E1007">
        <f t="shared" si="227"/>
        <v>0</v>
      </c>
      <c r="F1007" t="s">
        <v>57</v>
      </c>
      <c r="G1007">
        <v>332</v>
      </c>
      <c r="H1007" t="str">
        <f t="shared" si="228"/>
        <v>102-500</v>
      </c>
      <c r="I1007" t="s">
        <v>97</v>
      </c>
      <c r="J1007">
        <v>17</v>
      </c>
      <c r="K1007" t="str">
        <f t="shared" si="229"/>
        <v>11-20</v>
      </c>
      <c r="L1007">
        <v>3</v>
      </c>
      <c r="M1007" t="s">
        <v>85</v>
      </c>
      <c r="N1007" t="s">
        <v>80</v>
      </c>
      <c r="O1007">
        <v>1</v>
      </c>
      <c r="P1007">
        <v>2</v>
      </c>
      <c r="Q1007" t="s">
        <v>61</v>
      </c>
      <c r="R1007" t="s">
        <v>75</v>
      </c>
      <c r="S1007">
        <v>51</v>
      </c>
      <c r="T1007" t="str">
        <f t="shared" si="230"/>
        <v>51-75</v>
      </c>
      <c r="U1007">
        <v>2</v>
      </c>
      <c r="V1007" t="s">
        <v>61</v>
      </c>
      <c r="W1007">
        <v>3</v>
      </c>
      <c r="X1007" t="s">
        <v>97</v>
      </c>
      <c r="Y1007">
        <v>1</v>
      </c>
      <c r="Z1007" t="s">
        <v>69</v>
      </c>
      <c r="AA1007" t="s">
        <v>66</v>
      </c>
      <c r="AB1007" s="4">
        <v>7988</v>
      </c>
      <c r="AC1007" s="4" t="str">
        <f t="shared" si="231"/>
        <v>$7,000-$8,500</v>
      </c>
      <c r="AD1007">
        <v>9769</v>
      </c>
      <c r="AE1007" t="str">
        <f t="shared" si="232"/>
        <v>$8,001-$16,000</v>
      </c>
      <c r="AF1007">
        <v>1</v>
      </c>
      <c r="AG1007" t="str">
        <f t="shared" si="233"/>
        <v>0-1</v>
      </c>
      <c r="AH1007" t="s">
        <v>67</v>
      </c>
      <c r="AI1007" t="s">
        <v>71</v>
      </c>
      <c r="AJ1007">
        <v>13</v>
      </c>
      <c r="AK1007" t="str">
        <f t="shared" si="234"/>
        <v>13-15%</v>
      </c>
      <c r="AL1007">
        <v>3</v>
      </c>
      <c r="AM1007" t="s">
        <v>68</v>
      </c>
      <c r="AN1007">
        <v>1</v>
      </c>
      <c r="AO1007" t="s">
        <v>69</v>
      </c>
      <c r="AP1007">
        <v>80</v>
      </c>
      <c r="AQ1007">
        <v>0</v>
      </c>
      <c r="AR1007">
        <v>10</v>
      </c>
      <c r="AS1007" t="str">
        <f t="shared" si="235"/>
        <v>6-10</v>
      </c>
      <c r="AT1007">
        <v>3</v>
      </c>
      <c r="AU1007" t="str">
        <f t="shared" si="236"/>
        <v>3-4</v>
      </c>
      <c r="AV1007">
        <v>2</v>
      </c>
      <c r="AW1007" t="s">
        <v>84</v>
      </c>
      <c r="AX1007">
        <v>10</v>
      </c>
      <c r="AY1007" t="str">
        <f t="shared" si="225"/>
        <v>6-10</v>
      </c>
      <c r="AZ1007">
        <v>9</v>
      </c>
      <c r="BA1007" t="str">
        <f t="shared" si="237"/>
        <v>6-10</v>
      </c>
      <c r="BB1007">
        <v>0</v>
      </c>
      <c r="BC1007" t="str">
        <f t="shared" si="238"/>
        <v>0-1</v>
      </c>
      <c r="BD1007">
        <v>9</v>
      </c>
      <c r="BE1007" t="str">
        <f t="shared" si="239"/>
        <v>6-10</v>
      </c>
    </row>
    <row r="1008" spans="1:57" x14ac:dyDescent="0.3">
      <c r="A1008">
        <v>1420</v>
      </c>
      <c r="B1008">
        <v>49</v>
      </c>
      <c r="C1008" t="str">
        <f t="shared" si="226"/>
        <v>46-55</v>
      </c>
      <c r="D1008" t="s">
        <v>56</v>
      </c>
      <c r="E1008">
        <f t="shared" si="227"/>
        <v>1</v>
      </c>
      <c r="F1008" t="s">
        <v>72</v>
      </c>
      <c r="G1008">
        <v>1475</v>
      </c>
      <c r="H1008" t="str">
        <f t="shared" si="228"/>
        <v>1001-1499</v>
      </c>
      <c r="I1008" t="s">
        <v>73</v>
      </c>
      <c r="J1008">
        <v>28</v>
      </c>
      <c r="K1008" t="str">
        <f t="shared" si="229"/>
        <v>21-29</v>
      </c>
      <c r="L1008">
        <v>2</v>
      </c>
      <c r="M1008" t="s">
        <v>59</v>
      </c>
      <c r="N1008" t="s">
        <v>60</v>
      </c>
      <c r="O1008">
        <v>1</v>
      </c>
      <c r="P1008">
        <v>1</v>
      </c>
      <c r="Q1008" t="s">
        <v>69</v>
      </c>
      <c r="R1008" t="s">
        <v>75</v>
      </c>
      <c r="S1008">
        <v>97</v>
      </c>
      <c r="T1008" t="str">
        <f t="shared" si="230"/>
        <v>76-100</v>
      </c>
      <c r="U1008">
        <v>2</v>
      </c>
      <c r="V1008" t="s">
        <v>61</v>
      </c>
      <c r="W1008">
        <v>2</v>
      </c>
      <c r="X1008" t="s">
        <v>81</v>
      </c>
      <c r="Y1008">
        <v>1</v>
      </c>
      <c r="Z1008" t="s">
        <v>69</v>
      </c>
      <c r="AA1008" t="s">
        <v>66</v>
      </c>
      <c r="AB1008" s="4">
        <v>4284</v>
      </c>
      <c r="AC1008" s="4" t="str">
        <f t="shared" si="231"/>
        <v>$4,000-$5,500</v>
      </c>
      <c r="AD1008">
        <v>22710</v>
      </c>
      <c r="AE1008" t="str">
        <f t="shared" si="232"/>
        <v>$22,001-$26,999</v>
      </c>
      <c r="AF1008">
        <v>3</v>
      </c>
      <c r="AG1008" t="str">
        <f t="shared" si="233"/>
        <v>2-3</v>
      </c>
      <c r="AH1008" t="s">
        <v>67</v>
      </c>
      <c r="AI1008" t="s">
        <v>71</v>
      </c>
      <c r="AJ1008">
        <v>20</v>
      </c>
      <c r="AK1008" t="str">
        <f t="shared" si="234"/>
        <v>18-19%</v>
      </c>
      <c r="AL1008">
        <v>4</v>
      </c>
      <c r="AM1008" t="s">
        <v>78</v>
      </c>
      <c r="AN1008">
        <v>1</v>
      </c>
      <c r="AO1008" t="s">
        <v>69</v>
      </c>
      <c r="AP1008">
        <v>80</v>
      </c>
      <c r="AQ1008">
        <v>0</v>
      </c>
      <c r="AR1008">
        <v>20</v>
      </c>
      <c r="AS1008" t="str">
        <f t="shared" si="235"/>
        <v>11-20</v>
      </c>
      <c r="AT1008">
        <v>2</v>
      </c>
      <c r="AU1008" t="str">
        <f t="shared" si="236"/>
        <v>0-2</v>
      </c>
      <c r="AV1008">
        <v>3</v>
      </c>
      <c r="AW1008" t="s">
        <v>79</v>
      </c>
      <c r="AX1008">
        <v>4</v>
      </c>
      <c r="AY1008" t="str">
        <f t="shared" si="225"/>
        <v>2-5</v>
      </c>
      <c r="AZ1008">
        <v>3</v>
      </c>
      <c r="BA1008" t="str">
        <f t="shared" si="237"/>
        <v>2-5</v>
      </c>
      <c r="BB1008">
        <v>1</v>
      </c>
      <c r="BC1008" t="str">
        <f t="shared" si="238"/>
        <v>0-1</v>
      </c>
      <c r="BD1008">
        <v>3</v>
      </c>
      <c r="BE1008" t="str">
        <f t="shared" si="239"/>
        <v>2-5</v>
      </c>
    </row>
    <row r="1009" spans="1:57" x14ac:dyDescent="0.3">
      <c r="A1009">
        <v>1421</v>
      </c>
      <c r="B1009">
        <v>29</v>
      </c>
      <c r="C1009" t="str">
        <f t="shared" si="226"/>
        <v>26-35</v>
      </c>
      <c r="D1009" t="s">
        <v>56</v>
      </c>
      <c r="E1009">
        <f t="shared" si="227"/>
        <v>1</v>
      </c>
      <c r="F1009" t="s">
        <v>72</v>
      </c>
      <c r="G1009">
        <v>337</v>
      </c>
      <c r="H1009" t="str">
        <f t="shared" si="228"/>
        <v>102-500</v>
      </c>
      <c r="I1009" t="s">
        <v>73</v>
      </c>
      <c r="J1009">
        <v>14</v>
      </c>
      <c r="K1009" t="str">
        <f t="shared" si="229"/>
        <v>11-20</v>
      </c>
      <c r="L1009">
        <v>1</v>
      </c>
      <c r="M1009" t="s">
        <v>74</v>
      </c>
      <c r="N1009" t="s">
        <v>80</v>
      </c>
      <c r="O1009">
        <v>1</v>
      </c>
      <c r="P1009">
        <v>3</v>
      </c>
      <c r="Q1009" t="s">
        <v>63</v>
      </c>
      <c r="R1009" t="s">
        <v>62</v>
      </c>
      <c r="S1009">
        <v>84</v>
      </c>
      <c r="T1009" t="str">
        <f t="shared" si="230"/>
        <v>76-100</v>
      </c>
      <c r="U1009">
        <v>3</v>
      </c>
      <c r="V1009" t="s">
        <v>63</v>
      </c>
      <c r="W1009">
        <v>3</v>
      </c>
      <c r="X1009" t="s">
        <v>88</v>
      </c>
      <c r="Y1009">
        <v>4</v>
      </c>
      <c r="Z1009" t="s">
        <v>65</v>
      </c>
      <c r="AA1009" t="s">
        <v>66</v>
      </c>
      <c r="AB1009" s="4">
        <v>7553</v>
      </c>
      <c r="AC1009" s="4" t="str">
        <f t="shared" si="231"/>
        <v>$7,000-$8,500</v>
      </c>
      <c r="AD1009">
        <v>22930</v>
      </c>
      <c r="AE1009" t="str">
        <f t="shared" si="232"/>
        <v>$22,001-$26,999</v>
      </c>
      <c r="AF1009">
        <v>0</v>
      </c>
      <c r="AG1009" t="str">
        <f t="shared" si="233"/>
        <v>0-1</v>
      </c>
      <c r="AH1009" t="s">
        <v>67</v>
      </c>
      <c r="AI1009" t="s">
        <v>56</v>
      </c>
      <c r="AJ1009">
        <v>12</v>
      </c>
      <c r="AK1009" t="str">
        <f t="shared" si="234"/>
        <v>11-12%</v>
      </c>
      <c r="AL1009">
        <v>3</v>
      </c>
      <c r="AM1009" t="s">
        <v>68</v>
      </c>
      <c r="AN1009">
        <v>1</v>
      </c>
      <c r="AO1009" t="s">
        <v>69</v>
      </c>
      <c r="AP1009">
        <v>80</v>
      </c>
      <c r="AQ1009">
        <v>0</v>
      </c>
      <c r="AR1009">
        <v>9</v>
      </c>
      <c r="AS1009" t="str">
        <f t="shared" si="235"/>
        <v>6-10</v>
      </c>
      <c r="AT1009">
        <v>1</v>
      </c>
      <c r="AU1009" t="str">
        <f t="shared" si="236"/>
        <v>0-2</v>
      </c>
      <c r="AV1009">
        <v>3</v>
      </c>
      <c r="AW1009" t="s">
        <v>79</v>
      </c>
      <c r="AX1009">
        <v>8</v>
      </c>
      <c r="AY1009" t="str">
        <f t="shared" si="225"/>
        <v>6-10</v>
      </c>
      <c r="AZ1009">
        <v>7</v>
      </c>
      <c r="BA1009" t="str">
        <f t="shared" si="237"/>
        <v>6-10</v>
      </c>
      <c r="BB1009">
        <v>7</v>
      </c>
      <c r="BC1009" t="str">
        <f t="shared" si="238"/>
        <v>6-10</v>
      </c>
      <c r="BD1009">
        <v>7</v>
      </c>
      <c r="BE1009" t="str">
        <f t="shared" si="239"/>
        <v>6-10</v>
      </c>
    </row>
    <row r="1010" spans="1:57" x14ac:dyDescent="0.3">
      <c r="A1010">
        <v>1422</v>
      </c>
      <c r="B1010">
        <v>54</v>
      </c>
      <c r="C1010" t="str">
        <f t="shared" si="226"/>
        <v>46-55</v>
      </c>
      <c r="D1010" t="s">
        <v>71</v>
      </c>
      <c r="E1010">
        <f t="shared" si="227"/>
        <v>0</v>
      </c>
      <c r="F1010" t="s">
        <v>57</v>
      </c>
      <c r="G1010">
        <v>971</v>
      </c>
      <c r="H1010" t="str">
        <f t="shared" si="228"/>
        <v>501-1000</v>
      </c>
      <c r="I1010" t="s">
        <v>73</v>
      </c>
      <c r="J1010">
        <v>1</v>
      </c>
      <c r="K1010" t="str">
        <f t="shared" si="229"/>
        <v>1-5</v>
      </c>
      <c r="L1010">
        <v>3</v>
      </c>
      <c r="M1010" t="s">
        <v>85</v>
      </c>
      <c r="N1010" t="s">
        <v>83</v>
      </c>
      <c r="O1010">
        <v>1</v>
      </c>
      <c r="P1010">
        <v>4</v>
      </c>
      <c r="Q1010" t="s">
        <v>65</v>
      </c>
      <c r="R1010" t="s">
        <v>62</v>
      </c>
      <c r="S1010">
        <v>54</v>
      </c>
      <c r="T1010" t="str">
        <f t="shared" si="230"/>
        <v>51-75</v>
      </c>
      <c r="U1010">
        <v>3</v>
      </c>
      <c r="V1010" t="s">
        <v>63</v>
      </c>
      <c r="W1010">
        <v>4</v>
      </c>
      <c r="X1010" t="s">
        <v>92</v>
      </c>
      <c r="Y1010">
        <v>4</v>
      </c>
      <c r="Z1010" t="s">
        <v>65</v>
      </c>
      <c r="AA1010" t="s">
        <v>66</v>
      </c>
      <c r="AB1010" s="4">
        <v>17328</v>
      </c>
      <c r="AC1010" s="4" t="str">
        <f t="shared" si="231"/>
        <v>$16,000-$17,500</v>
      </c>
      <c r="AD1010">
        <v>5652</v>
      </c>
      <c r="AE1010" t="str">
        <f t="shared" si="232"/>
        <v>$2,094-$8,000</v>
      </c>
      <c r="AF1010">
        <v>6</v>
      </c>
      <c r="AG1010" t="str">
        <f t="shared" si="233"/>
        <v>4-6</v>
      </c>
      <c r="AH1010" t="s">
        <v>67</v>
      </c>
      <c r="AI1010" t="s">
        <v>71</v>
      </c>
      <c r="AJ1010">
        <v>19</v>
      </c>
      <c r="AK1010" t="str">
        <f t="shared" si="234"/>
        <v>18-19%</v>
      </c>
      <c r="AL1010">
        <v>3</v>
      </c>
      <c r="AM1010" t="s">
        <v>68</v>
      </c>
      <c r="AN1010">
        <v>4</v>
      </c>
      <c r="AO1010" t="s">
        <v>65</v>
      </c>
      <c r="AP1010">
        <v>80</v>
      </c>
      <c r="AQ1010">
        <v>0</v>
      </c>
      <c r="AR1010">
        <v>29</v>
      </c>
      <c r="AS1010" t="str">
        <f t="shared" si="235"/>
        <v>21-40</v>
      </c>
      <c r="AT1010">
        <v>3</v>
      </c>
      <c r="AU1010" t="str">
        <f t="shared" si="236"/>
        <v>3-4</v>
      </c>
      <c r="AV1010">
        <v>2</v>
      </c>
      <c r="AW1010" t="s">
        <v>84</v>
      </c>
      <c r="AX1010">
        <v>20</v>
      </c>
      <c r="AY1010" t="str">
        <f t="shared" si="225"/>
        <v>11-20</v>
      </c>
      <c r="AZ1010">
        <v>7</v>
      </c>
      <c r="BA1010" t="str">
        <f t="shared" si="237"/>
        <v>6-10</v>
      </c>
      <c r="BB1010">
        <v>12</v>
      </c>
      <c r="BC1010" t="str">
        <f t="shared" si="238"/>
        <v>11-15</v>
      </c>
      <c r="BD1010">
        <v>7</v>
      </c>
      <c r="BE1010" t="str">
        <f t="shared" si="239"/>
        <v>6-10</v>
      </c>
    </row>
    <row r="1011" spans="1:57" x14ac:dyDescent="0.3">
      <c r="A1011">
        <v>1423</v>
      </c>
      <c r="B1011">
        <v>58</v>
      </c>
      <c r="C1011" t="str">
        <f t="shared" si="226"/>
        <v>56+</v>
      </c>
      <c r="D1011" t="s">
        <v>71</v>
      </c>
      <c r="E1011">
        <f t="shared" si="227"/>
        <v>0</v>
      </c>
      <c r="F1011" t="s">
        <v>57</v>
      </c>
      <c r="G1011">
        <v>1055</v>
      </c>
      <c r="H1011" t="str">
        <f t="shared" si="228"/>
        <v>1001-1499</v>
      </c>
      <c r="I1011" t="s">
        <v>73</v>
      </c>
      <c r="J1011">
        <v>1</v>
      </c>
      <c r="K1011" t="str">
        <f t="shared" si="229"/>
        <v>1-5</v>
      </c>
      <c r="L1011">
        <v>3</v>
      </c>
      <c r="M1011" t="s">
        <v>85</v>
      </c>
      <c r="N1011" t="s">
        <v>83</v>
      </c>
      <c r="O1011">
        <v>1</v>
      </c>
      <c r="P1011">
        <v>4</v>
      </c>
      <c r="Q1011" t="s">
        <v>65</v>
      </c>
      <c r="R1011" t="s">
        <v>62</v>
      </c>
      <c r="S1011">
        <v>76</v>
      </c>
      <c r="T1011" t="str">
        <f t="shared" si="230"/>
        <v>76-100</v>
      </c>
      <c r="U1011">
        <v>3</v>
      </c>
      <c r="V1011" t="s">
        <v>63</v>
      </c>
      <c r="W1011">
        <v>5</v>
      </c>
      <c r="X1011" t="s">
        <v>92</v>
      </c>
      <c r="Y1011">
        <v>1</v>
      </c>
      <c r="Z1011" t="s">
        <v>69</v>
      </c>
      <c r="AA1011" t="s">
        <v>77</v>
      </c>
      <c r="AB1011" s="4">
        <v>19701</v>
      </c>
      <c r="AC1011" s="4" t="str">
        <f t="shared" si="231"/>
        <v>$19,000-$20,500</v>
      </c>
      <c r="AD1011">
        <v>22456</v>
      </c>
      <c r="AE1011" t="str">
        <f t="shared" si="232"/>
        <v>$22,001-$26,999</v>
      </c>
      <c r="AF1011">
        <v>3</v>
      </c>
      <c r="AG1011" t="str">
        <f t="shared" si="233"/>
        <v>2-3</v>
      </c>
      <c r="AH1011" t="s">
        <v>67</v>
      </c>
      <c r="AI1011" t="s">
        <v>56</v>
      </c>
      <c r="AJ1011">
        <v>21</v>
      </c>
      <c r="AK1011" t="str">
        <f t="shared" si="234"/>
        <v>18-19%</v>
      </c>
      <c r="AL1011">
        <v>4</v>
      </c>
      <c r="AM1011" t="s">
        <v>78</v>
      </c>
      <c r="AN1011">
        <v>3</v>
      </c>
      <c r="AO1011" t="s">
        <v>63</v>
      </c>
      <c r="AP1011">
        <v>80</v>
      </c>
      <c r="AQ1011">
        <v>1</v>
      </c>
      <c r="AR1011">
        <v>32</v>
      </c>
      <c r="AS1011" t="str">
        <f t="shared" si="235"/>
        <v>21-40</v>
      </c>
      <c r="AT1011">
        <v>3</v>
      </c>
      <c r="AU1011" t="str">
        <f t="shared" si="236"/>
        <v>3-4</v>
      </c>
      <c r="AV1011">
        <v>3</v>
      </c>
      <c r="AW1011" t="s">
        <v>79</v>
      </c>
      <c r="AX1011">
        <v>9</v>
      </c>
      <c r="AY1011" t="str">
        <f t="shared" si="225"/>
        <v>6-10</v>
      </c>
      <c r="AZ1011">
        <v>8</v>
      </c>
      <c r="BA1011" t="str">
        <f t="shared" si="237"/>
        <v>6-10</v>
      </c>
      <c r="BB1011">
        <v>1</v>
      </c>
      <c r="BC1011" t="str">
        <f t="shared" si="238"/>
        <v>0-1</v>
      </c>
      <c r="BD1011">
        <v>5</v>
      </c>
      <c r="BE1011" t="str">
        <f t="shared" si="239"/>
        <v>2-5</v>
      </c>
    </row>
    <row r="1012" spans="1:57" x14ac:dyDescent="0.3">
      <c r="A1012">
        <v>1424</v>
      </c>
      <c r="B1012">
        <v>55</v>
      </c>
      <c r="C1012" t="str">
        <f t="shared" si="226"/>
        <v>46-55</v>
      </c>
      <c r="D1012" t="s">
        <v>71</v>
      </c>
      <c r="E1012">
        <f t="shared" si="227"/>
        <v>0</v>
      </c>
      <c r="F1012" t="s">
        <v>57</v>
      </c>
      <c r="G1012">
        <v>1136</v>
      </c>
      <c r="H1012" t="str">
        <f t="shared" si="228"/>
        <v>1001-1499</v>
      </c>
      <c r="I1012" t="s">
        <v>73</v>
      </c>
      <c r="J1012">
        <v>1</v>
      </c>
      <c r="K1012" t="str">
        <f t="shared" si="229"/>
        <v>1-5</v>
      </c>
      <c r="L1012">
        <v>4</v>
      </c>
      <c r="M1012" t="s">
        <v>82</v>
      </c>
      <c r="N1012" t="s">
        <v>83</v>
      </c>
      <c r="O1012">
        <v>1</v>
      </c>
      <c r="P1012">
        <v>2</v>
      </c>
      <c r="Q1012" t="s">
        <v>61</v>
      </c>
      <c r="R1012" t="s">
        <v>75</v>
      </c>
      <c r="S1012">
        <v>81</v>
      </c>
      <c r="T1012" t="str">
        <f t="shared" si="230"/>
        <v>76-100</v>
      </c>
      <c r="U1012">
        <v>4</v>
      </c>
      <c r="V1012" t="s">
        <v>65</v>
      </c>
      <c r="W1012">
        <v>4</v>
      </c>
      <c r="X1012" t="s">
        <v>92</v>
      </c>
      <c r="Y1012">
        <v>4</v>
      </c>
      <c r="Z1012" t="s">
        <v>65</v>
      </c>
      <c r="AA1012" t="s">
        <v>86</v>
      </c>
      <c r="AB1012" s="4">
        <v>14732</v>
      </c>
      <c r="AC1012" s="4" t="str">
        <f t="shared" si="231"/>
        <v>$14,500-$16,000</v>
      </c>
      <c r="AD1012">
        <v>12414</v>
      </c>
      <c r="AE1012" t="str">
        <f t="shared" si="232"/>
        <v>$8,001-$16,000</v>
      </c>
      <c r="AF1012">
        <v>2</v>
      </c>
      <c r="AG1012" t="str">
        <f t="shared" si="233"/>
        <v>2-3</v>
      </c>
      <c r="AH1012" t="s">
        <v>67</v>
      </c>
      <c r="AI1012" t="s">
        <v>71</v>
      </c>
      <c r="AJ1012">
        <v>13</v>
      </c>
      <c r="AK1012" t="str">
        <f t="shared" si="234"/>
        <v>13-15%</v>
      </c>
      <c r="AL1012">
        <v>3</v>
      </c>
      <c r="AM1012" t="s">
        <v>68</v>
      </c>
      <c r="AN1012">
        <v>4</v>
      </c>
      <c r="AO1012" t="s">
        <v>65</v>
      </c>
      <c r="AP1012">
        <v>80</v>
      </c>
      <c r="AQ1012">
        <v>2</v>
      </c>
      <c r="AR1012">
        <v>31</v>
      </c>
      <c r="AS1012" t="str">
        <f t="shared" si="235"/>
        <v>21-40</v>
      </c>
      <c r="AT1012">
        <v>4</v>
      </c>
      <c r="AU1012" t="str">
        <f t="shared" si="236"/>
        <v>3-4</v>
      </c>
      <c r="AV1012">
        <v>4</v>
      </c>
      <c r="AW1012" t="s">
        <v>94</v>
      </c>
      <c r="AX1012">
        <v>7</v>
      </c>
      <c r="AY1012" t="str">
        <f t="shared" si="225"/>
        <v>6-10</v>
      </c>
      <c r="AZ1012">
        <v>7</v>
      </c>
      <c r="BA1012" t="str">
        <f t="shared" si="237"/>
        <v>6-10</v>
      </c>
      <c r="BB1012">
        <v>0</v>
      </c>
      <c r="BC1012" t="str">
        <f t="shared" si="238"/>
        <v>0-1</v>
      </c>
      <c r="BD1012">
        <v>0</v>
      </c>
      <c r="BE1012" t="str">
        <f t="shared" si="239"/>
        <v>0-1</v>
      </c>
    </row>
    <row r="1013" spans="1:57" x14ac:dyDescent="0.3">
      <c r="A1013">
        <v>1425</v>
      </c>
      <c r="B1013">
        <v>36</v>
      </c>
      <c r="C1013" t="str">
        <f t="shared" si="226"/>
        <v>36-45</v>
      </c>
      <c r="D1013" t="s">
        <v>71</v>
      </c>
      <c r="E1013">
        <f t="shared" si="227"/>
        <v>0</v>
      </c>
      <c r="F1013" t="s">
        <v>57</v>
      </c>
      <c r="G1013">
        <v>1174</v>
      </c>
      <c r="H1013" t="str">
        <f t="shared" si="228"/>
        <v>1001-1499</v>
      </c>
      <c r="I1013" t="s">
        <v>58</v>
      </c>
      <c r="J1013">
        <v>3</v>
      </c>
      <c r="K1013" t="str">
        <f t="shared" si="229"/>
        <v>1-5</v>
      </c>
      <c r="L1013">
        <v>4</v>
      </c>
      <c r="M1013" t="s">
        <v>82</v>
      </c>
      <c r="N1013" t="s">
        <v>93</v>
      </c>
      <c r="O1013">
        <v>1</v>
      </c>
      <c r="P1013">
        <v>1</v>
      </c>
      <c r="Q1013" t="s">
        <v>69</v>
      </c>
      <c r="R1013" t="s">
        <v>62</v>
      </c>
      <c r="S1013">
        <v>99</v>
      </c>
      <c r="T1013" t="str">
        <f t="shared" si="230"/>
        <v>76-100</v>
      </c>
      <c r="U1013">
        <v>3</v>
      </c>
      <c r="V1013" t="s">
        <v>63</v>
      </c>
      <c r="W1013">
        <v>2</v>
      </c>
      <c r="X1013" t="s">
        <v>64</v>
      </c>
      <c r="Y1013">
        <v>2</v>
      </c>
      <c r="Z1013" t="s">
        <v>61</v>
      </c>
      <c r="AA1013" t="s">
        <v>66</v>
      </c>
      <c r="AB1013" s="4">
        <v>9278</v>
      </c>
      <c r="AC1013" s="4" t="str">
        <f t="shared" si="231"/>
        <v>$8,500-$10,000</v>
      </c>
      <c r="AD1013">
        <v>20763</v>
      </c>
      <c r="AE1013" t="str">
        <f t="shared" si="232"/>
        <v>$16,001-$22,000</v>
      </c>
      <c r="AF1013">
        <v>3</v>
      </c>
      <c r="AG1013" t="str">
        <f t="shared" si="233"/>
        <v>2-3</v>
      </c>
      <c r="AH1013" t="s">
        <v>67</v>
      </c>
      <c r="AI1013" t="s">
        <v>56</v>
      </c>
      <c r="AJ1013">
        <v>16</v>
      </c>
      <c r="AK1013" t="str">
        <f t="shared" si="234"/>
        <v>16-17%</v>
      </c>
      <c r="AL1013">
        <v>3</v>
      </c>
      <c r="AM1013" t="s">
        <v>68</v>
      </c>
      <c r="AN1013">
        <v>4</v>
      </c>
      <c r="AO1013" t="s">
        <v>65</v>
      </c>
      <c r="AP1013">
        <v>80</v>
      </c>
      <c r="AQ1013">
        <v>0</v>
      </c>
      <c r="AR1013">
        <v>15</v>
      </c>
      <c r="AS1013" t="str">
        <f t="shared" si="235"/>
        <v>11-20</v>
      </c>
      <c r="AT1013">
        <v>3</v>
      </c>
      <c r="AU1013" t="str">
        <f t="shared" si="236"/>
        <v>3-4</v>
      </c>
      <c r="AV1013">
        <v>3</v>
      </c>
      <c r="AW1013" t="s">
        <v>79</v>
      </c>
      <c r="AX1013">
        <v>5</v>
      </c>
      <c r="AY1013" t="str">
        <f t="shared" si="225"/>
        <v>2-5</v>
      </c>
      <c r="AZ1013">
        <v>4</v>
      </c>
      <c r="BA1013" t="str">
        <f t="shared" si="237"/>
        <v>2-5</v>
      </c>
      <c r="BB1013">
        <v>0</v>
      </c>
      <c r="BC1013" t="str">
        <f t="shared" si="238"/>
        <v>0-1</v>
      </c>
      <c r="BD1013">
        <v>1</v>
      </c>
      <c r="BE1013" t="str">
        <f t="shared" si="239"/>
        <v>0-1</v>
      </c>
    </row>
    <row r="1014" spans="1:57" x14ac:dyDescent="0.3">
      <c r="A1014">
        <v>1427</v>
      </c>
      <c r="B1014">
        <v>31</v>
      </c>
      <c r="C1014" t="str">
        <f t="shared" si="226"/>
        <v>26-35</v>
      </c>
      <c r="D1014" t="s">
        <v>56</v>
      </c>
      <c r="E1014">
        <f t="shared" si="227"/>
        <v>1</v>
      </c>
      <c r="F1014" t="s">
        <v>72</v>
      </c>
      <c r="G1014">
        <v>667</v>
      </c>
      <c r="H1014" t="str">
        <f t="shared" si="228"/>
        <v>501-1000</v>
      </c>
      <c r="I1014" t="s">
        <v>58</v>
      </c>
      <c r="J1014">
        <v>1</v>
      </c>
      <c r="K1014" t="str">
        <f t="shared" si="229"/>
        <v>1-5</v>
      </c>
      <c r="L1014">
        <v>4</v>
      </c>
      <c r="M1014" t="s">
        <v>82</v>
      </c>
      <c r="N1014" t="s">
        <v>60</v>
      </c>
      <c r="O1014">
        <v>1</v>
      </c>
      <c r="P1014">
        <v>2</v>
      </c>
      <c r="Q1014" t="s">
        <v>61</v>
      </c>
      <c r="R1014" t="s">
        <v>62</v>
      </c>
      <c r="S1014">
        <v>50</v>
      </c>
      <c r="T1014" t="str">
        <f t="shared" si="230"/>
        <v>30-50</v>
      </c>
      <c r="U1014">
        <v>1</v>
      </c>
      <c r="V1014" t="s">
        <v>69</v>
      </c>
      <c r="W1014">
        <v>1</v>
      </c>
      <c r="X1014" t="s">
        <v>91</v>
      </c>
      <c r="Y1014">
        <v>3</v>
      </c>
      <c r="Z1014" t="s">
        <v>63</v>
      </c>
      <c r="AA1014" t="s">
        <v>66</v>
      </c>
      <c r="AB1014" s="4">
        <v>1359</v>
      </c>
      <c r="AC1014" s="4" t="str">
        <f t="shared" si="231"/>
        <v>$1,000-$2,500</v>
      </c>
      <c r="AD1014">
        <v>16154</v>
      </c>
      <c r="AE1014" t="str">
        <f t="shared" si="232"/>
        <v>$16,001-$22,000</v>
      </c>
      <c r="AF1014">
        <v>1</v>
      </c>
      <c r="AG1014" t="str">
        <f t="shared" si="233"/>
        <v>0-1</v>
      </c>
      <c r="AH1014" t="s">
        <v>67</v>
      </c>
      <c r="AI1014" t="s">
        <v>71</v>
      </c>
      <c r="AJ1014">
        <v>12</v>
      </c>
      <c r="AK1014" t="str">
        <f t="shared" si="234"/>
        <v>11-12%</v>
      </c>
      <c r="AL1014">
        <v>3</v>
      </c>
      <c r="AM1014" t="s">
        <v>68</v>
      </c>
      <c r="AN1014">
        <v>2</v>
      </c>
      <c r="AO1014" t="s">
        <v>61</v>
      </c>
      <c r="AP1014">
        <v>80</v>
      </c>
      <c r="AQ1014">
        <v>0</v>
      </c>
      <c r="AR1014">
        <v>1</v>
      </c>
      <c r="AS1014" t="str">
        <f t="shared" si="235"/>
        <v>0-2</v>
      </c>
      <c r="AT1014">
        <v>3</v>
      </c>
      <c r="AU1014" t="str">
        <f t="shared" si="236"/>
        <v>3-4</v>
      </c>
      <c r="AV1014">
        <v>3</v>
      </c>
      <c r="AW1014" t="s">
        <v>79</v>
      </c>
      <c r="AX1014">
        <v>1</v>
      </c>
      <c r="AY1014" t="str">
        <f t="shared" si="225"/>
        <v>0-1</v>
      </c>
      <c r="AZ1014">
        <v>0</v>
      </c>
      <c r="BA1014" t="str">
        <f t="shared" si="237"/>
        <v>0-1</v>
      </c>
      <c r="BB1014">
        <v>0</v>
      </c>
      <c r="BC1014" t="str">
        <f t="shared" si="238"/>
        <v>0-1</v>
      </c>
      <c r="BD1014">
        <v>0</v>
      </c>
      <c r="BE1014" t="str">
        <f t="shared" si="239"/>
        <v>0-1</v>
      </c>
    </row>
    <row r="1015" spans="1:57" x14ac:dyDescent="0.3">
      <c r="A1015">
        <v>1428</v>
      </c>
      <c r="B1015">
        <v>30</v>
      </c>
      <c r="C1015" t="str">
        <f t="shared" si="226"/>
        <v>26-35</v>
      </c>
      <c r="D1015" t="s">
        <v>71</v>
      </c>
      <c r="E1015">
        <f t="shared" si="227"/>
        <v>0</v>
      </c>
      <c r="F1015" t="s">
        <v>57</v>
      </c>
      <c r="G1015">
        <v>855</v>
      </c>
      <c r="H1015" t="str">
        <f t="shared" si="228"/>
        <v>501-1000</v>
      </c>
      <c r="I1015" t="s">
        <v>58</v>
      </c>
      <c r="J1015">
        <v>7</v>
      </c>
      <c r="K1015" t="str">
        <f t="shared" si="229"/>
        <v>6-10</v>
      </c>
      <c r="L1015">
        <v>4</v>
      </c>
      <c r="M1015" t="s">
        <v>82</v>
      </c>
      <c r="N1015" t="s">
        <v>93</v>
      </c>
      <c r="O1015">
        <v>1</v>
      </c>
      <c r="P1015">
        <v>4</v>
      </c>
      <c r="Q1015" t="s">
        <v>65</v>
      </c>
      <c r="R1015" t="s">
        <v>62</v>
      </c>
      <c r="S1015">
        <v>73</v>
      </c>
      <c r="T1015" t="str">
        <f t="shared" si="230"/>
        <v>51-75</v>
      </c>
      <c r="U1015">
        <v>3</v>
      </c>
      <c r="V1015" t="s">
        <v>63</v>
      </c>
      <c r="W1015">
        <v>2</v>
      </c>
      <c r="X1015" t="s">
        <v>64</v>
      </c>
      <c r="Y1015">
        <v>1</v>
      </c>
      <c r="Z1015" t="s">
        <v>69</v>
      </c>
      <c r="AA1015" t="s">
        <v>86</v>
      </c>
      <c r="AB1015" s="4">
        <v>4779</v>
      </c>
      <c r="AC1015" s="4" t="str">
        <f t="shared" si="231"/>
        <v>$4,000-$5,500</v>
      </c>
      <c r="AD1015">
        <v>12761</v>
      </c>
      <c r="AE1015" t="str">
        <f t="shared" si="232"/>
        <v>$8,001-$16,000</v>
      </c>
      <c r="AF1015">
        <v>7</v>
      </c>
      <c r="AG1015" t="str">
        <f t="shared" si="233"/>
        <v>7-9</v>
      </c>
      <c r="AH1015" t="s">
        <v>67</v>
      </c>
      <c r="AI1015" t="s">
        <v>71</v>
      </c>
      <c r="AJ1015">
        <v>14</v>
      </c>
      <c r="AK1015" t="str">
        <f t="shared" si="234"/>
        <v>13-15%</v>
      </c>
      <c r="AL1015">
        <v>3</v>
      </c>
      <c r="AM1015" t="s">
        <v>68</v>
      </c>
      <c r="AN1015">
        <v>2</v>
      </c>
      <c r="AO1015" t="s">
        <v>61</v>
      </c>
      <c r="AP1015">
        <v>80</v>
      </c>
      <c r="AQ1015">
        <v>2</v>
      </c>
      <c r="AR1015">
        <v>8</v>
      </c>
      <c r="AS1015" t="str">
        <f t="shared" si="235"/>
        <v>6-10</v>
      </c>
      <c r="AT1015">
        <v>3</v>
      </c>
      <c r="AU1015" t="str">
        <f t="shared" si="236"/>
        <v>3-4</v>
      </c>
      <c r="AV1015">
        <v>3</v>
      </c>
      <c r="AW1015" t="s">
        <v>79</v>
      </c>
      <c r="AX1015">
        <v>3</v>
      </c>
      <c r="AY1015" t="str">
        <f t="shared" si="225"/>
        <v>2-5</v>
      </c>
      <c r="AZ1015">
        <v>2</v>
      </c>
      <c r="BA1015" t="str">
        <f t="shared" si="237"/>
        <v>2-5</v>
      </c>
      <c r="BB1015">
        <v>0</v>
      </c>
      <c r="BC1015" t="str">
        <f t="shared" si="238"/>
        <v>0-1</v>
      </c>
      <c r="BD1015">
        <v>2</v>
      </c>
      <c r="BE1015" t="str">
        <f t="shared" si="239"/>
        <v>2-5</v>
      </c>
    </row>
    <row r="1016" spans="1:57" x14ac:dyDescent="0.3">
      <c r="A1016">
        <v>1430</v>
      </c>
      <c r="B1016">
        <v>31</v>
      </c>
      <c r="C1016" t="str">
        <f t="shared" si="226"/>
        <v>26-35</v>
      </c>
      <c r="D1016" t="s">
        <v>71</v>
      </c>
      <c r="E1016">
        <f t="shared" si="227"/>
        <v>0</v>
      </c>
      <c r="F1016" t="s">
        <v>57</v>
      </c>
      <c r="G1016">
        <v>182</v>
      </c>
      <c r="H1016" t="str">
        <f t="shared" si="228"/>
        <v>102-500</v>
      </c>
      <c r="I1016" t="s">
        <v>73</v>
      </c>
      <c r="J1016">
        <v>8</v>
      </c>
      <c r="K1016" t="str">
        <f t="shared" si="229"/>
        <v>6-10</v>
      </c>
      <c r="L1016">
        <v>5</v>
      </c>
      <c r="M1016" t="s">
        <v>96</v>
      </c>
      <c r="N1016" t="s">
        <v>60</v>
      </c>
      <c r="O1016">
        <v>1</v>
      </c>
      <c r="P1016">
        <v>1</v>
      </c>
      <c r="Q1016" t="s">
        <v>69</v>
      </c>
      <c r="R1016" t="s">
        <v>62</v>
      </c>
      <c r="S1016">
        <v>93</v>
      </c>
      <c r="T1016" t="str">
        <f t="shared" si="230"/>
        <v>76-100</v>
      </c>
      <c r="U1016">
        <v>3</v>
      </c>
      <c r="V1016" t="s">
        <v>63</v>
      </c>
      <c r="W1016">
        <v>4</v>
      </c>
      <c r="X1016" t="s">
        <v>92</v>
      </c>
      <c r="Y1016">
        <v>2</v>
      </c>
      <c r="Z1016" t="s">
        <v>61</v>
      </c>
      <c r="AA1016" t="s">
        <v>66</v>
      </c>
      <c r="AB1016" s="4">
        <v>16422</v>
      </c>
      <c r="AC1016" s="4" t="str">
        <f t="shared" si="231"/>
        <v>$16,000-$17,500</v>
      </c>
      <c r="AD1016">
        <v>8847</v>
      </c>
      <c r="AE1016" t="str">
        <f t="shared" si="232"/>
        <v>$8,001-$16,000</v>
      </c>
      <c r="AF1016">
        <v>3</v>
      </c>
      <c r="AG1016" t="str">
        <f t="shared" si="233"/>
        <v>2-3</v>
      </c>
      <c r="AH1016" t="s">
        <v>67</v>
      </c>
      <c r="AI1016" t="s">
        <v>71</v>
      </c>
      <c r="AJ1016">
        <v>11</v>
      </c>
      <c r="AK1016" t="str">
        <f t="shared" si="234"/>
        <v>11-12%</v>
      </c>
      <c r="AL1016">
        <v>3</v>
      </c>
      <c r="AM1016" t="s">
        <v>68</v>
      </c>
      <c r="AN1016">
        <v>3</v>
      </c>
      <c r="AO1016" t="s">
        <v>63</v>
      </c>
      <c r="AP1016">
        <v>80</v>
      </c>
      <c r="AQ1016">
        <v>0</v>
      </c>
      <c r="AR1016">
        <v>9</v>
      </c>
      <c r="AS1016" t="str">
        <f t="shared" si="235"/>
        <v>6-10</v>
      </c>
      <c r="AT1016">
        <v>3</v>
      </c>
      <c r="AU1016" t="str">
        <f t="shared" si="236"/>
        <v>3-4</v>
      </c>
      <c r="AV1016">
        <v>4</v>
      </c>
      <c r="AW1016" t="s">
        <v>94</v>
      </c>
      <c r="AX1016">
        <v>3</v>
      </c>
      <c r="AY1016" t="str">
        <f t="shared" si="225"/>
        <v>2-5</v>
      </c>
      <c r="AZ1016">
        <v>2</v>
      </c>
      <c r="BA1016" t="str">
        <f t="shared" si="237"/>
        <v>2-5</v>
      </c>
      <c r="BB1016">
        <v>1</v>
      </c>
      <c r="BC1016" t="str">
        <f t="shared" si="238"/>
        <v>0-1</v>
      </c>
      <c r="BD1016">
        <v>0</v>
      </c>
      <c r="BE1016" t="str">
        <f t="shared" si="239"/>
        <v>0-1</v>
      </c>
    </row>
    <row r="1017" spans="1:57" x14ac:dyDescent="0.3">
      <c r="A1017">
        <v>1431</v>
      </c>
      <c r="B1017">
        <v>34</v>
      </c>
      <c r="C1017" t="str">
        <f t="shared" si="226"/>
        <v>26-35</v>
      </c>
      <c r="D1017" t="s">
        <v>71</v>
      </c>
      <c r="E1017">
        <f t="shared" si="227"/>
        <v>0</v>
      </c>
      <c r="F1017" t="s">
        <v>72</v>
      </c>
      <c r="G1017">
        <v>560</v>
      </c>
      <c r="H1017" t="str">
        <f t="shared" si="228"/>
        <v>501-1000</v>
      </c>
      <c r="I1017" t="s">
        <v>73</v>
      </c>
      <c r="J1017">
        <v>1</v>
      </c>
      <c r="K1017" t="str">
        <f t="shared" si="229"/>
        <v>1-5</v>
      </c>
      <c r="L1017">
        <v>4</v>
      </c>
      <c r="M1017" t="s">
        <v>82</v>
      </c>
      <c r="N1017" t="s">
        <v>80</v>
      </c>
      <c r="O1017">
        <v>1</v>
      </c>
      <c r="P1017">
        <v>4</v>
      </c>
      <c r="Q1017" t="s">
        <v>65</v>
      </c>
      <c r="R1017" t="s">
        <v>75</v>
      </c>
      <c r="S1017">
        <v>91</v>
      </c>
      <c r="T1017" t="str">
        <f t="shared" si="230"/>
        <v>76-100</v>
      </c>
      <c r="U1017">
        <v>3</v>
      </c>
      <c r="V1017" t="s">
        <v>63</v>
      </c>
      <c r="W1017">
        <v>1</v>
      </c>
      <c r="X1017" t="s">
        <v>76</v>
      </c>
      <c r="Y1017">
        <v>1</v>
      </c>
      <c r="Z1017" t="s">
        <v>69</v>
      </c>
      <c r="AA1017" t="s">
        <v>86</v>
      </c>
      <c r="AB1017" s="4">
        <v>2996</v>
      </c>
      <c r="AC1017" s="4" t="str">
        <f t="shared" si="231"/>
        <v>$2,500-$4,000</v>
      </c>
      <c r="AD1017">
        <v>20284</v>
      </c>
      <c r="AE1017" t="str">
        <f t="shared" si="232"/>
        <v>$16,001-$22,000</v>
      </c>
      <c r="AF1017">
        <v>5</v>
      </c>
      <c r="AG1017" t="str">
        <f t="shared" si="233"/>
        <v>4-6</v>
      </c>
      <c r="AH1017" t="s">
        <v>67</v>
      </c>
      <c r="AI1017" t="s">
        <v>71</v>
      </c>
      <c r="AJ1017">
        <v>14</v>
      </c>
      <c r="AK1017" t="str">
        <f t="shared" si="234"/>
        <v>13-15%</v>
      </c>
      <c r="AL1017">
        <v>3</v>
      </c>
      <c r="AM1017" t="s">
        <v>68</v>
      </c>
      <c r="AN1017">
        <v>3</v>
      </c>
      <c r="AO1017" t="s">
        <v>63</v>
      </c>
      <c r="AP1017">
        <v>80</v>
      </c>
      <c r="AQ1017">
        <v>2</v>
      </c>
      <c r="AR1017">
        <v>10</v>
      </c>
      <c r="AS1017" t="str">
        <f t="shared" si="235"/>
        <v>6-10</v>
      </c>
      <c r="AT1017">
        <v>2</v>
      </c>
      <c r="AU1017" t="str">
        <f t="shared" si="236"/>
        <v>0-2</v>
      </c>
      <c r="AV1017">
        <v>3</v>
      </c>
      <c r="AW1017" t="s">
        <v>79</v>
      </c>
      <c r="AX1017">
        <v>4</v>
      </c>
      <c r="AY1017" t="str">
        <f t="shared" si="225"/>
        <v>2-5</v>
      </c>
      <c r="AZ1017">
        <v>3</v>
      </c>
      <c r="BA1017" t="str">
        <f t="shared" si="237"/>
        <v>2-5</v>
      </c>
      <c r="BB1017">
        <v>1</v>
      </c>
      <c r="BC1017" t="str">
        <f t="shared" si="238"/>
        <v>0-1</v>
      </c>
      <c r="BD1017">
        <v>3</v>
      </c>
      <c r="BE1017" t="str">
        <f t="shared" si="239"/>
        <v>2-5</v>
      </c>
    </row>
    <row r="1018" spans="1:57" x14ac:dyDescent="0.3">
      <c r="A1018">
        <v>1433</v>
      </c>
      <c r="B1018">
        <v>31</v>
      </c>
      <c r="C1018" t="str">
        <f t="shared" si="226"/>
        <v>26-35</v>
      </c>
      <c r="D1018" t="s">
        <v>56</v>
      </c>
      <c r="E1018">
        <f t="shared" si="227"/>
        <v>1</v>
      </c>
      <c r="F1018" t="s">
        <v>57</v>
      </c>
      <c r="G1018">
        <v>202</v>
      </c>
      <c r="H1018" t="str">
        <f t="shared" si="228"/>
        <v>102-500</v>
      </c>
      <c r="I1018" t="s">
        <v>73</v>
      </c>
      <c r="J1018">
        <v>8</v>
      </c>
      <c r="K1018" t="str">
        <f t="shared" si="229"/>
        <v>6-10</v>
      </c>
      <c r="L1018">
        <v>3</v>
      </c>
      <c r="M1018" t="s">
        <v>85</v>
      </c>
      <c r="N1018" t="s">
        <v>60</v>
      </c>
      <c r="O1018">
        <v>1</v>
      </c>
      <c r="P1018">
        <v>1</v>
      </c>
      <c r="Q1018" t="s">
        <v>69</v>
      </c>
      <c r="R1018" t="s">
        <v>62</v>
      </c>
      <c r="S1018">
        <v>34</v>
      </c>
      <c r="T1018" t="str">
        <f t="shared" si="230"/>
        <v>30-50</v>
      </c>
      <c r="U1018">
        <v>2</v>
      </c>
      <c r="V1018" t="s">
        <v>61</v>
      </c>
      <c r="W1018">
        <v>1</v>
      </c>
      <c r="X1018" t="s">
        <v>76</v>
      </c>
      <c r="Y1018">
        <v>2</v>
      </c>
      <c r="Z1018" t="s">
        <v>61</v>
      </c>
      <c r="AA1018" t="s">
        <v>66</v>
      </c>
      <c r="AB1018" s="4">
        <v>1261</v>
      </c>
      <c r="AC1018" s="4" t="str">
        <f t="shared" si="231"/>
        <v>$1,000-$2,500</v>
      </c>
      <c r="AD1018">
        <v>22262</v>
      </c>
      <c r="AE1018" t="str">
        <f t="shared" si="232"/>
        <v>$22,001-$26,999</v>
      </c>
      <c r="AF1018">
        <v>1</v>
      </c>
      <c r="AG1018" t="str">
        <f t="shared" si="233"/>
        <v>0-1</v>
      </c>
      <c r="AH1018" t="s">
        <v>67</v>
      </c>
      <c r="AI1018" t="s">
        <v>71</v>
      </c>
      <c r="AJ1018">
        <v>12</v>
      </c>
      <c r="AK1018" t="str">
        <f t="shared" si="234"/>
        <v>11-12%</v>
      </c>
      <c r="AL1018">
        <v>3</v>
      </c>
      <c r="AM1018" t="s">
        <v>68</v>
      </c>
      <c r="AN1018">
        <v>3</v>
      </c>
      <c r="AO1018" t="s">
        <v>63</v>
      </c>
      <c r="AP1018">
        <v>80</v>
      </c>
      <c r="AQ1018">
        <v>0</v>
      </c>
      <c r="AR1018">
        <v>1</v>
      </c>
      <c r="AS1018" t="str">
        <f t="shared" si="235"/>
        <v>0-2</v>
      </c>
      <c r="AT1018">
        <v>3</v>
      </c>
      <c r="AU1018" t="str">
        <f t="shared" si="236"/>
        <v>3-4</v>
      </c>
      <c r="AV1018">
        <v>4</v>
      </c>
      <c r="AW1018" t="s">
        <v>94</v>
      </c>
      <c r="AX1018">
        <v>1</v>
      </c>
      <c r="AY1018" t="str">
        <f t="shared" si="225"/>
        <v>0-1</v>
      </c>
      <c r="AZ1018">
        <v>0</v>
      </c>
      <c r="BA1018" t="str">
        <f t="shared" si="237"/>
        <v>0-1</v>
      </c>
      <c r="BB1018">
        <v>0</v>
      </c>
      <c r="BC1018" t="str">
        <f t="shared" si="238"/>
        <v>0-1</v>
      </c>
      <c r="BD1018">
        <v>0</v>
      </c>
      <c r="BE1018" t="str">
        <f t="shared" si="239"/>
        <v>0-1</v>
      </c>
    </row>
    <row r="1019" spans="1:57" x14ac:dyDescent="0.3">
      <c r="A1019">
        <v>1434</v>
      </c>
      <c r="B1019">
        <v>27</v>
      </c>
      <c r="C1019" t="str">
        <f t="shared" si="226"/>
        <v>26-35</v>
      </c>
      <c r="D1019" t="s">
        <v>71</v>
      </c>
      <c r="E1019">
        <f t="shared" si="227"/>
        <v>0</v>
      </c>
      <c r="F1019" t="s">
        <v>57</v>
      </c>
      <c r="G1019">
        <v>1377</v>
      </c>
      <c r="H1019" t="str">
        <f t="shared" si="228"/>
        <v>1001-1499</v>
      </c>
      <c r="I1019" t="s">
        <v>73</v>
      </c>
      <c r="J1019">
        <v>11</v>
      </c>
      <c r="K1019" t="str">
        <f t="shared" si="229"/>
        <v>11-20</v>
      </c>
      <c r="L1019">
        <v>1</v>
      </c>
      <c r="M1019" t="s">
        <v>74</v>
      </c>
      <c r="N1019" t="s">
        <v>60</v>
      </c>
      <c r="O1019">
        <v>1</v>
      </c>
      <c r="P1019">
        <v>2</v>
      </c>
      <c r="Q1019" t="s">
        <v>61</v>
      </c>
      <c r="R1019" t="s">
        <v>75</v>
      </c>
      <c r="S1019">
        <v>91</v>
      </c>
      <c r="T1019" t="str">
        <f t="shared" si="230"/>
        <v>76-100</v>
      </c>
      <c r="U1019">
        <v>3</v>
      </c>
      <c r="V1019" t="s">
        <v>63</v>
      </c>
      <c r="W1019">
        <v>1</v>
      </c>
      <c r="X1019" t="s">
        <v>81</v>
      </c>
      <c r="Y1019">
        <v>1</v>
      </c>
      <c r="Z1019" t="s">
        <v>69</v>
      </c>
      <c r="AA1019" t="s">
        <v>77</v>
      </c>
      <c r="AB1019" s="4">
        <v>2099</v>
      </c>
      <c r="AC1019" s="4" t="str">
        <f t="shared" si="231"/>
        <v>$1,000-$2,500</v>
      </c>
      <c r="AD1019">
        <v>7679</v>
      </c>
      <c r="AE1019" t="str">
        <f t="shared" si="232"/>
        <v>$2,094-$8,000</v>
      </c>
      <c r="AF1019">
        <v>0</v>
      </c>
      <c r="AG1019" t="str">
        <f t="shared" si="233"/>
        <v>0-1</v>
      </c>
      <c r="AH1019" t="s">
        <v>67</v>
      </c>
      <c r="AI1019" t="s">
        <v>71</v>
      </c>
      <c r="AJ1019">
        <v>14</v>
      </c>
      <c r="AK1019" t="str">
        <f t="shared" si="234"/>
        <v>13-15%</v>
      </c>
      <c r="AL1019">
        <v>3</v>
      </c>
      <c r="AM1019" t="s">
        <v>68</v>
      </c>
      <c r="AN1019">
        <v>2</v>
      </c>
      <c r="AO1019" t="s">
        <v>61</v>
      </c>
      <c r="AP1019">
        <v>80</v>
      </c>
      <c r="AQ1019">
        <v>0</v>
      </c>
      <c r="AR1019">
        <v>6</v>
      </c>
      <c r="AS1019" t="str">
        <f t="shared" si="235"/>
        <v>6-10</v>
      </c>
      <c r="AT1019">
        <v>3</v>
      </c>
      <c r="AU1019" t="str">
        <f t="shared" si="236"/>
        <v>3-4</v>
      </c>
      <c r="AV1019">
        <v>4</v>
      </c>
      <c r="AW1019" t="s">
        <v>94</v>
      </c>
      <c r="AX1019">
        <v>5</v>
      </c>
      <c r="AY1019" t="str">
        <f t="shared" si="225"/>
        <v>2-5</v>
      </c>
      <c r="AZ1019">
        <v>0</v>
      </c>
      <c r="BA1019" t="str">
        <f t="shared" si="237"/>
        <v>0-1</v>
      </c>
      <c r="BB1019">
        <v>1</v>
      </c>
      <c r="BC1019" t="str">
        <f t="shared" si="238"/>
        <v>0-1</v>
      </c>
      <c r="BD1019">
        <v>4</v>
      </c>
      <c r="BE1019" t="str">
        <f t="shared" si="239"/>
        <v>2-5</v>
      </c>
    </row>
    <row r="1020" spans="1:57" x14ac:dyDescent="0.3">
      <c r="A1020">
        <v>1435</v>
      </c>
      <c r="B1020">
        <v>36</v>
      </c>
      <c r="C1020" t="str">
        <f t="shared" si="226"/>
        <v>36-45</v>
      </c>
      <c r="D1020" t="s">
        <v>71</v>
      </c>
      <c r="E1020">
        <f t="shared" si="227"/>
        <v>0</v>
      </c>
      <c r="F1020" t="s">
        <v>57</v>
      </c>
      <c r="G1020">
        <v>172</v>
      </c>
      <c r="H1020" t="str">
        <f t="shared" si="228"/>
        <v>102-500</v>
      </c>
      <c r="I1020" t="s">
        <v>73</v>
      </c>
      <c r="J1020">
        <v>4</v>
      </c>
      <c r="K1020" t="str">
        <f t="shared" si="229"/>
        <v>1-5</v>
      </c>
      <c r="L1020">
        <v>4</v>
      </c>
      <c r="M1020" t="s">
        <v>82</v>
      </c>
      <c r="N1020" t="s">
        <v>60</v>
      </c>
      <c r="O1020">
        <v>1</v>
      </c>
      <c r="P1020">
        <v>1</v>
      </c>
      <c r="Q1020" t="s">
        <v>69</v>
      </c>
      <c r="R1020" t="s">
        <v>75</v>
      </c>
      <c r="S1020">
        <v>37</v>
      </c>
      <c r="T1020" t="str">
        <f t="shared" si="230"/>
        <v>30-50</v>
      </c>
      <c r="U1020">
        <v>2</v>
      </c>
      <c r="V1020" t="s">
        <v>61</v>
      </c>
      <c r="W1020">
        <v>2</v>
      </c>
      <c r="X1020" t="s">
        <v>81</v>
      </c>
      <c r="Y1020">
        <v>4</v>
      </c>
      <c r="Z1020" t="s">
        <v>65</v>
      </c>
      <c r="AA1020" t="s">
        <v>66</v>
      </c>
      <c r="AB1020" s="4">
        <v>5810</v>
      </c>
      <c r="AC1020" s="4" t="str">
        <f t="shared" si="231"/>
        <v>$5,500-$7,000</v>
      </c>
      <c r="AD1020">
        <v>22604</v>
      </c>
      <c r="AE1020" t="str">
        <f t="shared" si="232"/>
        <v>$22,001-$26,999</v>
      </c>
      <c r="AF1020">
        <v>1</v>
      </c>
      <c r="AG1020" t="str">
        <f t="shared" si="233"/>
        <v>0-1</v>
      </c>
      <c r="AH1020" t="s">
        <v>67</v>
      </c>
      <c r="AI1020" t="s">
        <v>71</v>
      </c>
      <c r="AJ1020">
        <v>16</v>
      </c>
      <c r="AK1020" t="str">
        <f t="shared" si="234"/>
        <v>16-17%</v>
      </c>
      <c r="AL1020">
        <v>3</v>
      </c>
      <c r="AM1020" t="s">
        <v>68</v>
      </c>
      <c r="AN1020">
        <v>3</v>
      </c>
      <c r="AO1020" t="s">
        <v>63</v>
      </c>
      <c r="AP1020">
        <v>80</v>
      </c>
      <c r="AQ1020">
        <v>0</v>
      </c>
      <c r="AR1020">
        <v>10</v>
      </c>
      <c r="AS1020" t="str">
        <f t="shared" si="235"/>
        <v>6-10</v>
      </c>
      <c r="AT1020">
        <v>2</v>
      </c>
      <c r="AU1020" t="str">
        <f t="shared" si="236"/>
        <v>0-2</v>
      </c>
      <c r="AV1020">
        <v>2</v>
      </c>
      <c r="AW1020" t="s">
        <v>84</v>
      </c>
      <c r="AX1020">
        <v>10</v>
      </c>
      <c r="AY1020" t="str">
        <f t="shared" si="225"/>
        <v>6-10</v>
      </c>
      <c r="AZ1020">
        <v>4</v>
      </c>
      <c r="BA1020" t="str">
        <f t="shared" si="237"/>
        <v>2-5</v>
      </c>
      <c r="BB1020">
        <v>1</v>
      </c>
      <c r="BC1020" t="str">
        <f t="shared" si="238"/>
        <v>0-1</v>
      </c>
      <c r="BD1020">
        <v>8</v>
      </c>
      <c r="BE1020" t="str">
        <f t="shared" si="239"/>
        <v>6-10</v>
      </c>
    </row>
    <row r="1021" spans="1:57" x14ac:dyDescent="0.3">
      <c r="A1021">
        <v>1436</v>
      </c>
      <c r="B1021">
        <v>36</v>
      </c>
      <c r="C1021" t="str">
        <f t="shared" si="226"/>
        <v>36-45</v>
      </c>
      <c r="D1021" t="s">
        <v>71</v>
      </c>
      <c r="E1021">
        <f t="shared" si="227"/>
        <v>0</v>
      </c>
      <c r="F1021" t="s">
        <v>57</v>
      </c>
      <c r="G1021">
        <v>329</v>
      </c>
      <c r="H1021" t="str">
        <f t="shared" si="228"/>
        <v>102-500</v>
      </c>
      <c r="I1021" t="s">
        <v>58</v>
      </c>
      <c r="J1021">
        <v>16</v>
      </c>
      <c r="K1021" t="str">
        <f t="shared" si="229"/>
        <v>11-20</v>
      </c>
      <c r="L1021">
        <v>4</v>
      </c>
      <c r="M1021" t="s">
        <v>82</v>
      </c>
      <c r="N1021" t="s">
        <v>93</v>
      </c>
      <c r="O1021">
        <v>1</v>
      </c>
      <c r="P1021">
        <v>3</v>
      </c>
      <c r="Q1021" t="s">
        <v>63</v>
      </c>
      <c r="R1021" t="s">
        <v>62</v>
      </c>
      <c r="S1021">
        <v>98</v>
      </c>
      <c r="T1021" t="str">
        <f t="shared" si="230"/>
        <v>76-100</v>
      </c>
      <c r="U1021">
        <v>2</v>
      </c>
      <c r="V1021" t="s">
        <v>61</v>
      </c>
      <c r="W1021">
        <v>2</v>
      </c>
      <c r="X1021" t="s">
        <v>64</v>
      </c>
      <c r="Y1021">
        <v>1</v>
      </c>
      <c r="Z1021" t="s">
        <v>69</v>
      </c>
      <c r="AA1021" t="s">
        <v>77</v>
      </c>
      <c r="AB1021" s="4">
        <v>5647</v>
      </c>
      <c r="AC1021" s="4" t="str">
        <f t="shared" si="231"/>
        <v>$5,500-$7,000</v>
      </c>
      <c r="AD1021">
        <v>13494</v>
      </c>
      <c r="AE1021" t="str">
        <f t="shared" si="232"/>
        <v>$8,001-$16,000</v>
      </c>
      <c r="AF1021">
        <v>4</v>
      </c>
      <c r="AG1021" t="str">
        <f t="shared" si="233"/>
        <v>4-6</v>
      </c>
      <c r="AH1021" t="s">
        <v>67</v>
      </c>
      <c r="AI1021" t="s">
        <v>71</v>
      </c>
      <c r="AJ1021">
        <v>13</v>
      </c>
      <c r="AK1021" t="str">
        <f t="shared" si="234"/>
        <v>13-15%</v>
      </c>
      <c r="AL1021">
        <v>3</v>
      </c>
      <c r="AM1021" t="s">
        <v>68</v>
      </c>
      <c r="AN1021">
        <v>1</v>
      </c>
      <c r="AO1021" t="s">
        <v>69</v>
      </c>
      <c r="AP1021">
        <v>80</v>
      </c>
      <c r="AQ1021">
        <v>2</v>
      </c>
      <c r="AR1021">
        <v>11</v>
      </c>
      <c r="AS1021" t="str">
        <f t="shared" si="235"/>
        <v>11-20</v>
      </c>
      <c r="AT1021">
        <v>3</v>
      </c>
      <c r="AU1021" t="str">
        <f t="shared" si="236"/>
        <v>3-4</v>
      </c>
      <c r="AV1021">
        <v>2</v>
      </c>
      <c r="AW1021" t="s">
        <v>84</v>
      </c>
      <c r="AX1021">
        <v>3</v>
      </c>
      <c r="AY1021" t="str">
        <f t="shared" si="225"/>
        <v>2-5</v>
      </c>
      <c r="AZ1021">
        <v>2</v>
      </c>
      <c r="BA1021" t="str">
        <f t="shared" si="237"/>
        <v>2-5</v>
      </c>
      <c r="BB1021">
        <v>0</v>
      </c>
      <c r="BC1021" t="str">
        <f t="shared" si="238"/>
        <v>0-1</v>
      </c>
      <c r="BD1021">
        <v>2</v>
      </c>
      <c r="BE1021" t="str">
        <f t="shared" si="239"/>
        <v>2-5</v>
      </c>
    </row>
    <row r="1022" spans="1:57" x14ac:dyDescent="0.3">
      <c r="A1022">
        <v>1438</v>
      </c>
      <c r="B1022">
        <v>47</v>
      </c>
      <c r="C1022" t="str">
        <f t="shared" si="226"/>
        <v>46-55</v>
      </c>
      <c r="D1022" t="s">
        <v>71</v>
      </c>
      <c r="E1022">
        <f t="shared" si="227"/>
        <v>0</v>
      </c>
      <c r="F1022" t="s">
        <v>57</v>
      </c>
      <c r="G1022">
        <v>465</v>
      </c>
      <c r="H1022" t="str">
        <f t="shared" si="228"/>
        <v>102-500</v>
      </c>
      <c r="I1022" t="s">
        <v>73</v>
      </c>
      <c r="J1022">
        <v>1</v>
      </c>
      <c r="K1022" t="str">
        <f t="shared" si="229"/>
        <v>1-5</v>
      </c>
      <c r="L1022">
        <v>3</v>
      </c>
      <c r="M1022" t="s">
        <v>85</v>
      </c>
      <c r="N1022" t="s">
        <v>95</v>
      </c>
      <c r="O1022">
        <v>1</v>
      </c>
      <c r="P1022">
        <v>1</v>
      </c>
      <c r="Q1022" t="s">
        <v>69</v>
      </c>
      <c r="R1022" t="s">
        <v>75</v>
      </c>
      <c r="S1022">
        <v>74</v>
      </c>
      <c r="T1022" t="str">
        <f t="shared" si="230"/>
        <v>51-75</v>
      </c>
      <c r="U1022">
        <v>3</v>
      </c>
      <c r="V1022" t="s">
        <v>63</v>
      </c>
      <c r="W1022">
        <v>1</v>
      </c>
      <c r="X1022" t="s">
        <v>76</v>
      </c>
      <c r="Y1022">
        <v>4</v>
      </c>
      <c r="Z1022" t="s">
        <v>65</v>
      </c>
      <c r="AA1022" t="s">
        <v>77</v>
      </c>
      <c r="AB1022" s="4">
        <v>3420</v>
      </c>
      <c r="AC1022" s="4" t="str">
        <f t="shared" si="231"/>
        <v>$2,500-$4,000</v>
      </c>
      <c r="AD1022">
        <v>10205</v>
      </c>
      <c r="AE1022" t="str">
        <f t="shared" si="232"/>
        <v>$8,001-$16,000</v>
      </c>
      <c r="AF1022">
        <v>7</v>
      </c>
      <c r="AG1022" t="str">
        <f t="shared" si="233"/>
        <v>7-9</v>
      </c>
      <c r="AH1022" t="s">
        <v>67</v>
      </c>
      <c r="AI1022" t="s">
        <v>71</v>
      </c>
      <c r="AJ1022">
        <v>12</v>
      </c>
      <c r="AK1022" t="str">
        <f t="shared" si="234"/>
        <v>11-12%</v>
      </c>
      <c r="AL1022">
        <v>3</v>
      </c>
      <c r="AM1022" t="s">
        <v>68</v>
      </c>
      <c r="AN1022">
        <v>3</v>
      </c>
      <c r="AO1022" t="s">
        <v>63</v>
      </c>
      <c r="AP1022">
        <v>80</v>
      </c>
      <c r="AQ1022">
        <v>1</v>
      </c>
      <c r="AR1022">
        <v>17</v>
      </c>
      <c r="AS1022" t="str">
        <f t="shared" si="235"/>
        <v>11-20</v>
      </c>
      <c r="AT1022">
        <v>2</v>
      </c>
      <c r="AU1022" t="str">
        <f t="shared" si="236"/>
        <v>0-2</v>
      </c>
      <c r="AV1022">
        <v>2</v>
      </c>
      <c r="AW1022" t="s">
        <v>84</v>
      </c>
      <c r="AX1022">
        <v>6</v>
      </c>
      <c r="AY1022" t="str">
        <f t="shared" si="225"/>
        <v>6-10</v>
      </c>
      <c r="AZ1022">
        <v>5</v>
      </c>
      <c r="BA1022" t="str">
        <f t="shared" si="237"/>
        <v>2-5</v>
      </c>
      <c r="BB1022">
        <v>1</v>
      </c>
      <c r="BC1022" t="str">
        <f t="shared" si="238"/>
        <v>0-1</v>
      </c>
      <c r="BD1022">
        <v>2</v>
      </c>
      <c r="BE1022" t="str">
        <f t="shared" si="239"/>
        <v>2-5</v>
      </c>
    </row>
    <row r="1023" spans="1:57" x14ac:dyDescent="0.3">
      <c r="A1023">
        <v>1439</v>
      </c>
      <c r="B1023">
        <v>25</v>
      </c>
      <c r="C1023" t="str">
        <f t="shared" si="226"/>
        <v>18-25</v>
      </c>
      <c r="D1023" t="s">
        <v>56</v>
      </c>
      <c r="E1023">
        <f t="shared" si="227"/>
        <v>1</v>
      </c>
      <c r="F1023" t="s">
        <v>57</v>
      </c>
      <c r="G1023">
        <v>383</v>
      </c>
      <c r="H1023" t="str">
        <f t="shared" si="228"/>
        <v>102-500</v>
      </c>
      <c r="I1023" t="s">
        <v>58</v>
      </c>
      <c r="J1023">
        <v>9</v>
      </c>
      <c r="K1023" t="str">
        <f t="shared" si="229"/>
        <v>6-10</v>
      </c>
      <c r="L1023">
        <v>2</v>
      </c>
      <c r="M1023" t="s">
        <v>59</v>
      </c>
      <c r="N1023" t="s">
        <v>60</v>
      </c>
      <c r="O1023">
        <v>1</v>
      </c>
      <c r="P1023">
        <v>1</v>
      </c>
      <c r="Q1023" t="s">
        <v>69</v>
      </c>
      <c r="R1023" t="s">
        <v>75</v>
      </c>
      <c r="S1023">
        <v>68</v>
      </c>
      <c r="T1023" t="str">
        <f t="shared" si="230"/>
        <v>51-75</v>
      </c>
      <c r="U1023">
        <v>2</v>
      </c>
      <c r="V1023" t="s">
        <v>61</v>
      </c>
      <c r="W1023">
        <v>1</v>
      </c>
      <c r="X1023" t="s">
        <v>91</v>
      </c>
      <c r="Y1023">
        <v>1</v>
      </c>
      <c r="Z1023" t="s">
        <v>69</v>
      </c>
      <c r="AA1023" t="s">
        <v>77</v>
      </c>
      <c r="AB1023" s="4">
        <v>4400</v>
      </c>
      <c r="AC1023" s="4" t="str">
        <f t="shared" si="231"/>
        <v>$4,000-$5,500</v>
      </c>
      <c r="AD1023">
        <v>15182</v>
      </c>
      <c r="AE1023" t="str">
        <f t="shared" si="232"/>
        <v>$8,001-$16,000</v>
      </c>
      <c r="AF1023">
        <v>3</v>
      </c>
      <c r="AG1023" t="str">
        <f t="shared" si="233"/>
        <v>2-3</v>
      </c>
      <c r="AH1023" t="s">
        <v>67</v>
      </c>
      <c r="AI1023" t="s">
        <v>71</v>
      </c>
      <c r="AJ1023">
        <v>12</v>
      </c>
      <c r="AK1023" t="str">
        <f t="shared" si="234"/>
        <v>11-12%</v>
      </c>
      <c r="AL1023">
        <v>3</v>
      </c>
      <c r="AM1023" t="s">
        <v>68</v>
      </c>
      <c r="AN1023">
        <v>1</v>
      </c>
      <c r="AO1023" t="s">
        <v>69</v>
      </c>
      <c r="AP1023">
        <v>80</v>
      </c>
      <c r="AQ1023">
        <v>0</v>
      </c>
      <c r="AR1023">
        <v>6</v>
      </c>
      <c r="AS1023" t="str">
        <f t="shared" si="235"/>
        <v>6-10</v>
      </c>
      <c r="AT1023">
        <v>2</v>
      </c>
      <c r="AU1023" t="str">
        <f t="shared" si="236"/>
        <v>0-2</v>
      </c>
      <c r="AV1023">
        <v>3</v>
      </c>
      <c r="AW1023" t="s">
        <v>79</v>
      </c>
      <c r="AX1023">
        <v>3</v>
      </c>
      <c r="AY1023" t="str">
        <f t="shared" si="225"/>
        <v>2-5</v>
      </c>
      <c r="AZ1023">
        <v>2</v>
      </c>
      <c r="BA1023" t="str">
        <f t="shared" si="237"/>
        <v>2-5</v>
      </c>
      <c r="BB1023">
        <v>2</v>
      </c>
      <c r="BC1023" t="str">
        <f t="shared" si="238"/>
        <v>2-5</v>
      </c>
      <c r="BD1023">
        <v>2</v>
      </c>
      <c r="BE1023" t="str">
        <f t="shared" si="239"/>
        <v>2-5</v>
      </c>
    </row>
    <row r="1024" spans="1:57" x14ac:dyDescent="0.3">
      <c r="A1024">
        <v>1440</v>
      </c>
      <c r="B1024">
        <v>37</v>
      </c>
      <c r="C1024" t="str">
        <f t="shared" si="226"/>
        <v>36-45</v>
      </c>
      <c r="D1024" t="s">
        <v>71</v>
      </c>
      <c r="E1024">
        <f t="shared" si="227"/>
        <v>0</v>
      </c>
      <c r="F1024" t="s">
        <v>89</v>
      </c>
      <c r="G1024">
        <v>1413</v>
      </c>
      <c r="H1024" t="str">
        <f t="shared" si="228"/>
        <v>1001-1499</v>
      </c>
      <c r="I1024" t="s">
        <v>73</v>
      </c>
      <c r="J1024">
        <v>5</v>
      </c>
      <c r="K1024" t="str">
        <f t="shared" si="229"/>
        <v>1-5</v>
      </c>
      <c r="L1024">
        <v>2</v>
      </c>
      <c r="M1024" t="s">
        <v>59</v>
      </c>
      <c r="N1024" t="s">
        <v>95</v>
      </c>
      <c r="O1024">
        <v>1</v>
      </c>
      <c r="P1024">
        <v>3</v>
      </c>
      <c r="Q1024" t="s">
        <v>63</v>
      </c>
      <c r="R1024" t="s">
        <v>75</v>
      </c>
      <c r="S1024">
        <v>84</v>
      </c>
      <c r="T1024" t="str">
        <f t="shared" si="230"/>
        <v>76-100</v>
      </c>
      <c r="U1024">
        <v>4</v>
      </c>
      <c r="V1024" t="s">
        <v>65</v>
      </c>
      <c r="W1024">
        <v>1</v>
      </c>
      <c r="X1024" t="s">
        <v>81</v>
      </c>
      <c r="Y1024">
        <v>3</v>
      </c>
      <c r="Z1024" t="s">
        <v>63</v>
      </c>
      <c r="AA1024" t="s">
        <v>66</v>
      </c>
      <c r="AB1024" s="4">
        <v>3500</v>
      </c>
      <c r="AC1024" s="4" t="str">
        <f t="shared" si="231"/>
        <v>$2,500-$4,000</v>
      </c>
      <c r="AD1024">
        <v>25470</v>
      </c>
      <c r="AE1024" t="str">
        <f t="shared" si="232"/>
        <v>$22,001-$26,999</v>
      </c>
      <c r="AF1024">
        <v>0</v>
      </c>
      <c r="AG1024" t="str">
        <f t="shared" si="233"/>
        <v>0-1</v>
      </c>
      <c r="AH1024" t="s">
        <v>67</v>
      </c>
      <c r="AI1024" t="s">
        <v>71</v>
      </c>
      <c r="AJ1024">
        <v>14</v>
      </c>
      <c r="AK1024" t="str">
        <f t="shared" si="234"/>
        <v>13-15%</v>
      </c>
      <c r="AL1024">
        <v>3</v>
      </c>
      <c r="AM1024" t="s">
        <v>68</v>
      </c>
      <c r="AN1024">
        <v>1</v>
      </c>
      <c r="AO1024" t="s">
        <v>69</v>
      </c>
      <c r="AP1024">
        <v>80</v>
      </c>
      <c r="AQ1024">
        <v>0</v>
      </c>
      <c r="AR1024">
        <v>7</v>
      </c>
      <c r="AS1024" t="str">
        <f t="shared" si="235"/>
        <v>6-10</v>
      </c>
      <c r="AT1024">
        <v>2</v>
      </c>
      <c r="AU1024" t="str">
        <f t="shared" si="236"/>
        <v>0-2</v>
      </c>
      <c r="AV1024">
        <v>1</v>
      </c>
      <c r="AW1024" t="s">
        <v>70</v>
      </c>
      <c r="AX1024">
        <v>6</v>
      </c>
      <c r="AY1024" t="str">
        <f t="shared" si="225"/>
        <v>6-10</v>
      </c>
      <c r="AZ1024">
        <v>5</v>
      </c>
      <c r="BA1024" t="str">
        <f t="shared" si="237"/>
        <v>2-5</v>
      </c>
      <c r="BB1024">
        <v>1</v>
      </c>
      <c r="BC1024" t="str">
        <f t="shared" si="238"/>
        <v>0-1</v>
      </c>
      <c r="BD1024">
        <v>3</v>
      </c>
      <c r="BE1024" t="str">
        <f t="shared" si="239"/>
        <v>2-5</v>
      </c>
    </row>
    <row r="1025" spans="1:57" x14ac:dyDescent="0.3">
      <c r="A1025">
        <v>1441</v>
      </c>
      <c r="B1025">
        <v>56</v>
      </c>
      <c r="C1025" t="str">
        <f t="shared" si="226"/>
        <v>56+</v>
      </c>
      <c r="D1025" t="s">
        <v>71</v>
      </c>
      <c r="E1025">
        <f t="shared" si="227"/>
        <v>0</v>
      </c>
      <c r="F1025" t="s">
        <v>57</v>
      </c>
      <c r="G1025">
        <v>1255</v>
      </c>
      <c r="H1025" t="str">
        <f t="shared" si="228"/>
        <v>1001-1499</v>
      </c>
      <c r="I1025" t="s">
        <v>73</v>
      </c>
      <c r="J1025">
        <v>1</v>
      </c>
      <c r="K1025" t="str">
        <f t="shared" si="229"/>
        <v>1-5</v>
      </c>
      <c r="L1025">
        <v>2</v>
      </c>
      <c r="M1025" t="s">
        <v>59</v>
      </c>
      <c r="N1025" t="s">
        <v>60</v>
      </c>
      <c r="O1025">
        <v>1</v>
      </c>
      <c r="P1025">
        <v>1</v>
      </c>
      <c r="Q1025" t="s">
        <v>69</v>
      </c>
      <c r="R1025" t="s">
        <v>62</v>
      </c>
      <c r="S1025">
        <v>90</v>
      </c>
      <c r="T1025" t="str">
        <f t="shared" si="230"/>
        <v>76-100</v>
      </c>
      <c r="U1025">
        <v>3</v>
      </c>
      <c r="V1025" t="s">
        <v>63</v>
      </c>
      <c r="W1025">
        <v>1</v>
      </c>
      <c r="X1025" t="s">
        <v>76</v>
      </c>
      <c r="Y1025">
        <v>1</v>
      </c>
      <c r="Z1025" t="s">
        <v>69</v>
      </c>
      <c r="AA1025" t="s">
        <v>77</v>
      </c>
      <c r="AB1025" s="4">
        <v>2066</v>
      </c>
      <c r="AC1025" s="4" t="str">
        <f t="shared" si="231"/>
        <v>$1,000-$2,500</v>
      </c>
      <c r="AD1025">
        <v>10494</v>
      </c>
      <c r="AE1025" t="str">
        <f t="shared" si="232"/>
        <v>$8,001-$16,000</v>
      </c>
      <c r="AF1025">
        <v>2</v>
      </c>
      <c r="AG1025" t="str">
        <f t="shared" si="233"/>
        <v>2-3</v>
      </c>
      <c r="AH1025" t="s">
        <v>67</v>
      </c>
      <c r="AI1025" t="s">
        <v>71</v>
      </c>
      <c r="AJ1025">
        <v>22</v>
      </c>
      <c r="AK1025" t="str">
        <f t="shared" si="234"/>
        <v>18-19%</v>
      </c>
      <c r="AL1025">
        <v>4</v>
      </c>
      <c r="AM1025" t="s">
        <v>78</v>
      </c>
      <c r="AN1025">
        <v>4</v>
      </c>
      <c r="AO1025" t="s">
        <v>65</v>
      </c>
      <c r="AP1025">
        <v>80</v>
      </c>
      <c r="AQ1025">
        <v>1</v>
      </c>
      <c r="AR1025">
        <v>5</v>
      </c>
      <c r="AS1025" t="str">
        <f t="shared" si="235"/>
        <v>3-5</v>
      </c>
      <c r="AT1025">
        <v>3</v>
      </c>
      <c r="AU1025" t="str">
        <f t="shared" si="236"/>
        <v>3-4</v>
      </c>
      <c r="AV1025">
        <v>4</v>
      </c>
      <c r="AW1025" t="s">
        <v>94</v>
      </c>
      <c r="AX1025">
        <v>3</v>
      </c>
      <c r="AY1025" t="str">
        <f t="shared" si="225"/>
        <v>2-5</v>
      </c>
      <c r="AZ1025">
        <v>2</v>
      </c>
      <c r="BA1025" t="str">
        <f t="shared" si="237"/>
        <v>2-5</v>
      </c>
      <c r="BB1025">
        <v>1</v>
      </c>
      <c r="BC1025" t="str">
        <f t="shared" si="238"/>
        <v>0-1</v>
      </c>
      <c r="BD1025">
        <v>0</v>
      </c>
      <c r="BE1025" t="str">
        <f t="shared" si="239"/>
        <v>0-1</v>
      </c>
    </row>
    <row r="1026" spans="1:57" x14ac:dyDescent="0.3">
      <c r="A1026">
        <v>1443</v>
      </c>
      <c r="B1026">
        <v>47</v>
      </c>
      <c r="C1026" t="str">
        <f t="shared" si="226"/>
        <v>46-55</v>
      </c>
      <c r="D1026" t="s">
        <v>71</v>
      </c>
      <c r="E1026">
        <f t="shared" si="227"/>
        <v>0</v>
      </c>
      <c r="F1026" t="s">
        <v>57</v>
      </c>
      <c r="G1026">
        <v>359</v>
      </c>
      <c r="H1026" t="str">
        <f t="shared" si="228"/>
        <v>102-500</v>
      </c>
      <c r="I1026" t="s">
        <v>73</v>
      </c>
      <c r="J1026">
        <v>2</v>
      </c>
      <c r="K1026" t="str">
        <f t="shared" si="229"/>
        <v>1-5</v>
      </c>
      <c r="L1026">
        <v>4</v>
      </c>
      <c r="M1026" t="s">
        <v>82</v>
      </c>
      <c r="N1026" t="s">
        <v>83</v>
      </c>
      <c r="O1026">
        <v>1</v>
      </c>
      <c r="P1026">
        <v>1</v>
      </c>
      <c r="Q1026" t="s">
        <v>69</v>
      </c>
      <c r="R1026" t="s">
        <v>62</v>
      </c>
      <c r="S1026">
        <v>82</v>
      </c>
      <c r="T1026" t="str">
        <f t="shared" si="230"/>
        <v>76-100</v>
      </c>
      <c r="U1026">
        <v>3</v>
      </c>
      <c r="V1026" t="s">
        <v>63</v>
      </c>
      <c r="W1026">
        <v>4</v>
      </c>
      <c r="X1026" t="s">
        <v>92</v>
      </c>
      <c r="Y1026">
        <v>3</v>
      </c>
      <c r="Z1026" t="s">
        <v>63</v>
      </c>
      <c r="AA1026" t="s">
        <v>77</v>
      </c>
      <c r="AB1026" s="4">
        <v>17169</v>
      </c>
      <c r="AC1026" s="4" t="str">
        <f t="shared" si="231"/>
        <v>$16,000-$17,500</v>
      </c>
      <c r="AD1026">
        <v>26703</v>
      </c>
      <c r="AE1026" t="str">
        <f t="shared" si="232"/>
        <v>$22,001-$26,999</v>
      </c>
      <c r="AF1026">
        <v>3</v>
      </c>
      <c r="AG1026" t="str">
        <f t="shared" si="233"/>
        <v>2-3</v>
      </c>
      <c r="AH1026" t="s">
        <v>67</v>
      </c>
      <c r="AI1026" t="s">
        <v>71</v>
      </c>
      <c r="AJ1026">
        <v>19</v>
      </c>
      <c r="AK1026" t="str">
        <f t="shared" si="234"/>
        <v>18-19%</v>
      </c>
      <c r="AL1026">
        <v>3</v>
      </c>
      <c r="AM1026" t="s">
        <v>68</v>
      </c>
      <c r="AN1026">
        <v>2</v>
      </c>
      <c r="AO1026" t="s">
        <v>61</v>
      </c>
      <c r="AP1026">
        <v>80</v>
      </c>
      <c r="AQ1026">
        <v>2</v>
      </c>
      <c r="AR1026">
        <v>26</v>
      </c>
      <c r="AS1026" t="str">
        <f t="shared" si="235"/>
        <v>21-40</v>
      </c>
      <c r="AT1026">
        <v>2</v>
      </c>
      <c r="AU1026" t="str">
        <f t="shared" si="236"/>
        <v>0-2</v>
      </c>
      <c r="AV1026">
        <v>4</v>
      </c>
      <c r="AW1026" t="s">
        <v>94</v>
      </c>
      <c r="AX1026">
        <v>20</v>
      </c>
      <c r="AY1026" t="str">
        <f t="shared" ref="AY1026:AY1089" si="240">IF(AX1026&lt;=1,"0-1",IF(AX1026&lt;=5,"2-5",IF(AX1026&lt;=10,"6-10",IF(AX1026&lt;=20,"11-20","21-40"))))</f>
        <v>11-20</v>
      </c>
      <c r="AZ1026">
        <v>17</v>
      </c>
      <c r="BA1026" t="str">
        <f t="shared" si="237"/>
        <v>11-18</v>
      </c>
      <c r="BB1026">
        <v>5</v>
      </c>
      <c r="BC1026" t="str">
        <f t="shared" si="238"/>
        <v>2-5</v>
      </c>
      <c r="BD1026">
        <v>6</v>
      </c>
      <c r="BE1026" t="str">
        <f t="shared" si="239"/>
        <v>6-10</v>
      </c>
    </row>
    <row r="1027" spans="1:57" x14ac:dyDescent="0.3">
      <c r="A1027">
        <v>1445</v>
      </c>
      <c r="B1027">
        <v>24</v>
      </c>
      <c r="C1027" t="str">
        <f t="shared" ref="C1027:C1090" si="241">IF(B1027&lt;=25, "18-25", IF(B1027&lt;=35, "26-35", IF(B1027&lt;=45, "36-45", IF(B1027&lt;=55, "46-55", "56+"))))</f>
        <v>18-25</v>
      </c>
      <c r="D1027" t="s">
        <v>71</v>
      </c>
      <c r="E1027">
        <f t="shared" ref="E1027:E1090" si="242">IF(D1027="Yes",1,0)</f>
        <v>0</v>
      </c>
      <c r="F1027" t="s">
        <v>57</v>
      </c>
      <c r="G1027">
        <v>1476</v>
      </c>
      <c r="H1027" t="str">
        <f t="shared" ref="H1027:H1090" si="243">IF(G1027&lt;=500,"102-500",IF(G1027&lt;=1000,"501-1000","1001-1499"))</f>
        <v>1001-1499</v>
      </c>
      <c r="I1027" t="s">
        <v>58</v>
      </c>
      <c r="J1027">
        <v>4</v>
      </c>
      <c r="K1027" t="str">
        <f t="shared" ref="K1027:K1090" si="244">IF(J1027&lt;=5,"1-5",IF(J1027&lt;=10,"6-10",IF(J1027&lt;=20,"11-20","21-29")))</f>
        <v>1-5</v>
      </c>
      <c r="L1027">
        <v>1</v>
      </c>
      <c r="M1027" t="s">
        <v>74</v>
      </c>
      <c r="N1027" t="s">
        <v>83</v>
      </c>
      <c r="O1027">
        <v>1</v>
      </c>
      <c r="P1027">
        <v>4</v>
      </c>
      <c r="Q1027" t="s">
        <v>65</v>
      </c>
      <c r="R1027" t="s">
        <v>62</v>
      </c>
      <c r="S1027">
        <v>42</v>
      </c>
      <c r="T1027" t="str">
        <f t="shared" ref="T1027:T1090" si="245">IF(S1027&lt;=50,"30-50",IF(S1027&lt;=75,"51-75","76-100"))</f>
        <v>30-50</v>
      </c>
      <c r="U1027">
        <v>3</v>
      </c>
      <c r="V1027" t="s">
        <v>63</v>
      </c>
      <c r="W1027">
        <v>2</v>
      </c>
      <c r="X1027" t="s">
        <v>64</v>
      </c>
      <c r="Y1027">
        <v>3</v>
      </c>
      <c r="Z1027" t="s">
        <v>63</v>
      </c>
      <c r="AA1027" t="s">
        <v>77</v>
      </c>
      <c r="AB1027" s="4">
        <v>4162</v>
      </c>
      <c r="AC1027" s="4" t="str">
        <f t="shared" ref="AC1027:AC1090" si="246">IF(AB1027&lt;2500,"$1,000-$2,500",IF(AB1027&lt;4000,"$2,500-$4,000",IF(AB1027&lt;5500,"$4,000-$5,500",IF(AB1027&lt;7000,"$5,500-$7,000",IF(AB1027&lt;8500,"$7,000-$8,500",IF(AB1027&lt;10000,"$8,500-$10,000",IF(AB1027&lt;11500,"$10,000-$11,500",IF(AB1027&lt;13000,"$11,500-$13,000",IF(AB1027&lt;14500,"$13,000-$14,500",IF(AB1027&lt;16000,"$14,500-$16,000",IF(AB1027&lt;17500,"$16,000-$17,500",IF(AB1027&lt;19000,"$17,500-$19,000",IF(AB1027&lt;20500,"$19,000-$20,500",IF(AB1027&lt;22000,"$20,500-$22,000",IF(AB1027&lt;23500,"$22,000-$23,500",IF(AB1027&lt;25000,"$23,500-$25,000",IF(AB1027&lt;26500,"$25,000-$26,500",IF(AB1027&lt;28000,"$26,500-$28,000",IF(AB1027&lt;29500,"$28,000-$29,500","$29,500+")))))))))))))))))))</f>
        <v>$4,000-$5,500</v>
      </c>
      <c r="AD1027">
        <v>15211</v>
      </c>
      <c r="AE1027" t="str">
        <f t="shared" ref="AE1027:AE1090" si="247">IF(AD1027&lt;=8000,"$2,094-$8,000",IF(AD1027&lt;=16000,"$8,001-$16,000",IF(AD1027&lt;=22000,"$16,001-$22,000","$22,001-$26,999")))</f>
        <v>$8,001-$16,000</v>
      </c>
      <c r="AF1027">
        <v>1</v>
      </c>
      <c r="AG1027" t="str">
        <f t="shared" ref="AG1027:AG1090" si="248">IF(AF1027&lt;=1,"0-1",IF(AF1027&lt;=3,"2-3",IF(AF1027&lt;=6,"4-6","7-9")))</f>
        <v>0-1</v>
      </c>
      <c r="AH1027" t="s">
        <v>67</v>
      </c>
      <c r="AI1027" t="s">
        <v>56</v>
      </c>
      <c r="AJ1027">
        <v>12</v>
      </c>
      <c r="AK1027" t="str">
        <f t="shared" ref="AK1027:AK1090" si="249">IF(AJ1027&lt;=12,"11-12%",IF(AJ1027&lt;=15,"13-15%",IF(AJ1027&lt;=17,"16-17%","18-19%")))</f>
        <v>11-12%</v>
      </c>
      <c r="AL1027">
        <v>3</v>
      </c>
      <c r="AM1027" t="s">
        <v>68</v>
      </c>
      <c r="AN1027">
        <v>3</v>
      </c>
      <c r="AO1027" t="s">
        <v>63</v>
      </c>
      <c r="AP1027">
        <v>80</v>
      </c>
      <c r="AQ1027">
        <v>2</v>
      </c>
      <c r="AR1027">
        <v>5</v>
      </c>
      <c r="AS1027" t="str">
        <f t="shared" ref="AS1027:AS1090" si="250">IF(AR1027&lt;=2,"0-2",IF(AR1027&lt;=5,"3-5",IF(AR1027&lt;=10,"6-10",IF(AR1027&lt;=20,"11-20","21-40"))))</f>
        <v>3-5</v>
      </c>
      <c r="AT1027">
        <v>3</v>
      </c>
      <c r="AU1027" t="str">
        <f t="shared" ref="AU1027:AU1090" si="251">IF(AT1027&lt;=2,"0-2",IF(AT1027&lt;=4,"3-4","5-6"))</f>
        <v>3-4</v>
      </c>
      <c r="AV1027">
        <v>3</v>
      </c>
      <c r="AW1027" t="s">
        <v>79</v>
      </c>
      <c r="AX1027">
        <v>5</v>
      </c>
      <c r="AY1027" t="str">
        <f t="shared" si="240"/>
        <v>2-5</v>
      </c>
      <c r="AZ1027">
        <v>4</v>
      </c>
      <c r="BA1027" t="str">
        <f t="shared" ref="BA1027:BA1090" si="252">IF(AZ1027&lt;=1,"0-1",IF(AZ1027&lt;=5,"2-5",IF(AZ1027&lt;=10,"6-10","11-18")))</f>
        <v>2-5</v>
      </c>
      <c r="BB1027">
        <v>0</v>
      </c>
      <c r="BC1027" t="str">
        <f t="shared" ref="BC1027:BC1090" si="253">IF(BB1027&lt;=1,"0-1",IF(BB1027&lt;=5,"2-5",IF(BB1027&lt;=10,"6-10","11-15")))</f>
        <v>0-1</v>
      </c>
      <c r="BD1027">
        <v>3</v>
      </c>
      <c r="BE1027" t="str">
        <f t="shared" ref="BE1027:BE1090" si="254">IF(BD1027&lt;=1,"0-1",IF(BD1027&lt;=5,"2-5",IF(BD1027&lt;=10,"6-10","11-17")))</f>
        <v>2-5</v>
      </c>
    </row>
    <row r="1028" spans="1:57" x14ac:dyDescent="0.3">
      <c r="A1028">
        <v>1446</v>
      </c>
      <c r="B1028">
        <v>32</v>
      </c>
      <c r="C1028" t="str">
        <f t="shared" si="241"/>
        <v>26-35</v>
      </c>
      <c r="D1028" t="s">
        <v>71</v>
      </c>
      <c r="E1028">
        <f t="shared" si="242"/>
        <v>0</v>
      </c>
      <c r="F1028" t="s">
        <v>57</v>
      </c>
      <c r="G1028">
        <v>601</v>
      </c>
      <c r="H1028" t="str">
        <f t="shared" si="243"/>
        <v>501-1000</v>
      </c>
      <c r="I1028" t="s">
        <v>58</v>
      </c>
      <c r="J1028">
        <v>7</v>
      </c>
      <c r="K1028" t="str">
        <f t="shared" si="244"/>
        <v>6-10</v>
      </c>
      <c r="L1028">
        <v>5</v>
      </c>
      <c r="M1028" t="s">
        <v>96</v>
      </c>
      <c r="N1028" t="s">
        <v>93</v>
      </c>
      <c r="O1028">
        <v>1</v>
      </c>
      <c r="P1028">
        <v>4</v>
      </c>
      <c r="Q1028" t="s">
        <v>65</v>
      </c>
      <c r="R1028" t="s">
        <v>75</v>
      </c>
      <c r="S1028">
        <v>97</v>
      </c>
      <c r="T1028" t="str">
        <f t="shared" si="245"/>
        <v>76-100</v>
      </c>
      <c r="U1028">
        <v>3</v>
      </c>
      <c r="V1028" t="s">
        <v>63</v>
      </c>
      <c r="W1028">
        <v>2</v>
      </c>
      <c r="X1028" t="s">
        <v>64</v>
      </c>
      <c r="Y1028">
        <v>4</v>
      </c>
      <c r="Z1028" t="s">
        <v>65</v>
      </c>
      <c r="AA1028" t="s">
        <v>77</v>
      </c>
      <c r="AB1028" s="4">
        <v>9204</v>
      </c>
      <c r="AC1028" s="4" t="str">
        <f t="shared" si="246"/>
        <v>$8,500-$10,000</v>
      </c>
      <c r="AD1028">
        <v>23343</v>
      </c>
      <c r="AE1028" t="str">
        <f t="shared" si="247"/>
        <v>$22,001-$26,999</v>
      </c>
      <c r="AF1028">
        <v>4</v>
      </c>
      <c r="AG1028" t="str">
        <f t="shared" si="248"/>
        <v>4-6</v>
      </c>
      <c r="AH1028" t="s">
        <v>67</v>
      </c>
      <c r="AI1028" t="s">
        <v>71</v>
      </c>
      <c r="AJ1028">
        <v>12</v>
      </c>
      <c r="AK1028" t="str">
        <f t="shared" si="249"/>
        <v>11-12%</v>
      </c>
      <c r="AL1028">
        <v>3</v>
      </c>
      <c r="AM1028" t="s">
        <v>68</v>
      </c>
      <c r="AN1028">
        <v>3</v>
      </c>
      <c r="AO1028" t="s">
        <v>63</v>
      </c>
      <c r="AP1028">
        <v>80</v>
      </c>
      <c r="AQ1028">
        <v>1</v>
      </c>
      <c r="AR1028">
        <v>7</v>
      </c>
      <c r="AS1028" t="str">
        <f t="shared" si="250"/>
        <v>6-10</v>
      </c>
      <c r="AT1028">
        <v>3</v>
      </c>
      <c r="AU1028" t="str">
        <f t="shared" si="251"/>
        <v>3-4</v>
      </c>
      <c r="AV1028">
        <v>2</v>
      </c>
      <c r="AW1028" t="s">
        <v>84</v>
      </c>
      <c r="AX1028">
        <v>4</v>
      </c>
      <c r="AY1028" t="str">
        <f t="shared" si="240"/>
        <v>2-5</v>
      </c>
      <c r="AZ1028">
        <v>3</v>
      </c>
      <c r="BA1028" t="str">
        <f t="shared" si="252"/>
        <v>2-5</v>
      </c>
      <c r="BB1028">
        <v>0</v>
      </c>
      <c r="BC1028" t="str">
        <f t="shared" si="253"/>
        <v>0-1</v>
      </c>
      <c r="BD1028">
        <v>3</v>
      </c>
      <c r="BE1028" t="str">
        <f t="shared" si="254"/>
        <v>2-5</v>
      </c>
    </row>
    <row r="1029" spans="1:57" x14ac:dyDescent="0.3">
      <c r="A1029">
        <v>1447</v>
      </c>
      <c r="B1029">
        <v>34</v>
      </c>
      <c r="C1029" t="str">
        <f t="shared" si="241"/>
        <v>26-35</v>
      </c>
      <c r="D1029" t="s">
        <v>71</v>
      </c>
      <c r="E1029">
        <f t="shared" si="242"/>
        <v>0</v>
      </c>
      <c r="F1029" t="s">
        <v>57</v>
      </c>
      <c r="G1029">
        <v>401</v>
      </c>
      <c r="H1029" t="str">
        <f t="shared" si="243"/>
        <v>102-500</v>
      </c>
      <c r="I1029" t="s">
        <v>73</v>
      </c>
      <c r="J1029">
        <v>1</v>
      </c>
      <c r="K1029" t="str">
        <f t="shared" si="244"/>
        <v>1-5</v>
      </c>
      <c r="L1029">
        <v>3</v>
      </c>
      <c r="M1029" t="s">
        <v>85</v>
      </c>
      <c r="N1029" t="s">
        <v>60</v>
      </c>
      <c r="O1029">
        <v>1</v>
      </c>
      <c r="P1029">
        <v>4</v>
      </c>
      <c r="Q1029" t="s">
        <v>65</v>
      </c>
      <c r="R1029" t="s">
        <v>62</v>
      </c>
      <c r="S1029">
        <v>86</v>
      </c>
      <c r="T1029" t="str">
        <f t="shared" si="245"/>
        <v>76-100</v>
      </c>
      <c r="U1029">
        <v>2</v>
      </c>
      <c r="V1029" t="s">
        <v>61</v>
      </c>
      <c r="W1029">
        <v>1</v>
      </c>
      <c r="X1029" t="s">
        <v>81</v>
      </c>
      <c r="Y1029">
        <v>2</v>
      </c>
      <c r="Z1029" t="s">
        <v>61</v>
      </c>
      <c r="AA1029" t="s">
        <v>77</v>
      </c>
      <c r="AB1029" s="4">
        <v>3294</v>
      </c>
      <c r="AC1029" s="4" t="str">
        <f t="shared" si="246"/>
        <v>$2,500-$4,000</v>
      </c>
      <c r="AD1029">
        <v>3708</v>
      </c>
      <c r="AE1029" t="str">
        <f t="shared" si="247"/>
        <v>$2,094-$8,000</v>
      </c>
      <c r="AF1029">
        <v>5</v>
      </c>
      <c r="AG1029" t="str">
        <f t="shared" si="248"/>
        <v>4-6</v>
      </c>
      <c r="AH1029" t="s">
        <v>67</v>
      </c>
      <c r="AI1029" t="s">
        <v>71</v>
      </c>
      <c r="AJ1029">
        <v>17</v>
      </c>
      <c r="AK1029" t="str">
        <f t="shared" si="249"/>
        <v>16-17%</v>
      </c>
      <c r="AL1029">
        <v>3</v>
      </c>
      <c r="AM1029" t="s">
        <v>68</v>
      </c>
      <c r="AN1029">
        <v>1</v>
      </c>
      <c r="AO1029" t="s">
        <v>69</v>
      </c>
      <c r="AP1029">
        <v>80</v>
      </c>
      <c r="AQ1029">
        <v>1</v>
      </c>
      <c r="AR1029">
        <v>7</v>
      </c>
      <c r="AS1029" t="str">
        <f t="shared" si="250"/>
        <v>6-10</v>
      </c>
      <c r="AT1029">
        <v>2</v>
      </c>
      <c r="AU1029" t="str">
        <f t="shared" si="251"/>
        <v>0-2</v>
      </c>
      <c r="AV1029">
        <v>2</v>
      </c>
      <c r="AW1029" t="s">
        <v>84</v>
      </c>
      <c r="AX1029">
        <v>5</v>
      </c>
      <c r="AY1029" t="str">
        <f t="shared" si="240"/>
        <v>2-5</v>
      </c>
      <c r="AZ1029">
        <v>4</v>
      </c>
      <c r="BA1029" t="str">
        <f t="shared" si="252"/>
        <v>2-5</v>
      </c>
      <c r="BB1029">
        <v>0</v>
      </c>
      <c r="BC1029" t="str">
        <f t="shared" si="253"/>
        <v>0-1</v>
      </c>
      <c r="BD1029">
        <v>2</v>
      </c>
      <c r="BE1029" t="str">
        <f t="shared" si="254"/>
        <v>2-5</v>
      </c>
    </row>
    <row r="1030" spans="1:57" x14ac:dyDescent="0.3">
      <c r="A1030">
        <v>1448</v>
      </c>
      <c r="B1030">
        <v>41</v>
      </c>
      <c r="C1030" t="str">
        <f t="shared" si="241"/>
        <v>36-45</v>
      </c>
      <c r="D1030" t="s">
        <v>71</v>
      </c>
      <c r="E1030">
        <f t="shared" si="242"/>
        <v>0</v>
      </c>
      <c r="F1030" t="s">
        <v>57</v>
      </c>
      <c r="G1030">
        <v>1283</v>
      </c>
      <c r="H1030" t="str">
        <f t="shared" si="243"/>
        <v>1001-1499</v>
      </c>
      <c r="I1030" t="s">
        <v>73</v>
      </c>
      <c r="J1030">
        <v>5</v>
      </c>
      <c r="K1030" t="str">
        <f t="shared" si="244"/>
        <v>1-5</v>
      </c>
      <c r="L1030">
        <v>5</v>
      </c>
      <c r="M1030" t="s">
        <v>96</v>
      </c>
      <c r="N1030" t="s">
        <v>83</v>
      </c>
      <c r="O1030">
        <v>1</v>
      </c>
      <c r="P1030">
        <v>2</v>
      </c>
      <c r="Q1030" t="s">
        <v>61</v>
      </c>
      <c r="R1030" t="s">
        <v>75</v>
      </c>
      <c r="S1030">
        <v>90</v>
      </c>
      <c r="T1030" t="str">
        <f t="shared" si="245"/>
        <v>76-100</v>
      </c>
      <c r="U1030">
        <v>4</v>
      </c>
      <c r="V1030" t="s">
        <v>65</v>
      </c>
      <c r="W1030">
        <v>1</v>
      </c>
      <c r="X1030" t="s">
        <v>76</v>
      </c>
      <c r="Y1030">
        <v>3</v>
      </c>
      <c r="Z1030" t="s">
        <v>63</v>
      </c>
      <c r="AA1030" t="s">
        <v>77</v>
      </c>
      <c r="AB1030" s="4">
        <v>2127</v>
      </c>
      <c r="AC1030" s="4" t="str">
        <f t="shared" si="246"/>
        <v>$1,000-$2,500</v>
      </c>
      <c r="AD1030">
        <v>5561</v>
      </c>
      <c r="AE1030" t="str">
        <f t="shared" si="247"/>
        <v>$2,094-$8,000</v>
      </c>
      <c r="AF1030">
        <v>2</v>
      </c>
      <c r="AG1030" t="str">
        <f t="shared" si="248"/>
        <v>2-3</v>
      </c>
      <c r="AH1030" t="s">
        <v>67</v>
      </c>
      <c r="AI1030" t="s">
        <v>56</v>
      </c>
      <c r="AJ1030">
        <v>12</v>
      </c>
      <c r="AK1030" t="str">
        <f t="shared" si="249"/>
        <v>11-12%</v>
      </c>
      <c r="AL1030">
        <v>3</v>
      </c>
      <c r="AM1030" t="s">
        <v>68</v>
      </c>
      <c r="AN1030">
        <v>1</v>
      </c>
      <c r="AO1030" t="s">
        <v>69</v>
      </c>
      <c r="AP1030">
        <v>80</v>
      </c>
      <c r="AQ1030">
        <v>0</v>
      </c>
      <c r="AR1030">
        <v>7</v>
      </c>
      <c r="AS1030" t="str">
        <f t="shared" si="250"/>
        <v>6-10</v>
      </c>
      <c r="AT1030">
        <v>5</v>
      </c>
      <c r="AU1030" t="str">
        <f t="shared" si="251"/>
        <v>5-6</v>
      </c>
      <c r="AV1030">
        <v>2</v>
      </c>
      <c r="AW1030" t="s">
        <v>84</v>
      </c>
      <c r="AX1030">
        <v>4</v>
      </c>
      <c r="AY1030" t="str">
        <f t="shared" si="240"/>
        <v>2-5</v>
      </c>
      <c r="AZ1030">
        <v>2</v>
      </c>
      <c r="BA1030" t="str">
        <f t="shared" si="252"/>
        <v>2-5</v>
      </c>
      <c r="BB1030">
        <v>0</v>
      </c>
      <c r="BC1030" t="str">
        <f t="shared" si="253"/>
        <v>0-1</v>
      </c>
      <c r="BD1030">
        <v>3</v>
      </c>
      <c r="BE1030" t="str">
        <f t="shared" si="254"/>
        <v>2-5</v>
      </c>
    </row>
    <row r="1031" spans="1:57" x14ac:dyDescent="0.3">
      <c r="A1031">
        <v>1449</v>
      </c>
      <c r="B1031">
        <v>40</v>
      </c>
      <c r="C1031" t="str">
        <f t="shared" si="241"/>
        <v>36-45</v>
      </c>
      <c r="D1031" t="s">
        <v>71</v>
      </c>
      <c r="E1031">
        <f t="shared" si="242"/>
        <v>0</v>
      </c>
      <c r="F1031" t="s">
        <v>89</v>
      </c>
      <c r="G1031">
        <v>663</v>
      </c>
      <c r="H1031" t="str">
        <f t="shared" si="243"/>
        <v>501-1000</v>
      </c>
      <c r="I1031" t="s">
        <v>73</v>
      </c>
      <c r="J1031">
        <v>9</v>
      </c>
      <c r="K1031" t="str">
        <f t="shared" si="244"/>
        <v>6-10</v>
      </c>
      <c r="L1031">
        <v>4</v>
      </c>
      <c r="M1031" t="s">
        <v>82</v>
      </c>
      <c r="N1031" t="s">
        <v>80</v>
      </c>
      <c r="O1031">
        <v>1</v>
      </c>
      <c r="P1031">
        <v>3</v>
      </c>
      <c r="Q1031" t="s">
        <v>63</v>
      </c>
      <c r="R1031" t="s">
        <v>75</v>
      </c>
      <c r="S1031">
        <v>81</v>
      </c>
      <c r="T1031" t="str">
        <f t="shared" si="245"/>
        <v>76-100</v>
      </c>
      <c r="U1031">
        <v>3</v>
      </c>
      <c r="V1031" t="s">
        <v>63</v>
      </c>
      <c r="W1031">
        <v>2</v>
      </c>
      <c r="X1031" t="s">
        <v>81</v>
      </c>
      <c r="Y1031">
        <v>3</v>
      </c>
      <c r="Z1031" t="s">
        <v>63</v>
      </c>
      <c r="AA1031" t="s">
        <v>86</v>
      </c>
      <c r="AB1031" s="4">
        <v>3975</v>
      </c>
      <c r="AC1031" s="4" t="str">
        <f t="shared" si="246"/>
        <v>$2,500-$4,000</v>
      </c>
      <c r="AD1031">
        <v>23099</v>
      </c>
      <c r="AE1031" t="str">
        <f t="shared" si="247"/>
        <v>$22,001-$26,999</v>
      </c>
      <c r="AF1031">
        <v>3</v>
      </c>
      <c r="AG1031" t="str">
        <f t="shared" si="248"/>
        <v>2-3</v>
      </c>
      <c r="AH1031" t="s">
        <v>67</v>
      </c>
      <c r="AI1031" t="s">
        <v>71</v>
      </c>
      <c r="AJ1031">
        <v>11</v>
      </c>
      <c r="AK1031" t="str">
        <f t="shared" si="249"/>
        <v>11-12%</v>
      </c>
      <c r="AL1031">
        <v>3</v>
      </c>
      <c r="AM1031" t="s">
        <v>68</v>
      </c>
      <c r="AN1031">
        <v>3</v>
      </c>
      <c r="AO1031" t="s">
        <v>63</v>
      </c>
      <c r="AP1031">
        <v>80</v>
      </c>
      <c r="AQ1031">
        <v>2</v>
      </c>
      <c r="AR1031">
        <v>11</v>
      </c>
      <c r="AS1031" t="str">
        <f t="shared" si="250"/>
        <v>11-20</v>
      </c>
      <c r="AT1031">
        <v>2</v>
      </c>
      <c r="AU1031" t="str">
        <f t="shared" si="251"/>
        <v>0-2</v>
      </c>
      <c r="AV1031">
        <v>4</v>
      </c>
      <c r="AW1031" t="s">
        <v>94</v>
      </c>
      <c r="AX1031">
        <v>8</v>
      </c>
      <c r="AY1031" t="str">
        <f t="shared" si="240"/>
        <v>6-10</v>
      </c>
      <c r="AZ1031">
        <v>7</v>
      </c>
      <c r="BA1031" t="str">
        <f t="shared" si="252"/>
        <v>6-10</v>
      </c>
      <c r="BB1031">
        <v>0</v>
      </c>
      <c r="BC1031" t="str">
        <f t="shared" si="253"/>
        <v>0-1</v>
      </c>
      <c r="BD1031">
        <v>7</v>
      </c>
      <c r="BE1031" t="str">
        <f t="shared" si="254"/>
        <v>6-10</v>
      </c>
    </row>
    <row r="1032" spans="1:57" x14ac:dyDescent="0.3">
      <c r="A1032">
        <v>1453</v>
      </c>
      <c r="B1032">
        <v>31</v>
      </c>
      <c r="C1032" t="str">
        <f t="shared" si="241"/>
        <v>26-35</v>
      </c>
      <c r="D1032" t="s">
        <v>71</v>
      </c>
      <c r="E1032">
        <f t="shared" si="242"/>
        <v>0</v>
      </c>
      <c r="F1032" t="s">
        <v>57</v>
      </c>
      <c r="G1032">
        <v>326</v>
      </c>
      <c r="H1032" t="str">
        <f t="shared" si="243"/>
        <v>102-500</v>
      </c>
      <c r="I1032" t="s">
        <v>58</v>
      </c>
      <c r="J1032">
        <v>8</v>
      </c>
      <c r="K1032" t="str">
        <f t="shared" si="244"/>
        <v>6-10</v>
      </c>
      <c r="L1032">
        <v>2</v>
      </c>
      <c r="M1032" t="s">
        <v>59</v>
      </c>
      <c r="N1032" t="s">
        <v>60</v>
      </c>
      <c r="O1032">
        <v>1</v>
      </c>
      <c r="P1032">
        <v>1</v>
      </c>
      <c r="Q1032" t="s">
        <v>69</v>
      </c>
      <c r="R1032" t="s">
        <v>75</v>
      </c>
      <c r="S1032">
        <v>31</v>
      </c>
      <c r="T1032" t="str">
        <f t="shared" si="245"/>
        <v>30-50</v>
      </c>
      <c r="U1032">
        <v>3</v>
      </c>
      <c r="V1032" t="s">
        <v>63</v>
      </c>
      <c r="W1032">
        <v>3</v>
      </c>
      <c r="X1032" t="s">
        <v>64</v>
      </c>
      <c r="Y1032">
        <v>4</v>
      </c>
      <c r="Z1032" t="s">
        <v>65</v>
      </c>
      <c r="AA1032" t="s">
        <v>86</v>
      </c>
      <c r="AB1032" s="4">
        <v>10793</v>
      </c>
      <c r="AC1032" s="4" t="str">
        <f t="shared" si="246"/>
        <v>$10,000-$11,500</v>
      </c>
      <c r="AD1032">
        <v>8386</v>
      </c>
      <c r="AE1032" t="str">
        <f t="shared" si="247"/>
        <v>$8,001-$16,000</v>
      </c>
      <c r="AF1032">
        <v>1</v>
      </c>
      <c r="AG1032" t="str">
        <f t="shared" si="248"/>
        <v>0-1</v>
      </c>
      <c r="AH1032" t="s">
        <v>67</v>
      </c>
      <c r="AI1032" t="s">
        <v>71</v>
      </c>
      <c r="AJ1032">
        <v>18</v>
      </c>
      <c r="AK1032" t="str">
        <f t="shared" si="249"/>
        <v>18-19%</v>
      </c>
      <c r="AL1032">
        <v>3</v>
      </c>
      <c r="AM1032" t="s">
        <v>68</v>
      </c>
      <c r="AN1032">
        <v>1</v>
      </c>
      <c r="AO1032" t="s">
        <v>69</v>
      </c>
      <c r="AP1032">
        <v>80</v>
      </c>
      <c r="AQ1032">
        <v>1</v>
      </c>
      <c r="AR1032">
        <v>13</v>
      </c>
      <c r="AS1032" t="str">
        <f t="shared" si="250"/>
        <v>11-20</v>
      </c>
      <c r="AT1032">
        <v>5</v>
      </c>
      <c r="AU1032" t="str">
        <f t="shared" si="251"/>
        <v>5-6</v>
      </c>
      <c r="AV1032">
        <v>3</v>
      </c>
      <c r="AW1032" t="s">
        <v>79</v>
      </c>
      <c r="AX1032">
        <v>13</v>
      </c>
      <c r="AY1032" t="str">
        <f t="shared" si="240"/>
        <v>11-20</v>
      </c>
      <c r="AZ1032">
        <v>7</v>
      </c>
      <c r="BA1032" t="str">
        <f t="shared" si="252"/>
        <v>6-10</v>
      </c>
      <c r="BB1032">
        <v>9</v>
      </c>
      <c r="BC1032" t="str">
        <f t="shared" si="253"/>
        <v>6-10</v>
      </c>
      <c r="BD1032">
        <v>9</v>
      </c>
      <c r="BE1032" t="str">
        <f t="shared" si="254"/>
        <v>6-10</v>
      </c>
    </row>
    <row r="1033" spans="1:57" x14ac:dyDescent="0.3">
      <c r="A1033">
        <v>1457</v>
      </c>
      <c r="B1033">
        <v>46</v>
      </c>
      <c r="C1033" t="str">
        <f t="shared" si="241"/>
        <v>46-55</v>
      </c>
      <c r="D1033" t="s">
        <v>56</v>
      </c>
      <c r="E1033">
        <f t="shared" si="242"/>
        <v>1</v>
      </c>
      <c r="F1033" t="s">
        <v>57</v>
      </c>
      <c r="G1033">
        <v>377</v>
      </c>
      <c r="H1033" t="str">
        <f t="shared" si="243"/>
        <v>102-500</v>
      </c>
      <c r="I1033" t="s">
        <v>58</v>
      </c>
      <c r="J1033">
        <v>9</v>
      </c>
      <c r="K1033" t="str">
        <f t="shared" si="244"/>
        <v>6-10</v>
      </c>
      <c r="L1033">
        <v>3</v>
      </c>
      <c r="M1033" t="s">
        <v>85</v>
      </c>
      <c r="N1033" t="s">
        <v>93</v>
      </c>
      <c r="O1033">
        <v>1</v>
      </c>
      <c r="P1033">
        <v>1</v>
      </c>
      <c r="Q1033" t="s">
        <v>69</v>
      </c>
      <c r="R1033" t="s">
        <v>75</v>
      </c>
      <c r="S1033">
        <v>52</v>
      </c>
      <c r="T1033" t="str">
        <f t="shared" si="245"/>
        <v>51-75</v>
      </c>
      <c r="U1033">
        <v>3</v>
      </c>
      <c r="V1033" t="s">
        <v>63</v>
      </c>
      <c r="W1033">
        <v>3</v>
      </c>
      <c r="X1033" t="s">
        <v>64</v>
      </c>
      <c r="Y1033">
        <v>4</v>
      </c>
      <c r="Z1033" t="s">
        <v>65</v>
      </c>
      <c r="AA1033" t="s">
        <v>86</v>
      </c>
      <c r="AB1033" s="4">
        <v>10096</v>
      </c>
      <c r="AC1033" s="4" t="str">
        <f t="shared" si="246"/>
        <v>$10,000-$11,500</v>
      </c>
      <c r="AD1033">
        <v>15986</v>
      </c>
      <c r="AE1033" t="str">
        <f t="shared" si="247"/>
        <v>$8,001-$16,000</v>
      </c>
      <c r="AF1033">
        <v>4</v>
      </c>
      <c r="AG1033" t="str">
        <f t="shared" si="248"/>
        <v>4-6</v>
      </c>
      <c r="AH1033" t="s">
        <v>67</v>
      </c>
      <c r="AI1033" t="s">
        <v>71</v>
      </c>
      <c r="AJ1033">
        <v>11</v>
      </c>
      <c r="AK1033" t="str">
        <f t="shared" si="249"/>
        <v>11-12%</v>
      </c>
      <c r="AL1033">
        <v>3</v>
      </c>
      <c r="AM1033" t="s">
        <v>68</v>
      </c>
      <c r="AN1033">
        <v>1</v>
      </c>
      <c r="AO1033" t="s">
        <v>69</v>
      </c>
      <c r="AP1033">
        <v>80</v>
      </c>
      <c r="AQ1033">
        <v>1</v>
      </c>
      <c r="AR1033">
        <v>28</v>
      </c>
      <c r="AS1033" t="str">
        <f t="shared" si="250"/>
        <v>21-40</v>
      </c>
      <c r="AT1033">
        <v>1</v>
      </c>
      <c r="AU1033" t="str">
        <f t="shared" si="251"/>
        <v>0-2</v>
      </c>
      <c r="AV1033">
        <v>4</v>
      </c>
      <c r="AW1033" t="s">
        <v>94</v>
      </c>
      <c r="AX1033">
        <v>7</v>
      </c>
      <c r="AY1033" t="str">
        <f t="shared" si="240"/>
        <v>6-10</v>
      </c>
      <c r="AZ1033">
        <v>7</v>
      </c>
      <c r="BA1033" t="str">
        <f t="shared" si="252"/>
        <v>6-10</v>
      </c>
      <c r="BB1033">
        <v>4</v>
      </c>
      <c r="BC1033" t="str">
        <f t="shared" si="253"/>
        <v>2-5</v>
      </c>
      <c r="BD1033">
        <v>3</v>
      </c>
      <c r="BE1033" t="str">
        <f t="shared" si="254"/>
        <v>2-5</v>
      </c>
    </row>
    <row r="1034" spans="1:57" x14ac:dyDescent="0.3">
      <c r="A1034">
        <v>1458</v>
      </c>
      <c r="B1034">
        <v>39</v>
      </c>
      <c r="C1034" t="str">
        <f t="shared" si="241"/>
        <v>36-45</v>
      </c>
      <c r="D1034" t="s">
        <v>56</v>
      </c>
      <c r="E1034">
        <f t="shared" si="242"/>
        <v>1</v>
      </c>
      <c r="F1034" t="s">
        <v>89</v>
      </c>
      <c r="G1034">
        <v>592</v>
      </c>
      <c r="H1034" t="str">
        <f t="shared" si="243"/>
        <v>501-1000</v>
      </c>
      <c r="I1034" t="s">
        <v>73</v>
      </c>
      <c r="J1034">
        <v>2</v>
      </c>
      <c r="K1034" t="str">
        <f t="shared" si="244"/>
        <v>1-5</v>
      </c>
      <c r="L1034">
        <v>3</v>
      </c>
      <c r="M1034" t="s">
        <v>85</v>
      </c>
      <c r="N1034" t="s">
        <v>60</v>
      </c>
      <c r="O1034">
        <v>1</v>
      </c>
      <c r="P1034">
        <v>1</v>
      </c>
      <c r="Q1034" t="s">
        <v>69</v>
      </c>
      <c r="R1034" t="s">
        <v>62</v>
      </c>
      <c r="S1034">
        <v>54</v>
      </c>
      <c r="T1034" t="str">
        <f t="shared" si="245"/>
        <v>51-75</v>
      </c>
      <c r="U1034">
        <v>2</v>
      </c>
      <c r="V1034" t="s">
        <v>61</v>
      </c>
      <c r="W1034">
        <v>1</v>
      </c>
      <c r="X1034" t="s">
        <v>81</v>
      </c>
      <c r="Y1034">
        <v>1</v>
      </c>
      <c r="Z1034" t="s">
        <v>69</v>
      </c>
      <c r="AA1034" t="s">
        <v>66</v>
      </c>
      <c r="AB1034" s="4">
        <v>3646</v>
      </c>
      <c r="AC1034" s="4" t="str">
        <f t="shared" si="246"/>
        <v>$2,500-$4,000</v>
      </c>
      <c r="AD1034">
        <v>17181</v>
      </c>
      <c r="AE1034" t="str">
        <f t="shared" si="247"/>
        <v>$16,001-$22,000</v>
      </c>
      <c r="AF1034">
        <v>2</v>
      </c>
      <c r="AG1034" t="str">
        <f t="shared" si="248"/>
        <v>2-3</v>
      </c>
      <c r="AH1034" t="s">
        <v>67</v>
      </c>
      <c r="AI1034" t="s">
        <v>56</v>
      </c>
      <c r="AJ1034">
        <v>23</v>
      </c>
      <c r="AK1034" t="str">
        <f t="shared" si="249"/>
        <v>18-19%</v>
      </c>
      <c r="AL1034">
        <v>4</v>
      </c>
      <c r="AM1034" t="s">
        <v>78</v>
      </c>
      <c r="AN1034">
        <v>2</v>
      </c>
      <c r="AO1034" t="s">
        <v>61</v>
      </c>
      <c r="AP1034">
        <v>80</v>
      </c>
      <c r="AQ1034">
        <v>0</v>
      </c>
      <c r="AR1034">
        <v>11</v>
      </c>
      <c r="AS1034" t="str">
        <f t="shared" si="250"/>
        <v>11-20</v>
      </c>
      <c r="AT1034">
        <v>2</v>
      </c>
      <c r="AU1034" t="str">
        <f t="shared" si="251"/>
        <v>0-2</v>
      </c>
      <c r="AV1034">
        <v>4</v>
      </c>
      <c r="AW1034" t="s">
        <v>94</v>
      </c>
      <c r="AX1034">
        <v>1</v>
      </c>
      <c r="AY1034" t="str">
        <f t="shared" si="240"/>
        <v>0-1</v>
      </c>
      <c r="AZ1034">
        <v>0</v>
      </c>
      <c r="BA1034" t="str">
        <f t="shared" si="252"/>
        <v>0-1</v>
      </c>
      <c r="BB1034">
        <v>0</v>
      </c>
      <c r="BC1034" t="str">
        <f t="shared" si="253"/>
        <v>0-1</v>
      </c>
      <c r="BD1034">
        <v>0</v>
      </c>
      <c r="BE1034" t="str">
        <f t="shared" si="254"/>
        <v>0-1</v>
      </c>
    </row>
    <row r="1035" spans="1:57" x14ac:dyDescent="0.3">
      <c r="A1035">
        <v>1459</v>
      </c>
      <c r="B1035">
        <v>31</v>
      </c>
      <c r="C1035" t="str">
        <f t="shared" si="241"/>
        <v>26-35</v>
      </c>
      <c r="D1035" t="s">
        <v>56</v>
      </c>
      <c r="E1035">
        <f t="shared" si="242"/>
        <v>1</v>
      </c>
      <c r="F1035" t="s">
        <v>72</v>
      </c>
      <c r="G1035">
        <v>1445</v>
      </c>
      <c r="H1035" t="str">
        <f t="shared" si="243"/>
        <v>1001-1499</v>
      </c>
      <c r="I1035" t="s">
        <v>73</v>
      </c>
      <c r="J1035">
        <v>1</v>
      </c>
      <c r="K1035" t="str">
        <f t="shared" si="244"/>
        <v>1-5</v>
      </c>
      <c r="L1035">
        <v>5</v>
      </c>
      <c r="M1035" t="s">
        <v>96</v>
      </c>
      <c r="N1035" t="s">
        <v>60</v>
      </c>
      <c r="O1035">
        <v>1</v>
      </c>
      <c r="P1035">
        <v>3</v>
      </c>
      <c r="Q1035" t="s">
        <v>63</v>
      </c>
      <c r="R1035" t="s">
        <v>62</v>
      </c>
      <c r="S1035">
        <v>100</v>
      </c>
      <c r="T1035" t="str">
        <f t="shared" si="245"/>
        <v>76-100</v>
      </c>
      <c r="U1035">
        <v>4</v>
      </c>
      <c r="V1035" t="s">
        <v>65</v>
      </c>
      <c r="W1035">
        <v>3</v>
      </c>
      <c r="X1035" t="s">
        <v>87</v>
      </c>
      <c r="Y1035">
        <v>2</v>
      </c>
      <c r="Z1035" t="s">
        <v>61</v>
      </c>
      <c r="AA1035" t="s">
        <v>66</v>
      </c>
      <c r="AB1035" s="4">
        <v>7446</v>
      </c>
      <c r="AC1035" s="4" t="str">
        <f t="shared" si="246"/>
        <v>$7,000-$8,500</v>
      </c>
      <c r="AD1035">
        <v>8931</v>
      </c>
      <c r="AE1035" t="str">
        <f t="shared" si="247"/>
        <v>$8,001-$16,000</v>
      </c>
      <c r="AF1035">
        <v>1</v>
      </c>
      <c r="AG1035" t="str">
        <f t="shared" si="248"/>
        <v>0-1</v>
      </c>
      <c r="AH1035" t="s">
        <v>67</v>
      </c>
      <c r="AI1035" t="s">
        <v>71</v>
      </c>
      <c r="AJ1035">
        <v>11</v>
      </c>
      <c r="AK1035" t="str">
        <f t="shared" si="249"/>
        <v>11-12%</v>
      </c>
      <c r="AL1035">
        <v>3</v>
      </c>
      <c r="AM1035" t="s">
        <v>68</v>
      </c>
      <c r="AN1035">
        <v>1</v>
      </c>
      <c r="AO1035" t="s">
        <v>69</v>
      </c>
      <c r="AP1035">
        <v>80</v>
      </c>
      <c r="AQ1035">
        <v>0</v>
      </c>
      <c r="AR1035">
        <v>10</v>
      </c>
      <c r="AS1035" t="str">
        <f t="shared" si="250"/>
        <v>6-10</v>
      </c>
      <c r="AT1035">
        <v>2</v>
      </c>
      <c r="AU1035" t="str">
        <f t="shared" si="251"/>
        <v>0-2</v>
      </c>
      <c r="AV1035">
        <v>3</v>
      </c>
      <c r="AW1035" t="s">
        <v>79</v>
      </c>
      <c r="AX1035">
        <v>10</v>
      </c>
      <c r="AY1035" t="str">
        <f t="shared" si="240"/>
        <v>6-10</v>
      </c>
      <c r="AZ1035">
        <v>8</v>
      </c>
      <c r="BA1035" t="str">
        <f t="shared" si="252"/>
        <v>6-10</v>
      </c>
      <c r="BB1035">
        <v>4</v>
      </c>
      <c r="BC1035" t="str">
        <f t="shared" si="253"/>
        <v>2-5</v>
      </c>
      <c r="BD1035">
        <v>7</v>
      </c>
      <c r="BE1035" t="str">
        <f t="shared" si="254"/>
        <v>6-10</v>
      </c>
    </row>
    <row r="1036" spans="1:57" x14ac:dyDescent="0.3">
      <c r="A1036">
        <v>1460</v>
      </c>
      <c r="B1036">
        <v>45</v>
      </c>
      <c r="C1036" t="str">
        <f t="shared" si="241"/>
        <v>36-45</v>
      </c>
      <c r="D1036" t="s">
        <v>71</v>
      </c>
      <c r="E1036">
        <f t="shared" si="242"/>
        <v>0</v>
      </c>
      <c r="F1036" t="s">
        <v>57</v>
      </c>
      <c r="G1036">
        <v>1038</v>
      </c>
      <c r="H1036" t="str">
        <f t="shared" si="243"/>
        <v>1001-1499</v>
      </c>
      <c r="I1036" t="s">
        <v>73</v>
      </c>
      <c r="J1036">
        <v>20</v>
      </c>
      <c r="K1036" t="str">
        <f t="shared" si="244"/>
        <v>11-20</v>
      </c>
      <c r="L1036">
        <v>3</v>
      </c>
      <c r="M1036" t="s">
        <v>85</v>
      </c>
      <c r="N1036" t="s">
        <v>83</v>
      </c>
      <c r="O1036">
        <v>1</v>
      </c>
      <c r="P1036">
        <v>2</v>
      </c>
      <c r="Q1036" t="s">
        <v>61</v>
      </c>
      <c r="R1036" t="s">
        <v>75</v>
      </c>
      <c r="S1036">
        <v>95</v>
      </c>
      <c r="T1036" t="str">
        <f t="shared" si="245"/>
        <v>76-100</v>
      </c>
      <c r="U1036">
        <v>1</v>
      </c>
      <c r="V1036" t="s">
        <v>69</v>
      </c>
      <c r="W1036">
        <v>3</v>
      </c>
      <c r="X1036" t="s">
        <v>88</v>
      </c>
      <c r="Y1036">
        <v>1</v>
      </c>
      <c r="Z1036" t="s">
        <v>69</v>
      </c>
      <c r="AA1036" t="s">
        <v>86</v>
      </c>
      <c r="AB1036" s="4">
        <v>10851</v>
      </c>
      <c r="AC1036" s="4" t="str">
        <f t="shared" si="246"/>
        <v>$10,000-$11,500</v>
      </c>
      <c r="AD1036">
        <v>19863</v>
      </c>
      <c r="AE1036" t="str">
        <f t="shared" si="247"/>
        <v>$16,001-$22,000</v>
      </c>
      <c r="AF1036">
        <v>2</v>
      </c>
      <c r="AG1036" t="str">
        <f t="shared" si="248"/>
        <v>2-3</v>
      </c>
      <c r="AH1036" t="s">
        <v>67</v>
      </c>
      <c r="AI1036" t="s">
        <v>56</v>
      </c>
      <c r="AJ1036">
        <v>18</v>
      </c>
      <c r="AK1036" t="str">
        <f t="shared" si="249"/>
        <v>18-19%</v>
      </c>
      <c r="AL1036">
        <v>3</v>
      </c>
      <c r="AM1036" t="s">
        <v>68</v>
      </c>
      <c r="AN1036">
        <v>2</v>
      </c>
      <c r="AO1036" t="s">
        <v>61</v>
      </c>
      <c r="AP1036">
        <v>80</v>
      </c>
      <c r="AQ1036">
        <v>1</v>
      </c>
      <c r="AR1036">
        <v>24</v>
      </c>
      <c r="AS1036" t="str">
        <f t="shared" si="250"/>
        <v>21-40</v>
      </c>
      <c r="AT1036">
        <v>2</v>
      </c>
      <c r="AU1036" t="str">
        <f t="shared" si="251"/>
        <v>0-2</v>
      </c>
      <c r="AV1036">
        <v>3</v>
      </c>
      <c r="AW1036" t="s">
        <v>79</v>
      </c>
      <c r="AX1036">
        <v>7</v>
      </c>
      <c r="AY1036" t="str">
        <f t="shared" si="240"/>
        <v>6-10</v>
      </c>
      <c r="AZ1036">
        <v>7</v>
      </c>
      <c r="BA1036" t="str">
        <f t="shared" si="252"/>
        <v>6-10</v>
      </c>
      <c r="BB1036">
        <v>0</v>
      </c>
      <c r="BC1036" t="str">
        <f t="shared" si="253"/>
        <v>0-1</v>
      </c>
      <c r="BD1036">
        <v>7</v>
      </c>
      <c r="BE1036" t="str">
        <f t="shared" si="254"/>
        <v>6-10</v>
      </c>
    </row>
    <row r="1037" spans="1:57" x14ac:dyDescent="0.3">
      <c r="A1037">
        <v>1461</v>
      </c>
      <c r="B1037">
        <v>31</v>
      </c>
      <c r="C1037" t="str">
        <f t="shared" si="241"/>
        <v>26-35</v>
      </c>
      <c r="D1037" t="s">
        <v>71</v>
      </c>
      <c r="E1037">
        <f t="shared" si="242"/>
        <v>0</v>
      </c>
      <c r="F1037" t="s">
        <v>57</v>
      </c>
      <c r="G1037">
        <v>1398</v>
      </c>
      <c r="H1037" t="str">
        <f t="shared" si="243"/>
        <v>1001-1499</v>
      </c>
      <c r="I1037" t="s">
        <v>97</v>
      </c>
      <c r="J1037">
        <v>8</v>
      </c>
      <c r="K1037" t="str">
        <f t="shared" si="244"/>
        <v>6-10</v>
      </c>
      <c r="L1037">
        <v>2</v>
      </c>
      <c r="M1037" t="s">
        <v>59</v>
      </c>
      <c r="N1037" t="s">
        <v>83</v>
      </c>
      <c r="O1037">
        <v>1</v>
      </c>
      <c r="P1037">
        <v>4</v>
      </c>
      <c r="Q1037" t="s">
        <v>65</v>
      </c>
      <c r="R1037" t="s">
        <v>62</v>
      </c>
      <c r="S1037">
        <v>96</v>
      </c>
      <c r="T1037" t="str">
        <f t="shared" si="245"/>
        <v>76-100</v>
      </c>
      <c r="U1037">
        <v>4</v>
      </c>
      <c r="V1037" t="s">
        <v>65</v>
      </c>
      <c r="W1037">
        <v>1</v>
      </c>
      <c r="X1037" t="s">
        <v>97</v>
      </c>
      <c r="Y1037">
        <v>2</v>
      </c>
      <c r="Z1037" t="s">
        <v>61</v>
      </c>
      <c r="AA1037" t="s">
        <v>66</v>
      </c>
      <c r="AB1037" s="4">
        <v>2109</v>
      </c>
      <c r="AC1037" s="4" t="str">
        <f t="shared" si="246"/>
        <v>$1,000-$2,500</v>
      </c>
      <c r="AD1037">
        <v>24609</v>
      </c>
      <c r="AE1037" t="str">
        <f t="shared" si="247"/>
        <v>$22,001-$26,999</v>
      </c>
      <c r="AF1037">
        <v>9</v>
      </c>
      <c r="AG1037" t="str">
        <f t="shared" si="248"/>
        <v>7-9</v>
      </c>
      <c r="AH1037" t="s">
        <v>67</v>
      </c>
      <c r="AI1037" t="s">
        <v>71</v>
      </c>
      <c r="AJ1037">
        <v>18</v>
      </c>
      <c r="AK1037" t="str">
        <f t="shared" si="249"/>
        <v>18-19%</v>
      </c>
      <c r="AL1037">
        <v>3</v>
      </c>
      <c r="AM1037" t="s">
        <v>68</v>
      </c>
      <c r="AN1037">
        <v>4</v>
      </c>
      <c r="AO1037" t="s">
        <v>65</v>
      </c>
      <c r="AP1037">
        <v>80</v>
      </c>
      <c r="AQ1037">
        <v>0</v>
      </c>
      <c r="AR1037">
        <v>8</v>
      </c>
      <c r="AS1037" t="str">
        <f t="shared" si="250"/>
        <v>6-10</v>
      </c>
      <c r="AT1037">
        <v>3</v>
      </c>
      <c r="AU1037" t="str">
        <f t="shared" si="251"/>
        <v>3-4</v>
      </c>
      <c r="AV1037">
        <v>3</v>
      </c>
      <c r="AW1037" t="s">
        <v>79</v>
      </c>
      <c r="AX1037">
        <v>3</v>
      </c>
      <c r="AY1037" t="str">
        <f t="shared" si="240"/>
        <v>2-5</v>
      </c>
      <c r="AZ1037">
        <v>2</v>
      </c>
      <c r="BA1037" t="str">
        <f t="shared" si="252"/>
        <v>2-5</v>
      </c>
      <c r="BB1037">
        <v>0</v>
      </c>
      <c r="BC1037" t="str">
        <f t="shared" si="253"/>
        <v>0-1</v>
      </c>
      <c r="BD1037">
        <v>2</v>
      </c>
      <c r="BE1037" t="str">
        <f t="shared" si="254"/>
        <v>2-5</v>
      </c>
    </row>
    <row r="1038" spans="1:57" x14ac:dyDescent="0.3">
      <c r="A1038">
        <v>1464</v>
      </c>
      <c r="B1038">
        <v>31</v>
      </c>
      <c r="C1038" t="str">
        <f t="shared" si="241"/>
        <v>26-35</v>
      </c>
      <c r="D1038" t="s">
        <v>56</v>
      </c>
      <c r="E1038">
        <f t="shared" si="242"/>
        <v>1</v>
      </c>
      <c r="F1038" t="s">
        <v>72</v>
      </c>
      <c r="G1038">
        <v>523</v>
      </c>
      <c r="H1038" t="str">
        <f t="shared" si="243"/>
        <v>501-1000</v>
      </c>
      <c r="I1038" t="s">
        <v>73</v>
      </c>
      <c r="J1038">
        <v>2</v>
      </c>
      <c r="K1038" t="str">
        <f t="shared" si="244"/>
        <v>1-5</v>
      </c>
      <c r="L1038">
        <v>3</v>
      </c>
      <c r="M1038" t="s">
        <v>85</v>
      </c>
      <c r="N1038" t="s">
        <v>60</v>
      </c>
      <c r="O1038">
        <v>1</v>
      </c>
      <c r="P1038">
        <v>2</v>
      </c>
      <c r="Q1038" t="s">
        <v>61</v>
      </c>
      <c r="R1038" t="s">
        <v>75</v>
      </c>
      <c r="S1038">
        <v>94</v>
      </c>
      <c r="T1038" t="str">
        <f t="shared" si="245"/>
        <v>76-100</v>
      </c>
      <c r="U1038">
        <v>3</v>
      </c>
      <c r="V1038" t="s">
        <v>63</v>
      </c>
      <c r="W1038">
        <v>1</v>
      </c>
      <c r="X1038" t="s">
        <v>81</v>
      </c>
      <c r="Y1038">
        <v>4</v>
      </c>
      <c r="Z1038" t="s">
        <v>65</v>
      </c>
      <c r="AA1038" t="s">
        <v>77</v>
      </c>
      <c r="AB1038" s="4">
        <v>3722</v>
      </c>
      <c r="AC1038" s="4" t="str">
        <f t="shared" si="246"/>
        <v>$2,500-$4,000</v>
      </c>
      <c r="AD1038">
        <v>21081</v>
      </c>
      <c r="AE1038" t="str">
        <f t="shared" si="247"/>
        <v>$16,001-$22,000</v>
      </c>
      <c r="AF1038">
        <v>6</v>
      </c>
      <c r="AG1038" t="str">
        <f t="shared" si="248"/>
        <v>4-6</v>
      </c>
      <c r="AH1038" t="s">
        <v>67</v>
      </c>
      <c r="AI1038" t="s">
        <v>56</v>
      </c>
      <c r="AJ1038">
        <v>13</v>
      </c>
      <c r="AK1038" t="str">
        <f t="shared" si="249"/>
        <v>13-15%</v>
      </c>
      <c r="AL1038">
        <v>3</v>
      </c>
      <c r="AM1038" t="s">
        <v>68</v>
      </c>
      <c r="AN1038">
        <v>3</v>
      </c>
      <c r="AO1038" t="s">
        <v>63</v>
      </c>
      <c r="AP1038">
        <v>80</v>
      </c>
      <c r="AQ1038">
        <v>1</v>
      </c>
      <c r="AR1038">
        <v>7</v>
      </c>
      <c r="AS1038" t="str">
        <f t="shared" si="250"/>
        <v>6-10</v>
      </c>
      <c r="AT1038">
        <v>2</v>
      </c>
      <c r="AU1038" t="str">
        <f t="shared" si="251"/>
        <v>0-2</v>
      </c>
      <c r="AV1038">
        <v>1</v>
      </c>
      <c r="AW1038" t="s">
        <v>70</v>
      </c>
      <c r="AX1038">
        <v>2</v>
      </c>
      <c r="AY1038" t="str">
        <f t="shared" si="240"/>
        <v>2-5</v>
      </c>
      <c r="AZ1038">
        <v>2</v>
      </c>
      <c r="BA1038" t="str">
        <f t="shared" si="252"/>
        <v>2-5</v>
      </c>
      <c r="BB1038">
        <v>2</v>
      </c>
      <c r="BC1038" t="str">
        <f t="shared" si="253"/>
        <v>2-5</v>
      </c>
      <c r="BD1038">
        <v>2</v>
      </c>
      <c r="BE1038" t="str">
        <f t="shared" si="254"/>
        <v>2-5</v>
      </c>
    </row>
    <row r="1039" spans="1:57" x14ac:dyDescent="0.3">
      <c r="A1039">
        <v>1465</v>
      </c>
      <c r="B1039">
        <v>45</v>
      </c>
      <c r="C1039" t="str">
        <f t="shared" si="241"/>
        <v>36-45</v>
      </c>
      <c r="D1039" t="s">
        <v>71</v>
      </c>
      <c r="E1039">
        <f t="shared" si="242"/>
        <v>0</v>
      </c>
      <c r="F1039" t="s">
        <v>57</v>
      </c>
      <c r="G1039">
        <v>1448</v>
      </c>
      <c r="H1039" t="str">
        <f t="shared" si="243"/>
        <v>1001-1499</v>
      </c>
      <c r="I1039" t="s">
        <v>73</v>
      </c>
      <c r="J1039">
        <v>29</v>
      </c>
      <c r="K1039" t="str">
        <f t="shared" si="244"/>
        <v>21-29</v>
      </c>
      <c r="L1039">
        <v>3</v>
      </c>
      <c r="M1039" t="s">
        <v>85</v>
      </c>
      <c r="N1039" t="s">
        <v>95</v>
      </c>
      <c r="O1039">
        <v>1</v>
      </c>
      <c r="P1039">
        <v>2</v>
      </c>
      <c r="Q1039" t="s">
        <v>61</v>
      </c>
      <c r="R1039" t="s">
        <v>75</v>
      </c>
      <c r="S1039">
        <v>55</v>
      </c>
      <c r="T1039" t="str">
        <f t="shared" si="245"/>
        <v>51-75</v>
      </c>
      <c r="U1039">
        <v>3</v>
      </c>
      <c r="V1039" t="s">
        <v>63</v>
      </c>
      <c r="W1039">
        <v>3</v>
      </c>
      <c r="X1039" t="s">
        <v>87</v>
      </c>
      <c r="Y1039">
        <v>4</v>
      </c>
      <c r="Z1039" t="s">
        <v>65</v>
      </c>
      <c r="AA1039" t="s">
        <v>77</v>
      </c>
      <c r="AB1039" s="4">
        <v>9380</v>
      </c>
      <c r="AC1039" s="4" t="str">
        <f t="shared" si="246"/>
        <v>$8,500-$10,000</v>
      </c>
      <c r="AD1039">
        <v>14720</v>
      </c>
      <c r="AE1039" t="str">
        <f t="shared" si="247"/>
        <v>$8,001-$16,000</v>
      </c>
      <c r="AF1039">
        <v>4</v>
      </c>
      <c r="AG1039" t="str">
        <f t="shared" si="248"/>
        <v>4-6</v>
      </c>
      <c r="AH1039" t="s">
        <v>67</v>
      </c>
      <c r="AI1039" t="s">
        <v>56</v>
      </c>
      <c r="AJ1039">
        <v>18</v>
      </c>
      <c r="AK1039" t="str">
        <f t="shared" si="249"/>
        <v>18-19%</v>
      </c>
      <c r="AL1039">
        <v>3</v>
      </c>
      <c r="AM1039" t="s">
        <v>68</v>
      </c>
      <c r="AN1039">
        <v>4</v>
      </c>
      <c r="AO1039" t="s">
        <v>65</v>
      </c>
      <c r="AP1039">
        <v>80</v>
      </c>
      <c r="AQ1039">
        <v>2</v>
      </c>
      <c r="AR1039">
        <v>10</v>
      </c>
      <c r="AS1039" t="str">
        <f t="shared" si="250"/>
        <v>6-10</v>
      </c>
      <c r="AT1039">
        <v>4</v>
      </c>
      <c r="AU1039" t="str">
        <f t="shared" si="251"/>
        <v>3-4</v>
      </c>
      <c r="AV1039">
        <v>4</v>
      </c>
      <c r="AW1039" t="s">
        <v>94</v>
      </c>
      <c r="AX1039">
        <v>3</v>
      </c>
      <c r="AY1039" t="str">
        <f t="shared" si="240"/>
        <v>2-5</v>
      </c>
      <c r="AZ1039">
        <v>1</v>
      </c>
      <c r="BA1039" t="str">
        <f t="shared" si="252"/>
        <v>0-1</v>
      </c>
      <c r="BB1039">
        <v>1</v>
      </c>
      <c r="BC1039" t="str">
        <f t="shared" si="253"/>
        <v>0-1</v>
      </c>
      <c r="BD1039">
        <v>2</v>
      </c>
      <c r="BE1039" t="str">
        <f t="shared" si="254"/>
        <v>2-5</v>
      </c>
    </row>
    <row r="1040" spans="1:57" x14ac:dyDescent="0.3">
      <c r="A1040">
        <v>1466</v>
      </c>
      <c r="B1040">
        <v>48</v>
      </c>
      <c r="C1040" t="str">
        <f t="shared" si="241"/>
        <v>46-55</v>
      </c>
      <c r="D1040" t="s">
        <v>71</v>
      </c>
      <c r="E1040">
        <f t="shared" si="242"/>
        <v>0</v>
      </c>
      <c r="F1040" t="s">
        <v>57</v>
      </c>
      <c r="G1040">
        <v>1221</v>
      </c>
      <c r="H1040" t="str">
        <f t="shared" si="243"/>
        <v>1001-1499</v>
      </c>
      <c r="I1040" t="s">
        <v>58</v>
      </c>
      <c r="J1040">
        <v>7</v>
      </c>
      <c r="K1040" t="str">
        <f t="shared" si="244"/>
        <v>6-10</v>
      </c>
      <c r="L1040">
        <v>3</v>
      </c>
      <c r="M1040" t="s">
        <v>85</v>
      </c>
      <c r="N1040" t="s">
        <v>93</v>
      </c>
      <c r="O1040">
        <v>1</v>
      </c>
      <c r="P1040">
        <v>3</v>
      </c>
      <c r="Q1040" t="s">
        <v>63</v>
      </c>
      <c r="R1040" t="s">
        <v>75</v>
      </c>
      <c r="S1040">
        <v>96</v>
      </c>
      <c r="T1040" t="str">
        <f t="shared" si="245"/>
        <v>76-100</v>
      </c>
      <c r="U1040">
        <v>3</v>
      </c>
      <c r="V1040" t="s">
        <v>63</v>
      </c>
      <c r="W1040">
        <v>2</v>
      </c>
      <c r="X1040" t="s">
        <v>64</v>
      </c>
      <c r="Y1040">
        <v>1</v>
      </c>
      <c r="Z1040" t="s">
        <v>69</v>
      </c>
      <c r="AA1040" t="s">
        <v>86</v>
      </c>
      <c r="AB1040" s="4">
        <v>5486</v>
      </c>
      <c r="AC1040" s="4" t="str">
        <f t="shared" si="246"/>
        <v>$4,000-$5,500</v>
      </c>
      <c r="AD1040">
        <v>24795</v>
      </c>
      <c r="AE1040" t="str">
        <f t="shared" si="247"/>
        <v>$22,001-$26,999</v>
      </c>
      <c r="AF1040">
        <v>4</v>
      </c>
      <c r="AG1040" t="str">
        <f t="shared" si="248"/>
        <v>4-6</v>
      </c>
      <c r="AH1040" t="s">
        <v>67</v>
      </c>
      <c r="AI1040" t="s">
        <v>71</v>
      </c>
      <c r="AJ1040">
        <v>11</v>
      </c>
      <c r="AK1040" t="str">
        <f t="shared" si="249"/>
        <v>11-12%</v>
      </c>
      <c r="AL1040">
        <v>3</v>
      </c>
      <c r="AM1040" t="s">
        <v>68</v>
      </c>
      <c r="AN1040">
        <v>1</v>
      </c>
      <c r="AO1040" t="s">
        <v>69</v>
      </c>
      <c r="AP1040">
        <v>80</v>
      </c>
      <c r="AQ1040">
        <v>3</v>
      </c>
      <c r="AR1040">
        <v>15</v>
      </c>
      <c r="AS1040" t="str">
        <f t="shared" si="250"/>
        <v>11-20</v>
      </c>
      <c r="AT1040">
        <v>3</v>
      </c>
      <c r="AU1040" t="str">
        <f t="shared" si="251"/>
        <v>3-4</v>
      </c>
      <c r="AV1040">
        <v>3</v>
      </c>
      <c r="AW1040" t="s">
        <v>79</v>
      </c>
      <c r="AX1040">
        <v>2</v>
      </c>
      <c r="AY1040" t="str">
        <f t="shared" si="240"/>
        <v>2-5</v>
      </c>
      <c r="AZ1040">
        <v>2</v>
      </c>
      <c r="BA1040" t="str">
        <f t="shared" si="252"/>
        <v>2-5</v>
      </c>
      <c r="BB1040">
        <v>2</v>
      </c>
      <c r="BC1040" t="str">
        <f t="shared" si="253"/>
        <v>2-5</v>
      </c>
      <c r="BD1040">
        <v>2</v>
      </c>
      <c r="BE1040" t="str">
        <f t="shared" si="254"/>
        <v>2-5</v>
      </c>
    </row>
    <row r="1041" spans="1:57" x14ac:dyDescent="0.3">
      <c r="A1041">
        <v>1467</v>
      </c>
      <c r="B1041">
        <v>34</v>
      </c>
      <c r="C1041" t="str">
        <f t="shared" si="241"/>
        <v>26-35</v>
      </c>
      <c r="D1041" t="s">
        <v>56</v>
      </c>
      <c r="E1041">
        <f t="shared" si="242"/>
        <v>1</v>
      </c>
      <c r="F1041" t="s">
        <v>57</v>
      </c>
      <c r="G1041">
        <v>1107</v>
      </c>
      <c r="H1041" t="str">
        <f t="shared" si="243"/>
        <v>1001-1499</v>
      </c>
      <c r="I1041" t="s">
        <v>97</v>
      </c>
      <c r="J1041">
        <v>9</v>
      </c>
      <c r="K1041" t="str">
        <f t="shared" si="244"/>
        <v>6-10</v>
      </c>
      <c r="L1041">
        <v>4</v>
      </c>
      <c r="M1041" t="s">
        <v>82</v>
      </c>
      <c r="N1041" t="s">
        <v>95</v>
      </c>
      <c r="O1041">
        <v>1</v>
      </c>
      <c r="P1041">
        <v>1</v>
      </c>
      <c r="Q1041" t="s">
        <v>69</v>
      </c>
      <c r="R1041" t="s">
        <v>62</v>
      </c>
      <c r="S1041">
        <v>52</v>
      </c>
      <c r="T1041" t="str">
        <f t="shared" si="245"/>
        <v>51-75</v>
      </c>
      <c r="U1041">
        <v>3</v>
      </c>
      <c r="V1041" t="s">
        <v>63</v>
      </c>
      <c r="W1041">
        <v>1</v>
      </c>
      <c r="X1041" t="s">
        <v>97</v>
      </c>
      <c r="Y1041">
        <v>3</v>
      </c>
      <c r="Z1041" t="s">
        <v>63</v>
      </c>
      <c r="AA1041" t="s">
        <v>77</v>
      </c>
      <c r="AB1041" s="4">
        <v>2742</v>
      </c>
      <c r="AC1041" s="4" t="str">
        <f t="shared" si="246"/>
        <v>$2,500-$4,000</v>
      </c>
      <c r="AD1041">
        <v>3072</v>
      </c>
      <c r="AE1041" t="str">
        <f t="shared" si="247"/>
        <v>$2,094-$8,000</v>
      </c>
      <c r="AF1041">
        <v>1</v>
      </c>
      <c r="AG1041" t="str">
        <f t="shared" si="248"/>
        <v>0-1</v>
      </c>
      <c r="AH1041" t="s">
        <v>67</v>
      </c>
      <c r="AI1041" t="s">
        <v>71</v>
      </c>
      <c r="AJ1041">
        <v>15</v>
      </c>
      <c r="AK1041" t="str">
        <f t="shared" si="249"/>
        <v>13-15%</v>
      </c>
      <c r="AL1041">
        <v>3</v>
      </c>
      <c r="AM1041" t="s">
        <v>68</v>
      </c>
      <c r="AN1041">
        <v>4</v>
      </c>
      <c r="AO1041" t="s">
        <v>65</v>
      </c>
      <c r="AP1041">
        <v>80</v>
      </c>
      <c r="AQ1041">
        <v>0</v>
      </c>
      <c r="AR1041">
        <v>2</v>
      </c>
      <c r="AS1041" t="str">
        <f t="shared" si="250"/>
        <v>0-2</v>
      </c>
      <c r="AT1041">
        <v>0</v>
      </c>
      <c r="AU1041" t="str">
        <f t="shared" si="251"/>
        <v>0-2</v>
      </c>
      <c r="AV1041">
        <v>3</v>
      </c>
      <c r="AW1041" t="s">
        <v>79</v>
      </c>
      <c r="AX1041">
        <v>2</v>
      </c>
      <c r="AY1041" t="str">
        <f t="shared" si="240"/>
        <v>2-5</v>
      </c>
      <c r="AZ1041">
        <v>2</v>
      </c>
      <c r="BA1041" t="str">
        <f t="shared" si="252"/>
        <v>2-5</v>
      </c>
      <c r="BB1041">
        <v>2</v>
      </c>
      <c r="BC1041" t="str">
        <f t="shared" si="253"/>
        <v>2-5</v>
      </c>
      <c r="BD1041">
        <v>2</v>
      </c>
      <c r="BE1041" t="str">
        <f t="shared" si="254"/>
        <v>2-5</v>
      </c>
    </row>
    <row r="1042" spans="1:57" x14ac:dyDescent="0.3">
      <c r="A1042">
        <v>1468</v>
      </c>
      <c r="B1042">
        <v>40</v>
      </c>
      <c r="C1042" t="str">
        <f t="shared" si="241"/>
        <v>36-45</v>
      </c>
      <c r="D1042" t="s">
        <v>71</v>
      </c>
      <c r="E1042">
        <f t="shared" si="242"/>
        <v>0</v>
      </c>
      <c r="F1042" t="s">
        <v>89</v>
      </c>
      <c r="G1042">
        <v>218</v>
      </c>
      <c r="H1042" t="str">
        <f t="shared" si="243"/>
        <v>102-500</v>
      </c>
      <c r="I1042" t="s">
        <v>73</v>
      </c>
      <c r="J1042">
        <v>8</v>
      </c>
      <c r="K1042" t="str">
        <f t="shared" si="244"/>
        <v>6-10</v>
      </c>
      <c r="L1042">
        <v>1</v>
      </c>
      <c r="M1042" t="s">
        <v>74</v>
      </c>
      <c r="N1042" t="s">
        <v>83</v>
      </c>
      <c r="O1042">
        <v>1</v>
      </c>
      <c r="P1042">
        <v>4</v>
      </c>
      <c r="Q1042" t="s">
        <v>65</v>
      </c>
      <c r="R1042" t="s">
        <v>75</v>
      </c>
      <c r="S1042">
        <v>55</v>
      </c>
      <c r="T1042" t="str">
        <f t="shared" si="245"/>
        <v>51-75</v>
      </c>
      <c r="U1042">
        <v>2</v>
      </c>
      <c r="V1042" t="s">
        <v>61</v>
      </c>
      <c r="W1042">
        <v>3</v>
      </c>
      <c r="X1042" t="s">
        <v>92</v>
      </c>
      <c r="Y1042">
        <v>2</v>
      </c>
      <c r="Z1042" t="s">
        <v>61</v>
      </c>
      <c r="AA1042" t="s">
        <v>86</v>
      </c>
      <c r="AB1042" s="4">
        <v>13757</v>
      </c>
      <c r="AC1042" s="4" t="str">
        <f t="shared" si="246"/>
        <v>$13,000-$14,500</v>
      </c>
      <c r="AD1042">
        <v>25178</v>
      </c>
      <c r="AE1042" t="str">
        <f t="shared" si="247"/>
        <v>$22,001-$26,999</v>
      </c>
      <c r="AF1042">
        <v>2</v>
      </c>
      <c r="AG1042" t="str">
        <f t="shared" si="248"/>
        <v>2-3</v>
      </c>
      <c r="AH1042" t="s">
        <v>67</v>
      </c>
      <c r="AI1042" t="s">
        <v>71</v>
      </c>
      <c r="AJ1042">
        <v>11</v>
      </c>
      <c r="AK1042" t="str">
        <f t="shared" si="249"/>
        <v>11-12%</v>
      </c>
      <c r="AL1042">
        <v>3</v>
      </c>
      <c r="AM1042" t="s">
        <v>68</v>
      </c>
      <c r="AN1042">
        <v>3</v>
      </c>
      <c r="AO1042" t="s">
        <v>63</v>
      </c>
      <c r="AP1042">
        <v>80</v>
      </c>
      <c r="AQ1042">
        <v>1</v>
      </c>
      <c r="AR1042">
        <v>16</v>
      </c>
      <c r="AS1042" t="str">
        <f t="shared" si="250"/>
        <v>11-20</v>
      </c>
      <c r="AT1042">
        <v>5</v>
      </c>
      <c r="AU1042" t="str">
        <f t="shared" si="251"/>
        <v>5-6</v>
      </c>
      <c r="AV1042">
        <v>3</v>
      </c>
      <c r="AW1042" t="s">
        <v>79</v>
      </c>
      <c r="AX1042">
        <v>9</v>
      </c>
      <c r="AY1042" t="str">
        <f t="shared" si="240"/>
        <v>6-10</v>
      </c>
      <c r="AZ1042">
        <v>8</v>
      </c>
      <c r="BA1042" t="str">
        <f t="shared" si="252"/>
        <v>6-10</v>
      </c>
      <c r="BB1042">
        <v>4</v>
      </c>
      <c r="BC1042" t="str">
        <f t="shared" si="253"/>
        <v>2-5</v>
      </c>
      <c r="BD1042">
        <v>8</v>
      </c>
      <c r="BE1042" t="str">
        <f t="shared" si="254"/>
        <v>6-10</v>
      </c>
    </row>
    <row r="1043" spans="1:57" x14ac:dyDescent="0.3">
      <c r="A1043">
        <v>1469</v>
      </c>
      <c r="B1043">
        <v>28</v>
      </c>
      <c r="C1043" t="str">
        <f t="shared" si="241"/>
        <v>26-35</v>
      </c>
      <c r="D1043" t="s">
        <v>71</v>
      </c>
      <c r="E1043">
        <f t="shared" si="242"/>
        <v>0</v>
      </c>
      <c r="F1043" t="s">
        <v>57</v>
      </c>
      <c r="G1043">
        <v>866</v>
      </c>
      <c r="H1043" t="str">
        <f t="shared" si="243"/>
        <v>501-1000</v>
      </c>
      <c r="I1043" t="s">
        <v>58</v>
      </c>
      <c r="J1043">
        <v>5</v>
      </c>
      <c r="K1043" t="str">
        <f t="shared" si="244"/>
        <v>1-5</v>
      </c>
      <c r="L1043">
        <v>3</v>
      </c>
      <c r="M1043" t="s">
        <v>85</v>
      </c>
      <c r="N1043" t="s">
        <v>83</v>
      </c>
      <c r="O1043">
        <v>1</v>
      </c>
      <c r="P1043">
        <v>4</v>
      </c>
      <c r="Q1043" t="s">
        <v>65</v>
      </c>
      <c r="R1043" t="s">
        <v>75</v>
      </c>
      <c r="S1043">
        <v>84</v>
      </c>
      <c r="T1043" t="str">
        <f t="shared" si="245"/>
        <v>76-100</v>
      </c>
      <c r="U1043">
        <v>3</v>
      </c>
      <c r="V1043" t="s">
        <v>63</v>
      </c>
      <c r="W1043">
        <v>2</v>
      </c>
      <c r="X1043" t="s">
        <v>64</v>
      </c>
      <c r="Y1043">
        <v>1</v>
      </c>
      <c r="Z1043" t="s">
        <v>69</v>
      </c>
      <c r="AA1043" t="s">
        <v>66</v>
      </c>
      <c r="AB1043" s="4">
        <v>8463</v>
      </c>
      <c r="AC1043" s="4" t="str">
        <f t="shared" si="246"/>
        <v>$7,000-$8,500</v>
      </c>
      <c r="AD1043">
        <v>23490</v>
      </c>
      <c r="AE1043" t="str">
        <f t="shared" si="247"/>
        <v>$22,001-$26,999</v>
      </c>
      <c r="AF1043">
        <v>0</v>
      </c>
      <c r="AG1043" t="str">
        <f t="shared" si="248"/>
        <v>0-1</v>
      </c>
      <c r="AH1043" t="s">
        <v>67</v>
      </c>
      <c r="AI1043" t="s">
        <v>71</v>
      </c>
      <c r="AJ1043">
        <v>18</v>
      </c>
      <c r="AK1043" t="str">
        <f t="shared" si="249"/>
        <v>18-19%</v>
      </c>
      <c r="AL1043">
        <v>3</v>
      </c>
      <c r="AM1043" t="s">
        <v>68</v>
      </c>
      <c r="AN1043">
        <v>4</v>
      </c>
      <c r="AO1043" t="s">
        <v>65</v>
      </c>
      <c r="AP1043">
        <v>80</v>
      </c>
      <c r="AQ1043">
        <v>0</v>
      </c>
      <c r="AR1043">
        <v>6</v>
      </c>
      <c r="AS1043" t="str">
        <f t="shared" si="250"/>
        <v>6-10</v>
      </c>
      <c r="AT1043">
        <v>4</v>
      </c>
      <c r="AU1043" t="str">
        <f t="shared" si="251"/>
        <v>3-4</v>
      </c>
      <c r="AV1043">
        <v>3</v>
      </c>
      <c r="AW1043" t="s">
        <v>79</v>
      </c>
      <c r="AX1043">
        <v>5</v>
      </c>
      <c r="AY1043" t="str">
        <f t="shared" si="240"/>
        <v>2-5</v>
      </c>
      <c r="AZ1043">
        <v>4</v>
      </c>
      <c r="BA1043" t="str">
        <f t="shared" si="252"/>
        <v>2-5</v>
      </c>
      <c r="BB1043">
        <v>1</v>
      </c>
      <c r="BC1043" t="str">
        <f t="shared" si="253"/>
        <v>0-1</v>
      </c>
      <c r="BD1043">
        <v>3</v>
      </c>
      <c r="BE1043" t="str">
        <f t="shared" si="254"/>
        <v>2-5</v>
      </c>
    </row>
    <row r="1044" spans="1:57" x14ac:dyDescent="0.3">
      <c r="A1044">
        <v>1471</v>
      </c>
      <c r="B1044">
        <v>44</v>
      </c>
      <c r="C1044" t="str">
        <f t="shared" si="241"/>
        <v>36-45</v>
      </c>
      <c r="D1044" t="s">
        <v>71</v>
      </c>
      <c r="E1044">
        <f t="shared" si="242"/>
        <v>0</v>
      </c>
      <c r="F1044" t="s">
        <v>89</v>
      </c>
      <c r="G1044">
        <v>981</v>
      </c>
      <c r="H1044" t="str">
        <f t="shared" si="243"/>
        <v>501-1000</v>
      </c>
      <c r="I1044" t="s">
        <v>73</v>
      </c>
      <c r="J1044">
        <v>5</v>
      </c>
      <c r="K1044" t="str">
        <f t="shared" si="244"/>
        <v>1-5</v>
      </c>
      <c r="L1044">
        <v>3</v>
      </c>
      <c r="M1044" t="s">
        <v>85</v>
      </c>
      <c r="N1044" t="s">
        <v>60</v>
      </c>
      <c r="O1044">
        <v>1</v>
      </c>
      <c r="P1044">
        <v>3</v>
      </c>
      <c r="Q1044" t="s">
        <v>63</v>
      </c>
      <c r="R1044" t="s">
        <v>75</v>
      </c>
      <c r="S1044">
        <v>90</v>
      </c>
      <c r="T1044" t="str">
        <f t="shared" si="245"/>
        <v>76-100</v>
      </c>
      <c r="U1044">
        <v>2</v>
      </c>
      <c r="V1044" t="s">
        <v>61</v>
      </c>
      <c r="W1044">
        <v>1</v>
      </c>
      <c r="X1044" t="s">
        <v>81</v>
      </c>
      <c r="Y1044">
        <v>3</v>
      </c>
      <c r="Z1044" t="s">
        <v>63</v>
      </c>
      <c r="AA1044" t="s">
        <v>66</v>
      </c>
      <c r="AB1044" s="4">
        <v>3162</v>
      </c>
      <c r="AC1044" s="4" t="str">
        <f t="shared" si="246"/>
        <v>$2,500-$4,000</v>
      </c>
      <c r="AD1044">
        <v>7973</v>
      </c>
      <c r="AE1044" t="str">
        <f t="shared" si="247"/>
        <v>$2,094-$8,000</v>
      </c>
      <c r="AF1044">
        <v>3</v>
      </c>
      <c r="AG1044" t="str">
        <f t="shared" si="248"/>
        <v>2-3</v>
      </c>
      <c r="AH1044" t="s">
        <v>67</v>
      </c>
      <c r="AI1044" t="s">
        <v>71</v>
      </c>
      <c r="AJ1044">
        <v>14</v>
      </c>
      <c r="AK1044" t="str">
        <f t="shared" si="249"/>
        <v>13-15%</v>
      </c>
      <c r="AL1044">
        <v>3</v>
      </c>
      <c r="AM1044" t="s">
        <v>68</v>
      </c>
      <c r="AN1044">
        <v>4</v>
      </c>
      <c r="AO1044" t="s">
        <v>65</v>
      </c>
      <c r="AP1044">
        <v>80</v>
      </c>
      <c r="AQ1044">
        <v>0</v>
      </c>
      <c r="AR1044">
        <v>7</v>
      </c>
      <c r="AS1044" t="str">
        <f t="shared" si="250"/>
        <v>6-10</v>
      </c>
      <c r="AT1044">
        <v>5</v>
      </c>
      <c r="AU1044" t="str">
        <f t="shared" si="251"/>
        <v>5-6</v>
      </c>
      <c r="AV1044">
        <v>3</v>
      </c>
      <c r="AW1044" t="s">
        <v>79</v>
      </c>
      <c r="AX1044">
        <v>5</v>
      </c>
      <c r="AY1044" t="str">
        <f t="shared" si="240"/>
        <v>2-5</v>
      </c>
      <c r="AZ1044">
        <v>2</v>
      </c>
      <c r="BA1044" t="str">
        <f t="shared" si="252"/>
        <v>2-5</v>
      </c>
      <c r="BB1044">
        <v>0</v>
      </c>
      <c r="BC1044" t="str">
        <f t="shared" si="253"/>
        <v>0-1</v>
      </c>
      <c r="BD1044">
        <v>3</v>
      </c>
      <c r="BE1044" t="str">
        <f t="shared" si="254"/>
        <v>2-5</v>
      </c>
    </row>
    <row r="1045" spans="1:57" x14ac:dyDescent="0.3">
      <c r="A1045">
        <v>1472</v>
      </c>
      <c r="B1045">
        <v>53</v>
      </c>
      <c r="C1045" t="str">
        <f t="shared" si="241"/>
        <v>46-55</v>
      </c>
      <c r="D1045" t="s">
        <v>71</v>
      </c>
      <c r="E1045">
        <f t="shared" si="242"/>
        <v>0</v>
      </c>
      <c r="F1045" t="s">
        <v>57</v>
      </c>
      <c r="G1045">
        <v>447</v>
      </c>
      <c r="H1045" t="str">
        <f t="shared" si="243"/>
        <v>102-500</v>
      </c>
      <c r="I1045" t="s">
        <v>73</v>
      </c>
      <c r="J1045">
        <v>2</v>
      </c>
      <c r="K1045" t="str">
        <f t="shared" si="244"/>
        <v>1-5</v>
      </c>
      <c r="L1045">
        <v>3</v>
      </c>
      <c r="M1045" t="s">
        <v>85</v>
      </c>
      <c r="N1045" t="s">
        <v>83</v>
      </c>
      <c r="O1045">
        <v>1</v>
      </c>
      <c r="P1045">
        <v>4</v>
      </c>
      <c r="Q1045" t="s">
        <v>65</v>
      </c>
      <c r="R1045" t="s">
        <v>75</v>
      </c>
      <c r="S1045">
        <v>39</v>
      </c>
      <c r="T1045" t="str">
        <f t="shared" si="245"/>
        <v>30-50</v>
      </c>
      <c r="U1045">
        <v>4</v>
      </c>
      <c r="V1045" t="s">
        <v>65</v>
      </c>
      <c r="W1045">
        <v>4</v>
      </c>
      <c r="X1045" t="s">
        <v>92</v>
      </c>
      <c r="Y1045">
        <v>2</v>
      </c>
      <c r="Z1045" t="s">
        <v>61</v>
      </c>
      <c r="AA1045" t="s">
        <v>66</v>
      </c>
      <c r="AB1045" s="4">
        <v>16598</v>
      </c>
      <c r="AC1045" s="4" t="str">
        <f t="shared" si="246"/>
        <v>$16,000-$17,500</v>
      </c>
      <c r="AD1045">
        <v>19764</v>
      </c>
      <c r="AE1045" t="str">
        <f t="shared" si="247"/>
        <v>$16,001-$22,000</v>
      </c>
      <c r="AF1045">
        <v>4</v>
      </c>
      <c r="AG1045" t="str">
        <f t="shared" si="248"/>
        <v>4-6</v>
      </c>
      <c r="AH1045" t="s">
        <v>67</v>
      </c>
      <c r="AI1045" t="s">
        <v>71</v>
      </c>
      <c r="AJ1045">
        <v>12</v>
      </c>
      <c r="AK1045" t="str">
        <f t="shared" si="249"/>
        <v>11-12%</v>
      </c>
      <c r="AL1045">
        <v>3</v>
      </c>
      <c r="AM1045" t="s">
        <v>68</v>
      </c>
      <c r="AN1045">
        <v>2</v>
      </c>
      <c r="AO1045" t="s">
        <v>61</v>
      </c>
      <c r="AP1045">
        <v>80</v>
      </c>
      <c r="AQ1045">
        <v>0</v>
      </c>
      <c r="AR1045">
        <v>35</v>
      </c>
      <c r="AS1045" t="str">
        <f t="shared" si="250"/>
        <v>21-40</v>
      </c>
      <c r="AT1045">
        <v>2</v>
      </c>
      <c r="AU1045" t="str">
        <f t="shared" si="251"/>
        <v>0-2</v>
      </c>
      <c r="AV1045">
        <v>2</v>
      </c>
      <c r="AW1045" t="s">
        <v>84</v>
      </c>
      <c r="AX1045">
        <v>9</v>
      </c>
      <c r="AY1045" t="str">
        <f t="shared" si="240"/>
        <v>6-10</v>
      </c>
      <c r="AZ1045">
        <v>8</v>
      </c>
      <c r="BA1045" t="str">
        <f t="shared" si="252"/>
        <v>6-10</v>
      </c>
      <c r="BB1045">
        <v>8</v>
      </c>
      <c r="BC1045" t="str">
        <f t="shared" si="253"/>
        <v>6-10</v>
      </c>
      <c r="BD1045">
        <v>8</v>
      </c>
      <c r="BE1045" t="str">
        <f t="shared" si="254"/>
        <v>6-10</v>
      </c>
    </row>
    <row r="1046" spans="1:57" x14ac:dyDescent="0.3">
      <c r="A1046">
        <v>1473</v>
      </c>
      <c r="B1046">
        <v>49</v>
      </c>
      <c r="C1046" t="str">
        <f t="shared" si="241"/>
        <v>46-55</v>
      </c>
      <c r="D1046" t="s">
        <v>71</v>
      </c>
      <c r="E1046">
        <f t="shared" si="242"/>
        <v>0</v>
      </c>
      <c r="F1046" t="s">
        <v>57</v>
      </c>
      <c r="G1046">
        <v>1495</v>
      </c>
      <c r="H1046" t="str">
        <f t="shared" si="243"/>
        <v>1001-1499</v>
      </c>
      <c r="I1046" t="s">
        <v>73</v>
      </c>
      <c r="J1046">
        <v>5</v>
      </c>
      <c r="K1046" t="str">
        <f t="shared" si="244"/>
        <v>1-5</v>
      </c>
      <c r="L1046">
        <v>4</v>
      </c>
      <c r="M1046" t="s">
        <v>82</v>
      </c>
      <c r="N1046" t="s">
        <v>95</v>
      </c>
      <c r="O1046">
        <v>1</v>
      </c>
      <c r="P1046">
        <v>1</v>
      </c>
      <c r="Q1046" t="s">
        <v>69</v>
      </c>
      <c r="R1046" t="s">
        <v>75</v>
      </c>
      <c r="S1046">
        <v>96</v>
      </c>
      <c r="T1046" t="str">
        <f t="shared" si="245"/>
        <v>76-100</v>
      </c>
      <c r="U1046">
        <v>3</v>
      </c>
      <c r="V1046" t="s">
        <v>63</v>
      </c>
      <c r="W1046">
        <v>2</v>
      </c>
      <c r="X1046" t="s">
        <v>88</v>
      </c>
      <c r="Y1046">
        <v>3</v>
      </c>
      <c r="Z1046" t="s">
        <v>63</v>
      </c>
      <c r="AA1046" t="s">
        <v>77</v>
      </c>
      <c r="AB1046" s="4">
        <v>6651</v>
      </c>
      <c r="AC1046" s="4" t="str">
        <f t="shared" si="246"/>
        <v>$5,500-$7,000</v>
      </c>
      <c r="AD1046">
        <v>21534</v>
      </c>
      <c r="AE1046" t="str">
        <f t="shared" si="247"/>
        <v>$16,001-$22,000</v>
      </c>
      <c r="AF1046">
        <v>2</v>
      </c>
      <c r="AG1046" t="str">
        <f t="shared" si="248"/>
        <v>2-3</v>
      </c>
      <c r="AH1046" t="s">
        <v>67</v>
      </c>
      <c r="AI1046" t="s">
        <v>71</v>
      </c>
      <c r="AJ1046">
        <v>14</v>
      </c>
      <c r="AK1046" t="str">
        <f t="shared" si="249"/>
        <v>13-15%</v>
      </c>
      <c r="AL1046">
        <v>3</v>
      </c>
      <c r="AM1046" t="s">
        <v>68</v>
      </c>
      <c r="AN1046">
        <v>2</v>
      </c>
      <c r="AO1046" t="s">
        <v>61</v>
      </c>
      <c r="AP1046">
        <v>80</v>
      </c>
      <c r="AQ1046">
        <v>1</v>
      </c>
      <c r="AR1046">
        <v>20</v>
      </c>
      <c r="AS1046" t="str">
        <f t="shared" si="250"/>
        <v>11-20</v>
      </c>
      <c r="AT1046">
        <v>0</v>
      </c>
      <c r="AU1046" t="str">
        <f t="shared" si="251"/>
        <v>0-2</v>
      </c>
      <c r="AV1046">
        <v>2</v>
      </c>
      <c r="AW1046" t="s">
        <v>84</v>
      </c>
      <c r="AX1046">
        <v>3</v>
      </c>
      <c r="AY1046" t="str">
        <f t="shared" si="240"/>
        <v>2-5</v>
      </c>
      <c r="AZ1046">
        <v>2</v>
      </c>
      <c r="BA1046" t="str">
        <f t="shared" si="252"/>
        <v>2-5</v>
      </c>
      <c r="BB1046">
        <v>1</v>
      </c>
      <c r="BC1046" t="str">
        <f t="shared" si="253"/>
        <v>0-1</v>
      </c>
      <c r="BD1046">
        <v>2</v>
      </c>
      <c r="BE1046" t="str">
        <f t="shared" si="254"/>
        <v>2-5</v>
      </c>
    </row>
    <row r="1047" spans="1:57" x14ac:dyDescent="0.3">
      <c r="A1047">
        <v>1474</v>
      </c>
      <c r="B1047">
        <v>40</v>
      </c>
      <c r="C1047" t="str">
        <f t="shared" si="241"/>
        <v>36-45</v>
      </c>
      <c r="D1047" t="s">
        <v>71</v>
      </c>
      <c r="E1047">
        <f t="shared" si="242"/>
        <v>0</v>
      </c>
      <c r="F1047" t="s">
        <v>57</v>
      </c>
      <c r="G1047">
        <v>896</v>
      </c>
      <c r="H1047" t="str">
        <f t="shared" si="243"/>
        <v>501-1000</v>
      </c>
      <c r="I1047" t="s">
        <v>73</v>
      </c>
      <c r="J1047">
        <v>2</v>
      </c>
      <c r="K1047" t="str">
        <f t="shared" si="244"/>
        <v>1-5</v>
      </c>
      <c r="L1047">
        <v>3</v>
      </c>
      <c r="M1047" t="s">
        <v>85</v>
      </c>
      <c r="N1047" t="s">
        <v>83</v>
      </c>
      <c r="O1047">
        <v>1</v>
      </c>
      <c r="P1047">
        <v>3</v>
      </c>
      <c r="Q1047" t="s">
        <v>63</v>
      </c>
      <c r="R1047" t="s">
        <v>75</v>
      </c>
      <c r="S1047">
        <v>68</v>
      </c>
      <c r="T1047" t="str">
        <f t="shared" si="245"/>
        <v>51-75</v>
      </c>
      <c r="U1047">
        <v>3</v>
      </c>
      <c r="V1047" t="s">
        <v>63</v>
      </c>
      <c r="W1047">
        <v>1</v>
      </c>
      <c r="X1047" t="s">
        <v>76</v>
      </c>
      <c r="Y1047">
        <v>3</v>
      </c>
      <c r="Z1047" t="s">
        <v>63</v>
      </c>
      <c r="AA1047" t="s">
        <v>86</v>
      </c>
      <c r="AB1047" s="4">
        <v>2345</v>
      </c>
      <c r="AC1047" s="4" t="str">
        <f t="shared" si="246"/>
        <v>$1,000-$2,500</v>
      </c>
      <c r="AD1047">
        <v>8045</v>
      </c>
      <c r="AE1047" t="str">
        <f t="shared" si="247"/>
        <v>$8,001-$16,000</v>
      </c>
      <c r="AF1047">
        <v>2</v>
      </c>
      <c r="AG1047" t="str">
        <f t="shared" si="248"/>
        <v>2-3</v>
      </c>
      <c r="AH1047" t="s">
        <v>67</v>
      </c>
      <c r="AI1047" t="s">
        <v>71</v>
      </c>
      <c r="AJ1047">
        <v>14</v>
      </c>
      <c r="AK1047" t="str">
        <f t="shared" si="249"/>
        <v>13-15%</v>
      </c>
      <c r="AL1047">
        <v>3</v>
      </c>
      <c r="AM1047" t="s">
        <v>68</v>
      </c>
      <c r="AN1047">
        <v>3</v>
      </c>
      <c r="AO1047" t="s">
        <v>63</v>
      </c>
      <c r="AP1047">
        <v>80</v>
      </c>
      <c r="AQ1047">
        <v>1</v>
      </c>
      <c r="AR1047">
        <v>8</v>
      </c>
      <c r="AS1047" t="str">
        <f t="shared" si="250"/>
        <v>6-10</v>
      </c>
      <c r="AT1047">
        <v>3</v>
      </c>
      <c r="AU1047" t="str">
        <f t="shared" si="251"/>
        <v>3-4</v>
      </c>
      <c r="AV1047">
        <v>4</v>
      </c>
      <c r="AW1047" t="s">
        <v>94</v>
      </c>
      <c r="AX1047">
        <v>3</v>
      </c>
      <c r="AY1047" t="str">
        <f t="shared" si="240"/>
        <v>2-5</v>
      </c>
      <c r="AZ1047">
        <v>1</v>
      </c>
      <c r="BA1047" t="str">
        <f t="shared" si="252"/>
        <v>0-1</v>
      </c>
      <c r="BB1047">
        <v>1</v>
      </c>
      <c r="BC1047" t="str">
        <f t="shared" si="253"/>
        <v>0-1</v>
      </c>
      <c r="BD1047">
        <v>2</v>
      </c>
      <c r="BE1047" t="str">
        <f t="shared" si="254"/>
        <v>2-5</v>
      </c>
    </row>
    <row r="1048" spans="1:57" x14ac:dyDescent="0.3">
      <c r="A1048">
        <v>1475</v>
      </c>
      <c r="B1048">
        <v>44</v>
      </c>
      <c r="C1048" t="str">
        <f t="shared" si="241"/>
        <v>36-45</v>
      </c>
      <c r="D1048" t="s">
        <v>71</v>
      </c>
      <c r="E1048">
        <f t="shared" si="242"/>
        <v>0</v>
      </c>
      <c r="F1048" t="s">
        <v>57</v>
      </c>
      <c r="G1048">
        <v>1467</v>
      </c>
      <c r="H1048" t="str">
        <f t="shared" si="243"/>
        <v>1001-1499</v>
      </c>
      <c r="I1048" t="s">
        <v>73</v>
      </c>
      <c r="J1048">
        <v>20</v>
      </c>
      <c r="K1048" t="str">
        <f t="shared" si="244"/>
        <v>11-20</v>
      </c>
      <c r="L1048">
        <v>3</v>
      </c>
      <c r="M1048" t="s">
        <v>85</v>
      </c>
      <c r="N1048" t="s">
        <v>60</v>
      </c>
      <c r="O1048">
        <v>1</v>
      </c>
      <c r="P1048">
        <v>4</v>
      </c>
      <c r="Q1048" t="s">
        <v>65</v>
      </c>
      <c r="R1048" t="s">
        <v>75</v>
      </c>
      <c r="S1048">
        <v>49</v>
      </c>
      <c r="T1048" t="str">
        <f t="shared" si="245"/>
        <v>30-50</v>
      </c>
      <c r="U1048">
        <v>3</v>
      </c>
      <c r="V1048" t="s">
        <v>63</v>
      </c>
      <c r="W1048">
        <v>1</v>
      </c>
      <c r="X1048" t="s">
        <v>76</v>
      </c>
      <c r="Y1048">
        <v>2</v>
      </c>
      <c r="Z1048" t="s">
        <v>61</v>
      </c>
      <c r="AA1048" t="s">
        <v>66</v>
      </c>
      <c r="AB1048" s="4">
        <v>3420</v>
      </c>
      <c r="AC1048" s="4" t="str">
        <f t="shared" si="246"/>
        <v>$2,500-$4,000</v>
      </c>
      <c r="AD1048">
        <v>21158</v>
      </c>
      <c r="AE1048" t="str">
        <f t="shared" si="247"/>
        <v>$16,001-$22,000</v>
      </c>
      <c r="AF1048">
        <v>1</v>
      </c>
      <c r="AG1048" t="str">
        <f t="shared" si="248"/>
        <v>0-1</v>
      </c>
      <c r="AH1048" t="s">
        <v>67</v>
      </c>
      <c r="AI1048" t="s">
        <v>71</v>
      </c>
      <c r="AJ1048">
        <v>13</v>
      </c>
      <c r="AK1048" t="str">
        <f t="shared" si="249"/>
        <v>13-15%</v>
      </c>
      <c r="AL1048">
        <v>3</v>
      </c>
      <c r="AM1048" t="s">
        <v>68</v>
      </c>
      <c r="AN1048">
        <v>3</v>
      </c>
      <c r="AO1048" t="s">
        <v>63</v>
      </c>
      <c r="AP1048">
        <v>80</v>
      </c>
      <c r="AQ1048">
        <v>0</v>
      </c>
      <c r="AR1048">
        <v>6</v>
      </c>
      <c r="AS1048" t="str">
        <f t="shared" si="250"/>
        <v>6-10</v>
      </c>
      <c r="AT1048">
        <v>3</v>
      </c>
      <c r="AU1048" t="str">
        <f t="shared" si="251"/>
        <v>3-4</v>
      </c>
      <c r="AV1048">
        <v>2</v>
      </c>
      <c r="AW1048" t="s">
        <v>84</v>
      </c>
      <c r="AX1048">
        <v>5</v>
      </c>
      <c r="AY1048" t="str">
        <f t="shared" si="240"/>
        <v>2-5</v>
      </c>
      <c r="AZ1048">
        <v>2</v>
      </c>
      <c r="BA1048" t="str">
        <f t="shared" si="252"/>
        <v>2-5</v>
      </c>
      <c r="BB1048">
        <v>1</v>
      </c>
      <c r="BC1048" t="str">
        <f t="shared" si="253"/>
        <v>0-1</v>
      </c>
      <c r="BD1048">
        <v>3</v>
      </c>
      <c r="BE1048" t="str">
        <f t="shared" si="254"/>
        <v>2-5</v>
      </c>
    </row>
    <row r="1049" spans="1:57" x14ac:dyDescent="0.3">
      <c r="A1049">
        <v>1477</v>
      </c>
      <c r="B1049">
        <v>33</v>
      </c>
      <c r="C1049" t="str">
        <f t="shared" si="241"/>
        <v>26-35</v>
      </c>
      <c r="D1049" t="s">
        <v>71</v>
      </c>
      <c r="E1049">
        <f t="shared" si="242"/>
        <v>0</v>
      </c>
      <c r="F1049" t="s">
        <v>72</v>
      </c>
      <c r="G1049">
        <v>430</v>
      </c>
      <c r="H1049" t="str">
        <f t="shared" si="243"/>
        <v>102-500</v>
      </c>
      <c r="I1049" t="s">
        <v>58</v>
      </c>
      <c r="J1049">
        <v>7</v>
      </c>
      <c r="K1049" t="str">
        <f t="shared" si="244"/>
        <v>6-10</v>
      </c>
      <c r="L1049">
        <v>3</v>
      </c>
      <c r="M1049" t="s">
        <v>85</v>
      </c>
      <c r="N1049" t="s">
        <v>83</v>
      </c>
      <c r="O1049">
        <v>1</v>
      </c>
      <c r="P1049">
        <v>4</v>
      </c>
      <c r="Q1049" t="s">
        <v>65</v>
      </c>
      <c r="R1049" t="s">
        <v>75</v>
      </c>
      <c r="S1049">
        <v>54</v>
      </c>
      <c r="T1049" t="str">
        <f t="shared" si="245"/>
        <v>51-75</v>
      </c>
      <c r="U1049">
        <v>3</v>
      </c>
      <c r="V1049" t="s">
        <v>63</v>
      </c>
      <c r="W1049">
        <v>2</v>
      </c>
      <c r="X1049" t="s">
        <v>64</v>
      </c>
      <c r="Y1049">
        <v>1</v>
      </c>
      <c r="Z1049" t="s">
        <v>69</v>
      </c>
      <c r="AA1049" t="s">
        <v>77</v>
      </c>
      <c r="AB1049" s="4">
        <v>4373</v>
      </c>
      <c r="AC1049" s="4" t="str">
        <f t="shared" si="246"/>
        <v>$4,000-$5,500</v>
      </c>
      <c r="AD1049">
        <v>17456</v>
      </c>
      <c r="AE1049" t="str">
        <f t="shared" si="247"/>
        <v>$16,001-$22,000</v>
      </c>
      <c r="AF1049">
        <v>0</v>
      </c>
      <c r="AG1049" t="str">
        <f t="shared" si="248"/>
        <v>0-1</v>
      </c>
      <c r="AH1049" t="s">
        <v>67</v>
      </c>
      <c r="AI1049" t="s">
        <v>71</v>
      </c>
      <c r="AJ1049">
        <v>14</v>
      </c>
      <c r="AK1049" t="str">
        <f t="shared" si="249"/>
        <v>13-15%</v>
      </c>
      <c r="AL1049">
        <v>3</v>
      </c>
      <c r="AM1049" t="s">
        <v>68</v>
      </c>
      <c r="AN1049">
        <v>1</v>
      </c>
      <c r="AO1049" t="s">
        <v>69</v>
      </c>
      <c r="AP1049">
        <v>80</v>
      </c>
      <c r="AQ1049">
        <v>2</v>
      </c>
      <c r="AR1049">
        <v>5</v>
      </c>
      <c r="AS1049" t="str">
        <f t="shared" si="250"/>
        <v>3-5</v>
      </c>
      <c r="AT1049">
        <v>2</v>
      </c>
      <c r="AU1049" t="str">
        <f t="shared" si="251"/>
        <v>0-2</v>
      </c>
      <c r="AV1049">
        <v>3</v>
      </c>
      <c r="AW1049" t="s">
        <v>79</v>
      </c>
      <c r="AX1049">
        <v>4</v>
      </c>
      <c r="AY1049" t="str">
        <f t="shared" si="240"/>
        <v>2-5</v>
      </c>
      <c r="AZ1049">
        <v>3</v>
      </c>
      <c r="BA1049" t="str">
        <f t="shared" si="252"/>
        <v>2-5</v>
      </c>
      <c r="BB1049">
        <v>0</v>
      </c>
      <c r="BC1049" t="str">
        <f t="shared" si="253"/>
        <v>0-1</v>
      </c>
      <c r="BD1049">
        <v>3</v>
      </c>
      <c r="BE1049" t="str">
        <f t="shared" si="254"/>
        <v>2-5</v>
      </c>
    </row>
    <row r="1050" spans="1:57" x14ac:dyDescent="0.3">
      <c r="A1050">
        <v>1478</v>
      </c>
      <c r="B1050">
        <v>34</v>
      </c>
      <c r="C1050" t="str">
        <f t="shared" si="241"/>
        <v>26-35</v>
      </c>
      <c r="D1050" t="s">
        <v>71</v>
      </c>
      <c r="E1050">
        <f t="shared" si="242"/>
        <v>0</v>
      </c>
      <c r="F1050" t="s">
        <v>57</v>
      </c>
      <c r="G1050">
        <v>1326</v>
      </c>
      <c r="H1050" t="str">
        <f t="shared" si="243"/>
        <v>1001-1499</v>
      </c>
      <c r="I1050" t="s">
        <v>58</v>
      </c>
      <c r="J1050">
        <v>3</v>
      </c>
      <c r="K1050" t="str">
        <f t="shared" si="244"/>
        <v>1-5</v>
      </c>
      <c r="L1050">
        <v>3</v>
      </c>
      <c r="M1050" t="s">
        <v>85</v>
      </c>
      <c r="N1050" t="s">
        <v>80</v>
      </c>
      <c r="O1050">
        <v>1</v>
      </c>
      <c r="P1050">
        <v>4</v>
      </c>
      <c r="Q1050" t="s">
        <v>65</v>
      </c>
      <c r="R1050" t="s">
        <v>75</v>
      </c>
      <c r="S1050">
        <v>81</v>
      </c>
      <c r="T1050" t="str">
        <f t="shared" si="245"/>
        <v>76-100</v>
      </c>
      <c r="U1050">
        <v>1</v>
      </c>
      <c r="V1050" t="s">
        <v>69</v>
      </c>
      <c r="W1050">
        <v>2</v>
      </c>
      <c r="X1050" t="s">
        <v>64</v>
      </c>
      <c r="Y1050">
        <v>1</v>
      </c>
      <c r="Z1050" t="s">
        <v>69</v>
      </c>
      <c r="AA1050" t="s">
        <v>66</v>
      </c>
      <c r="AB1050" s="4">
        <v>4759</v>
      </c>
      <c r="AC1050" s="4" t="str">
        <f t="shared" si="246"/>
        <v>$4,000-$5,500</v>
      </c>
      <c r="AD1050">
        <v>15891</v>
      </c>
      <c r="AE1050" t="str">
        <f t="shared" si="247"/>
        <v>$8,001-$16,000</v>
      </c>
      <c r="AF1050">
        <v>3</v>
      </c>
      <c r="AG1050" t="str">
        <f t="shared" si="248"/>
        <v>2-3</v>
      </c>
      <c r="AH1050" t="s">
        <v>67</v>
      </c>
      <c r="AI1050" t="s">
        <v>71</v>
      </c>
      <c r="AJ1050">
        <v>18</v>
      </c>
      <c r="AK1050" t="str">
        <f t="shared" si="249"/>
        <v>18-19%</v>
      </c>
      <c r="AL1050">
        <v>3</v>
      </c>
      <c r="AM1050" t="s">
        <v>68</v>
      </c>
      <c r="AN1050">
        <v>4</v>
      </c>
      <c r="AO1050" t="s">
        <v>65</v>
      </c>
      <c r="AP1050">
        <v>80</v>
      </c>
      <c r="AQ1050">
        <v>0</v>
      </c>
      <c r="AR1050">
        <v>15</v>
      </c>
      <c r="AS1050" t="str">
        <f t="shared" si="250"/>
        <v>11-20</v>
      </c>
      <c r="AT1050">
        <v>2</v>
      </c>
      <c r="AU1050" t="str">
        <f t="shared" si="251"/>
        <v>0-2</v>
      </c>
      <c r="AV1050">
        <v>3</v>
      </c>
      <c r="AW1050" t="s">
        <v>79</v>
      </c>
      <c r="AX1050">
        <v>13</v>
      </c>
      <c r="AY1050" t="str">
        <f t="shared" si="240"/>
        <v>11-20</v>
      </c>
      <c r="AZ1050">
        <v>9</v>
      </c>
      <c r="BA1050" t="str">
        <f t="shared" si="252"/>
        <v>6-10</v>
      </c>
      <c r="BB1050">
        <v>3</v>
      </c>
      <c r="BC1050" t="str">
        <f t="shared" si="253"/>
        <v>2-5</v>
      </c>
      <c r="BD1050">
        <v>12</v>
      </c>
      <c r="BE1050" t="str">
        <f t="shared" si="254"/>
        <v>11-17</v>
      </c>
    </row>
    <row r="1051" spans="1:57" x14ac:dyDescent="0.3">
      <c r="A1051">
        <v>1479</v>
      </c>
      <c r="B1051">
        <v>30</v>
      </c>
      <c r="C1051" t="str">
        <f t="shared" si="241"/>
        <v>26-35</v>
      </c>
      <c r="D1051" t="s">
        <v>71</v>
      </c>
      <c r="E1051">
        <f t="shared" si="242"/>
        <v>0</v>
      </c>
      <c r="F1051" t="s">
        <v>57</v>
      </c>
      <c r="G1051">
        <v>1358</v>
      </c>
      <c r="H1051" t="str">
        <f t="shared" si="243"/>
        <v>1001-1499</v>
      </c>
      <c r="I1051" t="s">
        <v>58</v>
      </c>
      <c r="J1051">
        <v>16</v>
      </c>
      <c r="K1051" t="str">
        <f t="shared" si="244"/>
        <v>11-20</v>
      </c>
      <c r="L1051">
        <v>1</v>
      </c>
      <c r="M1051" t="s">
        <v>74</v>
      </c>
      <c r="N1051" t="s">
        <v>60</v>
      </c>
      <c r="O1051">
        <v>1</v>
      </c>
      <c r="P1051">
        <v>4</v>
      </c>
      <c r="Q1051" t="s">
        <v>65</v>
      </c>
      <c r="R1051" t="s">
        <v>75</v>
      </c>
      <c r="S1051">
        <v>96</v>
      </c>
      <c r="T1051" t="str">
        <f t="shared" si="245"/>
        <v>76-100</v>
      </c>
      <c r="U1051">
        <v>3</v>
      </c>
      <c r="V1051" t="s">
        <v>63</v>
      </c>
      <c r="W1051">
        <v>2</v>
      </c>
      <c r="X1051" t="s">
        <v>64</v>
      </c>
      <c r="Y1051">
        <v>3</v>
      </c>
      <c r="Z1051" t="s">
        <v>63</v>
      </c>
      <c r="AA1051" t="s">
        <v>77</v>
      </c>
      <c r="AB1051" s="4">
        <v>5301</v>
      </c>
      <c r="AC1051" s="4" t="str">
        <f t="shared" si="246"/>
        <v>$4,000-$5,500</v>
      </c>
      <c r="AD1051">
        <v>2939</v>
      </c>
      <c r="AE1051" t="str">
        <f t="shared" si="247"/>
        <v>$2,094-$8,000</v>
      </c>
      <c r="AF1051">
        <v>8</v>
      </c>
      <c r="AG1051" t="str">
        <f t="shared" si="248"/>
        <v>7-9</v>
      </c>
      <c r="AH1051" t="s">
        <v>67</v>
      </c>
      <c r="AI1051" t="s">
        <v>71</v>
      </c>
      <c r="AJ1051">
        <v>15</v>
      </c>
      <c r="AK1051" t="str">
        <f t="shared" si="249"/>
        <v>13-15%</v>
      </c>
      <c r="AL1051">
        <v>3</v>
      </c>
      <c r="AM1051" t="s">
        <v>68</v>
      </c>
      <c r="AN1051">
        <v>3</v>
      </c>
      <c r="AO1051" t="s">
        <v>63</v>
      </c>
      <c r="AP1051">
        <v>80</v>
      </c>
      <c r="AQ1051">
        <v>2</v>
      </c>
      <c r="AR1051">
        <v>4</v>
      </c>
      <c r="AS1051" t="str">
        <f t="shared" si="250"/>
        <v>3-5</v>
      </c>
      <c r="AT1051">
        <v>2</v>
      </c>
      <c r="AU1051" t="str">
        <f t="shared" si="251"/>
        <v>0-2</v>
      </c>
      <c r="AV1051">
        <v>2</v>
      </c>
      <c r="AW1051" t="s">
        <v>84</v>
      </c>
      <c r="AX1051">
        <v>2</v>
      </c>
      <c r="AY1051" t="str">
        <f t="shared" si="240"/>
        <v>2-5</v>
      </c>
      <c r="AZ1051">
        <v>1</v>
      </c>
      <c r="BA1051" t="str">
        <f t="shared" si="252"/>
        <v>0-1</v>
      </c>
      <c r="BB1051">
        <v>2</v>
      </c>
      <c r="BC1051" t="str">
        <f t="shared" si="253"/>
        <v>2-5</v>
      </c>
      <c r="BD1051">
        <v>2</v>
      </c>
      <c r="BE1051" t="str">
        <f t="shared" si="254"/>
        <v>2-5</v>
      </c>
    </row>
    <row r="1052" spans="1:57" x14ac:dyDescent="0.3">
      <c r="A1052">
        <v>1480</v>
      </c>
      <c r="B1052">
        <v>42</v>
      </c>
      <c r="C1052" t="str">
        <f t="shared" si="241"/>
        <v>36-45</v>
      </c>
      <c r="D1052" t="s">
        <v>71</v>
      </c>
      <c r="E1052">
        <f t="shared" si="242"/>
        <v>0</v>
      </c>
      <c r="F1052" t="s">
        <v>72</v>
      </c>
      <c r="G1052">
        <v>748</v>
      </c>
      <c r="H1052" t="str">
        <f t="shared" si="243"/>
        <v>501-1000</v>
      </c>
      <c r="I1052" t="s">
        <v>73</v>
      </c>
      <c r="J1052">
        <v>9</v>
      </c>
      <c r="K1052" t="str">
        <f t="shared" si="244"/>
        <v>6-10</v>
      </c>
      <c r="L1052">
        <v>2</v>
      </c>
      <c r="M1052" t="s">
        <v>59</v>
      </c>
      <c r="N1052" t="s">
        <v>83</v>
      </c>
      <c r="O1052">
        <v>1</v>
      </c>
      <c r="P1052">
        <v>1</v>
      </c>
      <c r="Q1052" t="s">
        <v>69</v>
      </c>
      <c r="R1052" t="s">
        <v>62</v>
      </c>
      <c r="S1052">
        <v>74</v>
      </c>
      <c r="T1052" t="str">
        <f t="shared" si="245"/>
        <v>51-75</v>
      </c>
      <c r="U1052">
        <v>3</v>
      </c>
      <c r="V1052" t="s">
        <v>63</v>
      </c>
      <c r="W1052">
        <v>1</v>
      </c>
      <c r="X1052" t="s">
        <v>81</v>
      </c>
      <c r="Y1052">
        <v>4</v>
      </c>
      <c r="Z1052" t="s">
        <v>65</v>
      </c>
      <c r="AA1052" t="s">
        <v>66</v>
      </c>
      <c r="AB1052" s="4">
        <v>3673</v>
      </c>
      <c r="AC1052" s="4" t="str">
        <f t="shared" si="246"/>
        <v>$2,500-$4,000</v>
      </c>
      <c r="AD1052">
        <v>16458</v>
      </c>
      <c r="AE1052" t="str">
        <f t="shared" si="247"/>
        <v>$16,001-$22,000</v>
      </c>
      <c r="AF1052">
        <v>1</v>
      </c>
      <c r="AG1052" t="str">
        <f t="shared" si="248"/>
        <v>0-1</v>
      </c>
      <c r="AH1052" t="s">
        <v>67</v>
      </c>
      <c r="AI1052" t="s">
        <v>71</v>
      </c>
      <c r="AJ1052">
        <v>13</v>
      </c>
      <c r="AK1052" t="str">
        <f t="shared" si="249"/>
        <v>13-15%</v>
      </c>
      <c r="AL1052">
        <v>3</v>
      </c>
      <c r="AM1052" t="s">
        <v>68</v>
      </c>
      <c r="AN1052">
        <v>3</v>
      </c>
      <c r="AO1052" t="s">
        <v>63</v>
      </c>
      <c r="AP1052">
        <v>80</v>
      </c>
      <c r="AQ1052">
        <v>0</v>
      </c>
      <c r="AR1052">
        <v>12</v>
      </c>
      <c r="AS1052" t="str">
        <f t="shared" si="250"/>
        <v>11-20</v>
      </c>
      <c r="AT1052">
        <v>3</v>
      </c>
      <c r="AU1052" t="str">
        <f t="shared" si="251"/>
        <v>3-4</v>
      </c>
      <c r="AV1052">
        <v>3</v>
      </c>
      <c r="AW1052" t="s">
        <v>79</v>
      </c>
      <c r="AX1052">
        <v>12</v>
      </c>
      <c r="AY1052" t="str">
        <f t="shared" si="240"/>
        <v>11-20</v>
      </c>
      <c r="AZ1052">
        <v>9</v>
      </c>
      <c r="BA1052" t="str">
        <f t="shared" si="252"/>
        <v>6-10</v>
      </c>
      <c r="BB1052">
        <v>5</v>
      </c>
      <c r="BC1052" t="str">
        <f t="shared" si="253"/>
        <v>2-5</v>
      </c>
      <c r="BD1052">
        <v>8</v>
      </c>
      <c r="BE1052" t="str">
        <f t="shared" si="254"/>
        <v>6-10</v>
      </c>
    </row>
    <row r="1053" spans="1:57" x14ac:dyDescent="0.3">
      <c r="A1053">
        <v>1481</v>
      </c>
      <c r="B1053">
        <v>44</v>
      </c>
      <c r="C1053" t="str">
        <f t="shared" si="241"/>
        <v>36-45</v>
      </c>
      <c r="D1053" t="s">
        <v>71</v>
      </c>
      <c r="E1053">
        <f t="shared" si="242"/>
        <v>0</v>
      </c>
      <c r="F1053" t="s">
        <v>72</v>
      </c>
      <c r="G1053">
        <v>383</v>
      </c>
      <c r="H1053" t="str">
        <f t="shared" si="243"/>
        <v>102-500</v>
      </c>
      <c r="I1053" t="s">
        <v>58</v>
      </c>
      <c r="J1053">
        <v>1</v>
      </c>
      <c r="K1053" t="str">
        <f t="shared" si="244"/>
        <v>1-5</v>
      </c>
      <c r="L1053">
        <v>5</v>
      </c>
      <c r="M1053" t="s">
        <v>96</v>
      </c>
      <c r="N1053" t="s">
        <v>93</v>
      </c>
      <c r="O1053">
        <v>1</v>
      </c>
      <c r="P1053">
        <v>1</v>
      </c>
      <c r="Q1053" t="s">
        <v>69</v>
      </c>
      <c r="R1053" t="s">
        <v>62</v>
      </c>
      <c r="S1053">
        <v>79</v>
      </c>
      <c r="T1053" t="str">
        <f t="shared" si="245"/>
        <v>76-100</v>
      </c>
      <c r="U1053">
        <v>3</v>
      </c>
      <c r="V1053" t="s">
        <v>63</v>
      </c>
      <c r="W1053">
        <v>2</v>
      </c>
      <c r="X1053" t="s">
        <v>64</v>
      </c>
      <c r="Y1053">
        <v>3</v>
      </c>
      <c r="Z1053" t="s">
        <v>63</v>
      </c>
      <c r="AA1053" t="s">
        <v>77</v>
      </c>
      <c r="AB1053" s="4">
        <v>4768</v>
      </c>
      <c r="AC1053" s="4" t="str">
        <f t="shared" si="246"/>
        <v>$4,000-$5,500</v>
      </c>
      <c r="AD1053">
        <v>9282</v>
      </c>
      <c r="AE1053" t="str">
        <f t="shared" si="247"/>
        <v>$8,001-$16,000</v>
      </c>
      <c r="AF1053">
        <v>7</v>
      </c>
      <c r="AG1053" t="str">
        <f t="shared" si="248"/>
        <v>7-9</v>
      </c>
      <c r="AH1053" t="s">
        <v>67</v>
      </c>
      <c r="AI1053" t="s">
        <v>71</v>
      </c>
      <c r="AJ1053">
        <v>12</v>
      </c>
      <c r="AK1053" t="str">
        <f t="shared" si="249"/>
        <v>11-12%</v>
      </c>
      <c r="AL1053">
        <v>3</v>
      </c>
      <c r="AM1053" t="s">
        <v>68</v>
      </c>
      <c r="AN1053">
        <v>3</v>
      </c>
      <c r="AO1053" t="s">
        <v>63</v>
      </c>
      <c r="AP1053">
        <v>80</v>
      </c>
      <c r="AQ1053">
        <v>1</v>
      </c>
      <c r="AR1053">
        <v>11</v>
      </c>
      <c r="AS1053" t="str">
        <f t="shared" si="250"/>
        <v>11-20</v>
      </c>
      <c r="AT1053">
        <v>4</v>
      </c>
      <c r="AU1053" t="str">
        <f t="shared" si="251"/>
        <v>3-4</v>
      </c>
      <c r="AV1053">
        <v>2</v>
      </c>
      <c r="AW1053" t="s">
        <v>84</v>
      </c>
      <c r="AX1053">
        <v>1</v>
      </c>
      <c r="AY1053" t="str">
        <f t="shared" si="240"/>
        <v>0-1</v>
      </c>
      <c r="AZ1053">
        <v>0</v>
      </c>
      <c r="BA1053" t="str">
        <f t="shared" si="252"/>
        <v>0-1</v>
      </c>
      <c r="BB1053">
        <v>0</v>
      </c>
      <c r="BC1053" t="str">
        <f t="shared" si="253"/>
        <v>0-1</v>
      </c>
      <c r="BD1053">
        <v>0</v>
      </c>
      <c r="BE1053" t="str">
        <f t="shared" si="254"/>
        <v>0-1</v>
      </c>
    </row>
    <row r="1054" spans="1:57" x14ac:dyDescent="0.3">
      <c r="A1054">
        <v>1482</v>
      </c>
      <c r="B1054">
        <v>30</v>
      </c>
      <c r="C1054" t="str">
        <f t="shared" si="241"/>
        <v>26-35</v>
      </c>
      <c r="D1054" t="s">
        <v>71</v>
      </c>
      <c r="E1054">
        <f t="shared" si="242"/>
        <v>0</v>
      </c>
      <c r="F1054" t="s">
        <v>89</v>
      </c>
      <c r="G1054">
        <v>990</v>
      </c>
      <c r="H1054" t="str">
        <f t="shared" si="243"/>
        <v>501-1000</v>
      </c>
      <c r="I1054" t="s">
        <v>73</v>
      </c>
      <c r="J1054">
        <v>7</v>
      </c>
      <c r="K1054" t="str">
        <f t="shared" si="244"/>
        <v>6-10</v>
      </c>
      <c r="L1054">
        <v>3</v>
      </c>
      <c r="M1054" t="s">
        <v>85</v>
      </c>
      <c r="N1054" t="s">
        <v>95</v>
      </c>
      <c r="O1054">
        <v>1</v>
      </c>
      <c r="P1054">
        <v>3</v>
      </c>
      <c r="Q1054" t="s">
        <v>63</v>
      </c>
      <c r="R1054" t="s">
        <v>75</v>
      </c>
      <c r="S1054">
        <v>64</v>
      </c>
      <c r="T1054" t="str">
        <f t="shared" si="245"/>
        <v>51-75</v>
      </c>
      <c r="U1054">
        <v>3</v>
      </c>
      <c r="V1054" t="s">
        <v>63</v>
      </c>
      <c r="W1054">
        <v>1</v>
      </c>
      <c r="X1054" t="s">
        <v>76</v>
      </c>
      <c r="Y1054">
        <v>3</v>
      </c>
      <c r="Z1054" t="s">
        <v>63</v>
      </c>
      <c r="AA1054" t="s">
        <v>86</v>
      </c>
      <c r="AB1054" s="4">
        <v>1274</v>
      </c>
      <c r="AC1054" s="4" t="str">
        <f t="shared" si="246"/>
        <v>$1,000-$2,500</v>
      </c>
      <c r="AD1054">
        <v>7152</v>
      </c>
      <c r="AE1054" t="str">
        <f t="shared" si="247"/>
        <v>$2,094-$8,000</v>
      </c>
      <c r="AF1054">
        <v>1</v>
      </c>
      <c r="AG1054" t="str">
        <f t="shared" si="248"/>
        <v>0-1</v>
      </c>
      <c r="AH1054" t="s">
        <v>67</v>
      </c>
      <c r="AI1054" t="s">
        <v>71</v>
      </c>
      <c r="AJ1054">
        <v>13</v>
      </c>
      <c r="AK1054" t="str">
        <f t="shared" si="249"/>
        <v>13-15%</v>
      </c>
      <c r="AL1054">
        <v>3</v>
      </c>
      <c r="AM1054" t="s">
        <v>68</v>
      </c>
      <c r="AN1054">
        <v>2</v>
      </c>
      <c r="AO1054" t="s">
        <v>61</v>
      </c>
      <c r="AP1054">
        <v>80</v>
      </c>
      <c r="AQ1054">
        <v>2</v>
      </c>
      <c r="AR1054">
        <v>1</v>
      </c>
      <c r="AS1054" t="str">
        <f t="shared" si="250"/>
        <v>0-2</v>
      </c>
      <c r="AT1054">
        <v>2</v>
      </c>
      <c r="AU1054" t="str">
        <f t="shared" si="251"/>
        <v>0-2</v>
      </c>
      <c r="AV1054">
        <v>2</v>
      </c>
      <c r="AW1054" t="s">
        <v>84</v>
      </c>
      <c r="AX1054">
        <v>1</v>
      </c>
      <c r="AY1054" t="str">
        <f t="shared" si="240"/>
        <v>0-1</v>
      </c>
      <c r="AZ1054">
        <v>0</v>
      </c>
      <c r="BA1054" t="str">
        <f t="shared" si="252"/>
        <v>0-1</v>
      </c>
      <c r="BB1054">
        <v>0</v>
      </c>
      <c r="BC1054" t="str">
        <f t="shared" si="253"/>
        <v>0-1</v>
      </c>
      <c r="BD1054">
        <v>0</v>
      </c>
      <c r="BE1054" t="str">
        <f t="shared" si="254"/>
        <v>0-1</v>
      </c>
    </row>
    <row r="1055" spans="1:57" x14ac:dyDescent="0.3">
      <c r="A1055">
        <v>1483</v>
      </c>
      <c r="B1055">
        <v>57</v>
      </c>
      <c r="C1055" t="str">
        <f t="shared" si="241"/>
        <v>56+</v>
      </c>
      <c r="D1055" t="s">
        <v>71</v>
      </c>
      <c r="E1055">
        <f t="shared" si="242"/>
        <v>0</v>
      </c>
      <c r="F1055" t="s">
        <v>57</v>
      </c>
      <c r="G1055">
        <v>405</v>
      </c>
      <c r="H1055" t="str">
        <f t="shared" si="243"/>
        <v>102-500</v>
      </c>
      <c r="I1055" t="s">
        <v>73</v>
      </c>
      <c r="J1055">
        <v>1</v>
      </c>
      <c r="K1055" t="str">
        <f t="shared" si="244"/>
        <v>1-5</v>
      </c>
      <c r="L1055">
        <v>2</v>
      </c>
      <c r="M1055" t="s">
        <v>59</v>
      </c>
      <c r="N1055" t="s">
        <v>60</v>
      </c>
      <c r="O1055">
        <v>1</v>
      </c>
      <c r="P1055">
        <v>2</v>
      </c>
      <c r="Q1055" t="s">
        <v>61</v>
      </c>
      <c r="R1055" t="s">
        <v>75</v>
      </c>
      <c r="S1055">
        <v>93</v>
      </c>
      <c r="T1055" t="str">
        <f t="shared" si="245"/>
        <v>76-100</v>
      </c>
      <c r="U1055">
        <v>4</v>
      </c>
      <c r="V1055" t="s">
        <v>65</v>
      </c>
      <c r="W1055">
        <v>2</v>
      </c>
      <c r="X1055" t="s">
        <v>76</v>
      </c>
      <c r="Y1055">
        <v>3</v>
      </c>
      <c r="Z1055" t="s">
        <v>63</v>
      </c>
      <c r="AA1055" t="s">
        <v>77</v>
      </c>
      <c r="AB1055" s="4">
        <v>4900</v>
      </c>
      <c r="AC1055" s="4" t="str">
        <f t="shared" si="246"/>
        <v>$4,000-$5,500</v>
      </c>
      <c r="AD1055">
        <v>2721</v>
      </c>
      <c r="AE1055" t="str">
        <f t="shared" si="247"/>
        <v>$2,094-$8,000</v>
      </c>
      <c r="AF1055">
        <v>0</v>
      </c>
      <c r="AG1055" t="str">
        <f t="shared" si="248"/>
        <v>0-1</v>
      </c>
      <c r="AH1055" t="s">
        <v>67</v>
      </c>
      <c r="AI1055" t="s">
        <v>71</v>
      </c>
      <c r="AJ1055">
        <v>24</v>
      </c>
      <c r="AK1055" t="str">
        <f t="shared" si="249"/>
        <v>18-19%</v>
      </c>
      <c r="AL1055">
        <v>4</v>
      </c>
      <c r="AM1055" t="s">
        <v>78</v>
      </c>
      <c r="AN1055">
        <v>1</v>
      </c>
      <c r="AO1055" t="s">
        <v>69</v>
      </c>
      <c r="AP1055">
        <v>80</v>
      </c>
      <c r="AQ1055">
        <v>1</v>
      </c>
      <c r="AR1055">
        <v>13</v>
      </c>
      <c r="AS1055" t="str">
        <f t="shared" si="250"/>
        <v>11-20</v>
      </c>
      <c r="AT1055">
        <v>2</v>
      </c>
      <c r="AU1055" t="str">
        <f t="shared" si="251"/>
        <v>0-2</v>
      </c>
      <c r="AV1055">
        <v>2</v>
      </c>
      <c r="AW1055" t="s">
        <v>84</v>
      </c>
      <c r="AX1055">
        <v>12</v>
      </c>
      <c r="AY1055" t="str">
        <f t="shared" si="240"/>
        <v>11-20</v>
      </c>
      <c r="AZ1055">
        <v>9</v>
      </c>
      <c r="BA1055" t="str">
        <f t="shared" si="252"/>
        <v>6-10</v>
      </c>
      <c r="BB1055">
        <v>2</v>
      </c>
      <c r="BC1055" t="str">
        <f t="shared" si="253"/>
        <v>2-5</v>
      </c>
      <c r="BD1055">
        <v>8</v>
      </c>
      <c r="BE1055" t="str">
        <f t="shared" si="254"/>
        <v>6-10</v>
      </c>
    </row>
    <row r="1056" spans="1:57" x14ac:dyDescent="0.3">
      <c r="A1056">
        <v>1484</v>
      </c>
      <c r="B1056">
        <v>49</v>
      </c>
      <c r="C1056" t="str">
        <f t="shared" si="241"/>
        <v>46-55</v>
      </c>
      <c r="D1056" t="s">
        <v>71</v>
      </c>
      <c r="E1056">
        <f t="shared" si="242"/>
        <v>0</v>
      </c>
      <c r="F1056" t="s">
        <v>57</v>
      </c>
      <c r="G1056">
        <v>1490</v>
      </c>
      <c r="H1056" t="str">
        <f t="shared" si="243"/>
        <v>1001-1499</v>
      </c>
      <c r="I1056" t="s">
        <v>73</v>
      </c>
      <c r="J1056">
        <v>7</v>
      </c>
      <c r="K1056" t="str">
        <f t="shared" si="244"/>
        <v>6-10</v>
      </c>
      <c r="L1056">
        <v>4</v>
      </c>
      <c r="M1056" t="s">
        <v>82</v>
      </c>
      <c r="N1056" t="s">
        <v>60</v>
      </c>
      <c r="O1056">
        <v>1</v>
      </c>
      <c r="P1056">
        <v>3</v>
      </c>
      <c r="Q1056" t="s">
        <v>63</v>
      </c>
      <c r="R1056" t="s">
        <v>75</v>
      </c>
      <c r="S1056">
        <v>35</v>
      </c>
      <c r="T1056" t="str">
        <f t="shared" si="245"/>
        <v>30-50</v>
      </c>
      <c r="U1056">
        <v>3</v>
      </c>
      <c r="V1056" t="s">
        <v>63</v>
      </c>
      <c r="W1056">
        <v>3</v>
      </c>
      <c r="X1056" t="s">
        <v>88</v>
      </c>
      <c r="Y1056">
        <v>2</v>
      </c>
      <c r="Z1056" t="s">
        <v>61</v>
      </c>
      <c r="AA1056" t="s">
        <v>86</v>
      </c>
      <c r="AB1056" s="4">
        <v>10466</v>
      </c>
      <c r="AC1056" s="4" t="str">
        <f t="shared" si="246"/>
        <v>$10,000-$11,500</v>
      </c>
      <c r="AD1056">
        <v>20948</v>
      </c>
      <c r="AE1056" t="str">
        <f t="shared" si="247"/>
        <v>$16,001-$22,000</v>
      </c>
      <c r="AF1056">
        <v>3</v>
      </c>
      <c r="AG1056" t="str">
        <f t="shared" si="248"/>
        <v>2-3</v>
      </c>
      <c r="AH1056" t="s">
        <v>67</v>
      </c>
      <c r="AI1056" t="s">
        <v>71</v>
      </c>
      <c r="AJ1056">
        <v>14</v>
      </c>
      <c r="AK1056" t="str">
        <f t="shared" si="249"/>
        <v>13-15%</v>
      </c>
      <c r="AL1056">
        <v>3</v>
      </c>
      <c r="AM1056" t="s">
        <v>68</v>
      </c>
      <c r="AN1056">
        <v>2</v>
      </c>
      <c r="AO1056" t="s">
        <v>61</v>
      </c>
      <c r="AP1056">
        <v>80</v>
      </c>
      <c r="AQ1056">
        <v>2</v>
      </c>
      <c r="AR1056">
        <v>29</v>
      </c>
      <c r="AS1056" t="str">
        <f t="shared" si="250"/>
        <v>21-40</v>
      </c>
      <c r="AT1056">
        <v>3</v>
      </c>
      <c r="AU1056" t="str">
        <f t="shared" si="251"/>
        <v>3-4</v>
      </c>
      <c r="AV1056">
        <v>3</v>
      </c>
      <c r="AW1056" t="s">
        <v>79</v>
      </c>
      <c r="AX1056">
        <v>8</v>
      </c>
      <c r="AY1056" t="str">
        <f t="shared" si="240"/>
        <v>6-10</v>
      </c>
      <c r="AZ1056">
        <v>7</v>
      </c>
      <c r="BA1056" t="str">
        <f t="shared" si="252"/>
        <v>6-10</v>
      </c>
      <c r="BB1056">
        <v>0</v>
      </c>
      <c r="BC1056" t="str">
        <f t="shared" si="253"/>
        <v>0-1</v>
      </c>
      <c r="BD1056">
        <v>7</v>
      </c>
      <c r="BE1056" t="str">
        <f t="shared" si="254"/>
        <v>6-10</v>
      </c>
    </row>
    <row r="1057" spans="1:57" x14ac:dyDescent="0.3">
      <c r="A1057">
        <v>1485</v>
      </c>
      <c r="B1057">
        <v>34</v>
      </c>
      <c r="C1057" t="str">
        <f t="shared" si="241"/>
        <v>26-35</v>
      </c>
      <c r="D1057" t="s">
        <v>71</v>
      </c>
      <c r="E1057">
        <f t="shared" si="242"/>
        <v>0</v>
      </c>
      <c r="F1057" t="s">
        <v>72</v>
      </c>
      <c r="G1057">
        <v>829</v>
      </c>
      <c r="H1057" t="str">
        <f t="shared" si="243"/>
        <v>501-1000</v>
      </c>
      <c r="I1057" t="s">
        <v>73</v>
      </c>
      <c r="J1057">
        <v>15</v>
      </c>
      <c r="K1057" t="str">
        <f t="shared" si="244"/>
        <v>11-20</v>
      </c>
      <c r="L1057">
        <v>3</v>
      </c>
      <c r="M1057" t="s">
        <v>85</v>
      </c>
      <c r="N1057" t="s">
        <v>83</v>
      </c>
      <c r="O1057">
        <v>1</v>
      </c>
      <c r="P1057">
        <v>2</v>
      </c>
      <c r="Q1057" t="s">
        <v>61</v>
      </c>
      <c r="R1057" t="s">
        <v>75</v>
      </c>
      <c r="S1057">
        <v>71</v>
      </c>
      <c r="T1057" t="str">
        <f t="shared" si="245"/>
        <v>51-75</v>
      </c>
      <c r="U1057">
        <v>3</v>
      </c>
      <c r="V1057" t="s">
        <v>63</v>
      </c>
      <c r="W1057">
        <v>4</v>
      </c>
      <c r="X1057" t="s">
        <v>92</v>
      </c>
      <c r="Y1057">
        <v>1</v>
      </c>
      <c r="Z1057" t="s">
        <v>69</v>
      </c>
      <c r="AA1057" t="s">
        <v>86</v>
      </c>
      <c r="AB1057" s="4">
        <v>17007</v>
      </c>
      <c r="AC1057" s="4" t="str">
        <f t="shared" si="246"/>
        <v>$16,000-$17,500</v>
      </c>
      <c r="AD1057">
        <v>11929</v>
      </c>
      <c r="AE1057" t="str">
        <f t="shared" si="247"/>
        <v>$8,001-$16,000</v>
      </c>
      <c r="AF1057">
        <v>7</v>
      </c>
      <c r="AG1057" t="str">
        <f t="shared" si="248"/>
        <v>7-9</v>
      </c>
      <c r="AH1057" t="s">
        <v>67</v>
      </c>
      <c r="AI1057" t="s">
        <v>71</v>
      </c>
      <c r="AJ1057">
        <v>14</v>
      </c>
      <c r="AK1057" t="str">
        <f t="shared" si="249"/>
        <v>13-15%</v>
      </c>
      <c r="AL1057">
        <v>3</v>
      </c>
      <c r="AM1057" t="s">
        <v>68</v>
      </c>
      <c r="AN1057">
        <v>4</v>
      </c>
      <c r="AO1057" t="s">
        <v>65</v>
      </c>
      <c r="AP1057">
        <v>80</v>
      </c>
      <c r="AQ1057">
        <v>2</v>
      </c>
      <c r="AR1057">
        <v>16</v>
      </c>
      <c r="AS1057" t="str">
        <f t="shared" si="250"/>
        <v>11-20</v>
      </c>
      <c r="AT1057">
        <v>3</v>
      </c>
      <c r="AU1057" t="str">
        <f t="shared" si="251"/>
        <v>3-4</v>
      </c>
      <c r="AV1057">
        <v>2</v>
      </c>
      <c r="AW1057" t="s">
        <v>84</v>
      </c>
      <c r="AX1057">
        <v>14</v>
      </c>
      <c r="AY1057" t="str">
        <f t="shared" si="240"/>
        <v>11-20</v>
      </c>
      <c r="AZ1057">
        <v>8</v>
      </c>
      <c r="BA1057" t="str">
        <f t="shared" si="252"/>
        <v>6-10</v>
      </c>
      <c r="BB1057">
        <v>6</v>
      </c>
      <c r="BC1057" t="str">
        <f t="shared" si="253"/>
        <v>6-10</v>
      </c>
      <c r="BD1057">
        <v>9</v>
      </c>
      <c r="BE1057" t="str">
        <f t="shared" si="254"/>
        <v>6-10</v>
      </c>
    </row>
    <row r="1058" spans="1:57" x14ac:dyDescent="0.3">
      <c r="A1058">
        <v>1486</v>
      </c>
      <c r="B1058">
        <v>28</v>
      </c>
      <c r="C1058" t="str">
        <f t="shared" si="241"/>
        <v>26-35</v>
      </c>
      <c r="D1058" t="s">
        <v>56</v>
      </c>
      <c r="E1058">
        <f t="shared" si="242"/>
        <v>1</v>
      </c>
      <c r="F1058" t="s">
        <v>72</v>
      </c>
      <c r="G1058">
        <v>1496</v>
      </c>
      <c r="H1058" t="str">
        <f t="shared" si="243"/>
        <v>1001-1499</v>
      </c>
      <c r="I1058" t="s">
        <v>58</v>
      </c>
      <c r="J1058">
        <v>1</v>
      </c>
      <c r="K1058" t="str">
        <f t="shared" si="244"/>
        <v>1-5</v>
      </c>
      <c r="L1058">
        <v>3</v>
      </c>
      <c r="M1058" t="s">
        <v>85</v>
      </c>
      <c r="N1058" t="s">
        <v>95</v>
      </c>
      <c r="O1058">
        <v>1</v>
      </c>
      <c r="P1058">
        <v>1</v>
      </c>
      <c r="Q1058" t="s">
        <v>69</v>
      </c>
      <c r="R1058" t="s">
        <v>75</v>
      </c>
      <c r="S1058">
        <v>92</v>
      </c>
      <c r="T1058" t="str">
        <f t="shared" si="245"/>
        <v>76-100</v>
      </c>
      <c r="U1058">
        <v>3</v>
      </c>
      <c r="V1058" t="s">
        <v>63</v>
      </c>
      <c r="W1058">
        <v>1</v>
      </c>
      <c r="X1058" t="s">
        <v>91</v>
      </c>
      <c r="Y1058">
        <v>3</v>
      </c>
      <c r="Z1058" t="s">
        <v>63</v>
      </c>
      <c r="AA1058" t="s">
        <v>77</v>
      </c>
      <c r="AB1058" s="4">
        <v>2909</v>
      </c>
      <c r="AC1058" s="4" t="str">
        <f t="shared" si="246"/>
        <v>$2,500-$4,000</v>
      </c>
      <c r="AD1058">
        <v>15747</v>
      </c>
      <c r="AE1058" t="str">
        <f t="shared" si="247"/>
        <v>$8,001-$16,000</v>
      </c>
      <c r="AF1058">
        <v>3</v>
      </c>
      <c r="AG1058" t="str">
        <f t="shared" si="248"/>
        <v>2-3</v>
      </c>
      <c r="AH1058" t="s">
        <v>67</v>
      </c>
      <c r="AI1058" t="s">
        <v>71</v>
      </c>
      <c r="AJ1058">
        <v>15</v>
      </c>
      <c r="AK1058" t="str">
        <f t="shared" si="249"/>
        <v>13-15%</v>
      </c>
      <c r="AL1058">
        <v>3</v>
      </c>
      <c r="AM1058" t="s">
        <v>68</v>
      </c>
      <c r="AN1058">
        <v>4</v>
      </c>
      <c r="AO1058" t="s">
        <v>65</v>
      </c>
      <c r="AP1058">
        <v>80</v>
      </c>
      <c r="AQ1058">
        <v>1</v>
      </c>
      <c r="AR1058">
        <v>5</v>
      </c>
      <c r="AS1058" t="str">
        <f t="shared" si="250"/>
        <v>3-5</v>
      </c>
      <c r="AT1058">
        <v>3</v>
      </c>
      <c r="AU1058" t="str">
        <f t="shared" si="251"/>
        <v>3-4</v>
      </c>
      <c r="AV1058">
        <v>4</v>
      </c>
      <c r="AW1058" t="s">
        <v>94</v>
      </c>
      <c r="AX1058">
        <v>3</v>
      </c>
      <c r="AY1058" t="str">
        <f t="shared" si="240"/>
        <v>2-5</v>
      </c>
      <c r="AZ1058">
        <v>2</v>
      </c>
      <c r="BA1058" t="str">
        <f t="shared" si="252"/>
        <v>2-5</v>
      </c>
      <c r="BB1058">
        <v>1</v>
      </c>
      <c r="BC1058" t="str">
        <f t="shared" si="253"/>
        <v>0-1</v>
      </c>
      <c r="BD1058">
        <v>2</v>
      </c>
      <c r="BE1058" t="str">
        <f t="shared" si="254"/>
        <v>2-5</v>
      </c>
    </row>
    <row r="1059" spans="1:57" x14ac:dyDescent="0.3">
      <c r="A1059">
        <v>1487</v>
      </c>
      <c r="B1059">
        <v>29</v>
      </c>
      <c r="C1059" t="str">
        <f t="shared" si="241"/>
        <v>26-35</v>
      </c>
      <c r="D1059" t="s">
        <v>56</v>
      </c>
      <c r="E1059">
        <f t="shared" si="242"/>
        <v>1</v>
      </c>
      <c r="F1059" t="s">
        <v>72</v>
      </c>
      <c r="G1059">
        <v>115</v>
      </c>
      <c r="H1059" t="str">
        <f t="shared" si="243"/>
        <v>102-500</v>
      </c>
      <c r="I1059" t="s">
        <v>58</v>
      </c>
      <c r="J1059">
        <v>13</v>
      </c>
      <c r="K1059" t="str">
        <f t="shared" si="244"/>
        <v>11-20</v>
      </c>
      <c r="L1059">
        <v>3</v>
      </c>
      <c r="M1059" t="s">
        <v>85</v>
      </c>
      <c r="N1059" t="s">
        <v>95</v>
      </c>
      <c r="O1059">
        <v>1</v>
      </c>
      <c r="P1059">
        <v>1</v>
      </c>
      <c r="Q1059" t="s">
        <v>69</v>
      </c>
      <c r="R1059" t="s">
        <v>62</v>
      </c>
      <c r="S1059">
        <v>51</v>
      </c>
      <c r="T1059" t="str">
        <f t="shared" si="245"/>
        <v>51-75</v>
      </c>
      <c r="U1059">
        <v>3</v>
      </c>
      <c r="V1059" t="s">
        <v>63</v>
      </c>
      <c r="W1059">
        <v>2</v>
      </c>
      <c r="X1059" t="s">
        <v>64</v>
      </c>
      <c r="Y1059">
        <v>2</v>
      </c>
      <c r="Z1059" t="s">
        <v>61</v>
      </c>
      <c r="AA1059" t="s">
        <v>66</v>
      </c>
      <c r="AB1059" s="4">
        <v>5765</v>
      </c>
      <c r="AC1059" s="4" t="str">
        <f t="shared" si="246"/>
        <v>$5,500-$7,000</v>
      </c>
      <c r="AD1059">
        <v>17485</v>
      </c>
      <c r="AE1059" t="str">
        <f t="shared" si="247"/>
        <v>$16,001-$22,000</v>
      </c>
      <c r="AF1059">
        <v>5</v>
      </c>
      <c r="AG1059" t="str">
        <f t="shared" si="248"/>
        <v>4-6</v>
      </c>
      <c r="AH1059" t="s">
        <v>67</v>
      </c>
      <c r="AI1059" t="s">
        <v>71</v>
      </c>
      <c r="AJ1059">
        <v>11</v>
      </c>
      <c r="AK1059" t="str">
        <f t="shared" si="249"/>
        <v>11-12%</v>
      </c>
      <c r="AL1059">
        <v>3</v>
      </c>
      <c r="AM1059" t="s">
        <v>68</v>
      </c>
      <c r="AN1059">
        <v>1</v>
      </c>
      <c r="AO1059" t="s">
        <v>69</v>
      </c>
      <c r="AP1059">
        <v>80</v>
      </c>
      <c r="AQ1059">
        <v>0</v>
      </c>
      <c r="AR1059">
        <v>7</v>
      </c>
      <c r="AS1059" t="str">
        <f t="shared" si="250"/>
        <v>6-10</v>
      </c>
      <c r="AT1059">
        <v>4</v>
      </c>
      <c r="AU1059" t="str">
        <f t="shared" si="251"/>
        <v>3-4</v>
      </c>
      <c r="AV1059">
        <v>1</v>
      </c>
      <c r="AW1059" t="s">
        <v>70</v>
      </c>
      <c r="AX1059">
        <v>5</v>
      </c>
      <c r="AY1059" t="str">
        <f t="shared" si="240"/>
        <v>2-5</v>
      </c>
      <c r="AZ1059">
        <v>3</v>
      </c>
      <c r="BA1059" t="str">
        <f t="shared" si="252"/>
        <v>2-5</v>
      </c>
      <c r="BB1059">
        <v>0</v>
      </c>
      <c r="BC1059" t="str">
        <f t="shared" si="253"/>
        <v>0-1</v>
      </c>
      <c r="BD1059">
        <v>0</v>
      </c>
      <c r="BE1059" t="str">
        <f t="shared" si="254"/>
        <v>0-1</v>
      </c>
    </row>
    <row r="1060" spans="1:57" x14ac:dyDescent="0.3">
      <c r="A1060">
        <v>1489</v>
      </c>
      <c r="B1060">
        <v>34</v>
      </c>
      <c r="C1060" t="str">
        <f t="shared" si="241"/>
        <v>26-35</v>
      </c>
      <c r="D1060" t="s">
        <v>56</v>
      </c>
      <c r="E1060">
        <f t="shared" si="242"/>
        <v>1</v>
      </c>
      <c r="F1060" t="s">
        <v>57</v>
      </c>
      <c r="G1060">
        <v>790</v>
      </c>
      <c r="H1060" t="str">
        <f t="shared" si="243"/>
        <v>501-1000</v>
      </c>
      <c r="I1060" t="s">
        <v>58</v>
      </c>
      <c r="J1060">
        <v>24</v>
      </c>
      <c r="K1060" t="str">
        <f t="shared" si="244"/>
        <v>21-29</v>
      </c>
      <c r="L1060">
        <v>4</v>
      </c>
      <c r="M1060" t="s">
        <v>82</v>
      </c>
      <c r="N1060" t="s">
        <v>83</v>
      </c>
      <c r="O1060">
        <v>1</v>
      </c>
      <c r="P1060">
        <v>1</v>
      </c>
      <c r="Q1060" t="s">
        <v>69</v>
      </c>
      <c r="R1060" t="s">
        <v>62</v>
      </c>
      <c r="S1060">
        <v>40</v>
      </c>
      <c r="T1060" t="str">
        <f t="shared" si="245"/>
        <v>30-50</v>
      </c>
      <c r="U1060">
        <v>2</v>
      </c>
      <c r="V1060" t="s">
        <v>61</v>
      </c>
      <c r="W1060">
        <v>2</v>
      </c>
      <c r="X1060" t="s">
        <v>64</v>
      </c>
      <c r="Y1060">
        <v>2</v>
      </c>
      <c r="Z1060" t="s">
        <v>61</v>
      </c>
      <c r="AA1060" t="s">
        <v>66</v>
      </c>
      <c r="AB1060" s="4">
        <v>4599</v>
      </c>
      <c r="AC1060" s="4" t="str">
        <f t="shared" si="246"/>
        <v>$4,000-$5,500</v>
      </c>
      <c r="AD1060">
        <v>7815</v>
      </c>
      <c r="AE1060" t="str">
        <f t="shared" si="247"/>
        <v>$2,094-$8,000</v>
      </c>
      <c r="AF1060">
        <v>0</v>
      </c>
      <c r="AG1060" t="str">
        <f t="shared" si="248"/>
        <v>0-1</v>
      </c>
      <c r="AH1060" t="s">
        <v>67</v>
      </c>
      <c r="AI1060" t="s">
        <v>56</v>
      </c>
      <c r="AJ1060">
        <v>23</v>
      </c>
      <c r="AK1060" t="str">
        <f t="shared" si="249"/>
        <v>18-19%</v>
      </c>
      <c r="AL1060">
        <v>4</v>
      </c>
      <c r="AM1060" t="s">
        <v>78</v>
      </c>
      <c r="AN1060">
        <v>3</v>
      </c>
      <c r="AO1060" t="s">
        <v>63</v>
      </c>
      <c r="AP1060">
        <v>80</v>
      </c>
      <c r="AQ1060">
        <v>0</v>
      </c>
      <c r="AR1060">
        <v>16</v>
      </c>
      <c r="AS1060" t="str">
        <f t="shared" si="250"/>
        <v>11-20</v>
      </c>
      <c r="AT1060">
        <v>2</v>
      </c>
      <c r="AU1060" t="str">
        <f t="shared" si="251"/>
        <v>0-2</v>
      </c>
      <c r="AV1060">
        <v>4</v>
      </c>
      <c r="AW1060" t="s">
        <v>94</v>
      </c>
      <c r="AX1060">
        <v>15</v>
      </c>
      <c r="AY1060" t="str">
        <f t="shared" si="240"/>
        <v>11-20</v>
      </c>
      <c r="AZ1060">
        <v>9</v>
      </c>
      <c r="BA1060" t="str">
        <f t="shared" si="252"/>
        <v>6-10</v>
      </c>
      <c r="BB1060">
        <v>10</v>
      </c>
      <c r="BC1060" t="str">
        <f t="shared" si="253"/>
        <v>6-10</v>
      </c>
      <c r="BD1060">
        <v>10</v>
      </c>
      <c r="BE1060" t="str">
        <f t="shared" si="254"/>
        <v>6-10</v>
      </c>
    </row>
    <row r="1061" spans="1:57" x14ac:dyDescent="0.3">
      <c r="A1061">
        <v>1492</v>
      </c>
      <c r="B1061">
        <v>35</v>
      </c>
      <c r="C1061" t="str">
        <f t="shared" si="241"/>
        <v>26-35</v>
      </c>
      <c r="D1061" t="s">
        <v>71</v>
      </c>
      <c r="E1061">
        <f t="shared" si="242"/>
        <v>0</v>
      </c>
      <c r="F1061" t="s">
        <v>57</v>
      </c>
      <c r="G1061">
        <v>660</v>
      </c>
      <c r="H1061" t="str">
        <f t="shared" si="243"/>
        <v>501-1000</v>
      </c>
      <c r="I1061" t="s">
        <v>58</v>
      </c>
      <c r="J1061">
        <v>7</v>
      </c>
      <c r="K1061" t="str">
        <f t="shared" si="244"/>
        <v>6-10</v>
      </c>
      <c r="L1061">
        <v>1</v>
      </c>
      <c r="M1061" t="s">
        <v>74</v>
      </c>
      <c r="N1061" t="s">
        <v>60</v>
      </c>
      <c r="O1061">
        <v>1</v>
      </c>
      <c r="P1061">
        <v>4</v>
      </c>
      <c r="Q1061" t="s">
        <v>65</v>
      </c>
      <c r="R1061" t="s">
        <v>75</v>
      </c>
      <c r="S1061">
        <v>76</v>
      </c>
      <c r="T1061" t="str">
        <f t="shared" si="245"/>
        <v>76-100</v>
      </c>
      <c r="U1061">
        <v>3</v>
      </c>
      <c r="V1061" t="s">
        <v>63</v>
      </c>
      <c r="W1061">
        <v>1</v>
      </c>
      <c r="X1061" t="s">
        <v>91</v>
      </c>
      <c r="Y1061">
        <v>3</v>
      </c>
      <c r="Z1061" t="s">
        <v>63</v>
      </c>
      <c r="AA1061" t="s">
        <v>77</v>
      </c>
      <c r="AB1061" s="4">
        <v>2404</v>
      </c>
      <c r="AC1061" s="4" t="str">
        <f t="shared" si="246"/>
        <v>$1,000-$2,500</v>
      </c>
      <c r="AD1061">
        <v>16192</v>
      </c>
      <c r="AE1061" t="str">
        <f t="shared" si="247"/>
        <v>$16,001-$22,000</v>
      </c>
      <c r="AF1061">
        <v>1</v>
      </c>
      <c r="AG1061" t="str">
        <f t="shared" si="248"/>
        <v>0-1</v>
      </c>
      <c r="AH1061" t="s">
        <v>67</v>
      </c>
      <c r="AI1061" t="s">
        <v>71</v>
      </c>
      <c r="AJ1061">
        <v>13</v>
      </c>
      <c r="AK1061" t="str">
        <f t="shared" si="249"/>
        <v>13-15%</v>
      </c>
      <c r="AL1061">
        <v>3</v>
      </c>
      <c r="AM1061" t="s">
        <v>68</v>
      </c>
      <c r="AN1061">
        <v>1</v>
      </c>
      <c r="AO1061" t="s">
        <v>69</v>
      </c>
      <c r="AP1061">
        <v>80</v>
      </c>
      <c r="AQ1061">
        <v>1</v>
      </c>
      <c r="AR1061">
        <v>1</v>
      </c>
      <c r="AS1061" t="str">
        <f t="shared" si="250"/>
        <v>0-2</v>
      </c>
      <c r="AT1061">
        <v>3</v>
      </c>
      <c r="AU1061" t="str">
        <f t="shared" si="251"/>
        <v>3-4</v>
      </c>
      <c r="AV1061">
        <v>3</v>
      </c>
      <c r="AW1061" t="s">
        <v>79</v>
      </c>
      <c r="AX1061">
        <v>1</v>
      </c>
      <c r="AY1061" t="str">
        <f t="shared" si="240"/>
        <v>0-1</v>
      </c>
      <c r="AZ1061">
        <v>0</v>
      </c>
      <c r="BA1061" t="str">
        <f t="shared" si="252"/>
        <v>0-1</v>
      </c>
      <c r="BB1061">
        <v>0</v>
      </c>
      <c r="BC1061" t="str">
        <f t="shared" si="253"/>
        <v>0-1</v>
      </c>
      <c r="BD1061">
        <v>0</v>
      </c>
      <c r="BE1061" t="str">
        <f t="shared" si="254"/>
        <v>0-1</v>
      </c>
    </row>
    <row r="1062" spans="1:57" x14ac:dyDescent="0.3">
      <c r="A1062">
        <v>1494</v>
      </c>
      <c r="B1062">
        <v>24</v>
      </c>
      <c r="C1062" t="str">
        <f t="shared" si="241"/>
        <v>18-25</v>
      </c>
      <c r="D1062" t="s">
        <v>56</v>
      </c>
      <c r="E1062">
        <f t="shared" si="242"/>
        <v>1</v>
      </c>
      <c r="F1062" t="s">
        <v>72</v>
      </c>
      <c r="G1062">
        <v>381</v>
      </c>
      <c r="H1062" t="str">
        <f t="shared" si="243"/>
        <v>102-500</v>
      </c>
      <c r="I1062" t="s">
        <v>73</v>
      </c>
      <c r="J1062">
        <v>9</v>
      </c>
      <c r="K1062" t="str">
        <f t="shared" si="244"/>
        <v>6-10</v>
      </c>
      <c r="L1062">
        <v>3</v>
      </c>
      <c r="M1062" t="s">
        <v>85</v>
      </c>
      <c r="N1062" t="s">
        <v>83</v>
      </c>
      <c r="O1062">
        <v>1</v>
      </c>
      <c r="P1062">
        <v>2</v>
      </c>
      <c r="Q1062" t="s">
        <v>61</v>
      </c>
      <c r="R1062" t="s">
        <v>75</v>
      </c>
      <c r="S1062">
        <v>89</v>
      </c>
      <c r="T1062" t="str">
        <f t="shared" si="245"/>
        <v>76-100</v>
      </c>
      <c r="U1062">
        <v>3</v>
      </c>
      <c r="V1062" t="s">
        <v>63</v>
      </c>
      <c r="W1062">
        <v>1</v>
      </c>
      <c r="X1062" t="s">
        <v>81</v>
      </c>
      <c r="Y1062">
        <v>1</v>
      </c>
      <c r="Z1062" t="s">
        <v>69</v>
      </c>
      <c r="AA1062" t="s">
        <v>66</v>
      </c>
      <c r="AB1062" s="4">
        <v>3172</v>
      </c>
      <c r="AC1062" s="4" t="str">
        <f t="shared" si="246"/>
        <v>$2,500-$4,000</v>
      </c>
      <c r="AD1062">
        <v>16998</v>
      </c>
      <c r="AE1062" t="str">
        <f t="shared" si="247"/>
        <v>$16,001-$22,000</v>
      </c>
      <c r="AF1062">
        <v>2</v>
      </c>
      <c r="AG1062" t="str">
        <f t="shared" si="248"/>
        <v>2-3</v>
      </c>
      <c r="AH1062" t="s">
        <v>67</v>
      </c>
      <c r="AI1062" t="s">
        <v>56</v>
      </c>
      <c r="AJ1062">
        <v>11</v>
      </c>
      <c r="AK1062" t="str">
        <f t="shared" si="249"/>
        <v>11-12%</v>
      </c>
      <c r="AL1062">
        <v>3</v>
      </c>
      <c r="AM1062" t="s">
        <v>68</v>
      </c>
      <c r="AN1062">
        <v>3</v>
      </c>
      <c r="AO1062" t="s">
        <v>63</v>
      </c>
      <c r="AP1062">
        <v>80</v>
      </c>
      <c r="AQ1062">
        <v>0</v>
      </c>
      <c r="AR1062">
        <v>4</v>
      </c>
      <c r="AS1062" t="str">
        <f t="shared" si="250"/>
        <v>3-5</v>
      </c>
      <c r="AT1062">
        <v>2</v>
      </c>
      <c r="AU1062" t="str">
        <f t="shared" si="251"/>
        <v>0-2</v>
      </c>
      <c r="AV1062">
        <v>2</v>
      </c>
      <c r="AW1062" t="s">
        <v>84</v>
      </c>
      <c r="AX1062">
        <v>0</v>
      </c>
      <c r="AY1062" t="str">
        <f t="shared" si="240"/>
        <v>0-1</v>
      </c>
      <c r="AZ1062">
        <v>0</v>
      </c>
      <c r="BA1062" t="str">
        <f t="shared" si="252"/>
        <v>0-1</v>
      </c>
      <c r="BB1062">
        <v>0</v>
      </c>
      <c r="BC1062" t="str">
        <f t="shared" si="253"/>
        <v>0-1</v>
      </c>
      <c r="BD1062">
        <v>0</v>
      </c>
      <c r="BE1062" t="str">
        <f t="shared" si="254"/>
        <v>0-1</v>
      </c>
    </row>
    <row r="1063" spans="1:57" x14ac:dyDescent="0.3">
      <c r="A1063">
        <v>1495</v>
      </c>
      <c r="B1063">
        <v>24</v>
      </c>
      <c r="C1063" t="str">
        <f t="shared" si="241"/>
        <v>18-25</v>
      </c>
      <c r="D1063" t="s">
        <v>71</v>
      </c>
      <c r="E1063">
        <f t="shared" si="242"/>
        <v>0</v>
      </c>
      <c r="F1063" t="s">
        <v>89</v>
      </c>
      <c r="G1063">
        <v>830</v>
      </c>
      <c r="H1063" t="str">
        <f t="shared" si="243"/>
        <v>501-1000</v>
      </c>
      <c r="I1063" t="s">
        <v>58</v>
      </c>
      <c r="J1063">
        <v>13</v>
      </c>
      <c r="K1063" t="str">
        <f t="shared" si="244"/>
        <v>11-20</v>
      </c>
      <c r="L1063">
        <v>2</v>
      </c>
      <c r="M1063" t="s">
        <v>59</v>
      </c>
      <c r="N1063" t="s">
        <v>60</v>
      </c>
      <c r="O1063">
        <v>1</v>
      </c>
      <c r="P1063">
        <v>4</v>
      </c>
      <c r="Q1063" t="s">
        <v>65</v>
      </c>
      <c r="R1063" t="s">
        <v>62</v>
      </c>
      <c r="S1063">
        <v>78</v>
      </c>
      <c r="T1063" t="str">
        <f t="shared" si="245"/>
        <v>76-100</v>
      </c>
      <c r="U1063">
        <v>3</v>
      </c>
      <c r="V1063" t="s">
        <v>63</v>
      </c>
      <c r="W1063">
        <v>1</v>
      </c>
      <c r="X1063" t="s">
        <v>91</v>
      </c>
      <c r="Y1063">
        <v>2</v>
      </c>
      <c r="Z1063" t="s">
        <v>61</v>
      </c>
      <c r="AA1063" t="s">
        <v>77</v>
      </c>
      <c r="AB1063" s="4">
        <v>2033</v>
      </c>
      <c r="AC1063" s="4" t="str">
        <f t="shared" si="246"/>
        <v>$1,000-$2,500</v>
      </c>
      <c r="AD1063">
        <v>7103</v>
      </c>
      <c r="AE1063" t="str">
        <f t="shared" si="247"/>
        <v>$2,094-$8,000</v>
      </c>
      <c r="AF1063">
        <v>1</v>
      </c>
      <c r="AG1063" t="str">
        <f t="shared" si="248"/>
        <v>0-1</v>
      </c>
      <c r="AH1063" t="s">
        <v>67</v>
      </c>
      <c r="AI1063" t="s">
        <v>71</v>
      </c>
      <c r="AJ1063">
        <v>13</v>
      </c>
      <c r="AK1063" t="str">
        <f t="shared" si="249"/>
        <v>13-15%</v>
      </c>
      <c r="AL1063">
        <v>3</v>
      </c>
      <c r="AM1063" t="s">
        <v>68</v>
      </c>
      <c r="AN1063">
        <v>3</v>
      </c>
      <c r="AO1063" t="s">
        <v>63</v>
      </c>
      <c r="AP1063">
        <v>80</v>
      </c>
      <c r="AQ1063">
        <v>1</v>
      </c>
      <c r="AR1063">
        <v>1</v>
      </c>
      <c r="AS1063" t="str">
        <f t="shared" si="250"/>
        <v>0-2</v>
      </c>
      <c r="AT1063">
        <v>2</v>
      </c>
      <c r="AU1063" t="str">
        <f t="shared" si="251"/>
        <v>0-2</v>
      </c>
      <c r="AV1063">
        <v>3</v>
      </c>
      <c r="AW1063" t="s">
        <v>79</v>
      </c>
      <c r="AX1063">
        <v>1</v>
      </c>
      <c r="AY1063" t="str">
        <f t="shared" si="240"/>
        <v>0-1</v>
      </c>
      <c r="AZ1063">
        <v>0</v>
      </c>
      <c r="BA1063" t="str">
        <f t="shared" si="252"/>
        <v>0-1</v>
      </c>
      <c r="BB1063">
        <v>0</v>
      </c>
      <c r="BC1063" t="str">
        <f t="shared" si="253"/>
        <v>0-1</v>
      </c>
      <c r="BD1063">
        <v>0</v>
      </c>
      <c r="BE1063" t="str">
        <f t="shared" si="254"/>
        <v>0-1</v>
      </c>
    </row>
    <row r="1064" spans="1:57" x14ac:dyDescent="0.3">
      <c r="A1064">
        <v>1496</v>
      </c>
      <c r="B1064">
        <v>44</v>
      </c>
      <c r="C1064" t="str">
        <f t="shared" si="241"/>
        <v>36-45</v>
      </c>
      <c r="D1064" t="s">
        <v>71</v>
      </c>
      <c r="E1064">
        <f t="shared" si="242"/>
        <v>0</v>
      </c>
      <c r="F1064" t="s">
        <v>72</v>
      </c>
      <c r="G1064">
        <v>1193</v>
      </c>
      <c r="H1064" t="str">
        <f t="shared" si="243"/>
        <v>1001-1499</v>
      </c>
      <c r="I1064" t="s">
        <v>73</v>
      </c>
      <c r="J1064">
        <v>2</v>
      </c>
      <c r="K1064" t="str">
        <f t="shared" si="244"/>
        <v>1-5</v>
      </c>
      <c r="L1064">
        <v>1</v>
      </c>
      <c r="M1064" t="s">
        <v>74</v>
      </c>
      <c r="N1064" t="s">
        <v>83</v>
      </c>
      <c r="O1064">
        <v>1</v>
      </c>
      <c r="P1064">
        <v>2</v>
      </c>
      <c r="Q1064" t="s">
        <v>61</v>
      </c>
      <c r="R1064" t="s">
        <v>75</v>
      </c>
      <c r="S1064">
        <v>86</v>
      </c>
      <c r="T1064" t="str">
        <f t="shared" si="245"/>
        <v>76-100</v>
      </c>
      <c r="U1064">
        <v>3</v>
      </c>
      <c r="V1064" t="s">
        <v>63</v>
      </c>
      <c r="W1064">
        <v>3</v>
      </c>
      <c r="X1064" t="s">
        <v>87</v>
      </c>
      <c r="Y1064">
        <v>3</v>
      </c>
      <c r="Z1064" t="s">
        <v>63</v>
      </c>
      <c r="AA1064" t="s">
        <v>66</v>
      </c>
      <c r="AB1064" s="4">
        <v>10209</v>
      </c>
      <c r="AC1064" s="4" t="str">
        <f t="shared" si="246"/>
        <v>$10,000-$11,500</v>
      </c>
      <c r="AD1064">
        <v>19719</v>
      </c>
      <c r="AE1064" t="str">
        <f t="shared" si="247"/>
        <v>$16,001-$22,000</v>
      </c>
      <c r="AF1064">
        <v>5</v>
      </c>
      <c r="AG1064" t="str">
        <f t="shared" si="248"/>
        <v>4-6</v>
      </c>
      <c r="AH1064" t="s">
        <v>67</v>
      </c>
      <c r="AI1064" t="s">
        <v>56</v>
      </c>
      <c r="AJ1064">
        <v>18</v>
      </c>
      <c r="AK1064" t="str">
        <f t="shared" si="249"/>
        <v>18-19%</v>
      </c>
      <c r="AL1064">
        <v>3</v>
      </c>
      <c r="AM1064" t="s">
        <v>68</v>
      </c>
      <c r="AN1064">
        <v>2</v>
      </c>
      <c r="AO1064" t="s">
        <v>61</v>
      </c>
      <c r="AP1064">
        <v>80</v>
      </c>
      <c r="AQ1064">
        <v>0</v>
      </c>
      <c r="AR1064">
        <v>16</v>
      </c>
      <c r="AS1064" t="str">
        <f t="shared" si="250"/>
        <v>11-20</v>
      </c>
      <c r="AT1064">
        <v>2</v>
      </c>
      <c r="AU1064" t="str">
        <f t="shared" si="251"/>
        <v>0-2</v>
      </c>
      <c r="AV1064">
        <v>2</v>
      </c>
      <c r="AW1064" t="s">
        <v>84</v>
      </c>
      <c r="AX1064">
        <v>2</v>
      </c>
      <c r="AY1064" t="str">
        <f t="shared" si="240"/>
        <v>2-5</v>
      </c>
      <c r="AZ1064">
        <v>2</v>
      </c>
      <c r="BA1064" t="str">
        <f t="shared" si="252"/>
        <v>2-5</v>
      </c>
      <c r="BB1064">
        <v>2</v>
      </c>
      <c r="BC1064" t="str">
        <f t="shared" si="253"/>
        <v>2-5</v>
      </c>
      <c r="BD1064">
        <v>2</v>
      </c>
      <c r="BE1064" t="str">
        <f t="shared" si="254"/>
        <v>2-5</v>
      </c>
    </row>
    <row r="1065" spans="1:57" x14ac:dyDescent="0.3">
      <c r="A1065">
        <v>1497</v>
      </c>
      <c r="B1065">
        <v>29</v>
      </c>
      <c r="C1065" t="str">
        <f t="shared" si="241"/>
        <v>26-35</v>
      </c>
      <c r="D1065" t="s">
        <v>71</v>
      </c>
      <c r="E1065">
        <f t="shared" si="242"/>
        <v>0</v>
      </c>
      <c r="F1065" t="s">
        <v>57</v>
      </c>
      <c r="G1065">
        <v>1246</v>
      </c>
      <c r="H1065" t="str">
        <f t="shared" si="243"/>
        <v>1001-1499</v>
      </c>
      <c r="I1065" t="s">
        <v>58</v>
      </c>
      <c r="J1065">
        <v>19</v>
      </c>
      <c r="K1065" t="str">
        <f t="shared" si="244"/>
        <v>11-20</v>
      </c>
      <c r="L1065">
        <v>3</v>
      </c>
      <c r="M1065" t="s">
        <v>85</v>
      </c>
      <c r="N1065" t="s">
        <v>60</v>
      </c>
      <c r="O1065">
        <v>1</v>
      </c>
      <c r="P1065">
        <v>3</v>
      </c>
      <c r="Q1065" t="s">
        <v>63</v>
      </c>
      <c r="R1065" t="s">
        <v>75</v>
      </c>
      <c r="S1065">
        <v>77</v>
      </c>
      <c r="T1065" t="str">
        <f t="shared" si="245"/>
        <v>76-100</v>
      </c>
      <c r="U1065">
        <v>2</v>
      </c>
      <c r="V1065" t="s">
        <v>61</v>
      </c>
      <c r="W1065">
        <v>2</v>
      </c>
      <c r="X1065" t="s">
        <v>64</v>
      </c>
      <c r="Y1065">
        <v>3</v>
      </c>
      <c r="Z1065" t="s">
        <v>63</v>
      </c>
      <c r="AA1065" t="s">
        <v>86</v>
      </c>
      <c r="AB1065" s="4">
        <v>8620</v>
      </c>
      <c r="AC1065" s="4" t="str">
        <f t="shared" si="246"/>
        <v>$8,500-$10,000</v>
      </c>
      <c r="AD1065">
        <v>23757</v>
      </c>
      <c r="AE1065" t="str">
        <f t="shared" si="247"/>
        <v>$22,001-$26,999</v>
      </c>
      <c r="AF1065">
        <v>1</v>
      </c>
      <c r="AG1065" t="str">
        <f t="shared" si="248"/>
        <v>0-1</v>
      </c>
      <c r="AH1065" t="s">
        <v>67</v>
      </c>
      <c r="AI1065" t="s">
        <v>71</v>
      </c>
      <c r="AJ1065">
        <v>14</v>
      </c>
      <c r="AK1065" t="str">
        <f t="shared" si="249"/>
        <v>13-15%</v>
      </c>
      <c r="AL1065">
        <v>3</v>
      </c>
      <c r="AM1065" t="s">
        <v>68</v>
      </c>
      <c r="AN1065">
        <v>3</v>
      </c>
      <c r="AO1065" t="s">
        <v>63</v>
      </c>
      <c r="AP1065">
        <v>80</v>
      </c>
      <c r="AQ1065">
        <v>2</v>
      </c>
      <c r="AR1065">
        <v>10</v>
      </c>
      <c r="AS1065" t="str">
        <f t="shared" si="250"/>
        <v>6-10</v>
      </c>
      <c r="AT1065">
        <v>3</v>
      </c>
      <c r="AU1065" t="str">
        <f t="shared" si="251"/>
        <v>3-4</v>
      </c>
      <c r="AV1065">
        <v>3</v>
      </c>
      <c r="AW1065" t="s">
        <v>79</v>
      </c>
      <c r="AX1065">
        <v>10</v>
      </c>
      <c r="AY1065" t="str">
        <f t="shared" si="240"/>
        <v>6-10</v>
      </c>
      <c r="AZ1065">
        <v>7</v>
      </c>
      <c r="BA1065" t="str">
        <f t="shared" si="252"/>
        <v>6-10</v>
      </c>
      <c r="BB1065">
        <v>0</v>
      </c>
      <c r="BC1065" t="str">
        <f t="shared" si="253"/>
        <v>0-1</v>
      </c>
      <c r="BD1065">
        <v>4</v>
      </c>
      <c r="BE1065" t="str">
        <f t="shared" si="254"/>
        <v>2-5</v>
      </c>
    </row>
    <row r="1066" spans="1:57" x14ac:dyDescent="0.3">
      <c r="A1066">
        <v>1499</v>
      </c>
      <c r="B1066">
        <v>30</v>
      </c>
      <c r="C1066" t="str">
        <f t="shared" si="241"/>
        <v>26-35</v>
      </c>
      <c r="D1066" t="s">
        <v>71</v>
      </c>
      <c r="E1066">
        <f t="shared" si="242"/>
        <v>0</v>
      </c>
      <c r="F1066" t="s">
        <v>57</v>
      </c>
      <c r="G1066">
        <v>330</v>
      </c>
      <c r="H1066" t="str">
        <f t="shared" si="243"/>
        <v>102-500</v>
      </c>
      <c r="I1066" t="s">
        <v>97</v>
      </c>
      <c r="J1066">
        <v>1</v>
      </c>
      <c r="K1066" t="str">
        <f t="shared" si="244"/>
        <v>1-5</v>
      </c>
      <c r="L1066">
        <v>3</v>
      </c>
      <c r="M1066" t="s">
        <v>85</v>
      </c>
      <c r="N1066" t="s">
        <v>60</v>
      </c>
      <c r="O1066">
        <v>1</v>
      </c>
      <c r="P1066">
        <v>3</v>
      </c>
      <c r="Q1066" t="s">
        <v>63</v>
      </c>
      <c r="R1066" t="s">
        <v>75</v>
      </c>
      <c r="S1066">
        <v>46</v>
      </c>
      <c r="T1066" t="str">
        <f t="shared" si="245"/>
        <v>30-50</v>
      </c>
      <c r="U1066">
        <v>3</v>
      </c>
      <c r="V1066" t="s">
        <v>63</v>
      </c>
      <c r="W1066">
        <v>1</v>
      </c>
      <c r="X1066" t="s">
        <v>97</v>
      </c>
      <c r="Y1066">
        <v>3</v>
      </c>
      <c r="Z1066" t="s">
        <v>63</v>
      </c>
      <c r="AA1066" t="s">
        <v>86</v>
      </c>
      <c r="AB1066" s="4">
        <v>2064</v>
      </c>
      <c r="AC1066" s="4" t="str">
        <f t="shared" si="246"/>
        <v>$1,000-$2,500</v>
      </c>
      <c r="AD1066">
        <v>15428</v>
      </c>
      <c r="AE1066" t="str">
        <f t="shared" si="247"/>
        <v>$8,001-$16,000</v>
      </c>
      <c r="AF1066">
        <v>0</v>
      </c>
      <c r="AG1066" t="str">
        <f t="shared" si="248"/>
        <v>0-1</v>
      </c>
      <c r="AH1066" t="s">
        <v>67</v>
      </c>
      <c r="AI1066" t="s">
        <v>71</v>
      </c>
      <c r="AJ1066">
        <v>21</v>
      </c>
      <c r="AK1066" t="str">
        <f t="shared" si="249"/>
        <v>18-19%</v>
      </c>
      <c r="AL1066">
        <v>4</v>
      </c>
      <c r="AM1066" t="s">
        <v>78</v>
      </c>
      <c r="AN1066">
        <v>1</v>
      </c>
      <c r="AO1066" t="s">
        <v>69</v>
      </c>
      <c r="AP1066">
        <v>80</v>
      </c>
      <c r="AQ1066">
        <v>1</v>
      </c>
      <c r="AR1066">
        <v>6</v>
      </c>
      <c r="AS1066" t="str">
        <f t="shared" si="250"/>
        <v>6-10</v>
      </c>
      <c r="AT1066">
        <v>3</v>
      </c>
      <c r="AU1066" t="str">
        <f t="shared" si="251"/>
        <v>3-4</v>
      </c>
      <c r="AV1066">
        <v>4</v>
      </c>
      <c r="AW1066" t="s">
        <v>94</v>
      </c>
      <c r="AX1066">
        <v>5</v>
      </c>
      <c r="AY1066" t="str">
        <f t="shared" si="240"/>
        <v>2-5</v>
      </c>
      <c r="AZ1066">
        <v>3</v>
      </c>
      <c r="BA1066" t="str">
        <f t="shared" si="252"/>
        <v>2-5</v>
      </c>
      <c r="BB1066">
        <v>1</v>
      </c>
      <c r="BC1066" t="str">
        <f t="shared" si="253"/>
        <v>0-1</v>
      </c>
      <c r="BD1066">
        <v>3</v>
      </c>
      <c r="BE1066" t="str">
        <f t="shared" si="254"/>
        <v>2-5</v>
      </c>
    </row>
    <row r="1067" spans="1:57" x14ac:dyDescent="0.3">
      <c r="A1067">
        <v>1501</v>
      </c>
      <c r="B1067">
        <v>55</v>
      </c>
      <c r="C1067" t="str">
        <f t="shared" si="241"/>
        <v>46-55</v>
      </c>
      <c r="D1067" t="s">
        <v>71</v>
      </c>
      <c r="E1067">
        <f t="shared" si="242"/>
        <v>0</v>
      </c>
      <c r="F1067" t="s">
        <v>57</v>
      </c>
      <c r="G1067">
        <v>1229</v>
      </c>
      <c r="H1067" t="str">
        <f t="shared" si="243"/>
        <v>1001-1499</v>
      </c>
      <c r="I1067" t="s">
        <v>73</v>
      </c>
      <c r="J1067">
        <v>4</v>
      </c>
      <c r="K1067" t="str">
        <f t="shared" si="244"/>
        <v>1-5</v>
      </c>
      <c r="L1067">
        <v>4</v>
      </c>
      <c r="M1067" t="s">
        <v>82</v>
      </c>
      <c r="N1067" t="s">
        <v>60</v>
      </c>
      <c r="O1067">
        <v>1</v>
      </c>
      <c r="P1067">
        <v>4</v>
      </c>
      <c r="Q1067" t="s">
        <v>65</v>
      </c>
      <c r="R1067" t="s">
        <v>75</v>
      </c>
      <c r="S1067">
        <v>30</v>
      </c>
      <c r="T1067" t="str">
        <f t="shared" si="245"/>
        <v>30-50</v>
      </c>
      <c r="U1067">
        <v>3</v>
      </c>
      <c r="V1067" t="s">
        <v>63</v>
      </c>
      <c r="W1067">
        <v>2</v>
      </c>
      <c r="X1067" t="s">
        <v>88</v>
      </c>
      <c r="Y1067">
        <v>3</v>
      </c>
      <c r="Z1067" t="s">
        <v>63</v>
      </c>
      <c r="AA1067" t="s">
        <v>77</v>
      </c>
      <c r="AB1067" s="4">
        <v>4035</v>
      </c>
      <c r="AC1067" s="4" t="str">
        <f t="shared" si="246"/>
        <v>$4,000-$5,500</v>
      </c>
      <c r="AD1067">
        <v>16143</v>
      </c>
      <c r="AE1067" t="str">
        <f t="shared" si="247"/>
        <v>$16,001-$22,000</v>
      </c>
      <c r="AF1067">
        <v>0</v>
      </c>
      <c r="AG1067" t="str">
        <f t="shared" si="248"/>
        <v>0-1</v>
      </c>
      <c r="AH1067" t="s">
        <v>67</v>
      </c>
      <c r="AI1067" t="s">
        <v>56</v>
      </c>
      <c r="AJ1067">
        <v>16</v>
      </c>
      <c r="AK1067" t="str">
        <f t="shared" si="249"/>
        <v>16-17%</v>
      </c>
      <c r="AL1067">
        <v>3</v>
      </c>
      <c r="AM1067" t="s">
        <v>68</v>
      </c>
      <c r="AN1067">
        <v>2</v>
      </c>
      <c r="AO1067" t="s">
        <v>61</v>
      </c>
      <c r="AP1067">
        <v>80</v>
      </c>
      <c r="AQ1067">
        <v>0</v>
      </c>
      <c r="AR1067">
        <v>4</v>
      </c>
      <c r="AS1067" t="str">
        <f t="shared" si="250"/>
        <v>3-5</v>
      </c>
      <c r="AT1067">
        <v>2</v>
      </c>
      <c r="AU1067" t="str">
        <f t="shared" si="251"/>
        <v>0-2</v>
      </c>
      <c r="AV1067">
        <v>3</v>
      </c>
      <c r="AW1067" t="s">
        <v>79</v>
      </c>
      <c r="AX1067">
        <v>3</v>
      </c>
      <c r="AY1067" t="str">
        <f t="shared" si="240"/>
        <v>2-5</v>
      </c>
      <c r="AZ1067">
        <v>2</v>
      </c>
      <c r="BA1067" t="str">
        <f t="shared" si="252"/>
        <v>2-5</v>
      </c>
      <c r="BB1067">
        <v>1</v>
      </c>
      <c r="BC1067" t="str">
        <f t="shared" si="253"/>
        <v>0-1</v>
      </c>
      <c r="BD1067">
        <v>2</v>
      </c>
      <c r="BE1067" t="str">
        <f t="shared" si="254"/>
        <v>2-5</v>
      </c>
    </row>
    <row r="1068" spans="1:57" x14ac:dyDescent="0.3">
      <c r="A1068">
        <v>1502</v>
      </c>
      <c r="B1068">
        <v>33</v>
      </c>
      <c r="C1068" t="str">
        <f t="shared" si="241"/>
        <v>26-35</v>
      </c>
      <c r="D1068" t="s">
        <v>71</v>
      </c>
      <c r="E1068">
        <f t="shared" si="242"/>
        <v>0</v>
      </c>
      <c r="F1068" t="s">
        <v>57</v>
      </c>
      <c r="G1068">
        <v>1099</v>
      </c>
      <c r="H1068" t="str">
        <f t="shared" si="243"/>
        <v>1001-1499</v>
      </c>
      <c r="I1068" t="s">
        <v>73</v>
      </c>
      <c r="J1068">
        <v>4</v>
      </c>
      <c r="K1068" t="str">
        <f t="shared" si="244"/>
        <v>1-5</v>
      </c>
      <c r="L1068">
        <v>4</v>
      </c>
      <c r="M1068" t="s">
        <v>82</v>
      </c>
      <c r="N1068" t="s">
        <v>83</v>
      </c>
      <c r="O1068">
        <v>1</v>
      </c>
      <c r="P1068">
        <v>1</v>
      </c>
      <c r="Q1068" t="s">
        <v>69</v>
      </c>
      <c r="R1068" t="s">
        <v>62</v>
      </c>
      <c r="S1068">
        <v>82</v>
      </c>
      <c r="T1068" t="str">
        <f t="shared" si="245"/>
        <v>76-100</v>
      </c>
      <c r="U1068">
        <v>2</v>
      </c>
      <c r="V1068" t="s">
        <v>61</v>
      </c>
      <c r="W1068">
        <v>1</v>
      </c>
      <c r="X1068" t="s">
        <v>81</v>
      </c>
      <c r="Y1068">
        <v>2</v>
      </c>
      <c r="Z1068" t="s">
        <v>61</v>
      </c>
      <c r="AA1068" t="s">
        <v>77</v>
      </c>
      <c r="AB1068" s="4">
        <v>3838</v>
      </c>
      <c r="AC1068" s="4" t="str">
        <f t="shared" si="246"/>
        <v>$2,500-$4,000</v>
      </c>
      <c r="AD1068">
        <v>8192</v>
      </c>
      <c r="AE1068" t="str">
        <f t="shared" si="247"/>
        <v>$8,001-$16,000</v>
      </c>
      <c r="AF1068">
        <v>8</v>
      </c>
      <c r="AG1068" t="str">
        <f t="shared" si="248"/>
        <v>7-9</v>
      </c>
      <c r="AH1068" t="s">
        <v>67</v>
      </c>
      <c r="AI1068" t="s">
        <v>71</v>
      </c>
      <c r="AJ1068">
        <v>11</v>
      </c>
      <c r="AK1068" t="str">
        <f t="shared" si="249"/>
        <v>11-12%</v>
      </c>
      <c r="AL1068">
        <v>3</v>
      </c>
      <c r="AM1068" t="s">
        <v>68</v>
      </c>
      <c r="AN1068">
        <v>4</v>
      </c>
      <c r="AO1068" t="s">
        <v>65</v>
      </c>
      <c r="AP1068">
        <v>80</v>
      </c>
      <c r="AQ1068">
        <v>0</v>
      </c>
      <c r="AR1068">
        <v>8</v>
      </c>
      <c r="AS1068" t="str">
        <f t="shared" si="250"/>
        <v>6-10</v>
      </c>
      <c r="AT1068">
        <v>5</v>
      </c>
      <c r="AU1068" t="str">
        <f t="shared" si="251"/>
        <v>5-6</v>
      </c>
      <c r="AV1068">
        <v>3</v>
      </c>
      <c r="AW1068" t="s">
        <v>79</v>
      </c>
      <c r="AX1068">
        <v>5</v>
      </c>
      <c r="AY1068" t="str">
        <f t="shared" si="240"/>
        <v>2-5</v>
      </c>
      <c r="AZ1068">
        <v>4</v>
      </c>
      <c r="BA1068" t="str">
        <f t="shared" si="252"/>
        <v>2-5</v>
      </c>
      <c r="BB1068">
        <v>0</v>
      </c>
      <c r="BC1068" t="str">
        <f t="shared" si="253"/>
        <v>0-1</v>
      </c>
      <c r="BD1068">
        <v>2</v>
      </c>
      <c r="BE1068" t="str">
        <f t="shared" si="254"/>
        <v>2-5</v>
      </c>
    </row>
    <row r="1069" spans="1:57" x14ac:dyDescent="0.3">
      <c r="A1069">
        <v>1503</v>
      </c>
      <c r="B1069">
        <v>47</v>
      </c>
      <c r="C1069" t="str">
        <f t="shared" si="241"/>
        <v>46-55</v>
      </c>
      <c r="D1069" t="s">
        <v>71</v>
      </c>
      <c r="E1069">
        <f t="shared" si="242"/>
        <v>0</v>
      </c>
      <c r="F1069" t="s">
        <v>57</v>
      </c>
      <c r="G1069">
        <v>571</v>
      </c>
      <c r="H1069" t="str">
        <f t="shared" si="243"/>
        <v>501-1000</v>
      </c>
      <c r="I1069" t="s">
        <v>58</v>
      </c>
      <c r="J1069">
        <v>14</v>
      </c>
      <c r="K1069" t="str">
        <f t="shared" si="244"/>
        <v>11-20</v>
      </c>
      <c r="L1069">
        <v>3</v>
      </c>
      <c r="M1069" t="s">
        <v>85</v>
      </c>
      <c r="N1069" t="s">
        <v>83</v>
      </c>
      <c r="O1069">
        <v>1</v>
      </c>
      <c r="P1069">
        <v>3</v>
      </c>
      <c r="Q1069" t="s">
        <v>63</v>
      </c>
      <c r="R1069" t="s">
        <v>62</v>
      </c>
      <c r="S1069">
        <v>78</v>
      </c>
      <c r="T1069" t="str">
        <f t="shared" si="245"/>
        <v>76-100</v>
      </c>
      <c r="U1069">
        <v>3</v>
      </c>
      <c r="V1069" t="s">
        <v>63</v>
      </c>
      <c r="W1069">
        <v>2</v>
      </c>
      <c r="X1069" t="s">
        <v>64</v>
      </c>
      <c r="Y1069">
        <v>3</v>
      </c>
      <c r="Z1069" t="s">
        <v>63</v>
      </c>
      <c r="AA1069" t="s">
        <v>77</v>
      </c>
      <c r="AB1069" s="4">
        <v>4591</v>
      </c>
      <c r="AC1069" s="4" t="str">
        <f t="shared" si="246"/>
        <v>$4,000-$5,500</v>
      </c>
      <c r="AD1069">
        <v>24200</v>
      </c>
      <c r="AE1069" t="str">
        <f t="shared" si="247"/>
        <v>$22,001-$26,999</v>
      </c>
      <c r="AF1069">
        <v>3</v>
      </c>
      <c r="AG1069" t="str">
        <f t="shared" si="248"/>
        <v>2-3</v>
      </c>
      <c r="AH1069" t="s">
        <v>67</v>
      </c>
      <c r="AI1069" t="s">
        <v>56</v>
      </c>
      <c r="AJ1069">
        <v>17</v>
      </c>
      <c r="AK1069" t="str">
        <f t="shared" si="249"/>
        <v>16-17%</v>
      </c>
      <c r="AL1069">
        <v>3</v>
      </c>
      <c r="AM1069" t="s">
        <v>68</v>
      </c>
      <c r="AN1069">
        <v>3</v>
      </c>
      <c r="AO1069" t="s">
        <v>63</v>
      </c>
      <c r="AP1069">
        <v>80</v>
      </c>
      <c r="AQ1069">
        <v>1</v>
      </c>
      <c r="AR1069">
        <v>11</v>
      </c>
      <c r="AS1069" t="str">
        <f t="shared" si="250"/>
        <v>11-20</v>
      </c>
      <c r="AT1069">
        <v>4</v>
      </c>
      <c r="AU1069" t="str">
        <f t="shared" si="251"/>
        <v>3-4</v>
      </c>
      <c r="AV1069">
        <v>2</v>
      </c>
      <c r="AW1069" t="s">
        <v>84</v>
      </c>
      <c r="AX1069">
        <v>5</v>
      </c>
      <c r="AY1069" t="str">
        <f t="shared" si="240"/>
        <v>2-5</v>
      </c>
      <c r="AZ1069">
        <v>4</v>
      </c>
      <c r="BA1069" t="str">
        <f t="shared" si="252"/>
        <v>2-5</v>
      </c>
      <c r="BB1069">
        <v>1</v>
      </c>
      <c r="BC1069" t="str">
        <f t="shared" si="253"/>
        <v>0-1</v>
      </c>
      <c r="BD1069">
        <v>2</v>
      </c>
      <c r="BE1069" t="str">
        <f t="shared" si="254"/>
        <v>2-5</v>
      </c>
    </row>
    <row r="1070" spans="1:57" x14ac:dyDescent="0.3">
      <c r="A1070">
        <v>1504</v>
      </c>
      <c r="B1070">
        <v>28</v>
      </c>
      <c r="C1070" t="str">
        <f t="shared" si="241"/>
        <v>26-35</v>
      </c>
      <c r="D1070" t="s">
        <v>56</v>
      </c>
      <c r="E1070">
        <f t="shared" si="242"/>
        <v>1</v>
      </c>
      <c r="F1070" t="s">
        <v>72</v>
      </c>
      <c r="G1070">
        <v>289</v>
      </c>
      <c r="H1070" t="str">
        <f t="shared" si="243"/>
        <v>102-500</v>
      </c>
      <c r="I1070" t="s">
        <v>73</v>
      </c>
      <c r="J1070">
        <v>2</v>
      </c>
      <c r="K1070" t="str">
        <f t="shared" si="244"/>
        <v>1-5</v>
      </c>
      <c r="L1070">
        <v>2</v>
      </c>
      <c r="M1070" t="s">
        <v>59</v>
      </c>
      <c r="N1070" t="s">
        <v>83</v>
      </c>
      <c r="O1070">
        <v>1</v>
      </c>
      <c r="P1070">
        <v>3</v>
      </c>
      <c r="Q1070" t="s">
        <v>63</v>
      </c>
      <c r="R1070" t="s">
        <v>75</v>
      </c>
      <c r="S1070">
        <v>38</v>
      </c>
      <c r="T1070" t="str">
        <f t="shared" si="245"/>
        <v>30-50</v>
      </c>
      <c r="U1070">
        <v>2</v>
      </c>
      <c r="V1070" t="s">
        <v>61</v>
      </c>
      <c r="W1070">
        <v>1</v>
      </c>
      <c r="X1070" t="s">
        <v>81</v>
      </c>
      <c r="Y1070">
        <v>1</v>
      </c>
      <c r="Z1070" t="s">
        <v>69</v>
      </c>
      <c r="AA1070" t="s">
        <v>66</v>
      </c>
      <c r="AB1070" s="4">
        <v>2561</v>
      </c>
      <c r="AC1070" s="4" t="str">
        <f t="shared" si="246"/>
        <v>$2,500-$4,000</v>
      </c>
      <c r="AD1070">
        <v>5355</v>
      </c>
      <c r="AE1070" t="str">
        <f t="shared" si="247"/>
        <v>$2,094-$8,000</v>
      </c>
      <c r="AF1070">
        <v>7</v>
      </c>
      <c r="AG1070" t="str">
        <f t="shared" si="248"/>
        <v>7-9</v>
      </c>
      <c r="AH1070" t="s">
        <v>67</v>
      </c>
      <c r="AI1070" t="s">
        <v>71</v>
      </c>
      <c r="AJ1070">
        <v>11</v>
      </c>
      <c r="AK1070" t="str">
        <f t="shared" si="249"/>
        <v>11-12%</v>
      </c>
      <c r="AL1070">
        <v>3</v>
      </c>
      <c r="AM1070" t="s">
        <v>68</v>
      </c>
      <c r="AN1070">
        <v>3</v>
      </c>
      <c r="AO1070" t="s">
        <v>63</v>
      </c>
      <c r="AP1070">
        <v>80</v>
      </c>
      <c r="AQ1070">
        <v>0</v>
      </c>
      <c r="AR1070">
        <v>8</v>
      </c>
      <c r="AS1070" t="str">
        <f t="shared" si="250"/>
        <v>6-10</v>
      </c>
      <c r="AT1070">
        <v>2</v>
      </c>
      <c r="AU1070" t="str">
        <f t="shared" si="251"/>
        <v>0-2</v>
      </c>
      <c r="AV1070">
        <v>2</v>
      </c>
      <c r="AW1070" t="s">
        <v>84</v>
      </c>
      <c r="AX1070">
        <v>0</v>
      </c>
      <c r="AY1070" t="str">
        <f t="shared" si="240"/>
        <v>0-1</v>
      </c>
      <c r="AZ1070">
        <v>0</v>
      </c>
      <c r="BA1070" t="str">
        <f t="shared" si="252"/>
        <v>0-1</v>
      </c>
      <c r="BB1070">
        <v>0</v>
      </c>
      <c r="BC1070" t="str">
        <f t="shared" si="253"/>
        <v>0-1</v>
      </c>
      <c r="BD1070">
        <v>0</v>
      </c>
      <c r="BE1070" t="str">
        <f t="shared" si="254"/>
        <v>0-1</v>
      </c>
    </row>
    <row r="1071" spans="1:57" x14ac:dyDescent="0.3">
      <c r="A1071">
        <v>1506</v>
      </c>
      <c r="B1071">
        <v>28</v>
      </c>
      <c r="C1071" t="str">
        <f t="shared" si="241"/>
        <v>26-35</v>
      </c>
      <c r="D1071" t="s">
        <v>71</v>
      </c>
      <c r="E1071">
        <f t="shared" si="242"/>
        <v>0</v>
      </c>
      <c r="F1071" t="s">
        <v>57</v>
      </c>
      <c r="G1071">
        <v>1423</v>
      </c>
      <c r="H1071" t="str">
        <f t="shared" si="243"/>
        <v>1001-1499</v>
      </c>
      <c r="I1071" t="s">
        <v>73</v>
      </c>
      <c r="J1071">
        <v>1</v>
      </c>
      <c r="K1071" t="str">
        <f t="shared" si="244"/>
        <v>1-5</v>
      </c>
      <c r="L1071">
        <v>3</v>
      </c>
      <c r="M1071" t="s">
        <v>85</v>
      </c>
      <c r="N1071" t="s">
        <v>60</v>
      </c>
      <c r="O1071">
        <v>1</v>
      </c>
      <c r="P1071">
        <v>1</v>
      </c>
      <c r="Q1071" t="s">
        <v>69</v>
      </c>
      <c r="R1071" t="s">
        <v>75</v>
      </c>
      <c r="S1071">
        <v>72</v>
      </c>
      <c r="T1071" t="str">
        <f t="shared" si="245"/>
        <v>51-75</v>
      </c>
      <c r="U1071">
        <v>2</v>
      </c>
      <c r="V1071" t="s">
        <v>61</v>
      </c>
      <c r="W1071">
        <v>1</v>
      </c>
      <c r="X1071" t="s">
        <v>76</v>
      </c>
      <c r="Y1071">
        <v>3</v>
      </c>
      <c r="Z1071" t="s">
        <v>63</v>
      </c>
      <c r="AA1071" t="s">
        <v>86</v>
      </c>
      <c r="AB1071" s="4">
        <v>1563</v>
      </c>
      <c r="AC1071" s="4" t="str">
        <f t="shared" si="246"/>
        <v>$1,000-$2,500</v>
      </c>
      <c r="AD1071">
        <v>12530</v>
      </c>
      <c r="AE1071" t="str">
        <f t="shared" si="247"/>
        <v>$8,001-$16,000</v>
      </c>
      <c r="AF1071">
        <v>1</v>
      </c>
      <c r="AG1071" t="str">
        <f t="shared" si="248"/>
        <v>0-1</v>
      </c>
      <c r="AH1071" t="s">
        <v>67</v>
      </c>
      <c r="AI1071" t="s">
        <v>71</v>
      </c>
      <c r="AJ1071">
        <v>14</v>
      </c>
      <c r="AK1071" t="str">
        <f t="shared" si="249"/>
        <v>13-15%</v>
      </c>
      <c r="AL1071">
        <v>3</v>
      </c>
      <c r="AM1071" t="s">
        <v>68</v>
      </c>
      <c r="AN1071">
        <v>4</v>
      </c>
      <c r="AO1071" t="s">
        <v>65</v>
      </c>
      <c r="AP1071">
        <v>80</v>
      </c>
      <c r="AQ1071">
        <v>1</v>
      </c>
      <c r="AR1071">
        <v>1</v>
      </c>
      <c r="AS1071" t="str">
        <f t="shared" si="250"/>
        <v>0-2</v>
      </c>
      <c r="AT1071">
        <v>2</v>
      </c>
      <c r="AU1071" t="str">
        <f t="shared" si="251"/>
        <v>0-2</v>
      </c>
      <c r="AV1071">
        <v>1</v>
      </c>
      <c r="AW1071" t="s">
        <v>70</v>
      </c>
      <c r="AX1071">
        <v>1</v>
      </c>
      <c r="AY1071" t="str">
        <f t="shared" si="240"/>
        <v>0-1</v>
      </c>
      <c r="AZ1071">
        <v>0</v>
      </c>
      <c r="BA1071" t="str">
        <f t="shared" si="252"/>
        <v>0-1</v>
      </c>
      <c r="BB1071">
        <v>0</v>
      </c>
      <c r="BC1071" t="str">
        <f t="shared" si="253"/>
        <v>0-1</v>
      </c>
      <c r="BD1071">
        <v>0</v>
      </c>
      <c r="BE1071" t="str">
        <f t="shared" si="254"/>
        <v>0-1</v>
      </c>
    </row>
    <row r="1072" spans="1:57" x14ac:dyDescent="0.3">
      <c r="A1072">
        <v>1507</v>
      </c>
      <c r="B1072">
        <v>28</v>
      </c>
      <c r="C1072" t="str">
        <f t="shared" si="241"/>
        <v>26-35</v>
      </c>
      <c r="D1072" t="s">
        <v>71</v>
      </c>
      <c r="E1072">
        <f t="shared" si="242"/>
        <v>0</v>
      </c>
      <c r="F1072" t="s">
        <v>72</v>
      </c>
      <c r="G1072">
        <v>467</v>
      </c>
      <c r="H1072" t="str">
        <f t="shared" si="243"/>
        <v>102-500</v>
      </c>
      <c r="I1072" t="s">
        <v>58</v>
      </c>
      <c r="J1072">
        <v>7</v>
      </c>
      <c r="K1072" t="str">
        <f t="shared" si="244"/>
        <v>6-10</v>
      </c>
      <c r="L1072">
        <v>3</v>
      </c>
      <c r="M1072" t="s">
        <v>85</v>
      </c>
      <c r="N1072" t="s">
        <v>60</v>
      </c>
      <c r="O1072">
        <v>1</v>
      </c>
      <c r="P1072">
        <v>3</v>
      </c>
      <c r="Q1072" t="s">
        <v>63</v>
      </c>
      <c r="R1072" t="s">
        <v>75</v>
      </c>
      <c r="S1072">
        <v>55</v>
      </c>
      <c r="T1072" t="str">
        <f t="shared" si="245"/>
        <v>51-75</v>
      </c>
      <c r="U1072">
        <v>3</v>
      </c>
      <c r="V1072" t="s">
        <v>63</v>
      </c>
      <c r="W1072">
        <v>2</v>
      </c>
      <c r="X1072" t="s">
        <v>64</v>
      </c>
      <c r="Y1072">
        <v>1</v>
      </c>
      <c r="Z1072" t="s">
        <v>69</v>
      </c>
      <c r="AA1072" t="s">
        <v>66</v>
      </c>
      <c r="AB1072" s="4">
        <v>4898</v>
      </c>
      <c r="AC1072" s="4" t="str">
        <f t="shared" si="246"/>
        <v>$4,000-$5,500</v>
      </c>
      <c r="AD1072">
        <v>11827</v>
      </c>
      <c r="AE1072" t="str">
        <f t="shared" si="247"/>
        <v>$8,001-$16,000</v>
      </c>
      <c r="AF1072">
        <v>0</v>
      </c>
      <c r="AG1072" t="str">
        <f t="shared" si="248"/>
        <v>0-1</v>
      </c>
      <c r="AH1072" t="s">
        <v>67</v>
      </c>
      <c r="AI1072" t="s">
        <v>71</v>
      </c>
      <c r="AJ1072">
        <v>14</v>
      </c>
      <c r="AK1072" t="str">
        <f t="shared" si="249"/>
        <v>13-15%</v>
      </c>
      <c r="AL1072">
        <v>3</v>
      </c>
      <c r="AM1072" t="s">
        <v>68</v>
      </c>
      <c r="AN1072">
        <v>4</v>
      </c>
      <c r="AO1072" t="s">
        <v>65</v>
      </c>
      <c r="AP1072">
        <v>80</v>
      </c>
      <c r="AQ1072">
        <v>0</v>
      </c>
      <c r="AR1072">
        <v>5</v>
      </c>
      <c r="AS1072" t="str">
        <f t="shared" si="250"/>
        <v>3-5</v>
      </c>
      <c r="AT1072">
        <v>5</v>
      </c>
      <c r="AU1072" t="str">
        <f t="shared" si="251"/>
        <v>5-6</v>
      </c>
      <c r="AV1072">
        <v>3</v>
      </c>
      <c r="AW1072" t="s">
        <v>79</v>
      </c>
      <c r="AX1072">
        <v>4</v>
      </c>
      <c r="AY1072" t="str">
        <f t="shared" si="240"/>
        <v>2-5</v>
      </c>
      <c r="AZ1072">
        <v>2</v>
      </c>
      <c r="BA1072" t="str">
        <f t="shared" si="252"/>
        <v>2-5</v>
      </c>
      <c r="BB1072">
        <v>1</v>
      </c>
      <c r="BC1072" t="str">
        <f t="shared" si="253"/>
        <v>0-1</v>
      </c>
      <c r="BD1072">
        <v>3</v>
      </c>
      <c r="BE1072" t="str">
        <f t="shared" si="254"/>
        <v>2-5</v>
      </c>
    </row>
    <row r="1073" spans="1:57" x14ac:dyDescent="0.3">
      <c r="A1073">
        <v>1509</v>
      </c>
      <c r="B1073">
        <v>49</v>
      </c>
      <c r="C1073" t="str">
        <f t="shared" si="241"/>
        <v>46-55</v>
      </c>
      <c r="D1073" t="s">
        <v>71</v>
      </c>
      <c r="E1073">
        <f t="shared" si="242"/>
        <v>0</v>
      </c>
      <c r="F1073" t="s">
        <v>57</v>
      </c>
      <c r="G1073">
        <v>271</v>
      </c>
      <c r="H1073" t="str">
        <f t="shared" si="243"/>
        <v>102-500</v>
      </c>
      <c r="I1073" t="s">
        <v>73</v>
      </c>
      <c r="J1073">
        <v>3</v>
      </c>
      <c r="K1073" t="str">
        <f t="shared" si="244"/>
        <v>1-5</v>
      </c>
      <c r="L1073">
        <v>2</v>
      </c>
      <c r="M1073" t="s">
        <v>59</v>
      </c>
      <c r="N1073" t="s">
        <v>83</v>
      </c>
      <c r="O1073">
        <v>1</v>
      </c>
      <c r="P1073">
        <v>3</v>
      </c>
      <c r="Q1073" t="s">
        <v>63</v>
      </c>
      <c r="R1073" t="s">
        <v>62</v>
      </c>
      <c r="S1073">
        <v>43</v>
      </c>
      <c r="T1073" t="str">
        <f t="shared" si="245"/>
        <v>30-50</v>
      </c>
      <c r="U1073">
        <v>2</v>
      </c>
      <c r="V1073" t="s">
        <v>61</v>
      </c>
      <c r="W1073">
        <v>2</v>
      </c>
      <c r="X1073" t="s">
        <v>81</v>
      </c>
      <c r="Y1073">
        <v>1</v>
      </c>
      <c r="Z1073" t="s">
        <v>69</v>
      </c>
      <c r="AA1073" t="s">
        <v>77</v>
      </c>
      <c r="AB1073" s="4">
        <v>4789</v>
      </c>
      <c r="AC1073" s="4" t="str">
        <f t="shared" si="246"/>
        <v>$4,000-$5,500</v>
      </c>
      <c r="AD1073">
        <v>23070</v>
      </c>
      <c r="AE1073" t="str">
        <f t="shared" si="247"/>
        <v>$22,001-$26,999</v>
      </c>
      <c r="AF1073">
        <v>4</v>
      </c>
      <c r="AG1073" t="str">
        <f t="shared" si="248"/>
        <v>4-6</v>
      </c>
      <c r="AH1073" t="s">
        <v>67</v>
      </c>
      <c r="AI1073" t="s">
        <v>71</v>
      </c>
      <c r="AJ1073">
        <v>25</v>
      </c>
      <c r="AK1073" t="str">
        <f t="shared" si="249"/>
        <v>18-19%</v>
      </c>
      <c r="AL1073">
        <v>4</v>
      </c>
      <c r="AM1073" t="s">
        <v>78</v>
      </c>
      <c r="AN1073">
        <v>1</v>
      </c>
      <c r="AO1073" t="s">
        <v>69</v>
      </c>
      <c r="AP1073">
        <v>80</v>
      </c>
      <c r="AQ1073">
        <v>1</v>
      </c>
      <c r="AR1073">
        <v>10</v>
      </c>
      <c r="AS1073" t="str">
        <f t="shared" si="250"/>
        <v>6-10</v>
      </c>
      <c r="AT1073">
        <v>3</v>
      </c>
      <c r="AU1073" t="str">
        <f t="shared" si="251"/>
        <v>3-4</v>
      </c>
      <c r="AV1073">
        <v>3</v>
      </c>
      <c r="AW1073" t="s">
        <v>79</v>
      </c>
      <c r="AX1073">
        <v>3</v>
      </c>
      <c r="AY1073" t="str">
        <f t="shared" si="240"/>
        <v>2-5</v>
      </c>
      <c r="AZ1073">
        <v>2</v>
      </c>
      <c r="BA1073" t="str">
        <f t="shared" si="252"/>
        <v>2-5</v>
      </c>
      <c r="BB1073">
        <v>1</v>
      </c>
      <c r="BC1073" t="str">
        <f t="shared" si="253"/>
        <v>0-1</v>
      </c>
      <c r="BD1073">
        <v>2</v>
      </c>
      <c r="BE1073" t="str">
        <f t="shared" si="254"/>
        <v>2-5</v>
      </c>
    </row>
    <row r="1074" spans="1:57" x14ac:dyDescent="0.3">
      <c r="A1074">
        <v>1513</v>
      </c>
      <c r="B1074">
        <v>29</v>
      </c>
      <c r="C1074" t="str">
        <f t="shared" si="241"/>
        <v>26-35</v>
      </c>
      <c r="D1074" t="s">
        <v>71</v>
      </c>
      <c r="E1074">
        <f t="shared" si="242"/>
        <v>0</v>
      </c>
      <c r="F1074" t="s">
        <v>72</v>
      </c>
      <c r="G1074">
        <v>410</v>
      </c>
      <c r="H1074" t="str">
        <f t="shared" si="243"/>
        <v>102-500</v>
      </c>
      <c r="I1074" t="s">
        <v>73</v>
      </c>
      <c r="J1074">
        <v>2</v>
      </c>
      <c r="K1074" t="str">
        <f t="shared" si="244"/>
        <v>1-5</v>
      </c>
      <c r="L1074">
        <v>1</v>
      </c>
      <c r="M1074" t="s">
        <v>74</v>
      </c>
      <c r="N1074" t="s">
        <v>60</v>
      </c>
      <c r="O1074">
        <v>1</v>
      </c>
      <c r="P1074">
        <v>4</v>
      </c>
      <c r="Q1074" t="s">
        <v>65</v>
      </c>
      <c r="R1074" t="s">
        <v>62</v>
      </c>
      <c r="S1074">
        <v>97</v>
      </c>
      <c r="T1074" t="str">
        <f t="shared" si="245"/>
        <v>76-100</v>
      </c>
      <c r="U1074">
        <v>3</v>
      </c>
      <c r="V1074" t="s">
        <v>63</v>
      </c>
      <c r="W1074">
        <v>1</v>
      </c>
      <c r="X1074" t="s">
        <v>81</v>
      </c>
      <c r="Y1074">
        <v>2</v>
      </c>
      <c r="Z1074" t="s">
        <v>61</v>
      </c>
      <c r="AA1074" t="s">
        <v>77</v>
      </c>
      <c r="AB1074" s="4">
        <v>3180</v>
      </c>
      <c r="AC1074" s="4" t="str">
        <f t="shared" si="246"/>
        <v>$2,500-$4,000</v>
      </c>
      <c r="AD1074">
        <v>4668</v>
      </c>
      <c r="AE1074" t="str">
        <f t="shared" si="247"/>
        <v>$2,094-$8,000</v>
      </c>
      <c r="AF1074">
        <v>0</v>
      </c>
      <c r="AG1074" t="str">
        <f t="shared" si="248"/>
        <v>0-1</v>
      </c>
      <c r="AH1074" t="s">
        <v>67</v>
      </c>
      <c r="AI1074" t="s">
        <v>71</v>
      </c>
      <c r="AJ1074">
        <v>13</v>
      </c>
      <c r="AK1074" t="str">
        <f t="shared" si="249"/>
        <v>13-15%</v>
      </c>
      <c r="AL1074">
        <v>3</v>
      </c>
      <c r="AM1074" t="s">
        <v>68</v>
      </c>
      <c r="AN1074">
        <v>3</v>
      </c>
      <c r="AO1074" t="s">
        <v>63</v>
      </c>
      <c r="AP1074">
        <v>80</v>
      </c>
      <c r="AQ1074">
        <v>3</v>
      </c>
      <c r="AR1074">
        <v>4</v>
      </c>
      <c r="AS1074" t="str">
        <f t="shared" si="250"/>
        <v>3-5</v>
      </c>
      <c r="AT1074">
        <v>3</v>
      </c>
      <c r="AU1074" t="str">
        <f t="shared" si="251"/>
        <v>3-4</v>
      </c>
      <c r="AV1074">
        <v>3</v>
      </c>
      <c r="AW1074" t="s">
        <v>79</v>
      </c>
      <c r="AX1074">
        <v>3</v>
      </c>
      <c r="AY1074" t="str">
        <f t="shared" si="240"/>
        <v>2-5</v>
      </c>
      <c r="AZ1074">
        <v>2</v>
      </c>
      <c r="BA1074" t="str">
        <f t="shared" si="252"/>
        <v>2-5</v>
      </c>
      <c r="BB1074">
        <v>0</v>
      </c>
      <c r="BC1074" t="str">
        <f t="shared" si="253"/>
        <v>0-1</v>
      </c>
      <c r="BD1074">
        <v>2</v>
      </c>
      <c r="BE1074" t="str">
        <f t="shared" si="254"/>
        <v>2-5</v>
      </c>
    </row>
    <row r="1075" spans="1:57" x14ac:dyDescent="0.3">
      <c r="A1075">
        <v>1514</v>
      </c>
      <c r="B1075">
        <v>28</v>
      </c>
      <c r="C1075" t="str">
        <f t="shared" si="241"/>
        <v>26-35</v>
      </c>
      <c r="D1075" t="s">
        <v>71</v>
      </c>
      <c r="E1075">
        <f t="shared" si="242"/>
        <v>0</v>
      </c>
      <c r="F1075" t="s">
        <v>57</v>
      </c>
      <c r="G1075">
        <v>1083</v>
      </c>
      <c r="H1075" t="str">
        <f t="shared" si="243"/>
        <v>1001-1499</v>
      </c>
      <c r="I1075" t="s">
        <v>73</v>
      </c>
      <c r="J1075">
        <v>29</v>
      </c>
      <c r="K1075" t="str">
        <f t="shared" si="244"/>
        <v>21-29</v>
      </c>
      <c r="L1075">
        <v>1</v>
      </c>
      <c r="M1075" t="s">
        <v>74</v>
      </c>
      <c r="N1075" t="s">
        <v>60</v>
      </c>
      <c r="O1075">
        <v>1</v>
      </c>
      <c r="P1075">
        <v>3</v>
      </c>
      <c r="Q1075" t="s">
        <v>63</v>
      </c>
      <c r="R1075" t="s">
        <v>75</v>
      </c>
      <c r="S1075">
        <v>96</v>
      </c>
      <c r="T1075" t="str">
        <f t="shared" si="245"/>
        <v>76-100</v>
      </c>
      <c r="U1075">
        <v>1</v>
      </c>
      <c r="V1075" t="s">
        <v>69</v>
      </c>
      <c r="W1075">
        <v>2</v>
      </c>
      <c r="X1075" t="s">
        <v>87</v>
      </c>
      <c r="Y1075">
        <v>2</v>
      </c>
      <c r="Z1075" t="s">
        <v>61</v>
      </c>
      <c r="AA1075" t="s">
        <v>77</v>
      </c>
      <c r="AB1075" s="4">
        <v>6549</v>
      </c>
      <c r="AC1075" s="4" t="str">
        <f t="shared" si="246"/>
        <v>$5,500-$7,000</v>
      </c>
      <c r="AD1075">
        <v>3173</v>
      </c>
      <c r="AE1075" t="str">
        <f t="shared" si="247"/>
        <v>$2,094-$8,000</v>
      </c>
      <c r="AF1075">
        <v>1</v>
      </c>
      <c r="AG1075" t="str">
        <f t="shared" si="248"/>
        <v>0-1</v>
      </c>
      <c r="AH1075" t="s">
        <v>67</v>
      </c>
      <c r="AI1075" t="s">
        <v>71</v>
      </c>
      <c r="AJ1075">
        <v>14</v>
      </c>
      <c r="AK1075" t="str">
        <f t="shared" si="249"/>
        <v>13-15%</v>
      </c>
      <c r="AL1075">
        <v>3</v>
      </c>
      <c r="AM1075" t="s">
        <v>68</v>
      </c>
      <c r="AN1075">
        <v>2</v>
      </c>
      <c r="AO1075" t="s">
        <v>61</v>
      </c>
      <c r="AP1075">
        <v>80</v>
      </c>
      <c r="AQ1075">
        <v>2</v>
      </c>
      <c r="AR1075">
        <v>8</v>
      </c>
      <c r="AS1075" t="str">
        <f t="shared" si="250"/>
        <v>6-10</v>
      </c>
      <c r="AT1075">
        <v>2</v>
      </c>
      <c r="AU1075" t="str">
        <f t="shared" si="251"/>
        <v>0-2</v>
      </c>
      <c r="AV1075">
        <v>2</v>
      </c>
      <c r="AW1075" t="s">
        <v>84</v>
      </c>
      <c r="AX1075">
        <v>8</v>
      </c>
      <c r="AY1075" t="str">
        <f t="shared" si="240"/>
        <v>6-10</v>
      </c>
      <c r="AZ1075">
        <v>6</v>
      </c>
      <c r="BA1075" t="str">
        <f t="shared" si="252"/>
        <v>6-10</v>
      </c>
      <c r="BB1075">
        <v>1</v>
      </c>
      <c r="BC1075" t="str">
        <f t="shared" si="253"/>
        <v>0-1</v>
      </c>
      <c r="BD1075">
        <v>7</v>
      </c>
      <c r="BE1075" t="str">
        <f t="shared" si="254"/>
        <v>6-10</v>
      </c>
    </row>
    <row r="1076" spans="1:57" x14ac:dyDescent="0.3">
      <c r="A1076">
        <v>1515</v>
      </c>
      <c r="B1076">
        <v>33</v>
      </c>
      <c r="C1076" t="str">
        <f t="shared" si="241"/>
        <v>26-35</v>
      </c>
      <c r="D1076" t="s">
        <v>71</v>
      </c>
      <c r="E1076">
        <f t="shared" si="242"/>
        <v>0</v>
      </c>
      <c r="F1076" t="s">
        <v>57</v>
      </c>
      <c r="G1076">
        <v>516</v>
      </c>
      <c r="H1076" t="str">
        <f t="shared" si="243"/>
        <v>501-1000</v>
      </c>
      <c r="I1076" t="s">
        <v>73</v>
      </c>
      <c r="J1076">
        <v>8</v>
      </c>
      <c r="K1076" t="str">
        <f t="shared" si="244"/>
        <v>6-10</v>
      </c>
      <c r="L1076">
        <v>5</v>
      </c>
      <c r="M1076" t="s">
        <v>96</v>
      </c>
      <c r="N1076" t="s">
        <v>60</v>
      </c>
      <c r="O1076">
        <v>1</v>
      </c>
      <c r="P1076">
        <v>4</v>
      </c>
      <c r="Q1076" t="s">
        <v>65</v>
      </c>
      <c r="R1076" t="s">
        <v>75</v>
      </c>
      <c r="S1076">
        <v>69</v>
      </c>
      <c r="T1076" t="str">
        <f t="shared" si="245"/>
        <v>51-75</v>
      </c>
      <c r="U1076">
        <v>3</v>
      </c>
      <c r="V1076" t="s">
        <v>63</v>
      </c>
      <c r="W1076">
        <v>2</v>
      </c>
      <c r="X1076" t="s">
        <v>88</v>
      </c>
      <c r="Y1076">
        <v>3</v>
      </c>
      <c r="Z1076" t="s">
        <v>63</v>
      </c>
      <c r="AA1076" t="s">
        <v>66</v>
      </c>
      <c r="AB1076" s="4">
        <v>6388</v>
      </c>
      <c r="AC1076" s="4" t="str">
        <f t="shared" si="246"/>
        <v>$5,500-$7,000</v>
      </c>
      <c r="AD1076">
        <v>22049</v>
      </c>
      <c r="AE1076" t="str">
        <f t="shared" si="247"/>
        <v>$22,001-$26,999</v>
      </c>
      <c r="AF1076">
        <v>2</v>
      </c>
      <c r="AG1076" t="str">
        <f t="shared" si="248"/>
        <v>2-3</v>
      </c>
      <c r="AH1076" t="s">
        <v>67</v>
      </c>
      <c r="AI1076" t="s">
        <v>56</v>
      </c>
      <c r="AJ1076">
        <v>17</v>
      </c>
      <c r="AK1076" t="str">
        <f t="shared" si="249"/>
        <v>16-17%</v>
      </c>
      <c r="AL1076">
        <v>3</v>
      </c>
      <c r="AM1076" t="s">
        <v>68</v>
      </c>
      <c r="AN1076">
        <v>1</v>
      </c>
      <c r="AO1076" t="s">
        <v>69</v>
      </c>
      <c r="AP1076">
        <v>80</v>
      </c>
      <c r="AQ1076">
        <v>0</v>
      </c>
      <c r="AR1076">
        <v>14</v>
      </c>
      <c r="AS1076" t="str">
        <f t="shared" si="250"/>
        <v>11-20</v>
      </c>
      <c r="AT1076">
        <v>6</v>
      </c>
      <c r="AU1076" t="str">
        <f t="shared" si="251"/>
        <v>5-6</v>
      </c>
      <c r="AV1076">
        <v>3</v>
      </c>
      <c r="AW1076" t="s">
        <v>79</v>
      </c>
      <c r="AX1076">
        <v>0</v>
      </c>
      <c r="AY1076" t="str">
        <f t="shared" si="240"/>
        <v>0-1</v>
      </c>
      <c r="AZ1076">
        <v>0</v>
      </c>
      <c r="BA1076" t="str">
        <f t="shared" si="252"/>
        <v>0-1</v>
      </c>
      <c r="BB1076">
        <v>0</v>
      </c>
      <c r="BC1076" t="str">
        <f t="shared" si="253"/>
        <v>0-1</v>
      </c>
      <c r="BD1076">
        <v>0</v>
      </c>
      <c r="BE1076" t="str">
        <f t="shared" si="254"/>
        <v>0-1</v>
      </c>
    </row>
    <row r="1077" spans="1:57" x14ac:dyDescent="0.3">
      <c r="A1077">
        <v>1516</v>
      </c>
      <c r="B1077">
        <v>32</v>
      </c>
      <c r="C1077" t="str">
        <f t="shared" si="241"/>
        <v>26-35</v>
      </c>
      <c r="D1077" t="s">
        <v>71</v>
      </c>
      <c r="E1077">
        <f t="shared" si="242"/>
        <v>0</v>
      </c>
      <c r="F1077" t="s">
        <v>57</v>
      </c>
      <c r="G1077">
        <v>495</v>
      </c>
      <c r="H1077" t="str">
        <f t="shared" si="243"/>
        <v>102-500</v>
      </c>
      <c r="I1077" t="s">
        <v>73</v>
      </c>
      <c r="J1077">
        <v>10</v>
      </c>
      <c r="K1077" t="str">
        <f t="shared" si="244"/>
        <v>6-10</v>
      </c>
      <c r="L1077">
        <v>3</v>
      </c>
      <c r="M1077" t="s">
        <v>85</v>
      </c>
      <c r="N1077" t="s">
        <v>83</v>
      </c>
      <c r="O1077">
        <v>1</v>
      </c>
      <c r="P1077">
        <v>3</v>
      </c>
      <c r="Q1077" t="s">
        <v>63</v>
      </c>
      <c r="R1077" t="s">
        <v>75</v>
      </c>
      <c r="S1077">
        <v>64</v>
      </c>
      <c r="T1077" t="str">
        <f t="shared" si="245"/>
        <v>51-75</v>
      </c>
      <c r="U1077">
        <v>3</v>
      </c>
      <c r="V1077" t="s">
        <v>63</v>
      </c>
      <c r="W1077">
        <v>3</v>
      </c>
      <c r="X1077" t="s">
        <v>90</v>
      </c>
      <c r="Y1077">
        <v>4</v>
      </c>
      <c r="Z1077" t="s">
        <v>65</v>
      </c>
      <c r="AA1077" t="s">
        <v>66</v>
      </c>
      <c r="AB1077" s="4">
        <v>11244</v>
      </c>
      <c r="AC1077" s="4" t="str">
        <f t="shared" si="246"/>
        <v>$10,000-$11,500</v>
      </c>
      <c r="AD1077">
        <v>21072</v>
      </c>
      <c r="AE1077" t="str">
        <f t="shared" si="247"/>
        <v>$16,001-$22,000</v>
      </c>
      <c r="AF1077">
        <v>2</v>
      </c>
      <c r="AG1077" t="str">
        <f t="shared" si="248"/>
        <v>2-3</v>
      </c>
      <c r="AH1077" t="s">
        <v>67</v>
      </c>
      <c r="AI1077" t="s">
        <v>71</v>
      </c>
      <c r="AJ1077">
        <v>25</v>
      </c>
      <c r="AK1077" t="str">
        <f t="shared" si="249"/>
        <v>18-19%</v>
      </c>
      <c r="AL1077">
        <v>4</v>
      </c>
      <c r="AM1077" t="s">
        <v>78</v>
      </c>
      <c r="AN1077">
        <v>2</v>
      </c>
      <c r="AO1077" t="s">
        <v>61</v>
      </c>
      <c r="AP1077">
        <v>80</v>
      </c>
      <c r="AQ1077">
        <v>0</v>
      </c>
      <c r="AR1077">
        <v>10</v>
      </c>
      <c r="AS1077" t="str">
        <f t="shared" si="250"/>
        <v>6-10</v>
      </c>
      <c r="AT1077">
        <v>5</v>
      </c>
      <c r="AU1077" t="str">
        <f t="shared" si="251"/>
        <v>5-6</v>
      </c>
      <c r="AV1077">
        <v>4</v>
      </c>
      <c r="AW1077" t="s">
        <v>94</v>
      </c>
      <c r="AX1077">
        <v>5</v>
      </c>
      <c r="AY1077" t="str">
        <f t="shared" si="240"/>
        <v>2-5</v>
      </c>
      <c r="AZ1077">
        <v>2</v>
      </c>
      <c r="BA1077" t="str">
        <f t="shared" si="252"/>
        <v>2-5</v>
      </c>
      <c r="BB1077">
        <v>0</v>
      </c>
      <c r="BC1077" t="str">
        <f t="shared" si="253"/>
        <v>0-1</v>
      </c>
      <c r="BD1077">
        <v>0</v>
      </c>
      <c r="BE1077" t="str">
        <f t="shared" si="254"/>
        <v>0-1</v>
      </c>
    </row>
    <row r="1078" spans="1:57" x14ac:dyDescent="0.3">
      <c r="A1078">
        <v>1520</v>
      </c>
      <c r="B1078">
        <v>54</v>
      </c>
      <c r="C1078" t="str">
        <f t="shared" si="241"/>
        <v>46-55</v>
      </c>
      <c r="D1078" t="s">
        <v>71</v>
      </c>
      <c r="E1078">
        <f t="shared" si="242"/>
        <v>0</v>
      </c>
      <c r="F1078" t="s">
        <v>72</v>
      </c>
      <c r="G1078">
        <v>1050</v>
      </c>
      <c r="H1078" t="str">
        <f t="shared" si="243"/>
        <v>1001-1499</v>
      </c>
      <c r="I1078" t="s">
        <v>73</v>
      </c>
      <c r="J1078">
        <v>11</v>
      </c>
      <c r="K1078" t="str">
        <f t="shared" si="244"/>
        <v>11-20</v>
      </c>
      <c r="L1078">
        <v>4</v>
      </c>
      <c r="M1078" t="s">
        <v>82</v>
      </c>
      <c r="N1078" t="s">
        <v>83</v>
      </c>
      <c r="O1078">
        <v>1</v>
      </c>
      <c r="P1078">
        <v>2</v>
      </c>
      <c r="Q1078" t="s">
        <v>61</v>
      </c>
      <c r="R1078" t="s">
        <v>62</v>
      </c>
      <c r="S1078">
        <v>87</v>
      </c>
      <c r="T1078" t="str">
        <f t="shared" si="245"/>
        <v>76-100</v>
      </c>
      <c r="U1078">
        <v>3</v>
      </c>
      <c r="V1078" t="s">
        <v>63</v>
      </c>
      <c r="W1078">
        <v>4</v>
      </c>
      <c r="X1078" t="s">
        <v>90</v>
      </c>
      <c r="Y1078">
        <v>4</v>
      </c>
      <c r="Z1078" t="s">
        <v>65</v>
      </c>
      <c r="AA1078" t="s">
        <v>86</v>
      </c>
      <c r="AB1078" s="4">
        <v>16032</v>
      </c>
      <c r="AC1078" s="4" t="str">
        <f t="shared" si="246"/>
        <v>$16,000-$17,500</v>
      </c>
      <c r="AD1078">
        <v>24456</v>
      </c>
      <c r="AE1078" t="str">
        <f t="shared" si="247"/>
        <v>$22,001-$26,999</v>
      </c>
      <c r="AF1078">
        <v>3</v>
      </c>
      <c r="AG1078" t="str">
        <f t="shared" si="248"/>
        <v>2-3</v>
      </c>
      <c r="AH1078" t="s">
        <v>67</v>
      </c>
      <c r="AI1078" t="s">
        <v>71</v>
      </c>
      <c r="AJ1078">
        <v>20</v>
      </c>
      <c r="AK1078" t="str">
        <f t="shared" si="249"/>
        <v>18-19%</v>
      </c>
      <c r="AL1078">
        <v>4</v>
      </c>
      <c r="AM1078" t="s">
        <v>78</v>
      </c>
      <c r="AN1078">
        <v>1</v>
      </c>
      <c r="AO1078" t="s">
        <v>69</v>
      </c>
      <c r="AP1078">
        <v>80</v>
      </c>
      <c r="AQ1078">
        <v>1</v>
      </c>
      <c r="AR1078">
        <v>26</v>
      </c>
      <c r="AS1078" t="str">
        <f t="shared" si="250"/>
        <v>21-40</v>
      </c>
      <c r="AT1078">
        <v>2</v>
      </c>
      <c r="AU1078" t="str">
        <f t="shared" si="251"/>
        <v>0-2</v>
      </c>
      <c r="AV1078">
        <v>3</v>
      </c>
      <c r="AW1078" t="s">
        <v>79</v>
      </c>
      <c r="AX1078">
        <v>14</v>
      </c>
      <c r="AY1078" t="str">
        <f t="shared" si="240"/>
        <v>11-20</v>
      </c>
      <c r="AZ1078">
        <v>9</v>
      </c>
      <c r="BA1078" t="str">
        <f t="shared" si="252"/>
        <v>6-10</v>
      </c>
      <c r="BB1078">
        <v>1</v>
      </c>
      <c r="BC1078" t="str">
        <f t="shared" si="253"/>
        <v>0-1</v>
      </c>
      <c r="BD1078">
        <v>12</v>
      </c>
      <c r="BE1078" t="str">
        <f t="shared" si="254"/>
        <v>11-17</v>
      </c>
    </row>
    <row r="1079" spans="1:57" x14ac:dyDescent="0.3">
      <c r="A1079">
        <v>1522</v>
      </c>
      <c r="B1079">
        <v>29</v>
      </c>
      <c r="C1079" t="str">
        <f t="shared" si="241"/>
        <v>26-35</v>
      </c>
      <c r="D1079" t="s">
        <v>56</v>
      </c>
      <c r="E1079">
        <f t="shared" si="242"/>
        <v>1</v>
      </c>
      <c r="F1079" t="s">
        <v>57</v>
      </c>
      <c r="G1079">
        <v>224</v>
      </c>
      <c r="H1079" t="str">
        <f t="shared" si="243"/>
        <v>102-500</v>
      </c>
      <c r="I1079" t="s">
        <v>73</v>
      </c>
      <c r="J1079">
        <v>1</v>
      </c>
      <c r="K1079" t="str">
        <f t="shared" si="244"/>
        <v>1-5</v>
      </c>
      <c r="L1079">
        <v>4</v>
      </c>
      <c r="M1079" t="s">
        <v>82</v>
      </c>
      <c r="N1079" t="s">
        <v>95</v>
      </c>
      <c r="O1079">
        <v>1</v>
      </c>
      <c r="P1079">
        <v>1</v>
      </c>
      <c r="Q1079" t="s">
        <v>69</v>
      </c>
      <c r="R1079" t="s">
        <v>75</v>
      </c>
      <c r="S1079">
        <v>100</v>
      </c>
      <c r="T1079" t="str">
        <f t="shared" si="245"/>
        <v>76-100</v>
      </c>
      <c r="U1079">
        <v>2</v>
      </c>
      <c r="V1079" t="s">
        <v>61</v>
      </c>
      <c r="W1079">
        <v>1</v>
      </c>
      <c r="X1079" t="s">
        <v>76</v>
      </c>
      <c r="Y1079">
        <v>1</v>
      </c>
      <c r="Z1079" t="s">
        <v>69</v>
      </c>
      <c r="AA1079" t="s">
        <v>66</v>
      </c>
      <c r="AB1079" s="4">
        <v>2362</v>
      </c>
      <c r="AC1079" s="4" t="str">
        <f t="shared" si="246"/>
        <v>$1,000-$2,500</v>
      </c>
      <c r="AD1079">
        <v>7568</v>
      </c>
      <c r="AE1079" t="str">
        <f t="shared" si="247"/>
        <v>$2,094-$8,000</v>
      </c>
      <c r="AF1079">
        <v>6</v>
      </c>
      <c r="AG1079" t="str">
        <f t="shared" si="248"/>
        <v>4-6</v>
      </c>
      <c r="AH1079" t="s">
        <v>67</v>
      </c>
      <c r="AI1079" t="s">
        <v>71</v>
      </c>
      <c r="AJ1079">
        <v>13</v>
      </c>
      <c r="AK1079" t="str">
        <f t="shared" si="249"/>
        <v>13-15%</v>
      </c>
      <c r="AL1079">
        <v>3</v>
      </c>
      <c r="AM1079" t="s">
        <v>68</v>
      </c>
      <c r="AN1079">
        <v>3</v>
      </c>
      <c r="AO1079" t="s">
        <v>63</v>
      </c>
      <c r="AP1079">
        <v>80</v>
      </c>
      <c r="AQ1079">
        <v>0</v>
      </c>
      <c r="AR1079">
        <v>11</v>
      </c>
      <c r="AS1079" t="str">
        <f t="shared" si="250"/>
        <v>11-20</v>
      </c>
      <c r="AT1079">
        <v>2</v>
      </c>
      <c r="AU1079" t="str">
        <f t="shared" si="251"/>
        <v>0-2</v>
      </c>
      <c r="AV1079">
        <v>1</v>
      </c>
      <c r="AW1079" t="s">
        <v>70</v>
      </c>
      <c r="AX1079">
        <v>9</v>
      </c>
      <c r="AY1079" t="str">
        <f t="shared" si="240"/>
        <v>6-10</v>
      </c>
      <c r="AZ1079">
        <v>7</v>
      </c>
      <c r="BA1079" t="str">
        <f t="shared" si="252"/>
        <v>6-10</v>
      </c>
      <c r="BB1079">
        <v>0</v>
      </c>
      <c r="BC1079" t="str">
        <f t="shared" si="253"/>
        <v>0-1</v>
      </c>
      <c r="BD1079">
        <v>7</v>
      </c>
      <c r="BE1079" t="str">
        <f t="shared" si="254"/>
        <v>6-10</v>
      </c>
    </row>
    <row r="1080" spans="1:57" x14ac:dyDescent="0.3">
      <c r="A1080">
        <v>1523</v>
      </c>
      <c r="B1080">
        <v>44</v>
      </c>
      <c r="C1080" t="str">
        <f t="shared" si="241"/>
        <v>36-45</v>
      </c>
      <c r="D1080" t="s">
        <v>71</v>
      </c>
      <c r="E1080">
        <f t="shared" si="242"/>
        <v>0</v>
      </c>
      <c r="F1080" t="s">
        <v>57</v>
      </c>
      <c r="G1080">
        <v>136</v>
      </c>
      <c r="H1080" t="str">
        <f t="shared" si="243"/>
        <v>102-500</v>
      </c>
      <c r="I1080" t="s">
        <v>73</v>
      </c>
      <c r="J1080">
        <v>28</v>
      </c>
      <c r="K1080" t="str">
        <f t="shared" si="244"/>
        <v>21-29</v>
      </c>
      <c r="L1080">
        <v>3</v>
      </c>
      <c r="M1080" t="s">
        <v>85</v>
      </c>
      <c r="N1080" t="s">
        <v>60</v>
      </c>
      <c r="O1080">
        <v>1</v>
      </c>
      <c r="P1080">
        <v>4</v>
      </c>
      <c r="Q1080" t="s">
        <v>65</v>
      </c>
      <c r="R1080" t="s">
        <v>75</v>
      </c>
      <c r="S1080">
        <v>32</v>
      </c>
      <c r="T1080" t="str">
        <f t="shared" si="245"/>
        <v>30-50</v>
      </c>
      <c r="U1080">
        <v>3</v>
      </c>
      <c r="V1080" t="s">
        <v>63</v>
      </c>
      <c r="W1080">
        <v>4</v>
      </c>
      <c r="X1080" t="s">
        <v>92</v>
      </c>
      <c r="Y1080">
        <v>1</v>
      </c>
      <c r="Z1080" t="s">
        <v>69</v>
      </c>
      <c r="AA1080" t="s">
        <v>77</v>
      </c>
      <c r="AB1080" s="4">
        <v>16328</v>
      </c>
      <c r="AC1080" s="4" t="str">
        <f t="shared" si="246"/>
        <v>$16,000-$17,500</v>
      </c>
      <c r="AD1080">
        <v>22074</v>
      </c>
      <c r="AE1080" t="str">
        <f t="shared" si="247"/>
        <v>$22,001-$26,999</v>
      </c>
      <c r="AF1080">
        <v>3</v>
      </c>
      <c r="AG1080" t="str">
        <f t="shared" si="248"/>
        <v>2-3</v>
      </c>
      <c r="AH1080" t="s">
        <v>67</v>
      </c>
      <c r="AI1080" t="s">
        <v>71</v>
      </c>
      <c r="AJ1080">
        <v>13</v>
      </c>
      <c r="AK1080" t="str">
        <f t="shared" si="249"/>
        <v>13-15%</v>
      </c>
      <c r="AL1080">
        <v>3</v>
      </c>
      <c r="AM1080" t="s">
        <v>68</v>
      </c>
      <c r="AN1080">
        <v>3</v>
      </c>
      <c r="AO1080" t="s">
        <v>63</v>
      </c>
      <c r="AP1080">
        <v>80</v>
      </c>
      <c r="AQ1080">
        <v>1</v>
      </c>
      <c r="AR1080">
        <v>24</v>
      </c>
      <c r="AS1080" t="str">
        <f t="shared" si="250"/>
        <v>21-40</v>
      </c>
      <c r="AT1080">
        <v>1</v>
      </c>
      <c r="AU1080" t="str">
        <f t="shared" si="251"/>
        <v>0-2</v>
      </c>
      <c r="AV1080">
        <v>4</v>
      </c>
      <c r="AW1080" t="s">
        <v>94</v>
      </c>
      <c r="AX1080">
        <v>20</v>
      </c>
      <c r="AY1080" t="str">
        <f t="shared" si="240"/>
        <v>11-20</v>
      </c>
      <c r="AZ1080">
        <v>6</v>
      </c>
      <c r="BA1080" t="str">
        <f t="shared" si="252"/>
        <v>6-10</v>
      </c>
      <c r="BB1080">
        <v>14</v>
      </c>
      <c r="BC1080" t="str">
        <f t="shared" si="253"/>
        <v>11-15</v>
      </c>
      <c r="BD1080">
        <v>17</v>
      </c>
      <c r="BE1080" t="str">
        <f t="shared" si="254"/>
        <v>11-17</v>
      </c>
    </row>
    <row r="1081" spans="1:57" x14ac:dyDescent="0.3">
      <c r="A1081">
        <v>1525</v>
      </c>
      <c r="B1081">
        <v>39</v>
      </c>
      <c r="C1081" t="str">
        <f t="shared" si="241"/>
        <v>36-45</v>
      </c>
      <c r="D1081" t="s">
        <v>71</v>
      </c>
      <c r="E1081">
        <f t="shared" si="242"/>
        <v>0</v>
      </c>
      <c r="F1081" t="s">
        <v>57</v>
      </c>
      <c r="G1081">
        <v>1089</v>
      </c>
      <c r="H1081" t="str">
        <f t="shared" si="243"/>
        <v>1001-1499</v>
      </c>
      <c r="I1081" t="s">
        <v>73</v>
      </c>
      <c r="J1081">
        <v>6</v>
      </c>
      <c r="K1081" t="str">
        <f t="shared" si="244"/>
        <v>6-10</v>
      </c>
      <c r="L1081">
        <v>3</v>
      </c>
      <c r="M1081" t="s">
        <v>85</v>
      </c>
      <c r="N1081" t="s">
        <v>60</v>
      </c>
      <c r="O1081">
        <v>1</v>
      </c>
      <c r="P1081">
        <v>2</v>
      </c>
      <c r="Q1081" t="s">
        <v>61</v>
      </c>
      <c r="R1081" t="s">
        <v>62</v>
      </c>
      <c r="S1081">
        <v>32</v>
      </c>
      <c r="T1081" t="str">
        <f t="shared" si="245"/>
        <v>30-50</v>
      </c>
      <c r="U1081">
        <v>3</v>
      </c>
      <c r="V1081" t="s">
        <v>63</v>
      </c>
      <c r="W1081">
        <v>3</v>
      </c>
      <c r="X1081" t="s">
        <v>87</v>
      </c>
      <c r="Y1081">
        <v>2</v>
      </c>
      <c r="Z1081" t="s">
        <v>61</v>
      </c>
      <c r="AA1081" t="s">
        <v>66</v>
      </c>
      <c r="AB1081" s="4">
        <v>8376</v>
      </c>
      <c r="AC1081" s="4" t="str">
        <f t="shared" si="246"/>
        <v>$7,000-$8,500</v>
      </c>
      <c r="AD1081">
        <v>9150</v>
      </c>
      <c r="AE1081" t="str">
        <f t="shared" si="247"/>
        <v>$8,001-$16,000</v>
      </c>
      <c r="AF1081">
        <v>4</v>
      </c>
      <c r="AG1081" t="str">
        <f t="shared" si="248"/>
        <v>4-6</v>
      </c>
      <c r="AH1081" t="s">
        <v>67</v>
      </c>
      <c r="AI1081" t="s">
        <v>71</v>
      </c>
      <c r="AJ1081">
        <v>18</v>
      </c>
      <c r="AK1081" t="str">
        <f t="shared" si="249"/>
        <v>18-19%</v>
      </c>
      <c r="AL1081">
        <v>3</v>
      </c>
      <c r="AM1081" t="s">
        <v>68</v>
      </c>
      <c r="AN1081">
        <v>4</v>
      </c>
      <c r="AO1081" t="s">
        <v>65</v>
      </c>
      <c r="AP1081">
        <v>80</v>
      </c>
      <c r="AQ1081">
        <v>0</v>
      </c>
      <c r="AR1081">
        <v>9</v>
      </c>
      <c r="AS1081" t="str">
        <f t="shared" si="250"/>
        <v>6-10</v>
      </c>
      <c r="AT1081">
        <v>3</v>
      </c>
      <c r="AU1081" t="str">
        <f t="shared" si="251"/>
        <v>3-4</v>
      </c>
      <c r="AV1081">
        <v>3</v>
      </c>
      <c r="AW1081" t="s">
        <v>79</v>
      </c>
      <c r="AX1081">
        <v>2</v>
      </c>
      <c r="AY1081" t="str">
        <f t="shared" si="240"/>
        <v>2-5</v>
      </c>
      <c r="AZ1081">
        <v>0</v>
      </c>
      <c r="BA1081" t="str">
        <f t="shared" si="252"/>
        <v>0-1</v>
      </c>
      <c r="BB1081">
        <v>2</v>
      </c>
      <c r="BC1081" t="str">
        <f t="shared" si="253"/>
        <v>2-5</v>
      </c>
      <c r="BD1081">
        <v>2</v>
      </c>
      <c r="BE1081" t="str">
        <f t="shared" si="254"/>
        <v>2-5</v>
      </c>
    </row>
    <row r="1082" spans="1:57" x14ac:dyDescent="0.3">
      <c r="A1082">
        <v>1527</v>
      </c>
      <c r="B1082">
        <v>46</v>
      </c>
      <c r="C1082" t="str">
        <f t="shared" si="241"/>
        <v>46-55</v>
      </c>
      <c r="D1082" t="s">
        <v>71</v>
      </c>
      <c r="E1082">
        <f t="shared" si="242"/>
        <v>0</v>
      </c>
      <c r="F1082" t="s">
        <v>57</v>
      </c>
      <c r="G1082">
        <v>228</v>
      </c>
      <c r="H1082" t="str">
        <f t="shared" si="243"/>
        <v>102-500</v>
      </c>
      <c r="I1082" t="s">
        <v>58</v>
      </c>
      <c r="J1082">
        <v>3</v>
      </c>
      <c r="K1082" t="str">
        <f t="shared" si="244"/>
        <v>1-5</v>
      </c>
      <c r="L1082">
        <v>3</v>
      </c>
      <c r="M1082" t="s">
        <v>85</v>
      </c>
      <c r="N1082" t="s">
        <v>60</v>
      </c>
      <c r="O1082">
        <v>1</v>
      </c>
      <c r="P1082">
        <v>3</v>
      </c>
      <c r="Q1082" t="s">
        <v>63</v>
      </c>
      <c r="R1082" t="s">
        <v>62</v>
      </c>
      <c r="S1082">
        <v>51</v>
      </c>
      <c r="T1082" t="str">
        <f t="shared" si="245"/>
        <v>51-75</v>
      </c>
      <c r="U1082">
        <v>3</v>
      </c>
      <c r="V1082" t="s">
        <v>63</v>
      </c>
      <c r="W1082">
        <v>4</v>
      </c>
      <c r="X1082" t="s">
        <v>90</v>
      </c>
      <c r="Y1082">
        <v>2</v>
      </c>
      <c r="Z1082" t="s">
        <v>61</v>
      </c>
      <c r="AA1082" t="s">
        <v>77</v>
      </c>
      <c r="AB1082" s="4">
        <v>16606</v>
      </c>
      <c r="AC1082" s="4" t="str">
        <f t="shared" si="246"/>
        <v>$16,000-$17,500</v>
      </c>
      <c r="AD1082">
        <v>11380</v>
      </c>
      <c r="AE1082" t="str">
        <f t="shared" si="247"/>
        <v>$8,001-$16,000</v>
      </c>
      <c r="AF1082">
        <v>8</v>
      </c>
      <c r="AG1082" t="str">
        <f t="shared" si="248"/>
        <v>7-9</v>
      </c>
      <c r="AH1082" t="s">
        <v>67</v>
      </c>
      <c r="AI1082" t="s">
        <v>71</v>
      </c>
      <c r="AJ1082">
        <v>12</v>
      </c>
      <c r="AK1082" t="str">
        <f t="shared" si="249"/>
        <v>11-12%</v>
      </c>
      <c r="AL1082">
        <v>3</v>
      </c>
      <c r="AM1082" t="s">
        <v>68</v>
      </c>
      <c r="AN1082">
        <v>4</v>
      </c>
      <c r="AO1082" t="s">
        <v>65</v>
      </c>
      <c r="AP1082">
        <v>80</v>
      </c>
      <c r="AQ1082">
        <v>1</v>
      </c>
      <c r="AR1082">
        <v>23</v>
      </c>
      <c r="AS1082" t="str">
        <f t="shared" si="250"/>
        <v>21-40</v>
      </c>
      <c r="AT1082">
        <v>2</v>
      </c>
      <c r="AU1082" t="str">
        <f t="shared" si="251"/>
        <v>0-2</v>
      </c>
      <c r="AV1082">
        <v>4</v>
      </c>
      <c r="AW1082" t="s">
        <v>94</v>
      </c>
      <c r="AX1082">
        <v>13</v>
      </c>
      <c r="AY1082" t="str">
        <f t="shared" si="240"/>
        <v>11-20</v>
      </c>
      <c r="AZ1082">
        <v>12</v>
      </c>
      <c r="BA1082" t="str">
        <f t="shared" si="252"/>
        <v>11-18</v>
      </c>
      <c r="BB1082">
        <v>5</v>
      </c>
      <c r="BC1082" t="str">
        <f t="shared" si="253"/>
        <v>2-5</v>
      </c>
      <c r="BD1082">
        <v>1</v>
      </c>
      <c r="BE1082" t="str">
        <f t="shared" si="254"/>
        <v>0-1</v>
      </c>
    </row>
    <row r="1083" spans="1:57" x14ac:dyDescent="0.3">
      <c r="A1083">
        <v>1529</v>
      </c>
      <c r="B1083">
        <v>35</v>
      </c>
      <c r="C1083" t="str">
        <f t="shared" si="241"/>
        <v>26-35</v>
      </c>
      <c r="D1083" t="s">
        <v>71</v>
      </c>
      <c r="E1083">
        <f t="shared" si="242"/>
        <v>0</v>
      </c>
      <c r="F1083" t="s">
        <v>57</v>
      </c>
      <c r="G1083">
        <v>1029</v>
      </c>
      <c r="H1083" t="str">
        <f t="shared" si="243"/>
        <v>1001-1499</v>
      </c>
      <c r="I1083" t="s">
        <v>73</v>
      </c>
      <c r="J1083">
        <v>16</v>
      </c>
      <c r="K1083" t="str">
        <f t="shared" si="244"/>
        <v>11-20</v>
      </c>
      <c r="L1083">
        <v>3</v>
      </c>
      <c r="M1083" t="s">
        <v>85</v>
      </c>
      <c r="N1083" t="s">
        <v>60</v>
      </c>
      <c r="O1083">
        <v>1</v>
      </c>
      <c r="P1083">
        <v>4</v>
      </c>
      <c r="Q1083" t="s">
        <v>65</v>
      </c>
      <c r="R1083" t="s">
        <v>62</v>
      </c>
      <c r="S1083">
        <v>91</v>
      </c>
      <c r="T1083" t="str">
        <f t="shared" si="245"/>
        <v>76-100</v>
      </c>
      <c r="U1083">
        <v>2</v>
      </c>
      <c r="V1083" t="s">
        <v>61</v>
      </c>
      <c r="W1083">
        <v>3</v>
      </c>
      <c r="X1083" t="s">
        <v>88</v>
      </c>
      <c r="Y1083">
        <v>2</v>
      </c>
      <c r="Z1083" t="s">
        <v>61</v>
      </c>
      <c r="AA1083" t="s">
        <v>66</v>
      </c>
      <c r="AB1083" s="4">
        <v>8606</v>
      </c>
      <c r="AC1083" s="4" t="str">
        <f t="shared" si="246"/>
        <v>$8,500-$10,000</v>
      </c>
      <c r="AD1083">
        <v>21195</v>
      </c>
      <c r="AE1083" t="str">
        <f t="shared" si="247"/>
        <v>$16,001-$22,000</v>
      </c>
      <c r="AF1083">
        <v>1</v>
      </c>
      <c r="AG1083" t="str">
        <f t="shared" si="248"/>
        <v>0-1</v>
      </c>
      <c r="AH1083" t="s">
        <v>67</v>
      </c>
      <c r="AI1083" t="s">
        <v>71</v>
      </c>
      <c r="AJ1083">
        <v>19</v>
      </c>
      <c r="AK1083" t="str">
        <f t="shared" si="249"/>
        <v>18-19%</v>
      </c>
      <c r="AL1083">
        <v>3</v>
      </c>
      <c r="AM1083" t="s">
        <v>68</v>
      </c>
      <c r="AN1083">
        <v>4</v>
      </c>
      <c r="AO1083" t="s">
        <v>65</v>
      </c>
      <c r="AP1083">
        <v>80</v>
      </c>
      <c r="AQ1083">
        <v>0</v>
      </c>
      <c r="AR1083">
        <v>11</v>
      </c>
      <c r="AS1083" t="str">
        <f t="shared" si="250"/>
        <v>11-20</v>
      </c>
      <c r="AT1083">
        <v>3</v>
      </c>
      <c r="AU1083" t="str">
        <f t="shared" si="251"/>
        <v>3-4</v>
      </c>
      <c r="AV1083">
        <v>1</v>
      </c>
      <c r="AW1083" t="s">
        <v>70</v>
      </c>
      <c r="AX1083">
        <v>11</v>
      </c>
      <c r="AY1083" t="str">
        <f t="shared" si="240"/>
        <v>11-20</v>
      </c>
      <c r="AZ1083">
        <v>8</v>
      </c>
      <c r="BA1083" t="str">
        <f t="shared" si="252"/>
        <v>6-10</v>
      </c>
      <c r="BB1083">
        <v>3</v>
      </c>
      <c r="BC1083" t="str">
        <f t="shared" si="253"/>
        <v>2-5</v>
      </c>
      <c r="BD1083">
        <v>3</v>
      </c>
      <c r="BE1083" t="str">
        <f t="shared" si="254"/>
        <v>2-5</v>
      </c>
    </row>
    <row r="1084" spans="1:57" x14ac:dyDescent="0.3">
      <c r="A1084">
        <v>1533</v>
      </c>
      <c r="B1084">
        <v>23</v>
      </c>
      <c r="C1084" t="str">
        <f t="shared" si="241"/>
        <v>18-25</v>
      </c>
      <c r="D1084" t="s">
        <v>71</v>
      </c>
      <c r="E1084">
        <f t="shared" si="242"/>
        <v>0</v>
      </c>
      <c r="F1084" t="s">
        <v>57</v>
      </c>
      <c r="G1084">
        <v>507</v>
      </c>
      <c r="H1084" t="str">
        <f t="shared" si="243"/>
        <v>501-1000</v>
      </c>
      <c r="I1084" t="s">
        <v>73</v>
      </c>
      <c r="J1084">
        <v>20</v>
      </c>
      <c r="K1084" t="str">
        <f t="shared" si="244"/>
        <v>11-20</v>
      </c>
      <c r="L1084">
        <v>1</v>
      </c>
      <c r="M1084" t="s">
        <v>74</v>
      </c>
      <c r="N1084" t="s">
        <v>60</v>
      </c>
      <c r="O1084">
        <v>1</v>
      </c>
      <c r="P1084">
        <v>1</v>
      </c>
      <c r="Q1084" t="s">
        <v>69</v>
      </c>
      <c r="R1084" t="s">
        <v>75</v>
      </c>
      <c r="S1084">
        <v>97</v>
      </c>
      <c r="T1084" t="str">
        <f t="shared" si="245"/>
        <v>76-100</v>
      </c>
      <c r="U1084">
        <v>3</v>
      </c>
      <c r="V1084" t="s">
        <v>63</v>
      </c>
      <c r="W1084">
        <v>2</v>
      </c>
      <c r="X1084" t="s">
        <v>81</v>
      </c>
      <c r="Y1084">
        <v>3</v>
      </c>
      <c r="Z1084" t="s">
        <v>63</v>
      </c>
      <c r="AA1084" t="s">
        <v>66</v>
      </c>
      <c r="AB1084" s="4">
        <v>2272</v>
      </c>
      <c r="AC1084" s="4" t="str">
        <f t="shared" si="246"/>
        <v>$1,000-$2,500</v>
      </c>
      <c r="AD1084">
        <v>24812</v>
      </c>
      <c r="AE1084" t="str">
        <f t="shared" si="247"/>
        <v>$22,001-$26,999</v>
      </c>
      <c r="AF1084">
        <v>0</v>
      </c>
      <c r="AG1084" t="str">
        <f t="shared" si="248"/>
        <v>0-1</v>
      </c>
      <c r="AH1084" t="s">
        <v>67</v>
      </c>
      <c r="AI1084" t="s">
        <v>71</v>
      </c>
      <c r="AJ1084">
        <v>14</v>
      </c>
      <c r="AK1084" t="str">
        <f t="shared" si="249"/>
        <v>13-15%</v>
      </c>
      <c r="AL1084">
        <v>3</v>
      </c>
      <c r="AM1084" t="s">
        <v>68</v>
      </c>
      <c r="AN1084">
        <v>2</v>
      </c>
      <c r="AO1084" t="s">
        <v>61</v>
      </c>
      <c r="AP1084">
        <v>80</v>
      </c>
      <c r="AQ1084">
        <v>0</v>
      </c>
      <c r="AR1084">
        <v>5</v>
      </c>
      <c r="AS1084" t="str">
        <f t="shared" si="250"/>
        <v>3-5</v>
      </c>
      <c r="AT1084">
        <v>2</v>
      </c>
      <c r="AU1084" t="str">
        <f t="shared" si="251"/>
        <v>0-2</v>
      </c>
      <c r="AV1084">
        <v>3</v>
      </c>
      <c r="AW1084" t="s">
        <v>79</v>
      </c>
      <c r="AX1084">
        <v>4</v>
      </c>
      <c r="AY1084" t="str">
        <f t="shared" si="240"/>
        <v>2-5</v>
      </c>
      <c r="AZ1084">
        <v>3</v>
      </c>
      <c r="BA1084" t="str">
        <f t="shared" si="252"/>
        <v>2-5</v>
      </c>
      <c r="BB1084">
        <v>1</v>
      </c>
      <c r="BC1084" t="str">
        <f t="shared" si="253"/>
        <v>0-1</v>
      </c>
      <c r="BD1084">
        <v>2</v>
      </c>
      <c r="BE1084" t="str">
        <f t="shared" si="254"/>
        <v>2-5</v>
      </c>
    </row>
    <row r="1085" spans="1:57" x14ac:dyDescent="0.3">
      <c r="A1085">
        <v>1534</v>
      </c>
      <c r="B1085">
        <v>40</v>
      </c>
      <c r="C1085" t="str">
        <f t="shared" si="241"/>
        <v>36-45</v>
      </c>
      <c r="D1085" t="s">
        <v>56</v>
      </c>
      <c r="E1085">
        <f t="shared" si="242"/>
        <v>1</v>
      </c>
      <c r="F1085" t="s">
        <v>57</v>
      </c>
      <c r="G1085">
        <v>676</v>
      </c>
      <c r="H1085" t="str">
        <f t="shared" si="243"/>
        <v>501-1000</v>
      </c>
      <c r="I1085" t="s">
        <v>73</v>
      </c>
      <c r="J1085">
        <v>9</v>
      </c>
      <c r="K1085" t="str">
        <f t="shared" si="244"/>
        <v>6-10</v>
      </c>
      <c r="L1085">
        <v>4</v>
      </c>
      <c r="M1085" t="s">
        <v>82</v>
      </c>
      <c r="N1085" t="s">
        <v>60</v>
      </c>
      <c r="O1085">
        <v>1</v>
      </c>
      <c r="P1085">
        <v>4</v>
      </c>
      <c r="Q1085" t="s">
        <v>65</v>
      </c>
      <c r="R1085" t="s">
        <v>75</v>
      </c>
      <c r="S1085">
        <v>86</v>
      </c>
      <c r="T1085" t="str">
        <f t="shared" si="245"/>
        <v>76-100</v>
      </c>
      <c r="U1085">
        <v>3</v>
      </c>
      <c r="V1085" t="s">
        <v>63</v>
      </c>
      <c r="W1085">
        <v>1</v>
      </c>
      <c r="X1085" t="s">
        <v>81</v>
      </c>
      <c r="Y1085">
        <v>1</v>
      </c>
      <c r="Z1085" t="s">
        <v>69</v>
      </c>
      <c r="AA1085" t="s">
        <v>66</v>
      </c>
      <c r="AB1085" s="4">
        <v>2018</v>
      </c>
      <c r="AC1085" s="4" t="str">
        <f t="shared" si="246"/>
        <v>$1,000-$2,500</v>
      </c>
      <c r="AD1085">
        <v>21831</v>
      </c>
      <c r="AE1085" t="str">
        <f t="shared" si="247"/>
        <v>$16,001-$22,000</v>
      </c>
      <c r="AF1085">
        <v>3</v>
      </c>
      <c r="AG1085" t="str">
        <f t="shared" si="248"/>
        <v>2-3</v>
      </c>
      <c r="AH1085" t="s">
        <v>67</v>
      </c>
      <c r="AI1085" t="s">
        <v>71</v>
      </c>
      <c r="AJ1085">
        <v>14</v>
      </c>
      <c r="AK1085" t="str">
        <f t="shared" si="249"/>
        <v>13-15%</v>
      </c>
      <c r="AL1085">
        <v>3</v>
      </c>
      <c r="AM1085" t="s">
        <v>68</v>
      </c>
      <c r="AN1085">
        <v>2</v>
      </c>
      <c r="AO1085" t="s">
        <v>61</v>
      </c>
      <c r="AP1085">
        <v>80</v>
      </c>
      <c r="AQ1085">
        <v>0</v>
      </c>
      <c r="AR1085">
        <v>15</v>
      </c>
      <c r="AS1085" t="str">
        <f t="shared" si="250"/>
        <v>11-20</v>
      </c>
      <c r="AT1085">
        <v>3</v>
      </c>
      <c r="AU1085" t="str">
        <f t="shared" si="251"/>
        <v>3-4</v>
      </c>
      <c r="AV1085">
        <v>1</v>
      </c>
      <c r="AW1085" t="s">
        <v>70</v>
      </c>
      <c r="AX1085">
        <v>5</v>
      </c>
      <c r="AY1085" t="str">
        <f t="shared" si="240"/>
        <v>2-5</v>
      </c>
      <c r="AZ1085">
        <v>4</v>
      </c>
      <c r="BA1085" t="str">
        <f t="shared" si="252"/>
        <v>2-5</v>
      </c>
      <c r="BB1085">
        <v>1</v>
      </c>
      <c r="BC1085" t="str">
        <f t="shared" si="253"/>
        <v>0-1</v>
      </c>
      <c r="BD1085">
        <v>0</v>
      </c>
      <c r="BE1085" t="str">
        <f t="shared" si="254"/>
        <v>0-1</v>
      </c>
    </row>
    <row r="1086" spans="1:57" x14ac:dyDescent="0.3">
      <c r="A1086">
        <v>1535</v>
      </c>
      <c r="B1086">
        <v>34</v>
      </c>
      <c r="C1086" t="str">
        <f t="shared" si="241"/>
        <v>26-35</v>
      </c>
      <c r="D1086" t="s">
        <v>71</v>
      </c>
      <c r="E1086">
        <f t="shared" si="242"/>
        <v>0</v>
      </c>
      <c r="F1086" t="s">
        <v>57</v>
      </c>
      <c r="G1086">
        <v>971</v>
      </c>
      <c r="H1086" t="str">
        <f t="shared" si="243"/>
        <v>501-1000</v>
      </c>
      <c r="I1086" t="s">
        <v>58</v>
      </c>
      <c r="J1086">
        <v>1</v>
      </c>
      <c r="K1086" t="str">
        <f t="shared" si="244"/>
        <v>1-5</v>
      </c>
      <c r="L1086">
        <v>3</v>
      </c>
      <c r="M1086" t="s">
        <v>85</v>
      </c>
      <c r="N1086" t="s">
        <v>95</v>
      </c>
      <c r="O1086">
        <v>1</v>
      </c>
      <c r="P1086">
        <v>4</v>
      </c>
      <c r="Q1086" t="s">
        <v>65</v>
      </c>
      <c r="R1086" t="s">
        <v>75</v>
      </c>
      <c r="S1086">
        <v>64</v>
      </c>
      <c r="T1086" t="str">
        <f t="shared" si="245"/>
        <v>51-75</v>
      </c>
      <c r="U1086">
        <v>2</v>
      </c>
      <c r="V1086" t="s">
        <v>61</v>
      </c>
      <c r="W1086">
        <v>3</v>
      </c>
      <c r="X1086" t="s">
        <v>64</v>
      </c>
      <c r="Y1086">
        <v>3</v>
      </c>
      <c r="Z1086" t="s">
        <v>63</v>
      </c>
      <c r="AA1086" t="s">
        <v>77</v>
      </c>
      <c r="AB1086" s="4">
        <v>7083</v>
      </c>
      <c r="AC1086" s="4" t="str">
        <f t="shared" si="246"/>
        <v>$7,000-$8,500</v>
      </c>
      <c r="AD1086">
        <v>12288</v>
      </c>
      <c r="AE1086" t="str">
        <f t="shared" si="247"/>
        <v>$8,001-$16,000</v>
      </c>
      <c r="AF1086">
        <v>1</v>
      </c>
      <c r="AG1086" t="str">
        <f t="shared" si="248"/>
        <v>0-1</v>
      </c>
      <c r="AH1086" t="s">
        <v>67</v>
      </c>
      <c r="AI1086" t="s">
        <v>56</v>
      </c>
      <c r="AJ1086">
        <v>14</v>
      </c>
      <c r="AK1086" t="str">
        <f t="shared" si="249"/>
        <v>13-15%</v>
      </c>
      <c r="AL1086">
        <v>3</v>
      </c>
      <c r="AM1086" t="s">
        <v>68</v>
      </c>
      <c r="AN1086">
        <v>4</v>
      </c>
      <c r="AO1086" t="s">
        <v>65</v>
      </c>
      <c r="AP1086">
        <v>80</v>
      </c>
      <c r="AQ1086">
        <v>0</v>
      </c>
      <c r="AR1086">
        <v>10</v>
      </c>
      <c r="AS1086" t="str">
        <f t="shared" si="250"/>
        <v>6-10</v>
      </c>
      <c r="AT1086">
        <v>3</v>
      </c>
      <c r="AU1086" t="str">
        <f t="shared" si="251"/>
        <v>3-4</v>
      </c>
      <c r="AV1086">
        <v>3</v>
      </c>
      <c r="AW1086" t="s">
        <v>79</v>
      </c>
      <c r="AX1086">
        <v>10</v>
      </c>
      <c r="AY1086" t="str">
        <f t="shared" si="240"/>
        <v>6-10</v>
      </c>
      <c r="AZ1086">
        <v>9</v>
      </c>
      <c r="BA1086" t="str">
        <f t="shared" si="252"/>
        <v>6-10</v>
      </c>
      <c r="BB1086">
        <v>8</v>
      </c>
      <c r="BC1086" t="str">
        <f t="shared" si="253"/>
        <v>6-10</v>
      </c>
      <c r="BD1086">
        <v>6</v>
      </c>
      <c r="BE1086" t="str">
        <f t="shared" si="254"/>
        <v>6-10</v>
      </c>
    </row>
    <row r="1087" spans="1:57" x14ac:dyDescent="0.3">
      <c r="A1087">
        <v>1537</v>
      </c>
      <c r="B1087">
        <v>31</v>
      </c>
      <c r="C1087" t="str">
        <f t="shared" si="241"/>
        <v>26-35</v>
      </c>
      <c r="D1087" t="s">
        <v>56</v>
      </c>
      <c r="E1087">
        <f t="shared" si="242"/>
        <v>1</v>
      </c>
      <c r="F1087" t="s">
        <v>72</v>
      </c>
      <c r="G1087">
        <v>561</v>
      </c>
      <c r="H1087" t="str">
        <f t="shared" si="243"/>
        <v>501-1000</v>
      </c>
      <c r="I1087" t="s">
        <v>73</v>
      </c>
      <c r="J1087">
        <v>3</v>
      </c>
      <c r="K1087" t="str">
        <f t="shared" si="244"/>
        <v>1-5</v>
      </c>
      <c r="L1087">
        <v>3</v>
      </c>
      <c r="M1087" t="s">
        <v>85</v>
      </c>
      <c r="N1087" t="s">
        <v>60</v>
      </c>
      <c r="O1087">
        <v>1</v>
      </c>
      <c r="P1087">
        <v>4</v>
      </c>
      <c r="Q1087" t="s">
        <v>65</v>
      </c>
      <c r="R1087" t="s">
        <v>62</v>
      </c>
      <c r="S1087">
        <v>33</v>
      </c>
      <c r="T1087" t="str">
        <f t="shared" si="245"/>
        <v>30-50</v>
      </c>
      <c r="U1087">
        <v>3</v>
      </c>
      <c r="V1087" t="s">
        <v>63</v>
      </c>
      <c r="W1087">
        <v>1</v>
      </c>
      <c r="X1087" t="s">
        <v>76</v>
      </c>
      <c r="Y1087">
        <v>3</v>
      </c>
      <c r="Z1087" t="s">
        <v>63</v>
      </c>
      <c r="AA1087" t="s">
        <v>66</v>
      </c>
      <c r="AB1087" s="4">
        <v>4084</v>
      </c>
      <c r="AC1087" s="4" t="str">
        <f t="shared" si="246"/>
        <v>$4,000-$5,500</v>
      </c>
      <c r="AD1087">
        <v>4156</v>
      </c>
      <c r="AE1087" t="str">
        <f t="shared" si="247"/>
        <v>$2,094-$8,000</v>
      </c>
      <c r="AF1087">
        <v>1</v>
      </c>
      <c r="AG1087" t="str">
        <f t="shared" si="248"/>
        <v>0-1</v>
      </c>
      <c r="AH1087" t="s">
        <v>67</v>
      </c>
      <c r="AI1087" t="s">
        <v>71</v>
      </c>
      <c r="AJ1087">
        <v>12</v>
      </c>
      <c r="AK1087" t="str">
        <f t="shared" si="249"/>
        <v>11-12%</v>
      </c>
      <c r="AL1087">
        <v>3</v>
      </c>
      <c r="AM1087" t="s">
        <v>68</v>
      </c>
      <c r="AN1087">
        <v>1</v>
      </c>
      <c r="AO1087" t="s">
        <v>69</v>
      </c>
      <c r="AP1087">
        <v>80</v>
      </c>
      <c r="AQ1087">
        <v>0</v>
      </c>
      <c r="AR1087">
        <v>7</v>
      </c>
      <c r="AS1087" t="str">
        <f t="shared" si="250"/>
        <v>6-10</v>
      </c>
      <c r="AT1087">
        <v>2</v>
      </c>
      <c r="AU1087" t="str">
        <f t="shared" si="251"/>
        <v>0-2</v>
      </c>
      <c r="AV1087">
        <v>1</v>
      </c>
      <c r="AW1087" t="s">
        <v>70</v>
      </c>
      <c r="AX1087">
        <v>7</v>
      </c>
      <c r="AY1087" t="str">
        <f t="shared" si="240"/>
        <v>6-10</v>
      </c>
      <c r="AZ1087">
        <v>2</v>
      </c>
      <c r="BA1087" t="str">
        <f t="shared" si="252"/>
        <v>2-5</v>
      </c>
      <c r="BB1087">
        <v>7</v>
      </c>
      <c r="BC1087" t="str">
        <f t="shared" si="253"/>
        <v>6-10</v>
      </c>
      <c r="BD1087">
        <v>7</v>
      </c>
      <c r="BE1087" t="str">
        <f t="shared" si="254"/>
        <v>6-10</v>
      </c>
    </row>
    <row r="1088" spans="1:57" x14ac:dyDescent="0.3">
      <c r="A1088">
        <v>1539</v>
      </c>
      <c r="B1088">
        <v>50</v>
      </c>
      <c r="C1088" t="str">
        <f t="shared" si="241"/>
        <v>46-55</v>
      </c>
      <c r="D1088" t="s">
        <v>71</v>
      </c>
      <c r="E1088">
        <f t="shared" si="242"/>
        <v>0</v>
      </c>
      <c r="F1088" t="s">
        <v>72</v>
      </c>
      <c r="G1088">
        <v>333</v>
      </c>
      <c r="H1088" t="str">
        <f t="shared" si="243"/>
        <v>102-500</v>
      </c>
      <c r="I1088" t="s">
        <v>73</v>
      </c>
      <c r="J1088">
        <v>22</v>
      </c>
      <c r="K1088" t="str">
        <f t="shared" si="244"/>
        <v>21-29</v>
      </c>
      <c r="L1088">
        <v>5</v>
      </c>
      <c r="M1088" t="s">
        <v>96</v>
      </c>
      <c r="N1088" t="s">
        <v>83</v>
      </c>
      <c r="O1088">
        <v>1</v>
      </c>
      <c r="P1088">
        <v>3</v>
      </c>
      <c r="Q1088" t="s">
        <v>63</v>
      </c>
      <c r="R1088" t="s">
        <v>75</v>
      </c>
      <c r="S1088">
        <v>88</v>
      </c>
      <c r="T1088" t="str">
        <f t="shared" si="245"/>
        <v>76-100</v>
      </c>
      <c r="U1088">
        <v>1</v>
      </c>
      <c r="V1088" t="s">
        <v>69</v>
      </c>
      <c r="W1088">
        <v>4</v>
      </c>
      <c r="X1088" t="s">
        <v>92</v>
      </c>
      <c r="Y1088">
        <v>4</v>
      </c>
      <c r="Z1088" t="s">
        <v>65</v>
      </c>
      <c r="AA1088" t="s">
        <v>66</v>
      </c>
      <c r="AB1088" s="4">
        <v>14411</v>
      </c>
      <c r="AC1088" s="4" t="str">
        <f t="shared" si="246"/>
        <v>$13,000-$14,500</v>
      </c>
      <c r="AD1088">
        <v>24450</v>
      </c>
      <c r="AE1088" t="str">
        <f t="shared" si="247"/>
        <v>$22,001-$26,999</v>
      </c>
      <c r="AF1088">
        <v>1</v>
      </c>
      <c r="AG1088" t="str">
        <f t="shared" si="248"/>
        <v>0-1</v>
      </c>
      <c r="AH1088" t="s">
        <v>67</v>
      </c>
      <c r="AI1088" t="s">
        <v>56</v>
      </c>
      <c r="AJ1088">
        <v>13</v>
      </c>
      <c r="AK1088" t="str">
        <f t="shared" si="249"/>
        <v>13-15%</v>
      </c>
      <c r="AL1088">
        <v>3</v>
      </c>
      <c r="AM1088" t="s">
        <v>68</v>
      </c>
      <c r="AN1088">
        <v>4</v>
      </c>
      <c r="AO1088" t="s">
        <v>65</v>
      </c>
      <c r="AP1088">
        <v>80</v>
      </c>
      <c r="AQ1088">
        <v>0</v>
      </c>
      <c r="AR1088">
        <v>32</v>
      </c>
      <c r="AS1088" t="str">
        <f t="shared" si="250"/>
        <v>21-40</v>
      </c>
      <c r="AT1088">
        <v>2</v>
      </c>
      <c r="AU1088" t="str">
        <f t="shared" si="251"/>
        <v>0-2</v>
      </c>
      <c r="AV1088">
        <v>3</v>
      </c>
      <c r="AW1088" t="s">
        <v>79</v>
      </c>
      <c r="AX1088">
        <v>32</v>
      </c>
      <c r="AY1088" t="str">
        <f t="shared" si="240"/>
        <v>21-40</v>
      </c>
      <c r="AZ1088">
        <v>6</v>
      </c>
      <c r="BA1088" t="str">
        <f t="shared" si="252"/>
        <v>6-10</v>
      </c>
      <c r="BB1088">
        <v>13</v>
      </c>
      <c r="BC1088" t="str">
        <f t="shared" si="253"/>
        <v>11-15</v>
      </c>
      <c r="BD1088">
        <v>9</v>
      </c>
      <c r="BE1088" t="str">
        <f t="shared" si="254"/>
        <v>6-10</v>
      </c>
    </row>
    <row r="1089" spans="1:57" x14ac:dyDescent="0.3">
      <c r="A1089">
        <v>1541</v>
      </c>
      <c r="B1089">
        <v>34</v>
      </c>
      <c r="C1089" t="str">
        <f t="shared" si="241"/>
        <v>26-35</v>
      </c>
      <c r="D1089" t="s">
        <v>71</v>
      </c>
      <c r="E1089">
        <f t="shared" si="242"/>
        <v>0</v>
      </c>
      <c r="F1089" t="s">
        <v>57</v>
      </c>
      <c r="G1089">
        <v>1440</v>
      </c>
      <c r="H1089" t="str">
        <f t="shared" si="243"/>
        <v>1001-1499</v>
      </c>
      <c r="I1089" t="s">
        <v>58</v>
      </c>
      <c r="J1089">
        <v>7</v>
      </c>
      <c r="K1089" t="str">
        <f t="shared" si="244"/>
        <v>6-10</v>
      </c>
      <c r="L1089">
        <v>2</v>
      </c>
      <c r="M1089" t="s">
        <v>59</v>
      </c>
      <c r="N1089" t="s">
        <v>95</v>
      </c>
      <c r="O1089">
        <v>1</v>
      </c>
      <c r="P1089">
        <v>2</v>
      </c>
      <c r="Q1089" t="s">
        <v>61</v>
      </c>
      <c r="R1089" t="s">
        <v>75</v>
      </c>
      <c r="S1089">
        <v>55</v>
      </c>
      <c r="T1089" t="str">
        <f t="shared" si="245"/>
        <v>51-75</v>
      </c>
      <c r="U1089">
        <v>3</v>
      </c>
      <c r="V1089" t="s">
        <v>63</v>
      </c>
      <c r="W1089">
        <v>1</v>
      </c>
      <c r="X1089" t="s">
        <v>91</v>
      </c>
      <c r="Y1089">
        <v>3</v>
      </c>
      <c r="Z1089" t="s">
        <v>63</v>
      </c>
      <c r="AA1089" t="s">
        <v>77</v>
      </c>
      <c r="AB1089" s="4">
        <v>2308</v>
      </c>
      <c r="AC1089" s="4" t="str">
        <f t="shared" si="246"/>
        <v>$1,000-$2,500</v>
      </c>
      <c r="AD1089">
        <v>4944</v>
      </c>
      <c r="AE1089" t="str">
        <f t="shared" si="247"/>
        <v>$2,094-$8,000</v>
      </c>
      <c r="AF1089">
        <v>0</v>
      </c>
      <c r="AG1089" t="str">
        <f t="shared" si="248"/>
        <v>0-1</v>
      </c>
      <c r="AH1089" t="s">
        <v>67</v>
      </c>
      <c r="AI1089" t="s">
        <v>56</v>
      </c>
      <c r="AJ1089">
        <v>25</v>
      </c>
      <c r="AK1089" t="str">
        <f t="shared" si="249"/>
        <v>18-19%</v>
      </c>
      <c r="AL1089">
        <v>4</v>
      </c>
      <c r="AM1089" t="s">
        <v>78</v>
      </c>
      <c r="AN1089">
        <v>2</v>
      </c>
      <c r="AO1089" t="s">
        <v>61</v>
      </c>
      <c r="AP1089">
        <v>80</v>
      </c>
      <c r="AQ1089">
        <v>1</v>
      </c>
      <c r="AR1089">
        <v>12</v>
      </c>
      <c r="AS1089" t="str">
        <f t="shared" si="250"/>
        <v>11-20</v>
      </c>
      <c r="AT1089">
        <v>4</v>
      </c>
      <c r="AU1089" t="str">
        <f t="shared" si="251"/>
        <v>3-4</v>
      </c>
      <c r="AV1089">
        <v>3</v>
      </c>
      <c r="AW1089" t="s">
        <v>79</v>
      </c>
      <c r="AX1089">
        <v>11</v>
      </c>
      <c r="AY1089" t="str">
        <f t="shared" si="240"/>
        <v>11-20</v>
      </c>
      <c r="AZ1089">
        <v>10</v>
      </c>
      <c r="BA1089" t="str">
        <f t="shared" si="252"/>
        <v>6-10</v>
      </c>
      <c r="BB1089">
        <v>5</v>
      </c>
      <c r="BC1089" t="str">
        <f t="shared" si="253"/>
        <v>2-5</v>
      </c>
      <c r="BD1089">
        <v>7</v>
      </c>
      <c r="BE1089" t="str">
        <f t="shared" si="254"/>
        <v>6-10</v>
      </c>
    </row>
    <row r="1090" spans="1:57" x14ac:dyDescent="0.3">
      <c r="A1090">
        <v>1542</v>
      </c>
      <c r="B1090">
        <v>42</v>
      </c>
      <c r="C1090" t="str">
        <f t="shared" si="241"/>
        <v>36-45</v>
      </c>
      <c r="D1090" t="s">
        <v>71</v>
      </c>
      <c r="E1090">
        <f t="shared" si="242"/>
        <v>0</v>
      </c>
      <c r="F1090" t="s">
        <v>57</v>
      </c>
      <c r="G1090">
        <v>1210</v>
      </c>
      <c r="H1090" t="str">
        <f t="shared" si="243"/>
        <v>1001-1499</v>
      </c>
      <c r="I1090" t="s">
        <v>73</v>
      </c>
      <c r="J1090">
        <v>2</v>
      </c>
      <c r="K1090" t="str">
        <f t="shared" si="244"/>
        <v>1-5</v>
      </c>
      <c r="L1090">
        <v>3</v>
      </c>
      <c r="M1090" t="s">
        <v>85</v>
      </c>
      <c r="N1090" t="s">
        <v>83</v>
      </c>
      <c r="O1090">
        <v>1</v>
      </c>
      <c r="P1090">
        <v>3</v>
      </c>
      <c r="Q1090" t="s">
        <v>63</v>
      </c>
      <c r="R1090" t="s">
        <v>75</v>
      </c>
      <c r="S1090">
        <v>68</v>
      </c>
      <c r="T1090" t="str">
        <f t="shared" si="245"/>
        <v>51-75</v>
      </c>
      <c r="U1090">
        <v>2</v>
      </c>
      <c r="V1090" t="s">
        <v>61</v>
      </c>
      <c r="W1090">
        <v>1</v>
      </c>
      <c r="X1090" t="s">
        <v>81</v>
      </c>
      <c r="Y1090">
        <v>2</v>
      </c>
      <c r="Z1090" t="s">
        <v>61</v>
      </c>
      <c r="AA1090" t="s">
        <v>77</v>
      </c>
      <c r="AB1090" s="4">
        <v>4841</v>
      </c>
      <c r="AC1090" s="4" t="str">
        <f t="shared" si="246"/>
        <v>$4,000-$5,500</v>
      </c>
      <c r="AD1090">
        <v>24052</v>
      </c>
      <c r="AE1090" t="str">
        <f t="shared" si="247"/>
        <v>$22,001-$26,999</v>
      </c>
      <c r="AF1090">
        <v>4</v>
      </c>
      <c r="AG1090" t="str">
        <f t="shared" si="248"/>
        <v>4-6</v>
      </c>
      <c r="AH1090" t="s">
        <v>67</v>
      </c>
      <c r="AI1090" t="s">
        <v>71</v>
      </c>
      <c r="AJ1090">
        <v>14</v>
      </c>
      <c r="AK1090" t="str">
        <f t="shared" si="249"/>
        <v>13-15%</v>
      </c>
      <c r="AL1090">
        <v>3</v>
      </c>
      <c r="AM1090" t="s">
        <v>68</v>
      </c>
      <c r="AN1090">
        <v>2</v>
      </c>
      <c r="AO1090" t="s">
        <v>61</v>
      </c>
      <c r="AP1090">
        <v>80</v>
      </c>
      <c r="AQ1090">
        <v>1</v>
      </c>
      <c r="AR1090">
        <v>4</v>
      </c>
      <c r="AS1090" t="str">
        <f t="shared" si="250"/>
        <v>3-5</v>
      </c>
      <c r="AT1090">
        <v>3</v>
      </c>
      <c r="AU1090" t="str">
        <f t="shared" si="251"/>
        <v>3-4</v>
      </c>
      <c r="AV1090">
        <v>3</v>
      </c>
      <c r="AW1090" t="s">
        <v>79</v>
      </c>
      <c r="AX1090">
        <v>1</v>
      </c>
      <c r="AY1090" t="str">
        <f t="shared" ref="AY1090:AY1153" si="255">IF(AX1090&lt;=1,"0-1",IF(AX1090&lt;=5,"2-5",IF(AX1090&lt;=10,"6-10",IF(AX1090&lt;=20,"11-20","21-40"))))</f>
        <v>0-1</v>
      </c>
      <c r="AZ1090">
        <v>0</v>
      </c>
      <c r="BA1090" t="str">
        <f t="shared" si="252"/>
        <v>0-1</v>
      </c>
      <c r="BB1090">
        <v>0</v>
      </c>
      <c r="BC1090" t="str">
        <f t="shared" si="253"/>
        <v>0-1</v>
      </c>
      <c r="BD1090">
        <v>0</v>
      </c>
      <c r="BE1090" t="str">
        <f t="shared" si="254"/>
        <v>0-1</v>
      </c>
    </row>
    <row r="1091" spans="1:57" x14ac:dyDescent="0.3">
      <c r="A1091">
        <v>1543</v>
      </c>
      <c r="B1091">
        <v>37</v>
      </c>
      <c r="C1091" t="str">
        <f t="shared" ref="C1091:C1154" si="256">IF(B1091&lt;=25, "18-25", IF(B1091&lt;=35, "26-35", IF(B1091&lt;=45, "36-45", IF(B1091&lt;=55, "46-55", "56+"))))</f>
        <v>36-45</v>
      </c>
      <c r="D1091" t="s">
        <v>71</v>
      </c>
      <c r="E1091">
        <f t="shared" ref="E1091:E1154" si="257">IF(D1091="Yes",1,0)</f>
        <v>0</v>
      </c>
      <c r="F1091" t="s">
        <v>57</v>
      </c>
      <c r="G1091">
        <v>674</v>
      </c>
      <c r="H1091" t="str">
        <f t="shared" ref="H1091:H1154" si="258">IF(G1091&lt;=500,"102-500",IF(G1091&lt;=1000,"501-1000","1001-1499"))</f>
        <v>501-1000</v>
      </c>
      <c r="I1091" t="s">
        <v>73</v>
      </c>
      <c r="J1091">
        <v>13</v>
      </c>
      <c r="K1091" t="str">
        <f t="shared" ref="K1091:K1154" si="259">IF(J1091&lt;=5,"1-5",IF(J1091&lt;=10,"6-10",IF(J1091&lt;=20,"11-20","21-29")))</f>
        <v>11-20</v>
      </c>
      <c r="L1091">
        <v>3</v>
      </c>
      <c r="M1091" t="s">
        <v>85</v>
      </c>
      <c r="N1091" t="s">
        <v>83</v>
      </c>
      <c r="O1091">
        <v>1</v>
      </c>
      <c r="P1091">
        <v>1</v>
      </c>
      <c r="Q1091" t="s">
        <v>69</v>
      </c>
      <c r="R1091" t="s">
        <v>75</v>
      </c>
      <c r="S1091">
        <v>47</v>
      </c>
      <c r="T1091" t="str">
        <f t="shared" ref="T1091:T1154" si="260">IF(S1091&lt;=50,"30-50",IF(S1091&lt;=75,"51-75","76-100"))</f>
        <v>30-50</v>
      </c>
      <c r="U1091">
        <v>3</v>
      </c>
      <c r="V1091" t="s">
        <v>63</v>
      </c>
      <c r="W1091">
        <v>2</v>
      </c>
      <c r="X1091" t="s">
        <v>76</v>
      </c>
      <c r="Y1091">
        <v>4</v>
      </c>
      <c r="Z1091" t="s">
        <v>65</v>
      </c>
      <c r="AA1091" t="s">
        <v>77</v>
      </c>
      <c r="AB1091" s="4">
        <v>4285</v>
      </c>
      <c r="AC1091" s="4" t="str">
        <f t="shared" ref="AC1091:AC1154" si="261">IF(AB1091&lt;2500,"$1,000-$2,500",IF(AB1091&lt;4000,"$2,500-$4,000",IF(AB1091&lt;5500,"$4,000-$5,500",IF(AB1091&lt;7000,"$5,500-$7,000",IF(AB1091&lt;8500,"$7,000-$8,500",IF(AB1091&lt;10000,"$8,500-$10,000",IF(AB1091&lt;11500,"$10,000-$11,500",IF(AB1091&lt;13000,"$11,500-$13,000",IF(AB1091&lt;14500,"$13,000-$14,500",IF(AB1091&lt;16000,"$14,500-$16,000",IF(AB1091&lt;17500,"$16,000-$17,500",IF(AB1091&lt;19000,"$17,500-$19,000",IF(AB1091&lt;20500,"$19,000-$20,500",IF(AB1091&lt;22000,"$20,500-$22,000",IF(AB1091&lt;23500,"$22,000-$23,500",IF(AB1091&lt;25000,"$23,500-$25,000",IF(AB1091&lt;26500,"$25,000-$26,500",IF(AB1091&lt;28000,"$26,500-$28,000",IF(AB1091&lt;29500,"$28,000-$29,500","$29,500+")))))))))))))))))))</f>
        <v>$4,000-$5,500</v>
      </c>
      <c r="AD1091">
        <v>3031</v>
      </c>
      <c r="AE1091" t="str">
        <f t="shared" ref="AE1091:AE1154" si="262">IF(AD1091&lt;=8000,"$2,094-$8,000",IF(AD1091&lt;=16000,"$8,001-$16,000",IF(AD1091&lt;=22000,"$16,001-$22,000","$22,001-$26,999")))</f>
        <v>$2,094-$8,000</v>
      </c>
      <c r="AF1091">
        <v>1</v>
      </c>
      <c r="AG1091" t="str">
        <f t="shared" ref="AG1091:AG1154" si="263">IF(AF1091&lt;=1,"0-1",IF(AF1091&lt;=3,"2-3",IF(AF1091&lt;=6,"4-6","7-9")))</f>
        <v>0-1</v>
      </c>
      <c r="AH1091" t="s">
        <v>67</v>
      </c>
      <c r="AI1091" t="s">
        <v>71</v>
      </c>
      <c r="AJ1091">
        <v>17</v>
      </c>
      <c r="AK1091" t="str">
        <f t="shared" ref="AK1091:AK1154" si="264">IF(AJ1091&lt;=12,"11-12%",IF(AJ1091&lt;=15,"13-15%",IF(AJ1091&lt;=17,"16-17%","18-19%")))</f>
        <v>16-17%</v>
      </c>
      <c r="AL1091">
        <v>3</v>
      </c>
      <c r="AM1091" t="s">
        <v>68</v>
      </c>
      <c r="AN1091">
        <v>1</v>
      </c>
      <c r="AO1091" t="s">
        <v>69</v>
      </c>
      <c r="AP1091">
        <v>80</v>
      </c>
      <c r="AQ1091">
        <v>0</v>
      </c>
      <c r="AR1091">
        <v>10</v>
      </c>
      <c r="AS1091" t="str">
        <f t="shared" ref="AS1091:AS1154" si="265">IF(AR1091&lt;=2,"0-2",IF(AR1091&lt;=5,"3-5",IF(AR1091&lt;=10,"6-10",IF(AR1091&lt;=20,"11-20","21-40"))))</f>
        <v>6-10</v>
      </c>
      <c r="AT1091">
        <v>2</v>
      </c>
      <c r="AU1091" t="str">
        <f t="shared" ref="AU1091:AU1154" si="266">IF(AT1091&lt;=2,"0-2",IF(AT1091&lt;=4,"3-4","5-6"))</f>
        <v>0-2</v>
      </c>
      <c r="AV1091">
        <v>3</v>
      </c>
      <c r="AW1091" t="s">
        <v>79</v>
      </c>
      <c r="AX1091">
        <v>10</v>
      </c>
      <c r="AY1091" t="str">
        <f t="shared" si="255"/>
        <v>6-10</v>
      </c>
      <c r="AZ1091">
        <v>8</v>
      </c>
      <c r="BA1091" t="str">
        <f t="shared" ref="BA1091:BA1154" si="267">IF(AZ1091&lt;=1,"0-1",IF(AZ1091&lt;=5,"2-5",IF(AZ1091&lt;=10,"6-10","11-18")))</f>
        <v>6-10</v>
      </c>
      <c r="BB1091">
        <v>3</v>
      </c>
      <c r="BC1091" t="str">
        <f t="shared" ref="BC1091:BC1154" si="268">IF(BB1091&lt;=1,"0-1",IF(BB1091&lt;=5,"2-5",IF(BB1091&lt;=10,"6-10","11-15")))</f>
        <v>2-5</v>
      </c>
      <c r="BD1091">
        <v>7</v>
      </c>
      <c r="BE1091" t="str">
        <f t="shared" ref="BE1091:BE1154" si="269">IF(BD1091&lt;=1,"0-1",IF(BD1091&lt;=5,"2-5",IF(BD1091&lt;=10,"6-10","11-17")))</f>
        <v>6-10</v>
      </c>
    </row>
    <row r="1092" spans="1:57" x14ac:dyDescent="0.3">
      <c r="A1092">
        <v>1544</v>
      </c>
      <c r="B1092">
        <v>29</v>
      </c>
      <c r="C1092" t="str">
        <f t="shared" si="256"/>
        <v>26-35</v>
      </c>
      <c r="D1092" t="s">
        <v>71</v>
      </c>
      <c r="E1092">
        <f t="shared" si="257"/>
        <v>0</v>
      </c>
      <c r="F1092" t="s">
        <v>57</v>
      </c>
      <c r="G1092">
        <v>441</v>
      </c>
      <c r="H1092" t="str">
        <f t="shared" si="258"/>
        <v>102-500</v>
      </c>
      <c r="I1092" t="s">
        <v>73</v>
      </c>
      <c r="J1092">
        <v>8</v>
      </c>
      <c r="K1092" t="str">
        <f t="shared" si="259"/>
        <v>6-10</v>
      </c>
      <c r="L1092">
        <v>1</v>
      </c>
      <c r="M1092" t="s">
        <v>74</v>
      </c>
      <c r="N1092" t="s">
        <v>80</v>
      </c>
      <c r="O1092">
        <v>1</v>
      </c>
      <c r="P1092">
        <v>3</v>
      </c>
      <c r="Q1092" t="s">
        <v>63</v>
      </c>
      <c r="R1092" t="s">
        <v>62</v>
      </c>
      <c r="S1092">
        <v>39</v>
      </c>
      <c r="T1092" t="str">
        <f t="shared" si="260"/>
        <v>30-50</v>
      </c>
      <c r="U1092">
        <v>1</v>
      </c>
      <c r="V1092" t="s">
        <v>69</v>
      </c>
      <c r="W1092">
        <v>2</v>
      </c>
      <c r="X1092" t="s">
        <v>88</v>
      </c>
      <c r="Y1092">
        <v>1</v>
      </c>
      <c r="Z1092" t="s">
        <v>69</v>
      </c>
      <c r="AA1092" t="s">
        <v>77</v>
      </c>
      <c r="AB1092" s="4">
        <v>9715</v>
      </c>
      <c r="AC1092" s="4" t="str">
        <f t="shared" si="261"/>
        <v>$8,500-$10,000</v>
      </c>
      <c r="AD1092">
        <v>7288</v>
      </c>
      <c r="AE1092" t="str">
        <f t="shared" si="262"/>
        <v>$2,094-$8,000</v>
      </c>
      <c r="AF1092">
        <v>3</v>
      </c>
      <c r="AG1092" t="str">
        <f t="shared" si="263"/>
        <v>2-3</v>
      </c>
      <c r="AH1092" t="s">
        <v>67</v>
      </c>
      <c r="AI1092" t="s">
        <v>71</v>
      </c>
      <c r="AJ1092">
        <v>13</v>
      </c>
      <c r="AK1092" t="str">
        <f t="shared" si="264"/>
        <v>13-15%</v>
      </c>
      <c r="AL1092">
        <v>3</v>
      </c>
      <c r="AM1092" t="s">
        <v>68</v>
      </c>
      <c r="AN1092">
        <v>3</v>
      </c>
      <c r="AO1092" t="s">
        <v>63</v>
      </c>
      <c r="AP1092">
        <v>80</v>
      </c>
      <c r="AQ1092">
        <v>1</v>
      </c>
      <c r="AR1092">
        <v>9</v>
      </c>
      <c r="AS1092" t="str">
        <f t="shared" si="265"/>
        <v>6-10</v>
      </c>
      <c r="AT1092">
        <v>3</v>
      </c>
      <c r="AU1092" t="str">
        <f t="shared" si="266"/>
        <v>3-4</v>
      </c>
      <c r="AV1092">
        <v>3</v>
      </c>
      <c r="AW1092" t="s">
        <v>79</v>
      </c>
      <c r="AX1092">
        <v>7</v>
      </c>
      <c r="AY1092" t="str">
        <f t="shared" si="255"/>
        <v>6-10</v>
      </c>
      <c r="AZ1092">
        <v>7</v>
      </c>
      <c r="BA1092" t="str">
        <f t="shared" si="267"/>
        <v>6-10</v>
      </c>
      <c r="BB1092">
        <v>0</v>
      </c>
      <c r="BC1092" t="str">
        <f t="shared" si="268"/>
        <v>0-1</v>
      </c>
      <c r="BD1092">
        <v>7</v>
      </c>
      <c r="BE1092" t="str">
        <f t="shared" si="269"/>
        <v>6-10</v>
      </c>
    </row>
    <row r="1093" spans="1:57" x14ac:dyDescent="0.3">
      <c r="A1093">
        <v>1545</v>
      </c>
      <c r="B1093">
        <v>33</v>
      </c>
      <c r="C1093" t="str">
        <f t="shared" si="256"/>
        <v>26-35</v>
      </c>
      <c r="D1093" t="s">
        <v>71</v>
      </c>
      <c r="E1093">
        <f t="shared" si="257"/>
        <v>0</v>
      </c>
      <c r="F1093" t="s">
        <v>57</v>
      </c>
      <c r="G1093">
        <v>575</v>
      </c>
      <c r="H1093" t="str">
        <f t="shared" si="258"/>
        <v>501-1000</v>
      </c>
      <c r="I1093" t="s">
        <v>73</v>
      </c>
      <c r="J1093">
        <v>25</v>
      </c>
      <c r="K1093" t="str">
        <f t="shared" si="259"/>
        <v>21-29</v>
      </c>
      <c r="L1093">
        <v>3</v>
      </c>
      <c r="M1093" t="s">
        <v>85</v>
      </c>
      <c r="N1093" t="s">
        <v>60</v>
      </c>
      <c r="O1093">
        <v>1</v>
      </c>
      <c r="P1093">
        <v>4</v>
      </c>
      <c r="Q1093" t="s">
        <v>65</v>
      </c>
      <c r="R1093" t="s">
        <v>75</v>
      </c>
      <c r="S1093">
        <v>44</v>
      </c>
      <c r="T1093" t="str">
        <f t="shared" si="260"/>
        <v>30-50</v>
      </c>
      <c r="U1093">
        <v>2</v>
      </c>
      <c r="V1093" t="s">
        <v>61</v>
      </c>
      <c r="W1093">
        <v>2</v>
      </c>
      <c r="X1093" t="s">
        <v>87</v>
      </c>
      <c r="Y1093">
        <v>2</v>
      </c>
      <c r="Z1093" t="s">
        <v>61</v>
      </c>
      <c r="AA1093" t="s">
        <v>66</v>
      </c>
      <c r="AB1093" s="4">
        <v>4320</v>
      </c>
      <c r="AC1093" s="4" t="str">
        <f t="shared" si="261"/>
        <v>$4,000-$5,500</v>
      </c>
      <c r="AD1093">
        <v>24152</v>
      </c>
      <c r="AE1093" t="str">
        <f t="shared" si="262"/>
        <v>$22,001-$26,999</v>
      </c>
      <c r="AF1093">
        <v>1</v>
      </c>
      <c r="AG1093" t="str">
        <f t="shared" si="263"/>
        <v>0-1</v>
      </c>
      <c r="AH1093" t="s">
        <v>67</v>
      </c>
      <c r="AI1093" t="s">
        <v>71</v>
      </c>
      <c r="AJ1093">
        <v>13</v>
      </c>
      <c r="AK1093" t="str">
        <f t="shared" si="264"/>
        <v>13-15%</v>
      </c>
      <c r="AL1093">
        <v>3</v>
      </c>
      <c r="AM1093" t="s">
        <v>68</v>
      </c>
      <c r="AN1093">
        <v>4</v>
      </c>
      <c r="AO1093" t="s">
        <v>65</v>
      </c>
      <c r="AP1093">
        <v>80</v>
      </c>
      <c r="AQ1093">
        <v>0</v>
      </c>
      <c r="AR1093">
        <v>5</v>
      </c>
      <c r="AS1093" t="str">
        <f t="shared" si="265"/>
        <v>3-5</v>
      </c>
      <c r="AT1093">
        <v>2</v>
      </c>
      <c r="AU1093" t="str">
        <f t="shared" si="266"/>
        <v>0-2</v>
      </c>
      <c r="AV1093">
        <v>3</v>
      </c>
      <c r="AW1093" t="s">
        <v>79</v>
      </c>
      <c r="AX1093">
        <v>5</v>
      </c>
      <c r="AY1093" t="str">
        <f t="shared" si="255"/>
        <v>2-5</v>
      </c>
      <c r="AZ1093">
        <v>3</v>
      </c>
      <c r="BA1093" t="str">
        <f t="shared" si="267"/>
        <v>2-5</v>
      </c>
      <c r="BB1093">
        <v>0</v>
      </c>
      <c r="BC1093" t="str">
        <f t="shared" si="268"/>
        <v>0-1</v>
      </c>
      <c r="BD1093">
        <v>2</v>
      </c>
      <c r="BE1093" t="str">
        <f t="shared" si="269"/>
        <v>2-5</v>
      </c>
    </row>
    <row r="1094" spans="1:57" x14ac:dyDescent="0.3">
      <c r="A1094">
        <v>1546</v>
      </c>
      <c r="B1094">
        <v>45</v>
      </c>
      <c r="C1094" t="str">
        <f t="shared" si="256"/>
        <v>36-45</v>
      </c>
      <c r="D1094" t="s">
        <v>71</v>
      </c>
      <c r="E1094">
        <f t="shared" si="257"/>
        <v>0</v>
      </c>
      <c r="F1094" t="s">
        <v>57</v>
      </c>
      <c r="G1094">
        <v>950</v>
      </c>
      <c r="H1094" t="str">
        <f t="shared" si="258"/>
        <v>501-1000</v>
      </c>
      <c r="I1094" t="s">
        <v>73</v>
      </c>
      <c r="J1094">
        <v>28</v>
      </c>
      <c r="K1094" t="str">
        <f t="shared" si="259"/>
        <v>21-29</v>
      </c>
      <c r="L1094">
        <v>3</v>
      </c>
      <c r="M1094" t="s">
        <v>85</v>
      </c>
      <c r="N1094" t="s">
        <v>95</v>
      </c>
      <c r="O1094">
        <v>1</v>
      </c>
      <c r="P1094">
        <v>4</v>
      </c>
      <c r="Q1094" t="s">
        <v>65</v>
      </c>
      <c r="R1094" t="s">
        <v>75</v>
      </c>
      <c r="S1094">
        <v>97</v>
      </c>
      <c r="T1094" t="str">
        <f t="shared" si="260"/>
        <v>76-100</v>
      </c>
      <c r="U1094">
        <v>3</v>
      </c>
      <c r="V1094" t="s">
        <v>63</v>
      </c>
      <c r="W1094">
        <v>1</v>
      </c>
      <c r="X1094" t="s">
        <v>76</v>
      </c>
      <c r="Y1094">
        <v>4</v>
      </c>
      <c r="Z1094" t="s">
        <v>65</v>
      </c>
      <c r="AA1094" t="s">
        <v>77</v>
      </c>
      <c r="AB1094" s="4">
        <v>2132</v>
      </c>
      <c r="AC1094" s="4" t="str">
        <f t="shared" si="261"/>
        <v>$1,000-$2,500</v>
      </c>
      <c r="AD1094">
        <v>4585</v>
      </c>
      <c r="AE1094" t="str">
        <f t="shared" si="262"/>
        <v>$2,094-$8,000</v>
      </c>
      <c r="AF1094">
        <v>4</v>
      </c>
      <c r="AG1094" t="str">
        <f t="shared" si="263"/>
        <v>4-6</v>
      </c>
      <c r="AH1094" t="s">
        <v>67</v>
      </c>
      <c r="AI1094" t="s">
        <v>71</v>
      </c>
      <c r="AJ1094">
        <v>20</v>
      </c>
      <c r="AK1094" t="str">
        <f t="shared" si="264"/>
        <v>18-19%</v>
      </c>
      <c r="AL1094">
        <v>4</v>
      </c>
      <c r="AM1094" t="s">
        <v>78</v>
      </c>
      <c r="AN1094">
        <v>4</v>
      </c>
      <c r="AO1094" t="s">
        <v>65</v>
      </c>
      <c r="AP1094">
        <v>80</v>
      </c>
      <c r="AQ1094">
        <v>1</v>
      </c>
      <c r="AR1094">
        <v>8</v>
      </c>
      <c r="AS1094" t="str">
        <f t="shared" si="265"/>
        <v>6-10</v>
      </c>
      <c r="AT1094">
        <v>3</v>
      </c>
      <c r="AU1094" t="str">
        <f t="shared" si="266"/>
        <v>3-4</v>
      </c>
      <c r="AV1094">
        <v>3</v>
      </c>
      <c r="AW1094" t="s">
        <v>79</v>
      </c>
      <c r="AX1094">
        <v>5</v>
      </c>
      <c r="AY1094" t="str">
        <f t="shared" si="255"/>
        <v>2-5</v>
      </c>
      <c r="AZ1094">
        <v>4</v>
      </c>
      <c r="BA1094" t="str">
        <f t="shared" si="267"/>
        <v>2-5</v>
      </c>
      <c r="BB1094">
        <v>0</v>
      </c>
      <c r="BC1094" t="str">
        <f t="shared" si="268"/>
        <v>0-1</v>
      </c>
      <c r="BD1094">
        <v>3</v>
      </c>
      <c r="BE1094" t="str">
        <f t="shared" si="269"/>
        <v>2-5</v>
      </c>
    </row>
    <row r="1095" spans="1:57" x14ac:dyDescent="0.3">
      <c r="A1095">
        <v>1547</v>
      </c>
      <c r="B1095">
        <v>42</v>
      </c>
      <c r="C1095" t="str">
        <f t="shared" si="256"/>
        <v>36-45</v>
      </c>
      <c r="D1095" t="s">
        <v>71</v>
      </c>
      <c r="E1095">
        <f t="shared" si="257"/>
        <v>0</v>
      </c>
      <c r="F1095" t="s">
        <v>72</v>
      </c>
      <c r="G1095">
        <v>288</v>
      </c>
      <c r="H1095" t="str">
        <f t="shared" si="258"/>
        <v>102-500</v>
      </c>
      <c r="I1095" t="s">
        <v>73</v>
      </c>
      <c r="J1095">
        <v>2</v>
      </c>
      <c r="K1095" t="str">
        <f t="shared" si="259"/>
        <v>1-5</v>
      </c>
      <c r="L1095">
        <v>3</v>
      </c>
      <c r="M1095" t="s">
        <v>85</v>
      </c>
      <c r="N1095" t="s">
        <v>60</v>
      </c>
      <c r="O1095">
        <v>1</v>
      </c>
      <c r="P1095">
        <v>4</v>
      </c>
      <c r="Q1095" t="s">
        <v>65</v>
      </c>
      <c r="R1095" t="s">
        <v>75</v>
      </c>
      <c r="S1095">
        <v>40</v>
      </c>
      <c r="T1095" t="str">
        <f t="shared" si="260"/>
        <v>30-50</v>
      </c>
      <c r="U1095">
        <v>3</v>
      </c>
      <c r="V1095" t="s">
        <v>63</v>
      </c>
      <c r="W1095">
        <v>3</v>
      </c>
      <c r="X1095" t="s">
        <v>88</v>
      </c>
      <c r="Y1095">
        <v>4</v>
      </c>
      <c r="Z1095" t="s">
        <v>65</v>
      </c>
      <c r="AA1095" t="s">
        <v>77</v>
      </c>
      <c r="AB1095" s="4">
        <v>10124</v>
      </c>
      <c r="AC1095" s="4" t="str">
        <f t="shared" si="261"/>
        <v>$10,000-$11,500</v>
      </c>
      <c r="AD1095">
        <v>18611</v>
      </c>
      <c r="AE1095" t="str">
        <f t="shared" si="262"/>
        <v>$16,001-$22,000</v>
      </c>
      <c r="AF1095">
        <v>2</v>
      </c>
      <c r="AG1095" t="str">
        <f t="shared" si="263"/>
        <v>2-3</v>
      </c>
      <c r="AH1095" t="s">
        <v>67</v>
      </c>
      <c r="AI1095" t="s">
        <v>56</v>
      </c>
      <c r="AJ1095">
        <v>14</v>
      </c>
      <c r="AK1095" t="str">
        <f t="shared" si="264"/>
        <v>13-15%</v>
      </c>
      <c r="AL1095">
        <v>3</v>
      </c>
      <c r="AM1095" t="s">
        <v>68</v>
      </c>
      <c r="AN1095">
        <v>3</v>
      </c>
      <c r="AO1095" t="s">
        <v>63</v>
      </c>
      <c r="AP1095">
        <v>80</v>
      </c>
      <c r="AQ1095">
        <v>1</v>
      </c>
      <c r="AR1095">
        <v>24</v>
      </c>
      <c r="AS1095" t="str">
        <f t="shared" si="265"/>
        <v>21-40</v>
      </c>
      <c r="AT1095">
        <v>3</v>
      </c>
      <c r="AU1095" t="str">
        <f t="shared" si="266"/>
        <v>3-4</v>
      </c>
      <c r="AV1095">
        <v>1</v>
      </c>
      <c r="AW1095" t="s">
        <v>70</v>
      </c>
      <c r="AX1095">
        <v>20</v>
      </c>
      <c r="AY1095" t="str">
        <f t="shared" si="255"/>
        <v>11-20</v>
      </c>
      <c r="AZ1095">
        <v>8</v>
      </c>
      <c r="BA1095" t="str">
        <f t="shared" si="267"/>
        <v>6-10</v>
      </c>
      <c r="BB1095">
        <v>13</v>
      </c>
      <c r="BC1095" t="str">
        <f t="shared" si="268"/>
        <v>11-15</v>
      </c>
      <c r="BD1095">
        <v>9</v>
      </c>
      <c r="BE1095" t="str">
        <f t="shared" si="269"/>
        <v>6-10</v>
      </c>
    </row>
    <row r="1096" spans="1:57" x14ac:dyDescent="0.3">
      <c r="A1096">
        <v>1548</v>
      </c>
      <c r="B1096">
        <v>40</v>
      </c>
      <c r="C1096" t="str">
        <f t="shared" si="256"/>
        <v>36-45</v>
      </c>
      <c r="D1096" t="s">
        <v>71</v>
      </c>
      <c r="E1096">
        <f t="shared" si="257"/>
        <v>0</v>
      </c>
      <c r="F1096" t="s">
        <v>57</v>
      </c>
      <c r="G1096">
        <v>1342</v>
      </c>
      <c r="H1096" t="str">
        <f t="shared" si="258"/>
        <v>1001-1499</v>
      </c>
      <c r="I1096" t="s">
        <v>58</v>
      </c>
      <c r="J1096">
        <v>9</v>
      </c>
      <c r="K1096" t="str">
        <f t="shared" si="259"/>
        <v>6-10</v>
      </c>
      <c r="L1096">
        <v>2</v>
      </c>
      <c r="M1096" t="s">
        <v>59</v>
      </c>
      <c r="N1096" t="s">
        <v>83</v>
      </c>
      <c r="O1096">
        <v>1</v>
      </c>
      <c r="P1096">
        <v>1</v>
      </c>
      <c r="Q1096" t="s">
        <v>69</v>
      </c>
      <c r="R1096" t="s">
        <v>75</v>
      </c>
      <c r="S1096">
        <v>47</v>
      </c>
      <c r="T1096" t="str">
        <f t="shared" si="260"/>
        <v>30-50</v>
      </c>
      <c r="U1096">
        <v>3</v>
      </c>
      <c r="V1096" t="s">
        <v>63</v>
      </c>
      <c r="W1096">
        <v>2</v>
      </c>
      <c r="X1096" t="s">
        <v>64</v>
      </c>
      <c r="Y1096">
        <v>1</v>
      </c>
      <c r="Z1096" t="s">
        <v>69</v>
      </c>
      <c r="AA1096" t="s">
        <v>77</v>
      </c>
      <c r="AB1096" s="4">
        <v>5473</v>
      </c>
      <c r="AC1096" s="4" t="str">
        <f t="shared" si="261"/>
        <v>$4,000-$5,500</v>
      </c>
      <c r="AD1096">
        <v>19345</v>
      </c>
      <c r="AE1096" t="str">
        <f t="shared" si="262"/>
        <v>$16,001-$22,000</v>
      </c>
      <c r="AF1096">
        <v>0</v>
      </c>
      <c r="AG1096" t="str">
        <f t="shared" si="263"/>
        <v>0-1</v>
      </c>
      <c r="AH1096" t="s">
        <v>67</v>
      </c>
      <c r="AI1096" t="s">
        <v>71</v>
      </c>
      <c r="AJ1096">
        <v>12</v>
      </c>
      <c r="AK1096" t="str">
        <f t="shared" si="264"/>
        <v>11-12%</v>
      </c>
      <c r="AL1096">
        <v>3</v>
      </c>
      <c r="AM1096" t="s">
        <v>68</v>
      </c>
      <c r="AN1096">
        <v>4</v>
      </c>
      <c r="AO1096" t="s">
        <v>65</v>
      </c>
      <c r="AP1096">
        <v>80</v>
      </c>
      <c r="AQ1096">
        <v>0</v>
      </c>
      <c r="AR1096">
        <v>9</v>
      </c>
      <c r="AS1096" t="str">
        <f t="shared" si="265"/>
        <v>6-10</v>
      </c>
      <c r="AT1096">
        <v>5</v>
      </c>
      <c r="AU1096" t="str">
        <f t="shared" si="266"/>
        <v>5-6</v>
      </c>
      <c r="AV1096">
        <v>4</v>
      </c>
      <c r="AW1096" t="s">
        <v>94</v>
      </c>
      <c r="AX1096">
        <v>8</v>
      </c>
      <c r="AY1096" t="str">
        <f t="shared" si="255"/>
        <v>6-10</v>
      </c>
      <c r="AZ1096">
        <v>4</v>
      </c>
      <c r="BA1096" t="str">
        <f t="shared" si="267"/>
        <v>2-5</v>
      </c>
      <c r="BB1096">
        <v>7</v>
      </c>
      <c r="BC1096" t="str">
        <f t="shared" si="268"/>
        <v>6-10</v>
      </c>
      <c r="BD1096">
        <v>1</v>
      </c>
      <c r="BE1096" t="str">
        <f t="shared" si="269"/>
        <v>0-1</v>
      </c>
    </row>
    <row r="1097" spans="1:57" x14ac:dyDescent="0.3">
      <c r="A1097">
        <v>1549</v>
      </c>
      <c r="B1097">
        <v>33</v>
      </c>
      <c r="C1097" t="str">
        <f t="shared" si="256"/>
        <v>26-35</v>
      </c>
      <c r="D1097" t="s">
        <v>71</v>
      </c>
      <c r="E1097">
        <f t="shared" si="257"/>
        <v>0</v>
      </c>
      <c r="F1097" t="s">
        <v>57</v>
      </c>
      <c r="G1097">
        <v>589</v>
      </c>
      <c r="H1097" t="str">
        <f t="shared" si="258"/>
        <v>501-1000</v>
      </c>
      <c r="I1097" t="s">
        <v>73</v>
      </c>
      <c r="J1097">
        <v>28</v>
      </c>
      <c r="K1097" t="str">
        <f t="shared" si="259"/>
        <v>21-29</v>
      </c>
      <c r="L1097">
        <v>4</v>
      </c>
      <c r="M1097" t="s">
        <v>82</v>
      </c>
      <c r="N1097" t="s">
        <v>60</v>
      </c>
      <c r="O1097">
        <v>1</v>
      </c>
      <c r="P1097">
        <v>2</v>
      </c>
      <c r="Q1097" t="s">
        <v>61</v>
      </c>
      <c r="R1097" t="s">
        <v>75</v>
      </c>
      <c r="S1097">
        <v>79</v>
      </c>
      <c r="T1097" t="str">
        <f t="shared" si="260"/>
        <v>76-100</v>
      </c>
      <c r="U1097">
        <v>3</v>
      </c>
      <c r="V1097" t="s">
        <v>63</v>
      </c>
      <c r="W1097">
        <v>2</v>
      </c>
      <c r="X1097" t="s">
        <v>81</v>
      </c>
      <c r="Y1097">
        <v>3</v>
      </c>
      <c r="Z1097" t="s">
        <v>63</v>
      </c>
      <c r="AA1097" t="s">
        <v>77</v>
      </c>
      <c r="AB1097" s="4">
        <v>5207</v>
      </c>
      <c r="AC1097" s="4" t="str">
        <f t="shared" si="261"/>
        <v>$4,000-$5,500</v>
      </c>
      <c r="AD1097">
        <v>22949</v>
      </c>
      <c r="AE1097" t="str">
        <f t="shared" si="262"/>
        <v>$22,001-$26,999</v>
      </c>
      <c r="AF1097">
        <v>1</v>
      </c>
      <c r="AG1097" t="str">
        <f t="shared" si="263"/>
        <v>0-1</v>
      </c>
      <c r="AH1097" t="s">
        <v>67</v>
      </c>
      <c r="AI1097" t="s">
        <v>56</v>
      </c>
      <c r="AJ1097">
        <v>12</v>
      </c>
      <c r="AK1097" t="str">
        <f t="shared" si="264"/>
        <v>11-12%</v>
      </c>
      <c r="AL1097">
        <v>3</v>
      </c>
      <c r="AM1097" t="s">
        <v>68</v>
      </c>
      <c r="AN1097">
        <v>2</v>
      </c>
      <c r="AO1097" t="s">
        <v>61</v>
      </c>
      <c r="AP1097">
        <v>80</v>
      </c>
      <c r="AQ1097">
        <v>1</v>
      </c>
      <c r="AR1097">
        <v>15</v>
      </c>
      <c r="AS1097" t="str">
        <f t="shared" si="265"/>
        <v>11-20</v>
      </c>
      <c r="AT1097">
        <v>3</v>
      </c>
      <c r="AU1097" t="str">
        <f t="shared" si="266"/>
        <v>3-4</v>
      </c>
      <c r="AV1097">
        <v>3</v>
      </c>
      <c r="AW1097" t="s">
        <v>79</v>
      </c>
      <c r="AX1097">
        <v>15</v>
      </c>
      <c r="AY1097" t="str">
        <f t="shared" si="255"/>
        <v>11-20</v>
      </c>
      <c r="AZ1097">
        <v>14</v>
      </c>
      <c r="BA1097" t="str">
        <f t="shared" si="267"/>
        <v>11-18</v>
      </c>
      <c r="BB1097">
        <v>5</v>
      </c>
      <c r="BC1097" t="str">
        <f t="shared" si="268"/>
        <v>2-5</v>
      </c>
      <c r="BD1097">
        <v>7</v>
      </c>
      <c r="BE1097" t="str">
        <f t="shared" si="269"/>
        <v>6-10</v>
      </c>
    </row>
    <row r="1098" spans="1:57" x14ac:dyDescent="0.3">
      <c r="A1098">
        <v>1550</v>
      </c>
      <c r="B1098">
        <v>40</v>
      </c>
      <c r="C1098" t="str">
        <f t="shared" si="256"/>
        <v>36-45</v>
      </c>
      <c r="D1098" t="s">
        <v>71</v>
      </c>
      <c r="E1098">
        <f t="shared" si="257"/>
        <v>0</v>
      </c>
      <c r="F1098" t="s">
        <v>57</v>
      </c>
      <c r="G1098">
        <v>898</v>
      </c>
      <c r="H1098" t="str">
        <f t="shared" si="258"/>
        <v>501-1000</v>
      </c>
      <c r="I1098" t="s">
        <v>97</v>
      </c>
      <c r="J1098">
        <v>6</v>
      </c>
      <c r="K1098" t="str">
        <f t="shared" si="259"/>
        <v>6-10</v>
      </c>
      <c r="L1098">
        <v>2</v>
      </c>
      <c r="M1098" t="s">
        <v>59</v>
      </c>
      <c r="N1098" t="s">
        <v>83</v>
      </c>
      <c r="O1098">
        <v>1</v>
      </c>
      <c r="P1098">
        <v>3</v>
      </c>
      <c r="Q1098" t="s">
        <v>63</v>
      </c>
      <c r="R1098" t="s">
        <v>75</v>
      </c>
      <c r="S1098">
        <v>38</v>
      </c>
      <c r="T1098" t="str">
        <f t="shared" si="260"/>
        <v>30-50</v>
      </c>
      <c r="U1098">
        <v>3</v>
      </c>
      <c r="V1098" t="s">
        <v>63</v>
      </c>
      <c r="W1098">
        <v>4</v>
      </c>
      <c r="X1098" t="s">
        <v>90</v>
      </c>
      <c r="Y1098">
        <v>4</v>
      </c>
      <c r="Z1098" t="s">
        <v>65</v>
      </c>
      <c r="AA1098" t="s">
        <v>66</v>
      </c>
      <c r="AB1098" s="4">
        <v>16437</v>
      </c>
      <c r="AC1098" s="4" t="str">
        <f t="shared" si="261"/>
        <v>$16,000-$17,500</v>
      </c>
      <c r="AD1098">
        <v>17381</v>
      </c>
      <c r="AE1098" t="str">
        <f t="shared" si="262"/>
        <v>$16,001-$22,000</v>
      </c>
      <c r="AF1098">
        <v>1</v>
      </c>
      <c r="AG1098" t="str">
        <f t="shared" si="263"/>
        <v>0-1</v>
      </c>
      <c r="AH1098" t="s">
        <v>67</v>
      </c>
      <c r="AI1098" t="s">
        <v>56</v>
      </c>
      <c r="AJ1098">
        <v>21</v>
      </c>
      <c r="AK1098" t="str">
        <f t="shared" si="264"/>
        <v>18-19%</v>
      </c>
      <c r="AL1098">
        <v>4</v>
      </c>
      <c r="AM1098" t="s">
        <v>78</v>
      </c>
      <c r="AN1098">
        <v>4</v>
      </c>
      <c r="AO1098" t="s">
        <v>65</v>
      </c>
      <c r="AP1098">
        <v>80</v>
      </c>
      <c r="AQ1098">
        <v>0</v>
      </c>
      <c r="AR1098">
        <v>21</v>
      </c>
      <c r="AS1098" t="str">
        <f t="shared" si="265"/>
        <v>21-40</v>
      </c>
      <c r="AT1098">
        <v>2</v>
      </c>
      <c r="AU1098" t="str">
        <f t="shared" si="266"/>
        <v>0-2</v>
      </c>
      <c r="AV1098">
        <v>3</v>
      </c>
      <c r="AW1098" t="s">
        <v>79</v>
      </c>
      <c r="AX1098">
        <v>21</v>
      </c>
      <c r="AY1098" t="str">
        <f t="shared" si="255"/>
        <v>21-40</v>
      </c>
      <c r="AZ1098">
        <v>7</v>
      </c>
      <c r="BA1098" t="str">
        <f t="shared" si="267"/>
        <v>6-10</v>
      </c>
      <c r="BB1098">
        <v>7</v>
      </c>
      <c r="BC1098" t="str">
        <f t="shared" si="268"/>
        <v>6-10</v>
      </c>
      <c r="BD1098">
        <v>7</v>
      </c>
      <c r="BE1098" t="str">
        <f t="shared" si="269"/>
        <v>6-10</v>
      </c>
    </row>
    <row r="1099" spans="1:57" x14ac:dyDescent="0.3">
      <c r="A1099">
        <v>1551</v>
      </c>
      <c r="B1099">
        <v>24</v>
      </c>
      <c r="C1099" t="str">
        <f t="shared" si="256"/>
        <v>18-25</v>
      </c>
      <c r="D1099" t="s">
        <v>71</v>
      </c>
      <c r="E1099">
        <f t="shared" si="257"/>
        <v>0</v>
      </c>
      <c r="F1099" t="s">
        <v>57</v>
      </c>
      <c r="G1099">
        <v>350</v>
      </c>
      <c r="H1099" t="str">
        <f t="shared" si="258"/>
        <v>102-500</v>
      </c>
      <c r="I1099" t="s">
        <v>73</v>
      </c>
      <c r="J1099">
        <v>21</v>
      </c>
      <c r="K1099" t="str">
        <f t="shared" si="259"/>
        <v>21-29</v>
      </c>
      <c r="L1099">
        <v>2</v>
      </c>
      <c r="M1099" t="s">
        <v>59</v>
      </c>
      <c r="N1099" t="s">
        <v>95</v>
      </c>
      <c r="O1099">
        <v>1</v>
      </c>
      <c r="P1099">
        <v>3</v>
      </c>
      <c r="Q1099" t="s">
        <v>63</v>
      </c>
      <c r="R1099" t="s">
        <v>75</v>
      </c>
      <c r="S1099">
        <v>57</v>
      </c>
      <c r="T1099" t="str">
        <f t="shared" si="260"/>
        <v>51-75</v>
      </c>
      <c r="U1099">
        <v>2</v>
      </c>
      <c r="V1099" t="s">
        <v>61</v>
      </c>
      <c r="W1099">
        <v>1</v>
      </c>
      <c r="X1099" t="s">
        <v>81</v>
      </c>
      <c r="Y1099">
        <v>1</v>
      </c>
      <c r="Z1099" t="s">
        <v>69</v>
      </c>
      <c r="AA1099" t="s">
        <v>86</v>
      </c>
      <c r="AB1099" s="4">
        <v>2296</v>
      </c>
      <c r="AC1099" s="4" t="str">
        <f t="shared" si="261"/>
        <v>$1,000-$2,500</v>
      </c>
      <c r="AD1099">
        <v>10036</v>
      </c>
      <c r="AE1099" t="str">
        <f t="shared" si="262"/>
        <v>$8,001-$16,000</v>
      </c>
      <c r="AF1099">
        <v>0</v>
      </c>
      <c r="AG1099" t="str">
        <f t="shared" si="263"/>
        <v>0-1</v>
      </c>
      <c r="AH1099" t="s">
        <v>67</v>
      </c>
      <c r="AI1099" t="s">
        <v>71</v>
      </c>
      <c r="AJ1099">
        <v>14</v>
      </c>
      <c r="AK1099" t="str">
        <f t="shared" si="264"/>
        <v>13-15%</v>
      </c>
      <c r="AL1099">
        <v>3</v>
      </c>
      <c r="AM1099" t="s">
        <v>68</v>
      </c>
      <c r="AN1099">
        <v>2</v>
      </c>
      <c r="AO1099" t="s">
        <v>61</v>
      </c>
      <c r="AP1099">
        <v>80</v>
      </c>
      <c r="AQ1099">
        <v>3</v>
      </c>
      <c r="AR1099">
        <v>2</v>
      </c>
      <c r="AS1099" t="str">
        <f t="shared" si="265"/>
        <v>0-2</v>
      </c>
      <c r="AT1099">
        <v>3</v>
      </c>
      <c r="AU1099" t="str">
        <f t="shared" si="266"/>
        <v>3-4</v>
      </c>
      <c r="AV1099">
        <v>3</v>
      </c>
      <c r="AW1099" t="s">
        <v>79</v>
      </c>
      <c r="AX1099">
        <v>1</v>
      </c>
      <c r="AY1099" t="str">
        <f t="shared" si="255"/>
        <v>0-1</v>
      </c>
      <c r="AZ1099">
        <v>1</v>
      </c>
      <c r="BA1099" t="str">
        <f t="shared" si="267"/>
        <v>0-1</v>
      </c>
      <c r="BB1099">
        <v>0</v>
      </c>
      <c r="BC1099" t="str">
        <f t="shared" si="268"/>
        <v>0-1</v>
      </c>
      <c r="BD1099">
        <v>0</v>
      </c>
      <c r="BE1099" t="str">
        <f t="shared" si="269"/>
        <v>0-1</v>
      </c>
    </row>
    <row r="1100" spans="1:57" x14ac:dyDescent="0.3">
      <c r="A1100">
        <v>1552</v>
      </c>
      <c r="B1100">
        <v>40</v>
      </c>
      <c r="C1100" t="str">
        <f t="shared" si="256"/>
        <v>36-45</v>
      </c>
      <c r="D1100" t="s">
        <v>71</v>
      </c>
      <c r="E1100">
        <f t="shared" si="257"/>
        <v>0</v>
      </c>
      <c r="F1100" t="s">
        <v>89</v>
      </c>
      <c r="G1100">
        <v>1142</v>
      </c>
      <c r="H1100" t="str">
        <f t="shared" si="258"/>
        <v>1001-1499</v>
      </c>
      <c r="I1100" t="s">
        <v>73</v>
      </c>
      <c r="J1100">
        <v>8</v>
      </c>
      <c r="K1100" t="str">
        <f t="shared" si="259"/>
        <v>6-10</v>
      </c>
      <c r="L1100">
        <v>2</v>
      </c>
      <c r="M1100" t="s">
        <v>59</v>
      </c>
      <c r="N1100" t="s">
        <v>60</v>
      </c>
      <c r="O1100">
        <v>1</v>
      </c>
      <c r="P1100">
        <v>4</v>
      </c>
      <c r="Q1100" t="s">
        <v>65</v>
      </c>
      <c r="R1100" t="s">
        <v>75</v>
      </c>
      <c r="S1100">
        <v>72</v>
      </c>
      <c r="T1100" t="str">
        <f t="shared" si="260"/>
        <v>51-75</v>
      </c>
      <c r="U1100">
        <v>3</v>
      </c>
      <c r="V1100" t="s">
        <v>63</v>
      </c>
      <c r="W1100">
        <v>2</v>
      </c>
      <c r="X1100" t="s">
        <v>88</v>
      </c>
      <c r="Y1100">
        <v>4</v>
      </c>
      <c r="Z1100" t="s">
        <v>65</v>
      </c>
      <c r="AA1100" t="s">
        <v>86</v>
      </c>
      <c r="AB1100" s="4">
        <v>4069</v>
      </c>
      <c r="AC1100" s="4" t="str">
        <f t="shared" si="261"/>
        <v>$4,000-$5,500</v>
      </c>
      <c r="AD1100">
        <v>8841</v>
      </c>
      <c r="AE1100" t="str">
        <f t="shared" si="262"/>
        <v>$8,001-$16,000</v>
      </c>
      <c r="AF1100">
        <v>3</v>
      </c>
      <c r="AG1100" t="str">
        <f t="shared" si="263"/>
        <v>2-3</v>
      </c>
      <c r="AH1100" t="s">
        <v>67</v>
      </c>
      <c r="AI1100" t="s">
        <v>56</v>
      </c>
      <c r="AJ1100">
        <v>18</v>
      </c>
      <c r="AK1100" t="str">
        <f t="shared" si="264"/>
        <v>18-19%</v>
      </c>
      <c r="AL1100">
        <v>3</v>
      </c>
      <c r="AM1100" t="s">
        <v>68</v>
      </c>
      <c r="AN1100">
        <v>3</v>
      </c>
      <c r="AO1100" t="s">
        <v>63</v>
      </c>
      <c r="AP1100">
        <v>80</v>
      </c>
      <c r="AQ1100">
        <v>0</v>
      </c>
      <c r="AR1100">
        <v>8</v>
      </c>
      <c r="AS1100" t="str">
        <f t="shared" si="265"/>
        <v>6-10</v>
      </c>
      <c r="AT1100">
        <v>2</v>
      </c>
      <c r="AU1100" t="str">
        <f t="shared" si="266"/>
        <v>0-2</v>
      </c>
      <c r="AV1100">
        <v>3</v>
      </c>
      <c r="AW1100" t="s">
        <v>79</v>
      </c>
      <c r="AX1100">
        <v>2</v>
      </c>
      <c r="AY1100" t="str">
        <f t="shared" si="255"/>
        <v>2-5</v>
      </c>
      <c r="AZ1100">
        <v>2</v>
      </c>
      <c r="BA1100" t="str">
        <f t="shared" si="267"/>
        <v>2-5</v>
      </c>
      <c r="BB1100">
        <v>2</v>
      </c>
      <c r="BC1100" t="str">
        <f t="shared" si="268"/>
        <v>2-5</v>
      </c>
      <c r="BD1100">
        <v>2</v>
      </c>
      <c r="BE1100" t="str">
        <f t="shared" si="269"/>
        <v>2-5</v>
      </c>
    </row>
    <row r="1101" spans="1:57" x14ac:dyDescent="0.3">
      <c r="A1101">
        <v>1553</v>
      </c>
      <c r="B1101">
        <v>45</v>
      </c>
      <c r="C1101" t="str">
        <f t="shared" si="256"/>
        <v>36-45</v>
      </c>
      <c r="D1101" t="s">
        <v>71</v>
      </c>
      <c r="E1101">
        <f t="shared" si="257"/>
        <v>0</v>
      </c>
      <c r="F1101" t="s">
        <v>57</v>
      </c>
      <c r="G1101">
        <v>538</v>
      </c>
      <c r="H1101" t="str">
        <f t="shared" si="258"/>
        <v>501-1000</v>
      </c>
      <c r="I1101" t="s">
        <v>73</v>
      </c>
      <c r="J1101">
        <v>1</v>
      </c>
      <c r="K1101" t="str">
        <f t="shared" si="259"/>
        <v>1-5</v>
      </c>
      <c r="L1101">
        <v>4</v>
      </c>
      <c r="M1101" t="s">
        <v>82</v>
      </c>
      <c r="N1101" t="s">
        <v>95</v>
      </c>
      <c r="O1101">
        <v>1</v>
      </c>
      <c r="P1101">
        <v>1</v>
      </c>
      <c r="Q1101" t="s">
        <v>69</v>
      </c>
      <c r="R1101" t="s">
        <v>75</v>
      </c>
      <c r="S1101">
        <v>66</v>
      </c>
      <c r="T1101" t="str">
        <f t="shared" si="260"/>
        <v>51-75</v>
      </c>
      <c r="U1101">
        <v>3</v>
      </c>
      <c r="V1101" t="s">
        <v>63</v>
      </c>
      <c r="W1101">
        <v>3</v>
      </c>
      <c r="X1101" t="s">
        <v>88</v>
      </c>
      <c r="Y1101">
        <v>2</v>
      </c>
      <c r="Z1101" t="s">
        <v>61</v>
      </c>
      <c r="AA1101" t="s">
        <v>86</v>
      </c>
      <c r="AB1101" s="4">
        <v>7441</v>
      </c>
      <c r="AC1101" s="4" t="str">
        <f t="shared" si="261"/>
        <v>$7,000-$8,500</v>
      </c>
      <c r="AD1101">
        <v>20933</v>
      </c>
      <c r="AE1101" t="str">
        <f t="shared" si="262"/>
        <v>$16,001-$22,000</v>
      </c>
      <c r="AF1101">
        <v>1</v>
      </c>
      <c r="AG1101" t="str">
        <f t="shared" si="263"/>
        <v>0-1</v>
      </c>
      <c r="AH1101" t="s">
        <v>67</v>
      </c>
      <c r="AI1101" t="s">
        <v>71</v>
      </c>
      <c r="AJ1101">
        <v>12</v>
      </c>
      <c r="AK1101" t="str">
        <f t="shared" si="264"/>
        <v>11-12%</v>
      </c>
      <c r="AL1101">
        <v>3</v>
      </c>
      <c r="AM1101" t="s">
        <v>68</v>
      </c>
      <c r="AN1101">
        <v>1</v>
      </c>
      <c r="AO1101" t="s">
        <v>69</v>
      </c>
      <c r="AP1101">
        <v>80</v>
      </c>
      <c r="AQ1101">
        <v>3</v>
      </c>
      <c r="AR1101">
        <v>10</v>
      </c>
      <c r="AS1101" t="str">
        <f t="shared" si="265"/>
        <v>6-10</v>
      </c>
      <c r="AT1101">
        <v>4</v>
      </c>
      <c r="AU1101" t="str">
        <f t="shared" si="266"/>
        <v>3-4</v>
      </c>
      <c r="AV1101">
        <v>3</v>
      </c>
      <c r="AW1101" t="s">
        <v>79</v>
      </c>
      <c r="AX1101">
        <v>10</v>
      </c>
      <c r="AY1101" t="str">
        <f t="shared" si="255"/>
        <v>6-10</v>
      </c>
      <c r="AZ1101">
        <v>8</v>
      </c>
      <c r="BA1101" t="str">
        <f t="shared" si="267"/>
        <v>6-10</v>
      </c>
      <c r="BB1101">
        <v>7</v>
      </c>
      <c r="BC1101" t="str">
        <f t="shared" si="268"/>
        <v>6-10</v>
      </c>
      <c r="BD1101">
        <v>7</v>
      </c>
      <c r="BE1101" t="str">
        <f t="shared" si="269"/>
        <v>6-10</v>
      </c>
    </row>
    <row r="1102" spans="1:57" x14ac:dyDescent="0.3">
      <c r="A1102">
        <v>1554</v>
      </c>
      <c r="B1102">
        <v>35</v>
      </c>
      <c r="C1102" t="str">
        <f t="shared" si="256"/>
        <v>26-35</v>
      </c>
      <c r="D1102" t="s">
        <v>71</v>
      </c>
      <c r="E1102">
        <f t="shared" si="257"/>
        <v>0</v>
      </c>
      <c r="F1102" t="s">
        <v>57</v>
      </c>
      <c r="G1102">
        <v>1402</v>
      </c>
      <c r="H1102" t="str">
        <f t="shared" si="258"/>
        <v>1001-1499</v>
      </c>
      <c r="I1102" t="s">
        <v>58</v>
      </c>
      <c r="J1102">
        <v>28</v>
      </c>
      <c r="K1102" t="str">
        <f t="shared" si="259"/>
        <v>21-29</v>
      </c>
      <c r="L1102">
        <v>4</v>
      </c>
      <c r="M1102" t="s">
        <v>82</v>
      </c>
      <c r="N1102" t="s">
        <v>60</v>
      </c>
      <c r="O1102">
        <v>1</v>
      </c>
      <c r="P1102">
        <v>2</v>
      </c>
      <c r="Q1102" t="s">
        <v>61</v>
      </c>
      <c r="R1102" t="s">
        <v>62</v>
      </c>
      <c r="S1102">
        <v>98</v>
      </c>
      <c r="T1102" t="str">
        <f t="shared" si="260"/>
        <v>76-100</v>
      </c>
      <c r="U1102">
        <v>2</v>
      </c>
      <c r="V1102" t="s">
        <v>61</v>
      </c>
      <c r="W1102">
        <v>1</v>
      </c>
      <c r="X1102" t="s">
        <v>91</v>
      </c>
      <c r="Y1102">
        <v>3</v>
      </c>
      <c r="Z1102" t="s">
        <v>63</v>
      </c>
      <c r="AA1102" t="s">
        <v>77</v>
      </c>
      <c r="AB1102" s="4">
        <v>2430</v>
      </c>
      <c r="AC1102" s="4" t="str">
        <f t="shared" si="261"/>
        <v>$1,000-$2,500</v>
      </c>
      <c r="AD1102">
        <v>26204</v>
      </c>
      <c r="AE1102" t="str">
        <f t="shared" si="262"/>
        <v>$22,001-$26,999</v>
      </c>
      <c r="AF1102">
        <v>0</v>
      </c>
      <c r="AG1102" t="str">
        <f t="shared" si="263"/>
        <v>0-1</v>
      </c>
      <c r="AH1102" t="s">
        <v>67</v>
      </c>
      <c r="AI1102" t="s">
        <v>71</v>
      </c>
      <c r="AJ1102">
        <v>23</v>
      </c>
      <c r="AK1102" t="str">
        <f t="shared" si="264"/>
        <v>18-19%</v>
      </c>
      <c r="AL1102">
        <v>4</v>
      </c>
      <c r="AM1102" t="s">
        <v>78</v>
      </c>
      <c r="AN1102">
        <v>1</v>
      </c>
      <c r="AO1102" t="s">
        <v>69</v>
      </c>
      <c r="AP1102">
        <v>80</v>
      </c>
      <c r="AQ1102">
        <v>2</v>
      </c>
      <c r="AR1102">
        <v>6</v>
      </c>
      <c r="AS1102" t="str">
        <f t="shared" si="265"/>
        <v>6-10</v>
      </c>
      <c r="AT1102">
        <v>5</v>
      </c>
      <c r="AU1102" t="str">
        <f t="shared" si="266"/>
        <v>5-6</v>
      </c>
      <c r="AV1102">
        <v>3</v>
      </c>
      <c r="AW1102" t="s">
        <v>79</v>
      </c>
      <c r="AX1102">
        <v>5</v>
      </c>
      <c r="AY1102" t="str">
        <f t="shared" si="255"/>
        <v>2-5</v>
      </c>
      <c r="AZ1102">
        <v>3</v>
      </c>
      <c r="BA1102" t="str">
        <f t="shared" si="267"/>
        <v>2-5</v>
      </c>
      <c r="BB1102">
        <v>4</v>
      </c>
      <c r="BC1102" t="str">
        <f t="shared" si="268"/>
        <v>2-5</v>
      </c>
      <c r="BD1102">
        <v>2</v>
      </c>
      <c r="BE1102" t="str">
        <f t="shared" si="269"/>
        <v>2-5</v>
      </c>
    </row>
    <row r="1103" spans="1:57" x14ac:dyDescent="0.3">
      <c r="A1103">
        <v>1555</v>
      </c>
      <c r="B1103">
        <v>32</v>
      </c>
      <c r="C1103" t="str">
        <f t="shared" si="256"/>
        <v>26-35</v>
      </c>
      <c r="D1103" t="s">
        <v>71</v>
      </c>
      <c r="E1103">
        <f t="shared" si="257"/>
        <v>0</v>
      </c>
      <c r="F1103" t="s">
        <v>57</v>
      </c>
      <c r="G1103">
        <v>824</v>
      </c>
      <c r="H1103" t="str">
        <f t="shared" si="258"/>
        <v>501-1000</v>
      </c>
      <c r="I1103" t="s">
        <v>73</v>
      </c>
      <c r="J1103">
        <v>5</v>
      </c>
      <c r="K1103" t="str">
        <f t="shared" si="259"/>
        <v>1-5</v>
      </c>
      <c r="L1103">
        <v>2</v>
      </c>
      <c r="M1103" t="s">
        <v>59</v>
      </c>
      <c r="N1103" t="s">
        <v>60</v>
      </c>
      <c r="O1103">
        <v>1</v>
      </c>
      <c r="P1103">
        <v>4</v>
      </c>
      <c r="Q1103" t="s">
        <v>65</v>
      </c>
      <c r="R1103" t="s">
        <v>62</v>
      </c>
      <c r="S1103">
        <v>67</v>
      </c>
      <c r="T1103" t="str">
        <f t="shared" si="260"/>
        <v>51-75</v>
      </c>
      <c r="U1103">
        <v>2</v>
      </c>
      <c r="V1103" t="s">
        <v>61</v>
      </c>
      <c r="W1103">
        <v>2</v>
      </c>
      <c r="X1103" t="s">
        <v>76</v>
      </c>
      <c r="Y1103">
        <v>2</v>
      </c>
      <c r="Z1103" t="s">
        <v>61</v>
      </c>
      <c r="AA1103" t="s">
        <v>77</v>
      </c>
      <c r="AB1103" s="4">
        <v>5878</v>
      </c>
      <c r="AC1103" s="4" t="str">
        <f t="shared" si="261"/>
        <v>$5,500-$7,000</v>
      </c>
      <c r="AD1103">
        <v>15624</v>
      </c>
      <c r="AE1103" t="str">
        <f t="shared" si="262"/>
        <v>$8,001-$16,000</v>
      </c>
      <c r="AF1103">
        <v>3</v>
      </c>
      <c r="AG1103" t="str">
        <f t="shared" si="263"/>
        <v>2-3</v>
      </c>
      <c r="AH1103" t="s">
        <v>67</v>
      </c>
      <c r="AI1103" t="s">
        <v>71</v>
      </c>
      <c r="AJ1103">
        <v>12</v>
      </c>
      <c r="AK1103" t="str">
        <f t="shared" si="264"/>
        <v>11-12%</v>
      </c>
      <c r="AL1103">
        <v>3</v>
      </c>
      <c r="AM1103" t="s">
        <v>68</v>
      </c>
      <c r="AN1103">
        <v>1</v>
      </c>
      <c r="AO1103" t="s">
        <v>69</v>
      </c>
      <c r="AP1103">
        <v>80</v>
      </c>
      <c r="AQ1103">
        <v>1</v>
      </c>
      <c r="AR1103">
        <v>12</v>
      </c>
      <c r="AS1103" t="str">
        <f t="shared" si="265"/>
        <v>11-20</v>
      </c>
      <c r="AT1103">
        <v>2</v>
      </c>
      <c r="AU1103" t="str">
        <f t="shared" si="266"/>
        <v>0-2</v>
      </c>
      <c r="AV1103">
        <v>3</v>
      </c>
      <c r="AW1103" t="s">
        <v>79</v>
      </c>
      <c r="AX1103">
        <v>7</v>
      </c>
      <c r="AY1103" t="str">
        <f t="shared" si="255"/>
        <v>6-10</v>
      </c>
      <c r="AZ1103">
        <v>1</v>
      </c>
      <c r="BA1103" t="str">
        <f t="shared" si="267"/>
        <v>0-1</v>
      </c>
      <c r="BB1103">
        <v>2</v>
      </c>
      <c r="BC1103" t="str">
        <f t="shared" si="268"/>
        <v>2-5</v>
      </c>
      <c r="BD1103">
        <v>5</v>
      </c>
      <c r="BE1103" t="str">
        <f t="shared" si="269"/>
        <v>2-5</v>
      </c>
    </row>
    <row r="1104" spans="1:57" x14ac:dyDescent="0.3">
      <c r="A1104">
        <v>1556</v>
      </c>
      <c r="B1104">
        <v>36</v>
      </c>
      <c r="C1104" t="str">
        <f t="shared" si="256"/>
        <v>36-45</v>
      </c>
      <c r="D1104" t="s">
        <v>71</v>
      </c>
      <c r="E1104">
        <f t="shared" si="257"/>
        <v>0</v>
      </c>
      <c r="F1104" t="s">
        <v>57</v>
      </c>
      <c r="G1104">
        <v>1157</v>
      </c>
      <c r="H1104" t="str">
        <f t="shared" si="258"/>
        <v>1001-1499</v>
      </c>
      <c r="I1104" t="s">
        <v>58</v>
      </c>
      <c r="J1104">
        <v>2</v>
      </c>
      <c r="K1104" t="str">
        <f t="shared" si="259"/>
        <v>1-5</v>
      </c>
      <c r="L1104">
        <v>4</v>
      </c>
      <c r="M1104" t="s">
        <v>82</v>
      </c>
      <c r="N1104" t="s">
        <v>60</v>
      </c>
      <c r="O1104">
        <v>1</v>
      </c>
      <c r="P1104">
        <v>3</v>
      </c>
      <c r="Q1104" t="s">
        <v>63</v>
      </c>
      <c r="R1104" t="s">
        <v>75</v>
      </c>
      <c r="S1104">
        <v>70</v>
      </c>
      <c r="T1104" t="str">
        <f t="shared" si="260"/>
        <v>51-75</v>
      </c>
      <c r="U1104">
        <v>3</v>
      </c>
      <c r="V1104" t="s">
        <v>63</v>
      </c>
      <c r="W1104">
        <v>1</v>
      </c>
      <c r="X1104" t="s">
        <v>91</v>
      </c>
      <c r="Y1104">
        <v>4</v>
      </c>
      <c r="Z1104" t="s">
        <v>65</v>
      </c>
      <c r="AA1104" t="s">
        <v>66</v>
      </c>
      <c r="AB1104" s="4">
        <v>2644</v>
      </c>
      <c r="AC1104" s="4" t="str">
        <f t="shared" si="261"/>
        <v>$2,500-$4,000</v>
      </c>
      <c r="AD1104">
        <v>17001</v>
      </c>
      <c r="AE1104" t="str">
        <f t="shared" si="262"/>
        <v>$16,001-$22,000</v>
      </c>
      <c r="AF1104">
        <v>3</v>
      </c>
      <c r="AG1104" t="str">
        <f t="shared" si="263"/>
        <v>2-3</v>
      </c>
      <c r="AH1104" t="s">
        <v>67</v>
      </c>
      <c r="AI1104" t="s">
        <v>56</v>
      </c>
      <c r="AJ1104">
        <v>21</v>
      </c>
      <c r="AK1104" t="str">
        <f t="shared" si="264"/>
        <v>18-19%</v>
      </c>
      <c r="AL1104">
        <v>4</v>
      </c>
      <c r="AM1104" t="s">
        <v>78</v>
      </c>
      <c r="AN1104">
        <v>4</v>
      </c>
      <c r="AO1104" t="s">
        <v>65</v>
      </c>
      <c r="AP1104">
        <v>80</v>
      </c>
      <c r="AQ1104">
        <v>0</v>
      </c>
      <c r="AR1104">
        <v>7</v>
      </c>
      <c r="AS1104" t="str">
        <f t="shared" si="265"/>
        <v>6-10</v>
      </c>
      <c r="AT1104">
        <v>3</v>
      </c>
      <c r="AU1104" t="str">
        <f t="shared" si="266"/>
        <v>3-4</v>
      </c>
      <c r="AV1104">
        <v>2</v>
      </c>
      <c r="AW1104" t="s">
        <v>84</v>
      </c>
      <c r="AX1104">
        <v>3</v>
      </c>
      <c r="AY1104" t="str">
        <f t="shared" si="255"/>
        <v>2-5</v>
      </c>
      <c r="AZ1104">
        <v>2</v>
      </c>
      <c r="BA1104" t="str">
        <f t="shared" si="267"/>
        <v>2-5</v>
      </c>
      <c r="BB1104">
        <v>1</v>
      </c>
      <c r="BC1104" t="str">
        <f t="shared" si="268"/>
        <v>0-1</v>
      </c>
      <c r="BD1104">
        <v>2</v>
      </c>
      <c r="BE1104" t="str">
        <f t="shared" si="269"/>
        <v>2-5</v>
      </c>
    </row>
    <row r="1105" spans="1:57" x14ac:dyDescent="0.3">
      <c r="A1105">
        <v>1557</v>
      </c>
      <c r="B1105">
        <v>48</v>
      </c>
      <c r="C1105" t="str">
        <f t="shared" si="256"/>
        <v>46-55</v>
      </c>
      <c r="D1105" t="s">
        <v>71</v>
      </c>
      <c r="E1105">
        <f t="shared" si="257"/>
        <v>0</v>
      </c>
      <c r="F1105" t="s">
        <v>57</v>
      </c>
      <c r="G1105">
        <v>492</v>
      </c>
      <c r="H1105" t="str">
        <f t="shared" si="258"/>
        <v>102-500</v>
      </c>
      <c r="I1105" t="s">
        <v>58</v>
      </c>
      <c r="J1105">
        <v>16</v>
      </c>
      <c r="K1105" t="str">
        <f t="shared" si="259"/>
        <v>11-20</v>
      </c>
      <c r="L1105">
        <v>4</v>
      </c>
      <c r="M1105" t="s">
        <v>82</v>
      </c>
      <c r="N1105" t="s">
        <v>60</v>
      </c>
      <c r="O1105">
        <v>1</v>
      </c>
      <c r="P1105">
        <v>3</v>
      </c>
      <c r="Q1105" t="s">
        <v>63</v>
      </c>
      <c r="R1105" t="s">
        <v>62</v>
      </c>
      <c r="S1105">
        <v>96</v>
      </c>
      <c r="T1105" t="str">
        <f t="shared" si="260"/>
        <v>76-100</v>
      </c>
      <c r="U1105">
        <v>3</v>
      </c>
      <c r="V1105" t="s">
        <v>63</v>
      </c>
      <c r="W1105">
        <v>2</v>
      </c>
      <c r="X1105" t="s">
        <v>64</v>
      </c>
      <c r="Y1105">
        <v>3</v>
      </c>
      <c r="Z1105" t="s">
        <v>63</v>
      </c>
      <c r="AA1105" t="s">
        <v>86</v>
      </c>
      <c r="AB1105" s="4">
        <v>6439</v>
      </c>
      <c r="AC1105" s="4" t="str">
        <f t="shared" si="261"/>
        <v>$5,500-$7,000</v>
      </c>
      <c r="AD1105">
        <v>13693</v>
      </c>
      <c r="AE1105" t="str">
        <f t="shared" si="262"/>
        <v>$8,001-$16,000</v>
      </c>
      <c r="AF1105">
        <v>8</v>
      </c>
      <c r="AG1105" t="str">
        <f t="shared" si="263"/>
        <v>7-9</v>
      </c>
      <c r="AH1105" t="s">
        <v>67</v>
      </c>
      <c r="AI1105" t="s">
        <v>71</v>
      </c>
      <c r="AJ1105">
        <v>14</v>
      </c>
      <c r="AK1105" t="str">
        <f t="shared" si="264"/>
        <v>13-15%</v>
      </c>
      <c r="AL1105">
        <v>3</v>
      </c>
      <c r="AM1105" t="s">
        <v>68</v>
      </c>
      <c r="AN1105">
        <v>3</v>
      </c>
      <c r="AO1105" t="s">
        <v>63</v>
      </c>
      <c r="AP1105">
        <v>80</v>
      </c>
      <c r="AQ1105">
        <v>1</v>
      </c>
      <c r="AR1105">
        <v>18</v>
      </c>
      <c r="AS1105" t="str">
        <f t="shared" si="265"/>
        <v>11-20</v>
      </c>
      <c r="AT1105">
        <v>2</v>
      </c>
      <c r="AU1105" t="str">
        <f t="shared" si="266"/>
        <v>0-2</v>
      </c>
      <c r="AV1105">
        <v>3</v>
      </c>
      <c r="AW1105" t="s">
        <v>79</v>
      </c>
      <c r="AX1105">
        <v>8</v>
      </c>
      <c r="AY1105" t="str">
        <f t="shared" si="255"/>
        <v>6-10</v>
      </c>
      <c r="AZ1105">
        <v>7</v>
      </c>
      <c r="BA1105" t="str">
        <f t="shared" si="267"/>
        <v>6-10</v>
      </c>
      <c r="BB1105">
        <v>7</v>
      </c>
      <c r="BC1105" t="str">
        <f t="shared" si="268"/>
        <v>6-10</v>
      </c>
      <c r="BD1105">
        <v>7</v>
      </c>
      <c r="BE1105" t="str">
        <f t="shared" si="269"/>
        <v>6-10</v>
      </c>
    </row>
    <row r="1106" spans="1:57" x14ac:dyDescent="0.3">
      <c r="A1106">
        <v>1558</v>
      </c>
      <c r="B1106">
        <v>29</v>
      </c>
      <c r="C1106" t="str">
        <f t="shared" si="256"/>
        <v>26-35</v>
      </c>
      <c r="D1106" t="s">
        <v>71</v>
      </c>
      <c r="E1106">
        <f t="shared" si="257"/>
        <v>0</v>
      </c>
      <c r="F1106" t="s">
        <v>57</v>
      </c>
      <c r="G1106">
        <v>598</v>
      </c>
      <c r="H1106" t="str">
        <f t="shared" si="258"/>
        <v>501-1000</v>
      </c>
      <c r="I1106" t="s">
        <v>73</v>
      </c>
      <c r="J1106">
        <v>9</v>
      </c>
      <c r="K1106" t="str">
        <f t="shared" si="259"/>
        <v>6-10</v>
      </c>
      <c r="L1106">
        <v>3</v>
      </c>
      <c r="M1106" t="s">
        <v>85</v>
      </c>
      <c r="N1106" t="s">
        <v>60</v>
      </c>
      <c r="O1106">
        <v>1</v>
      </c>
      <c r="P1106">
        <v>3</v>
      </c>
      <c r="Q1106" t="s">
        <v>63</v>
      </c>
      <c r="R1106" t="s">
        <v>75</v>
      </c>
      <c r="S1106">
        <v>91</v>
      </c>
      <c r="T1106" t="str">
        <f t="shared" si="260"/>
        <v>76-100</v>
      </c>
      <c r="U1106">
        <v>4</v>
      </c>
      <c r="V1106" t="s">
        <v>65</v>
      </c>
      <c r="W1106">
        <v>1</v>
      </c>
      <c r="X1106" t="s">
        <v>76</v>
      </c>
      <c r="Y1106">
        <v>3</v>
      </c>
      <c r="Z1106" t="s">
        <v>63</v>
      </c>
      <c r="AA1106" t="s">
        <v>77</v>
      </c>
      <c r="AB1106" s="4">
        <v>2451</v>
      </c>
      <c r="AC1106" s="4" t="str">
        <f t="shared" si="261"/>
        <v>$1,000-$2,500</v>
      </c>
      <c r="AD1106">
        <v>22376</v>
      </c>
      <c r="AE1106" t="str">
        <f t="shared" si="262"/>
        <v>$22,001-$26,999</v>
      </c>
      <c r="AF1106">
        <v>6</v>
      </c>
      <c r="AG1106" t="str">
        <f t="shared" si="263"/>
        <v>4-6</v>
      </c>
      <c r="AH1106" t="s">
        <v>67</v>
      </c>
      <c r="AI1106" t="s">
        <v>71</v>
      </c>
      <c r="AJ1106">
        <v>18</v>
      </c>
      <c r="AK1106" t="str">
        <f t="shared" si="264"/>
        <v>18-19%</v>
      </c>
      <c r="AL1106">
        <v>3</v>
      </c>
      <c r="AM1106" t="s">
        <v>68</v>
      </c>
      <c r="AN1106">
        <v>1</v>
      </c>
      <c r="AO1106" t="s">
        <v>69</v>
      </c>
      <c r="AP1106">
        <v>80</v>
      </c>
      <c r="AQ1106">
        <v>2</v>
      </c>
      <c r="AR1106">
        <v>5</v>
      </c>
      <c r="AS1106" t="str">
        <f t="shared" si="265"/>
        <v>3-5</v>
      </c>
      <c r="AT1106">
        <v>2</v>
      </c>
      <c r="AU1106" t="str">
        <f t="shared" si="266"/>
        <v>0-2</v>
      </c>
      <c r="AV1106">
        <v>2</v>
      </c>
      <c r="AW1106" t="s">
        <v>84</v>
      </c>
      <c r="AX1106">
        <v>1</v>
      </c>
      <c r="AY1106" t="str">
        <f t="shared" si="255"/>
        <v>0-1</v>
      </c>
      <c r="AZ1106">
        <v>0</v>
      </c>
      <c r="BA1106" t="str">
        <f t="shared" si="267"/>
        <v>0-1</v>
      </c>
      <c r="BB1106">
        <v>0</v>
      </c>
      <c r="BC1106" t="str">
        <f t="shared" si="268"/>
        <v>0-1</v>
      </c>
      <c r="BD1106">
        <v>0</v>
      </c>
      <c r="BE1106" t="str">
        <f t="shared" si="269"/>
        <v>0-1</v>
      </c>
    </row>
    <row r="1107" spans="1:57" x14ac:dyDescent="0.3">
      <c r="A1107">
        <v>1560</v>
      </c>
      <c r="B1107">
        <v>33</v>
      </c>
      <c r="C1107" t="str">
        <f t="shared" si="256"/>
        <v>26-35</v>
      </c>
      <c r="D1107" t="s">
        <v>71</v>
      </c>
      <c r="E1107">
        <f t="shared" si="257"/>
        <v>0</v>
      </c>
      <c r="F1107" t="s">
        <v>57</v>
      </c>
      <c r="G1107">
        <v>1242</v>
      </c>
      <c r="H1107" t="str">
        <f t="shared" si="258"/>
        <v>1001-1499</v>
      </c>
      <c r="I1107" t="s">
        <v>58</v>
      </c>
      <c r="J1107">
        <v>8</v>
      </c>
      <c r="K1107" t="str">
        <f t="shared" si="259"/>
        <v>6-10</v>
      </c>
      <c r="L1107">
        <v>4</v>
      </c>
      <c r="M1107" t="s">
        <v>82</v>
      </c>
      <c r="N1107" t="s">
        <v>60</v>
      </c>
      <c r="O1107">
        <v>1</v>
      </c>
      <c r="P1107">
        <v>1</v>
      </c>
      <c r="Q1107" t="s">
        <v>69</v>
      </c>
      <c r="R1107" t="s">
        <v>75</v>
      </c>
      <c r="S1107">
        <v>46</v>
      </c>
      <c r="T1107" t="str">
        <f t="shared" si="260"/>
        <v>30-50</v>
      </c>
      <c r="U1107">
        <v>3</v>
      </c>
      <c r="V1107" t="s">
        <v>63</v>
      </c>
      <c r="W1107">
        <v>2</v>
      </c>
      <c r="X1107" t="s">
        <v>64</v>
      </c>
      <c r="Y1107">
        <v>1</v>
      </c>
      <c r="Z1107" t="s">
        <v>69</v>
      </c>
      <c r="AA1107" t="s">
        <v>77</v>
      </c>
      <c r="AB1107" s="4">
        <v>6392</v>
      </c>
      <c r="AC1107" s="4" t="str">
        <f t="shared" si="261"/>
        <v>$5,500-$7,000</v>
      </c>
      <c r="AD1107">
        <v>10589</v>
      </c>
      <c r="AE1107" t="str">
        <f t="shared" si="262"/>
        <v>$8,001-$16,000</v>
      </c>
      <c r="AF1107">
        <v>2</v>
      </c>
      <c r="AG1107" t="str">
        <f t="shared" si="263"/>
        <v>2-3</v>
      </c>
      <c r="AH1107" t="s">
        <v>67</v>
      </c>
      <c r="AI1107" t="s">
        <v>71</v>
      </c>
      <c r="AJ1107">
        <v>13</v>
      </c>
      <c r="AK1107" t="str">
        <f t="shared" si="264"/>
        <v>13-15%</v>
      </c>
      <c r="AL1107">
        <v>3</v>
      </c>
      <c r="AM1107" t="s">
        <v>68</v>
      </c>
      <c r="AN1107">
        <v>4</v>
      </c>
      <c r="AO1107" t="s">
        <v>65</v>
      </c>
      <c r="AP1107">
        <v>80</v>
      </c>
      <c r="AQ1107">
        <v>1</v>
      </c>
      <c r="AR1107">
        <v>8</v>
      </c>
      <c r="AS1107" t="str">
        <f t="shared" si="265"/>
        <v>6-10</v>
      </c>
      <c r="AT1107">
        <v>6</v>
      </c>
      <c r="AU1107" t="str">
        <f t="shared" si="266"/>
        <v>5-6</v>
      </c>
      <c r="AV1107">
        <v>1</v>
      </c>
      <c r="AW1107" t="s">
        <v>70</v>
      </c>
      <c r="AX1107">
        <v>2</v>
      </c>
      <c r="AY1107" t="str">
        <f t="shared" si="255"/>
        <v>2-5</v>
      </c>
      <c r="AZ1107">
        <v>2</v>
      </c>
      <c r="BA1107" t="str">
        <f t="shared" si="267"/>
        <v>2-5</v>
      </c>
      <c r="BB1107">
        <v>2</v>
      </c>
      <c r="BC1107" t="str">
        <f t="shared" si="268"/>
        <v>2-5</v>
      </c>
      <c r="BD1107">
        <v>2</v>
      </c>
      <c r="BE1107" t="str">
        <f t="shared" si="269"/>
        <v>2-5</v>
      </c>
    </row>
    <row r="1108" spans="1:57" x14ac:dyDescent="0.3">
      <c r="A1108">
        <v>1562</v>
      </c>
      <c r="B1108">
        <v>30</v>
      </c>
      <c r="C1108" t="str">
        <f t="shared" si="256"/>
        <v>26-35</v>
      </c>
      <c r="D1108" t="s">
        <v>56</v>
      </c>
      <c r="E1108">
        <f t="shared" si="257"/>
        <v>1</v>
      </c>
      <c r="F1108" t="s">
        <v>57</v>
      </c>
      <c r="G1108">
        <v>740</v>
      </c>
      <c r="H1108" t="str">
        <f t="shared" si="258"/>
        <v>501-1000</v>
      </c>
      <c r="I1108" t="s">
        <v>58</v>
      </c>
      <c r="J1108">
        <v>1</v>
      </c>
      <c r="K1108" t="str">
        <f t="shared" si="259"/>
        <v>1-5</v>
      </c>
      <c r="L1108">
        <v>3</v>
      </c>
      <c r="M1108" t="s">
        <v>85</v>
      </c>
      <c r="N1108" t="s">
        <v>60</v>
      </c>
      <c r="O1108">
        <v>1</v>
      </c>
      <c r="P1108">
        <v>2</v>
      </c>
      <c r="Q1108" t="s">
        <v>61</v>
      </c>
      <c r="R1108" t="s">
        <v>75</v>
      </c>
      <c r="S1108">
        <v>64</v>
      </c>
      <c r="T1108" t="str">
        <f t="shared" si="260"/>
        <v>51-75</v>
      </c>
      <c r="U1108">
        <v>2</v>
      </c>
      <c r="V1108" t="s">
        <v>61</v>
      </c>
      <c r="W1108">
        <v>2</v>
      </c>
      <c r="X1108" t="s">
        <v>64</v>
      </c>
      <c r="Y1108">
        <v>1</v>
      </c>
      <c r="Z1108" t="s">
        <v>69</v>
      </c>
      <c r="AA1108" t="s">
        <v>77</v>
      </c>
      <c r="AB1108" s="4">
        <v>9714</v>
      </c>
      <c r="AC1108" s="4" t="str">
        <f t="shared" si="261"/>
        <v>$8,500-$10,000</v>
      </c>
      <c r="AD1108">
        <v>5323</v>
      </c>
      <c r="AE1108" t="str">
        <f t="shared" si="262"/>
        <v>$2,094-$8,000</v>
      </c>
      <c r="AF1108">
        <v>1</v>
      </c>
      <c r="AG1108" t="str">
        <f t="shared" si="263"/>
        <v>0-1</v>
      </c>
      <c r="AH1108" t="s">
        <v>67</v>
      </c>
      <c r="AI1108" t="s">
        <v>71</v>
      </c>
      <c r="AJ1108">
        <v>11</v>
      </c>
      <c r="AK1108" t="str">
        <f t="shared" si="264"/>
        <v>11-12%</v>
      </c>
      <c r="AL1108">
        <v>3</v>
      </c>
      <c r="AM1108" t="s">
        <v>68</v>
      </c>
      <c r="AN1108">
        <v>4</v>
      </c>
      <c r="AO1108" t="s">
        <v>65</v>
      </c>
      <c r="AP1108">
        <v>80</v>
      </c>
      <c r="AQ1108">
        <v>1</v>
      </c>
      <c r="AR1108">
        <v>10</v>
      </c>
      <c r="AS1108" t="str">
        <f t="shared" si="265"/>
        <v>6-10</v>
      </c>
      <c r="AT1108">
        <v>4</v>
      </c>
      <c r="AU1108" t="str">
        <f t="shared" si="266"/>
        <v>3-4</v>
      </c>
      <c r="AV1108">
        <v>3</v>
      </c>
      <c r="AW1108" t="s">
        <v>79</v>
      </c>
      <c r="AX1108">
        <v>10</v>
      </c>
      <c r="AY1108" t="str">
        <f t="shared" si="255"/>
        <v>6-10</v>
      </c>
      <c r="AZ1108">
        <v>8</v>
      </c>
      <c r="BA1108" t="str">
        <f t="shared" si="267"/>
        <v>6-10</v>
      </c>
      <c r="BB1108">
        <v>6</v>
      </c>
      <c r="BC1108" t="str">
        <f t="shared" si="268"/>
        <v>6-10</v>
      </c>
      <c r="BD1108">
        <v>7</v>
      </c>
      <c r="BE1108" t="str">
        <f t="shared" si="269"/>
        <v>6-10</v>
      </c>
    </row>
    <row r="1109" spans="1:57" x14ac:dyDescent="0.3">
      <c r="A1109">
        <v>1563</v>
      </c>
      <c r="B1109">
        <v>38</v>
      </c>
      <c r="C1109" t="str">
        <f t="shared" si="256"/>
        <v>36-45</v>
      </c>
      <c r="D1109" t="s">
        <v>71</v>
      </c>
      <c r="E1109">
        <f t="shared" si="257"/>
        <v>0</v>
      </c>
      <c r="F1109" t="s">
        <v>72</v>
      </c>
      <c r="G1109">
        <v>888</v>
      </c>
      <c r="H1109" t="str">
        <f t="shared" si="258"/>
        <v>501-1000</v>
      </c>
      <c r="I1109" t="s">
        <v>97</v>
      </c>
      <c r="J1109">
        <v>10</v>
      </c>
      <c r="K1109" t="str">
        <f t="shared" si="259"/>
        <v>6-10</v>
      </c>
      <c r="L1109">
        <v>4</v>
      </c>
      <c r="M1109" t="s">
        <v>82</v>
      </c>
      <c r="N1109" t="s">
        <v>97</v>
      </c>
      <c r="O1109">
        <v>1</v>
      </c>
      <c r="P1109">
        <v>3</v>
      </c>
      <c r="Q1109" t="s">
        <v>63</v>
      </c>
      <c r="R1109" t="s">
        <v>75</v>
      </c>
      <c r="S1109">
        <v>71</v>
      </c>
      <c r="T1109" t="str">
        <f t="shared" si="260"/>
        <v>51-75</v>
      </c>
      <c r="U1109">
        <v>3</v>
      </c>
      <c r="V1109" t="s">
        <v>63</v>
      </c>
      <c r="W1109">
        <v>2</v>
      </c>
      <c r="X1109" t="s">
        <v>97</v>
      </c>
      <c r="Y1109">
        <v>3</v>
      </c>
      <c r="Z1109" t="s">
        <v>63</v>
      </c>
      <c r="AA1109" t="s">
        <v>77</v>
      </c>
      <c r="AB1109" s="4">
        <v>6077</v>
      </c>
      <c r="AC1109" s="4" t="str">
        <f t="shared" si="261"/>
        <v>$5,500-$7,000</v>
      </c>
      <c r="AD1109">
        <v>14814</v>
      </c>
      <c r="AE1109" t="str">
        <f t="shared" si="262"/>
        <v>$8,001-$16,000</v>
      </c>
      <c r="AF1109">
        <v>3</v>
      </c>
      <c r="AG1109" t="str">
        <f t="shared" si="263"/>
        <v>2-3</v>
      </c>
      <c r="AH1109" t="s">
        <v>67</v>
      </c>
      <c r="AI1109" t="s">
        <v>71</v>
      </c>
      <c r="AJ1109">
        <v>11</v>
      </c>
      <c r="AK1109" t="str">
        <f t="shared" si="264"/>
        <v>11-12%</v>
      </c>
      <c r="AL1109">
        <v>3</v>
      </c>
      <c r="AM1109" t="s">
        <v>68</v>
      </c>
      <c r="AN1109">
        <v>3</v>
      </c>
      <c r="AO1109" t="s">
        <v>63</v>
      </c>
      <c r="AP1109">
        <v>80</v>
      </c>
      <c r="AQ1109">
        <v>0</v>
      </c>
      <c r="AR1109">
        <v>10</v>
      </c>
      <c r="AS1109" t="str">
        <f t="shared" si="265"/>
        <v>6-10</v>
      </c>
      <c r="AT1109">
        <v>2</v>
      </c>
      <c r="AU1109" t="str">
        <f t="shared" si="266"/>
        <v>0-2</v>
      </c>
      <c r="AV1109">
        <v>3</v>
      </c>
      <c r="AW1109" t="s">
        <v>79</v>
      </c>
      <c r="AX1109">
        <v>6</v>
      </c>
      <c r="AY1109" t="str">
        <f t="shared" si="255"/>
        <v>6-10</v>
      </c>
      <c r="AZ1109">
        <v>3</v>
      </c>
      <c r="BA1109" t="str">
        <f t="shared" si="267"/>
        <v>2-5</v>
      </c>
      <c r="BB1109">
        <v>1</v>
      </c>
      <c r="BC1109" t="str">
        <f t="shared" si="268"/>
        <v>0-1</v>
      </c>
      <c r="BD1109">
        <v>2</v>
      </c>
      <c r="BE1109" t="str">
        <f t="shared" si="269"/>
        <v>2-5</v>
      </c>
    </row>
    <row r="1110" spans="1:57" x14ac:dyDescent="0.3">
      <c r="A1110">
        <v>1564</v>
      </c>
      <c r="B1110">
        <v>35</v>
      </c>
      <c r="C1110" t="str">
        <f t="shared" si="256"/>
        <v>26-35</v>
      </c>
      <c r="D1110" t="s">
        <v>71</v>
      </c>
      <c r="E1110">
        <f t="shared" si="257"/>
        <v>0</v>
      </c>
      <c r="F1110" t="s">
        <v>57</v>
      </c>
      <c r="G1110">
        <v>992</v>
      </c>
      <c r="H1110" t="str">
        <f t="shared" si="258"/>
        <v>501-1000</v>
      </c>
      <c r="I1110" t="s">
        <v>73</v>
      </c>
      <c r="J1110">
        <v>1</v>
      </c>
      <c r="K1110" t="str">
        <f t="shared" si="259"/>
        <v>1-5</v>
      </c>
      <c r="L1110">
        <v>3</v>
      </c>
      <c r="M1110" t="s">
        <v>85</v>
      </c>
      <c r="N1110" t="s">
        <v>83</v>
      </c>
      <c r="O1110">
        <v>1</v>
      </c>
      <c r="P1110">
        <v>4</v>
      </c>
      <c r="Q1110" t="s">
        <v>65</v>
      </c>
      <c r="R1110" t="s">
        <v>75</v>
      </c>
      <c r="S1110">
        <v>68</v>
      </c>
      <c r="T1110" t="str">
        <f t="shared" si="260"/>
        <v>51-75</v>
      </c>
      <c r="U1110">
        <v>2</v>
      </c>
      <c r="V1110" t="s">
        <v>61</v>
      </c>
      <c r="W1110">
        <v>1</v>
      </c>
      <c r="X1110" t="s">
        <v>81</v>
      </c>
      <c r="Y1110">
        <v>1</v>
      </c>
      <c r="Z1110" t="s">
        <v>69</v>
      </c>
      <c r="AA1110" t="s">
        <v>66</v>
      </c>
      <c r="AB1110" s="4">
        <v>2450</v>
      </c>
      <c r="AC1110" s="4" t="str">
        <f t="shared" si="261"/>
        <v>$1,000-$2,500</v>
      </c>
      <c r="AD1110">
        <v>21731</v>
      </c>
      <c r="AE1110" t="str">
        <f t="shared" si="262"/>
        <v>$16,001-$22,000</v>
      </c>
      <c r="AF1110">
        <v>1</v>
      </c>
      <c r="AG1110" t="str">
        <f t="shared" si="263"/>
        <v>0-1</v>
      </c>
      <c r="AH1110" t="s">
        <v>67</v>
      </c>
      <c r="AI1110" t="s">
        <v>71</v>
      </c>
      <c r="AJ1110">
        <v>19</v>
      </c>
      <c r="AK1110" t="str">
        <f t="shared" si="264"/>
        <v>18-19%</v>
      </c>
      <c r="AL1110">
        <v>3</v>
      </c>
      <c r="AM1110" t="s">
        <v>68</v>
      </c>
      <c r="AN1110">
        <v>2</v>
      </c>
      <c r="AO1110" t="s">
        <v>61</v>
      </c>
      <c r="AP1110">
        <v>80</v>
      </c>
      <c r="AQ1110">
        <v>0</v>
      </c>
      <c r="AR1110">
        <v>3</v>
      </c>
      <c r="AS1110" t="str">
        <f t="shared" si="265"/>
        <v>3-5</v>
      </c>
      <c r="AT1110">
        <v>3</v>
      </c>
      <c r="AU1110" t="str">
        <f t="shared" si="266"/>
        <v>3-4</v>
      </c>
      <c r="AV1110">
        <v>3</v>
      </c>
      <c r="AW1110" t="s">
        <v>79</v>
      </c>
      <c r="AX1110">
        <v>3</v>
      </c>
      <c r="AY1110" t="str">
        <f t="shared" si="255"/>
        <v>2-5</v>
      </c>
      <c r="AZ1110">
        <v>0</v>
      </c>
      <c r="BA1110" t="str">
        <f t="shared" si="267"/>
        <v>0-1</v>
      </c>
      <c r="BB1110">
        <v>1</v>
      </c>
      <c r="BC1110" t="str">
        <f t="shared" si="268"/>
        <v>0-1</v>
      </c>
      <c r="BD1110">
        <v>2</v>
      </c>
      <c r="BE1110" t="str">
        <f t="shared" si="269"/>
        <v>2-5</v>
      </c>
    </row>
    <row r="1111" spans="1:57" x14ac:dyDescent="0.3">
      <c r="A1111">
        <v>1568</v>
      </c>
      <c r="B1111">
        <v>30</v>
      </c>
      <c r="C1111" t="str">
        <f t="shared" si="256"/>
        <v>26-35</v>
      </c>
      <c r="D1111" t="s">
        <v>71</v>
      </c>
      <c r="E1111">
        <f t="shared" si="257"/>
        <v>0</v>
      </c>
      <c r="F1111" t="s">
        <v>57</v>
      </c>
      <c r="G1111">
        <v>1288</v>
      </c>
      <c r="H1111" t="str">
        <f t="shared" si="258"/>
        <v>1001-1499</v>
      </c>
      <c r="I1111" t="s">
        <v>58</v>
      </c>
      <c r="J1111">
        <v>29</v>
      </c>
      <c r="K1111" t="str">
        <f t="shared" si="259"/>
        <v>21-29</v>
      </c>
      <c r="L1111">
        <v>4</v>
      </c>
      <c r="M1111" t="s">
        <v>82</v>
      </c>
      <c r="N1111" t="s">
        <v>95</v>
      </c>
      <c r="O1111">
        <v>1</v>
      </c>
      <c r="P1111">
        <v>3</v>
      </c>
      <c r="Q1111" t="s">
        <v>63</v>
      </c>
      <c r="R1111" t="s">
        <v>75</v>
      </c>
      <c r="S1111">
        <v>33</v>
      </c>
      <c r="T1111" t="str">
        <f t="shared" si="260"/>
        <v>30-50</v>
      </c>
      <c r="U1111">
        <v>3</v>
      </c>
      <c r="V1111" t="s">
        <v>63</v>
      </c>
      <c r="W1111">
        <v>3</v>
      </c>
      <c r="X1111" t="s">
        <v>64</v>
      </c>
      <c r="Y1111">
        <v>2</v>
      </c>
      <c r="Z1111" t="s">
        <v>61</v>
      </c>
      <c r="AA1111" t="s">
        <v>77</v>
      </c>
      <c r="AB1111" s="4">
        <v>9250</v>
      </c>
      <c r="AC1111" s="4" t="str">
        <f t="shared" si="261"/>
        <v>$8,500-$10,000</v>
      </c>
      <c r="AD1111">
        <v>17799</v>
      </c>
      <c r="AE1111" t="str">
        <f t="shared" si="262"/>
        <v>$16,001-$22,000</v>
      </c>
      <c r="AF1111">
        <v>3</v>
      </c>
      <c r="AG1111" t="str">
        <f t="shared" si="263"/>
        <v>2-3</v>
      </c>
      <c r="AH1111" t="s">
        <v>67</v>
      </c>
      <c r="AI1111" t="s">
        <v>71</v>
      </c>
      <c r="AJ1111">
        <v>12</v>
      </c>
      <c r="AK1111" t="str">
        <f t="shared" si="264"/>
        <v>11-12%</v>
      </c>
      <c r="AL1111">
        <v>3</v>
      </c>
      <c r="AM1111" t="s">
        <v>68</v>
      </c>
      <c r="AN1111">
        <v>2</v>
      </c>
      <c r="AO1111" t="s">
        <v>61</v>
      </c>
      <c r="AP1111">
        <v>80</v>
      </c>
      <c r="AQ1111">
        <v>1</v>
      </c>
      <c r="AR1111">
        <v>9</v>
      </c>
      <c r="AS1111" t="str">
        <f t="shared" si="265"/>
        <v>6-10</v>
      </c>
      <c r="AT1111">
        <v>3</v>
      </c>
      <c r="AU1111" t="str">
        <f t="shared" si="266"/>
        <v>3-4</v>
      </c>
      <c r="AV1111">
        <v>3</v>
      </c>
      <c r="AW1111" t="s">
        <v>79</v>
      </c>
      <c r="AX1111">
        <v>4</v>
      </c>
      <c r="AY1111" t="str">
        <f t="shared" si="255"/>
        <v>2-5</v>
      </c>
      <c r="AZ1111">
        <v>2</v>
      </c>
      <c r="BA1111" t="str">
        <f t="shared" si="267"/>
        <v>2-5</v>
      </c>
      <c r="BB1111">
        <v>1</v>
      </c>
      <c r="BC1111" t="str">
        <f t="shared" si="268"/>
        <v>0-1</v>
      </c>
      <c r="BD1111">
        <v>3</v>
      </c>
      <c r="BE1111" t="str">
        <f t="shared" si="269"/>
        <v>2-5</v>
      </c>
    </row>
    <row r="1112" spans="1:57" x14ac:dyDescent="0.3">
      <c r="A1112">
        <v>1569</v>
      </c>
      <c r="B1112">
        <v>35</v>
      </c>
      <c r="C1112" t="str">
        <f t="shared" si="256"/>
        <v>26-35</v>
      </c>
      <c r="D1112" t="s">
        <v>56</v>
      </c>
      <c r="E1112">
        <f t="shared" si="257"/>
        <v>1</v>
      </c>
      <c r="F1112" t="s">
        <v>57</v>
      </c>
      <c r="G1112">
        <v>104</v>
      </c>
      <c r="H1112" t="str">
        <f t="shared" si="258"/>
        <v>102-500</v>
      </c>
      <c r="I1112" t="s">
        <v>73</v>
      </c>
      <c r="J1112">
        <v>2</v>
      </c>
      <c r="K1112" t="str">
        <f t="shared" si="259"/>
        <v>1-5</v>
      </c>
      <c r="L1112">
        <v>3</v>
      </c>
      <c r="M1112" t="s">
        <v>85</v>
      </c>
      <c r="N1112" t="s">
        <v>60</v>
      </c>
      <c r="O1112">
        <v>1</v>
      </c>
      <c r="P1112">
        <v>1</v>
      </c>
      <c r="Q1112" t="s">
        <v>69</v>
      </c>
      <c r="R1112" t="s">
        <v>62</v>
      </c>
      <c r="S1112">
        <v>69</v>
      </c>
      <c r="T1112" t="str">
        <f t="shared" si="260"/>
        <v>51-75</v>
      </c>
      <c r="U1112">
        <v>3</v>
      </c>
      <c r="V1112" t="s">
        <v>63</v>
      </c>
      <c r="W1112">
        <v>1</v>
      </c>
      <c r="X1112" t="s">
        <v>81</v>
      </c>
      <c r="Y1112">
        <v>1</v>
      </c>
      <c r="Z1112" t="s">
        <v>69</v>
      </c>
      <c r="AA1112" t="s">
        <v>86</v>
      </c>
      <c r="AB1112" s="4">
        <v>2074</v>
      </c>
      <c r="AC1112" s="4" t="str">
        <f t="shared" si="261"/>
        <v>$1,000-$2,500</v>
      </c>
      <c r="AD1112">
        <v>26619</v>
      </c>
      <c r="AE1112" t="str">
        <f t="shared" si="262"/>
        <v>$22,001-$26,999</v>
      </c>
      <c r="AF1112">
        <v>1</v>
      </c>
      <c r="AG1112" t="str">
        <f t="shared" si="263"/>
        <v>0-1</v>
      </c>
      <c r="AH1112" t="s">
        <v>67</v>
      </c>
      <c r="AI1112" t="s">
        <v>56</v>
      </c>
      <c r="AJ1112">
        <v>12</v>
      </c>
      <c r="AK1112" t="str">
        <f t="shared" si="264"/>
        <v>11-12%</v>
      </c>
      <c r="AL1112">
        <v>3</v>
      </c>
      <c r="AM1112" t="s">
        <v>68</v>
      </c>
      <c r="AN1112">
        <v>4</v>
      </c>
      <c r="AO1112" t="s">
        <v>65</v>
      </c>
      <c r="AP1112">
        <v>80</v>
      </c>
      <c r="AQ1112">
        <v>1</v>
      </c>
      <c r="AR1112">
        <v>1</v>
      </c>
      <c r="AS1112" t="str">
        <f t="shared" si="265"/>
        <v>0-2</v>
      </c>
      <c r="AT1112">
        <v>2</v>
      </c>
      <c r="AU1112" t="str">
        <f t="shared" si="266"/>
        <v>0-2</v>
      </c>
      <c r="AV1112">
        <v>3</v>
      </c>
      <c r="AW1112" t="s">
        <v>79</v>
      </c>
      <c r="AX1112">
        <v>1</v>
      </c>
      <c r="AY1112" t="str">
        <f t="shared" si="255"/>
        <v>0-1</v>
      </c>
      <c r="AZ1112">
        <v>0</v>
      </c>
      <c r="BA1112" t="str">
        <f t="shared" si="267"/>
        <v>0-1</v>
      </c>
      <c r="BB1112">
        <v>0</v>
      </c>
      <c r="BC1112" t="str">
        <f t="shared" si="268"/>
        <v>0-1</v>
      </c>
      <c r="BD1112">
        <v>0</v>
      </c>
      <c r="BE1112" t="str">
        <f t="shared" si="269"/>
        <v>0-1</v>
      </c>
    </row>
    <row r="1113" spans="1:57" x14ac:dyDescent="0.3">
      <c r="A1113">
        <v>1572</v>
      </c>
      <c r="B1113">
        <v>53</v>
      </c>
      <c r="C1113" t="str">
        <f t="shared" si="256"/>
        <v>46-55</v>
      </c>
      <c r="D1113" t="s">
        <v>56</v>
      </c>
      <c r="E1113">
        <f t="shared" si="257"/>
        <v>1</v>
      </c>
      <c r="F1113" t="s">
        <v>57</v>
      </c>
      <c r="G1113">
        <v>607</v>
      </c>
      <c r="H1113" t="str">
        <f t="shared" si="258"/>
        <v>501-1000</v>
      </c>
      <c r="I1113" t="s">
        <v>73</v>
      </c>
      <c r="J1113">
        <v>2</v>
      </c>
      <c r="K1113" t="str">
        <f t="shared" si="259"/>
        <v>1-5</v>
      </c>
      <c r="L1113">
        <v>5</v>
      </c>
      <c r="M1113" t="s">
        <v>96</v>
      </c>
      <c r="N1113" t="s">
        <v>95</v>
      </c>
      <c r="O1113">
        <v>1</v>
      </c>
      <c r="P1113">
        <v>3</v>
      </c>
      <c r="Q1113" t="s">
        <v>63</v>
      </c>
      <c r="R1113" t="s">
        <v>62</v>
      </c>
      <c r="S1113">
        <v>78</v>
      </c>
      <c r="T1113" t="str">
        <f t="shared" si="260"/>
        <v>76-100</v>
      </c>
      <c r="U1113">
        <v>2</v>
      </c>
      <c r="V1113" t="s">
        <v>61</v>
      </c>
      <c r="W1113">
        <v>3</v>
      </c>
      <c r="X1113" t="s">
        <v>87</v>
      </c>
      <c r="Y1113">
        <v>4</v>
      </c>
      <c r="Z1113" t="s">
        <v>65</v>
      </c>
      <c r="AA1113" t="s">
        <v>77</v>
      </c>
      <c r="AB1113" s="4">
        <v>10169</v>
      </c>
      <c r="AC1113" s="4" t="str">
        <f t="shared" si="261"/>
        <v>$10,000-$11,500</v>
      </c>
      <c r="AD1113">
        <v>14618</v>
      </c>
      <c r="AE1113" t="str">
        <f t="shared" si="262"/>
        <v>$8,001-$16,000</v>
      </c>
      <c r="AF1113">
        <v>0</v>
      </c>
      <c r="AG1113" t="str">
        <f t="shared" si="263"/>
        <v>0-1</v>
      </c>
      <c r="AH1113" t="s">
        <v>67</v>
      </c>
      <c r="AI1113" t="s">
        <v>71</v>
      </c>
      <c r="AJ1113">
        <v>16</v>
      </c>
      <c r="AK1113" t="str">
        <f t="shared" si="264"/>
        <v>16-17%</v>
      </c>
      <c r="AL1113">
        <v>3</v>
      </c>
      <c r="AM1113" t="s">
        <v>68</v>
      </c>
      <c r="AN1113">
        <v>2</v>
      </c>
      <c r="AO1113" t="s">
        <v>61</v>
      </c>
      <c r="AP1113">
        <v>80</v>
      </c>
      <c r="AQ1113">
        <v>1</v>
      </c>
      <c r="AR1113">
        <v>34</v>
      </c>
      <c r="AS1113" t="str">
        <f t="shared" si="265"/>
        <v>21-40</v>
      </c>
      <c r="AT1113">
        <v>4</v>
      </c>
      <c r="AU1113" t="str">
        <f t="shared" si="266"/>
        <v>3-4</v>
      </c>
      <c r="AV1113">
        <v>3</v>
      </c>
      <c r="AW1113" t="s">
        <v>79</v>
      </c>
      <c r="AX1113">
        <v>33</v>
      </c>
      <c r="AY1113" t="str">
        <f t="shared" si="255"/>
        <v>21-40</v>
      </c>
      <c r="AZ1113">
        <v>7</v>
      </c>
      <c r="BA1113" t="str">
        <f t="shared" si="267"/>
        <v>6-10</v>
      </c>
      <c r="BB1113">
        <v>1</v>
      </c>
      <c r="BC1113" t="str">
        <f t="shared" si="268"/>
        <v>0-1</v>
      </c>
      <c r="BD1113">
        <v>9</v>
      </c>
      <c r="BE1113" t="str">
        <f t="shared" si="269"/>
        <v>6-10</v>
      </c>
    </row>
    <row r="1114" spans="1:57" x14ac:dyDescent="0.3">
      <c r="A1114">
        <v>1573</v>
      </c>
      <c r="B1114">
        <v>38</v>
      </c>
      <c r="C1114" t="str">
        <f t="shared" si="256"/>
        <v>36-45</v>
      </c>
      <c r="D1114" t="s">
        <v>56</v>
      </c>
      <c r="E1114">
        <f t="shared" si="257"/>
        <v>1</v>
      </c>
      <c r="F1114" t="s">
        <v>57</v>
      </c>
      <c r="G1114">
        <v>903</v>
      </c>
      <c r="H1114" t="str">
        <f t="shared" si="258"/>
        <v>501-1000</v>
      </c>
      <c r="I1114" t="s">
        <v>73</v>
      </c>
      <c r="J1114">
        <v>2</v>
      </c>
      <c r="K1114" t="str">
        <f t="shared" si="259"/>
        <v>1-5</v>
      </c>
      <c r="L1114">
        <v>3</v>
      </c>
      <c r="M1114" t="s">
        <v>85</v>
      </c>
      <c r="N1114" t="s">
        <v>83</v>
      </c>
      <c r="O1114">
        <v>1</v>
      </c>
      <c r="P1114">
        <v>3</v>
      </c>
      <c r="Q1114" t="s">
        <v>63</v>
      </c>
      <c r="R1114" t="s">
        <v>75</v>
      </c>
      <c r="S1114">
        <v>81</v>
      </c>
      <c r="T1114" t="str">
        <f t="shared" si="260"/>
        <v>76-100</v>
      </c>
      <c r="U1114">
        <v>3</v>
      </c>
      <c r="V1114" t="s">
        <v>63</v>
      </c>
      <c r="W1114">
        <v>2</v>
      </c>
      <c r="X1114" t="s">
        <v>87</v>
      </c>
      <c r="Y1114">
        <v>2</v>
      </c>
      <c r="Z1114" t="s">
        <v>61</v>
      </c>
      <c r="AA1114" t="s">
        <v>77</v>
      </c>
      <c r="AB1114" s="4">
        <v>4855</v>
      </c>
      <c r="AC1114" s="4" t="str">
        <f t="shared" si="261"/>
        <v>$4,000-$5,500</v>
      </c>
      <c r="AD1114">
        <v>7653</v>
      </c>
      <c r="AE1114" t="str">
        <f t="shared" si="262"/>
        <v>$2,094-$8,000</v>
      </c>
      <c r="AF1114">
        <v>4</v>
      </c>
      <c r="AG1114" t="str">
        <f t="shared" si="263"/>
        <v>4-6</v>
      </c>
      <c r="AH1114" t="s">
        <v>67</v>
      </c>
      <c r="AI1114" t="s">
        <v>71</v>
      </c>
      <c r="AJ1114">
        <v>11</v>
      </c>
      <c r="AK1114" t="str">
        <f t="shared" si="264"/>
        <v>11-12%</v>
      </c>
      <c r="AL1114">
        <v>3</v>
      </c>
      <c r="AM1114" t="s">
        <v>68</v>
      </c>
      <c r="AN1114">
        <v>1</v>
      </c>
      <c r="AO1114" t="s">
        <v>69</v>
      </c>
      <c r="AP1114">
        <v>80</v>
      </c>
      <c r="AQ1114">
        <v>2</v>
      </c>
      <c r="AR1114">
        <v>7</v>
      </c>
      <c r="AS1114" t="str">
        <f t="shared" si="265"/>
        <v>6-10</v>
      </c>
      <c r="AT1114">
        <v>2</v>
      </c>
      <c r="AU1114" t="str">
        <f t="shared" si="266"/>
        <v>0-2</v>
      </c>
      <c r="AV1114">
        <v>3</v>
      </c>
      <c r="AW1114" t="s">
        <v>79</v>
      </c>
      <c r="AX1114">
        <v>5</v>
      </c>
      <c r="AY1114" t="str">
        <f t="shared" si="255"/>
        <v>2-5</v>
      </c>
      <c r="AZ1114">
        <v>2</v>
      </c>
      <c r="BA1114" t="str">
        <f t="shared" si="267"/>
        <v>2-5</v>
      </c>
      <c r="BB1114">
        <v>1</v>
      </c>
      <c r="BC1114" t="str">
        <f t="shared" si="268"/>
        <v>0-1</v>
      </c>
      <c r="BD1114">
        <v>4</v>
      </c>
      <c r="BE1114" t="str">
        <f t="shared" si="269"/>
        <v>2-5</v>
      </c>
    </row>
    <row r="1115" spans="1:57" x14ac:dyDescent="0.3">
      <c r="A1115">
        <v>1574</v>
      </c>
      <c r="B1115">
        <v>32</v>
      </c>
      <c r="C1115" t="str">
        <f t="shared" si="256"/>
        <v>26-35</v>
      </c>
      <c r="D1115" t="s">
        <v>71</v>
      </c>
      <c r="E1115">
        <f t="shared" si="257"/>
        <v>0</v>
      </c>
      <c r="F1115" t="s">
        <v>89</v>
      </c>
      <c r="G1115">
        <v>1200</v>
      </c>
      <c r="H1115" t="str">
        <f t="shared" si="258"/>
        <v>1001-1499</v>
      </c>
      <c r="I1115" t="s">
        <v>73</v>
      </c>
      <c r="J1115">
        <v>1</v>
      </c>
      <c r="K1115" t="str">
        <f t="shared" si="259"/>
        <v>1-5</v>
      </c>
      <c r="L1115">
        <v>4</v>
      </c>
      <c r="M1115" t="s">
        <v>82</v>
      </c>
      <c r="N1115" t="s">
        <v>95</v>
      </c>
      <c r="O1115">
        <v>1</v>
      </c>
      <c r="P1115">
        <v>4</v>
      </c>
      <c r="Q1115" t="s">
        <v>65</v>
      </c>
      <c r="R1115" t="s">
        <v>75</v>
      </c>
      <c r="S1115">
        <v>62</v>
      </c>
      <c r="T1115" t="str">
        <f t="shared" si="260"/>
        <v>51-75</v>
      </c>
      <c r="U1115">
        <v>3</v>
      </c>
      <c r="V1115" t="s">
        <v>63</v>
      </c>
      <c r="W1115">
        <v>2</v>
      </c>
      <c r="X1115" t="s">
        <v>76</v>
      </c>
      <c r="Y1115">
        <v>1</v>
      </c>
      <c r="Z1115" t="s">
        <v>69</v>
      </c>
      <c r="AA1115" t="s">
        <v>77</v>
      </c>
      <c r="AB1115" s="4">
        <v>4087</v>
      </c>
      <c r="AC1115" s="4" t="str">
        <f t="shared" si="261"/>
        <v>$4,000-$5,500</v>
      </c>
      <c r="AD1115">
        <v>25174</v>
      </c>
      <c r="AE1115" t="str">
        <f t="shared" si="262"/>
        <v>$22,001-$26,999</v>
      </c>
      <c r="AF1115">
        <v>4</v>
      </c>
      <c r="AG1115" t="str">
        <f t="shared" si="263"/>
        <v>4-6</v>
      </c>
      <c r="AH1115" t="s">
        <v>67</v>
      </c>
      <c r="AI1115" t="s">
        <v>71</v>
      </c>
      <c r="AJ1115">
        <v>14</v>
      </c>
      <c r="AK1115" t="str">
        <f t="shared" si="264"/>
        <v>13-15%</v>
      </c>
      <c r="AL1115">
        <v>3</v>
      </c>
      <c r="AM1115" t="s">
        <v>68</v>
      </c>
      <c r="AN1115">
        <v>2</v>
      </c>
      <c r="AO1115" t="s">
        <v>61</v>
      </c>
      <c r="AP1115">
        <v>80</v>
      </c>
      <c r="AQ1115">
        <v>1</v>
      </c>
      <c r="AR1115">
        <v>9</v>
      </c>
      <c r="AS1115" t="str">
        <f t="shared" si="265"/>
        <v>6-10</v>
      </c>
      <c r="AT1115">
        <v>3</v>
      </c>
      <c r="AU1115" t="str">
        <f t="shared" si="266"/>
        <v>3-4</v>
      </c>
      <c r="AV1115">
        <v>2</v>
      </c>
      <c r="AW1115" t="s">
        <v>84</v>
      </c>
      <c r="AX1115">
        <v>6</v>
      </c>
      <c r="AY1115" t="str">
        <f t="shared" si="255"/>
        <v>6-10</v>
      </c>
      <c r="AZ1115">
        <v>5</v>
      </c>
      <c r="BA1115" t="str">
        <f t="shared" si="267"/>
        <v>2-5</v>
      </c>
      <c r="BB1115">
        <v>1</v>
      </c>
      <c r="BC1115" t="str">
        <f t="shared" si="268"/>
        <v>0-1</v>
      </c>
      <c r="BD1115">
        <v>2</v>
      </c>
      <c r="BE1115" t="str">
        <f t="shared" si="269"/>
        <v>2-5</v>
      </c>
    </row>
    <row r="1116" spans="1:57" x14ac:dyDescent="0.3">
      <c r="A1116">
        <v>1576</v>
      </c>
      <c r="B1116">
        <v>48</v>
      </c>
      <c r="C1116" t="str">
        <f t="shared" si="256"/>
        <v>46-55</v>
      </c>
      <c r="D1116" t="s">
        <v>71</v>
      </c>
      <c r="E1116">
        <f t="shared" si="257"/>
        <v>0</v>
      </c>
      <c r="F1116" t="s">
        <v>57</v>
      </c>
      <c r="G1116">
        <v>1108</v>
      </c>
      <c r="H1116" t="str">
        <f t="shared" si="258"/>
        <v>1001-1499</v>
      </c>
      <c r="I1116" t="s">
        <v>73</v>
      </c>
      <c r="J1116">
        <v>15</v>
      </c>
      <c r="K1116" t="str">
        <f t="shared" si="259"/>
        <v>11-20</v>
      </c>
      <c r="L1116">
        <v>4</v>
      </c>
      <c r="M1116" t="s">
        <v>82</v>
      </c>
      <c r="N1116" t="s">
        <v>80</v>
      </c>
      <c r="O1116">
        <v>1</v>
      </c>
      <c r="P1116">
        <v>3</v>
      </c>
      <c r="Q1116" t="s">
        <v>63</v>
      </c>
      <c r="R1116" t="s">
        <v>62</v>
      </c>
      <c r="S1116">
        <v>65</v>
      </c>
      <c r="T1116" t="str">
        <f t="shared" si="260"/>
        <v>51-75</v>
      </c>
      <c r="U1116">
        <v>3</v>
      </c>
      <c r="V1116" t="s">
        <v>63</v>
      </c>
      <c r="W1116">
        <v>1</v>
      </c>
      <c r="X1116" t="s">
        <v>76</v>
      </c>
      <c r="Y1116">
        <v>1</v>
      </c>
      <c r="Z1116" t="s">
        <v>69</v>
      </c>
      <c r="AA1116" t="s">
        <v>77</v>
      </c>
      <c r="AB1116" s="4">
        <v>2367</v>
      </c>
      <c r="AC1116" s="4" t="str">
        <f t="shared" si="261"/>
        <v>$1,000-$2,500</v>
      </c>
      <c r="AD1116">
        <v>16530</v>
      </c>
      <c r="AE1116" t="str">
        <f t="shared" si="262"/>
        <v>$16,001-$22,000</v>
      </c>
      <c r="AF1116">
        <v>8</v>
      </c>
      <c r="AG1116" t="str">
        <f t="shared" si="263"/>
        <v>7-9</v>
      </c>
      <c r="AH1116" t="s">
        <v>67</v>
      </c>
      <c r="AI1116" t="s">
        <v>71</v>
      </c>
      <c r="AJ1116">
        <v>12</v>
      </c>
      <c r="AK1116" t="str">
        <f t="shared" si="264"/>
        <v>11-12%</v>
      </c>
      <c r="AL1116">
        <v>3</v>
      </c>
      <c r="AM1116" t="s">
        <v>68</v>
      </c>
      <c r="AN1116">
        <v>4</v>
      </c>
      <c r="AO1116" t="s">
        <v>65</v>
      </c>
      <c r="AP1116">
        <v>80</v>
      </c>
      <c r="AQ1116">
        <v>1</v>
      </c>
      <c r="AR1116">
        <v>10</v>
      </c>
      <c r="AS1116" t="str">
        <f t="shared" si="265"/>
        <v>6-10</v>
      </c>
      <c r="AT1116">
        <v>3</v>
      </c>
      <c r="AU1116" t="str">
        <f t="shared" si="266"/>
        <v>3-4</v>
      </c>
      <c r="AV1116">
        <v>2</v>
      </c>
      <c r="AW1116" t="s">
        <v>84</v>
      </c>
      <c r="AX1116">
        <v>8</v>
      </c>
      <c r="AY1116" t="str">
        <f t="shared" si="255"/>
        <v>6-10</v>
      </c>
      <c r="AZ1116">
        <v>2</v>
      </c>
      <c r="BA1116" t="str">
        <f t="shared" si="267"/>
        <v>2-5</v>
      </c>
      <c r="BB1116">
        <v>7</v>
      </c>
      <c r="BC1116" t="str">
        <f t="shared" si="268"/>
        <v>6-10</v>
      </c>
      <c r="BD1116">
        <v>6</v>
      </c>
      <c r="BE1116" t="str">
        <f t="shared" si="269"/>
        <v>6-10</v>
      </c>
    </row>
    <row r="1117" spans="1:57" x14ac:dyDescent="0.3">
      <c r="A1117">
        <v>1577</v>
      </c>
      <c r="B1117">
        <v>34</v>
      </c>
      <c r="C1117" t="str">
        <f t="shared" si="256"/>
        <v>26-35</v>
      </c>
      <c r="D1117" t="s">
        <v>71</v>
      </c>
      <c r="E1117">
        <f t="shared" si="257"/>
        <v>0</v>
      </c>
      <c r="F1117" t="s">
        <v>57</v>
      </c>
      <c r="G1117">
        <v>479</v>
      </c>
      <c r="H1117" t="str">
        <f t="shared" si="258"/>
        <v>102-500</v>
      </c>
      <c r="I1117" t="s">
        <v>73</v>
      </c>
      <c r="J1117">
        <v>7</v>
      </c>
      <c r="K1117" t="str">
        <f t="shared" si="259"/>
        <v>6-10</v>
      </c>
      <c r="L1117">
        <v>4</v>
      </c>
      <c r="M1117" t="s">
        <v>82</v>
      </c>
      <c r="N1117" t="s">
        <v>83</v>
      </c>
      <c r="O1117">
        <v>1</v>
      </c>
      <c r="P1117">
        <v>1</v>
      </c>
      <c r="Q1117" t="s">
        <v>69</v>
      </c>
      <c r="R1117" t="s">
        <v>75</v>
      </c>
      <c r="S1117">
        <v>35</v>
      </c>
      <c r="T1117" t="str">
        <f t="shared" si="260"/>
        <v>30-50</v>
      </c>
      <c r="U1117">
        <v>3</v>
      </c>
      <c r="V1117" t="s">
        <v>63</v>
      </c>
      <c r="W1117">
        <v>1</v>
      </c>
      <c r="X1117" t="s">
        <v>76</v>
      </c>
      <c r="Y1117">
        <v>4</v>
      </c>
      <c r="Z1117" t="s">
        <v>65</v>
      </c>
      <c r="AA1117" t="s">
        <v>66</v>
      </c>
      <c r="AB1117" s="4">
        <v>2972</v>
      </c>
      <c r="AC1117" s="4" t="str">
        <f t="shared" si="261"/>
        <v>$2,500-$4,000</v>
      </c>
      <c r="AD1117">
        <v>22061</v>
      </c>
      <c r="AE1117" t="str">
        <f t="shared" si="262"/>
        <v>$22,001-$26,999</v>
      </c>
      <c r="AF1117">
        <v>1</v>
      </c>
      <c r="AG1117" t="str">
        <f t="shared" si="263"/>
        <v>0-1</v>
      </c>
      <c r="AH1117" t="s">
        <v>67</v>
      </c>
      <c r="AI1117" t="s">
        <v>71</v>
      </c>
      <c r="AJ1117">
        <v>13</v>
      </c>
      <c r="AK1117" t="str">
        <f t="shared" si="264"/>
        <v>13-15%</v>
      </c>
      <c r="AL1117">
        <v>3</v>
      </c>
      <c r="AM1117" t="s">
        <v>68</v>
      </c>
      <c r="AN1117">
        <v>3</v>
      </c>
      <c r="AO1117" t="s">
        <v>63</v>
      </c>
      <c r="AP1117">
        <v>80</v>
      </c>
      <c r="AQ1117">
        <v>0</v>
      </c>
      <c r="AR1117">
        <v>1</v>
      </c>
      <c r="AS1117" t="str">
        <f t="shared" si="265"/>
        <v>0-2</v>
      </c>
      <c r="AT1117">
        <v>4</v>
      </c>
      <c r="AU1117" t="str">
        <f t="shared" si="266"/>
        <v>3-4</v>
      </c>
      <c r="AV1117">
        <v>1</v>
      </c>
      <c r="AW1117" t="s">
        <v>70</v>
      </c>
      <c r="AX1117">
        <v>1</v>
      </c>
      <c r="AY1117" t="str">
        <f t="shared" si="255"/>
        <v>0-1</v>
      </c>
      <c r="AZ1117">
        <v>0</v>
      </c>
      <c r="BA1117" t="str">
        <f t="shared" si="267"/>
        <v>0-1</v>
      </c>
      <c r="BB1117">
        <v>0</v>
      </c>
      <c r="BC1117" t="str">
        <f t="shared" si="268"/>
        <v>0-1</v>
      </c>
      <c r="BD1117">
        <v>0</v>
      </c>
      <c r="BE1117" t="str">
        <f t="shared" si="269"/>
        <v>0-1</v>
      </c>
    </row>
    <row r="1118" spans="1:57" x14ac:dyDescent="0.3">
      <c r="A1118">
        <v>1578</v>
      </c>
      <c r="B1118">
        <v>55</v>
      </c>
      <c r="C1118" t="str">
        <f t="shared" si="256"/>
        <v>46-55</v>
      </c>
      <c r="D1118" t="s">
        <v>71</v>
      </c>
      <c r="E1118">
        <f t="shared" si="257"/>
        <v>0</v>
      </c>
      <c r="F1118" t="s">
        <v>57</v>
      </c>
      <c r="G1118">
        <v>685</v>
      </c>
      <c r="H1118" t="str">
        <f t="shared" si="258"/>
        <v>501-1000</v>
      </c>
      <c r="I1118" t="s">
        <v>58</v>
      </c>
      <c r="J1118">
        <v>26</v>
      </c>
      <c r="K1118" t="str">
        <f t="shared" si="259"/>
        <v>21-29</v>
      </c>
      <c r="L1118">
        <v>5</v>
      </c>
      <c r="M1118" t="s">
        <v>96</v>
      </c>
      <c r="N1118" t="s">
        <v>93</v>
      </c>
      <c r="O1118">
        <v>1</v>
      </c>
      <c r="P1118">
        <v>3</v>
      </c>
      <c r="Q1118" t="s">
        <v>63</v>
      </c>
      <c r="R1118" t="s">
        <v>75</v>
      </c>
      <c r="S1118">
        <v>60</v>
      </c>
      <c r="T1118" t="str">
        <f t="shared" si="260"/>
        <v>51-75</v>
      </c>
      <c r="U1118">
        <v>2</v>
      </c>
      <c r="V1118" t="s">
        <v>61</v>
      </c>
      <c r="W1118">
        <v>5</v>
      </c>
      <c r="X1118" t="s">
        <v>90</v>
      </c>
      <c r="Y1118">
        <v>4</v>
      </c>
      <c r="Z1118" t="s">
        <v>65</v>
      </c>
      <c r="AA1118" t="s">
        <v>77</v>
      </c>
      <c r="AB1118" s="4">
        <v>19586</v>
      </c>
      <c r="AC1118" s="4" t="str">
        <f t="shared" si="261"/>
        <v>$19,000-$20,500</v>
      </c>
      <c r="AD1118">
        <v>23037</v>
      </c>
      <c r="AE1118" t="str">
        <f t="shared" si="262"/>
        <v>$22,001-$26,999</v>
      </c>
      <c r="AF1118">
        <v>1</v>
      </c>
      <c r="AG1118" t="str">
        <f t="shared" si="263"/>
        <v>0-1</v>
      </c>
      <c r="AH1118" t="s">
        <v>67</v>
      </c>
      <c r="AI1118" t="s">
        <v>71</v>
      </c>
      <c r="AJ1118">
        <v>21</v>
      </c>
      <c r="AK1118" t="str">
        <f t="shared" si="264"/>
        <v>18-19%</v>
      </c>
      <c r="AL1118">
        <v>4</v>
      </c>
      <c r="AM1118" t="s">
        <v>78</v>
      </c>
      <c r="AN1118">
        <v>3</v>
      </c>
      <c r="AO1118" t="s">
        <v>63</v>
      </c>
      <c r="AP1118">
        <v>80</v>
      </c>
      <c r="AQ1118">
        <v>1</v>
      </c>
      <c r="AR1118">
        <v>36</v>
      </c>
      <c r="AS1118" t="str">
        <f t="shared" si="265"/>
        <v>21-40</v>
      </c>
      <c r="AT1118">
        <v>3</v>
      </c>
      <c r="AU1118" t="str">
        <f t="shared" si="266"/>
        <v>3-4</v>
      </c>
      <c r="AV1118">
        <v>3</v>
      </c>
      <c r="AW1118" t="s">
        <v>79</v>
      </c>
      <c r="AX1118">
        <v>36</v>
      </c>
      <c r="AY1118" t="str">
        <f t="shared" si="255"/>
        <v>21-40</v>
      </c>
      <c r="AZ1118">
        <v>6</v>
      </c>
      <c r="BA1118" t="str">
        <f t="shared" si="267"/>
        <v>6-10</v>
      </c>
      <c r="BB1118">
        <v>2</v>
      </c>
      <c r="BC1118" t="str">
        <f t="shared" si="268"/>
        <v>2-5</v>
      </c>
      <c r="BD1118">
        <v>13</v>
      </c>
      <c r="BE1118" t="str">
        <f t="shared" si="269"/>
        <v>11-17</v>
      </c>
    </row>
    <row r="1119" spans="1:57" x14ac:dyDescent="0.3">
      <c r="A1119">
        <v>1580</v>
      </c>
      <c r="B1119">
        <v>34</v>
      </c>
      <c r="C1119" t="str">
        <f t="shared" si="256"/>
        <v>26-35</v>
      </c>
      <c r="D1119" t="s">
        <v>71</v>
      </c>
      <c r="E1119">
        <f t="shared" si="257"/>
        <v>0</v>
      </c>
      <c r="F1119" t="s">
        <v>57</v>
      </c>
      <c r="G1119">
        <v>1351</v>
      </c>
      <c r="H1119" t="str">
        <f t="shared" si="258"/>
        <v>1001-1499</v>
      </c>
      <c r="I1119" t="s">
        <v>73</v>
      </c>
      <c r="J1119">
        <v>1</v>
      </c>
      <c r="K1119" t="str">
        <f t="shared" si="259"/>
        <v>1-5</v>
      </c>
      <c r="L1119">
        <v>4</v>
      </c>
      <c r="M1119" t="s">
        <v>82</v>
      </c>
      <c r="N1119" t="s">
        <v>60</v>
      </c>
      <c r="O1119">
        <v>1</v>
      </c>
      <c r="P1119">
        <v>2</v>
      </c>
      <c r="Q1119" t="s">
        <v>61</v>
      </c>
      <c r="R1119" t="s">
        <v>75</v>
      </c>
      <c r="S1119">
        <v>45</v>
      </c>
      <c r="T1119" t="str">
        <f t="shared" si="260"/>
        <v>30-50</v>
      </c>
      <c r="U1119">
        <v>3</v>
      </c>
      <c r="V1119" t="s">
        <v>63</v>
      </c>
      <c r="W1119">
        <v>2</v>
      </c>
      <c r="X1119" t="s">
        <v>76</v>
      </c>
      <c r="Y1119">
        <v>4</v>
      </c>
      <c r="Z1119" t="s">
        <v>65</v>
      </c>
      <c r="AA1119" t="s">
        <v>77</v>
      </c>
      <c r="AB1119" s="4">
        <v>5484</v>
      </c>
      <c r="AC1119" s="4" t="str">
        <f t="shared" si="261"/>
        <v>$4,000-$5,500</v>
      </c>
      <c r="AD1119">
        <v>13008</v>
      </c>
      <c r="AE1119" t="str">
        <f t="shared" si="262"/>
        <v>$8,001-$16,000</v>
      </c>
      <c r="AF1119">
        <v>9</v>
      </c>
      <c r="AG1119" t="str">
        <f t="shared" si="263"/>
        <v>7-9</v>
      </c>
      <c r="AH1119" t="s">
        <v>67</v>
      </c>
      <c r="AI1119" t="s">
        <v>71</v>
      </c>
      <c r="AJ1119">
        <v>17</v>
      </c>
      <c r="AK1119" t="str">
        <f t="shared" si="264"/>
        <v>16-17%</v>
      </c>
      <c r="AL1119">
        <v>3</v>
      </c>
      <c r="AM1119" t="s">
        <v>68</v>
      </c>
      <c r="AN1119">
        <v>2</v>
      </c>
      <c r="AO1119" t="s">
        <v>61</v>
      </c>
      <c r="AP1119">
        <v>80</v>
      </c>
      <c r="AQ1119">
        <v>1</v>
      </c>
      <c r="AR1119">
        <v>9</v>
      </c>
      <c r="AS1119" t="str">
        <f t="shared" si="265"/>
        <v>6-10</v>
      </c>
      <c r="AT1119">
        <v>3</v>
      </c>
      <c r="AU1119" t="str">
        <f t="shared" si="266"/>
        <v>3-4</v>
      </c>
      <c r="AV1119">
        <v>2</v>
      </c>
      <c r="AW1119" t="s">
        <v>84</v>
      </c>
      <c r="AX1119">
        <v>2</v>
      </c>
      <c r="AY1119" t="str">
        <f t="shared" si="255"/>
        <v>2-5</v>
      </c>
      <c r="AZ1119">
        <v>2</v>
      </c>
      <c r="BA1119" t="str">
        <f t="shared" si="267"/>
        <v>2-5</v>
      </c>
      <c r="BB1119">
        <v>2</v>
      </c>
      <c r="BC1119" t="str">
        <f t="shared" si="268"/>
        <v>2-5</v>
      </c>
      <c r="BD1119">
        <v>1</v>
      </c>
      <c r="BE1119" t="str">
        <f t="shared" si="269"/>
        <v>0-1</v>
      </c>
    </row>
    <row r="1120" spans="1:57" x14ac:dyDescent="0.3">
      <c r="A1120">
        <v>1581</v>
      </c>
      <c r="B1120">
        <v>26</v>
      </c>
      <c r="C1120" t="str">
        <f t="shared" si="256"/>
        <v>26-35</v>
      </c>
      <c r="D1120" t="s">
        <v>71</v>
      </c>
      <c r="E1120">
        <f t="shared" si="257"/>
        <v>0</v>
      </c>
      <c r="F1120" t="s">
        <v>57</v>
      </c>
      <c r="G1120">
        <v>474</v>
      </c>
      <c r="H1120" t="str">
        <f t="shared" si="258"/>
        <v>102-500</v>
      </c>
      <c r="I1120" t="s">
        <v>73</v>
      </c>
      <c r="J1120">
        <v>3</v>
      </c>
      <c r="K1120" t="str">
        <f t="shared" si="259"/>
        <v>1-5</v>
      </c>
      <c r="L1120">
        <v>3</v>
      </c>
      <c r="M1120" t="s">
        <v>85</v>
      </c>
      <c r="N1120" t="s">
        <v>60</v>
      </c>
      <c r="O1120">
        <v>1</v>
      </c>
      <c r="P1120">
        <v>1</v>
      </c>
      <c r="Q1120" t="s">
        <v>69</v>
      </c>
      <c r="R1120" t="s">
        <v>62</v>
      </c>
      <c r="S1120">
        <v>89</v>
      </c>
      <c r="T1120" t="str">
        <f t="shared" si="260"/>
        <v>76-100</v>
      </c>
      <c r="U1120">
        <v>3</v>
      </c>
      <c r="V1120" t="s">
        <v>63</v>
      </c>
      <c r="W1120">
        <v>1</v>
      </c>
      <c r="X1120" t="s">
        <v>76</v>
      </c>
      <c r="Y1120">
        <v>4</v>
      </c>
      <c r="Z1120" t="s">
        <v>65</v>
      </c>
      <c r="AA1120" t="s">
        <v>77</v>
      </c>
      <c r="AB1120" s="4">
        <v>2061</v>
      </c>
      <c r="AC1120" s="4" t="str">
        <f t="shared" si="261"/>
        <v>$1,000-$2,500</v>
      </c>
      <c r="AD1120">
        <v>11133</v>
      </c>
      <c r="AE1120" t="str">
        <f t="shared" si="262"/>
        <v>$8,001-$16,000</v>
      </c>
      <c r="AF1120">
        <v>1</v>
      </c>
      <c r="AG1120" t="str">
        <f t="shared" si="263"/>
        <v>0-1</v>
      </c>
      <c r="AH1120" t="s">
        <v>67</v>
      </c>
      <c r="AI1120" t="s">
        <v>71</v>
      </c>
      <c r="AJ1120">
        <v>21</v>
      </c>
      <c r="AK1120" t="str">
        <f t="shared" si="264"/>
        <v>18-19%</v>
      </c>
      <c r="AL1120">
        <v>4</v>
      </c>
      <c r="AM1120" t="s">
        <v>78</v>
      </c>
      <c r="AN1120">
        <v>1</v>
      </c>
      <c r="AO1120" t="s">
        <v>69</v>
      </c>
      <c r="AP1120">
        <v>80</v>
      </c>
      <c r="AQ1120">
        <v>0</v>
      </c>
      <c r="AR1120">
        <v>1</v>
      </c>
      <c r="AS1120" t="str">
        <f t="shared" si="265"/>
        <v>0-2</v>
      </c>
      <c r="AT1120">
        <v>5</v>
      </c>
      <c r="AU1120" t="str">
        <f t="shared" si="266"/>
        <v>5-6</v>
      </c>
      <c r="AV1120">
        <v>3</v>
      </c>
      <c r="AW1120" t="s">
        <v>79</v>
      </c>
      <c r="AX1120">
        <v>1</v>
      </c>
      <c r="AY1120" t="str">
        <f t="shared" si="255"/>
        <v>0-1</v>
      </c>
      <c r="AZ1120">
        <v>0</v>
      </c>
      <c r="BA1120" t="str">
        <f t="shared" si="267"/>
        <v>0-1</v>
      </c>
      <c r="BB1120">
        <v>0</v>
      </c>
      <c r="BC1120" t="str">
        <f t="shared" si="268"/>
        <v>0-1</v>
      </c>
      <c r="BD1120">
        <v>0</v>
      </c>
      <c r="BE1120" t="str">
        <f t="shared" si="269"/>
        <v>0-1</v>
      </c>
    </row>
    <row r="1121" spans="1:57" x14ac:dyDescent="0.3">
      <c r="A1121">
        <v>1582</v>
      </c>
      <c r="B1121">
        <v>38</v>
      </c>
      <c r="C1121" t="str">
        <f t="shared" si="256"/>
        <v>36-45</v>
      </c>
      <c r="D1121" t="s">
        <v>71</v>
      </c>
      <c r="E1121">
        <f t="shared" si="257"/>
        <v>0</v>
      </c>
      <c r="F1121" t="s">
        <v>57</v>
      </c>
      <c r="G1121">
        <v>1245</v>
      </c>
      <c r="H1121" t="str">
        <f t="shared" si="258"/>
        <v>1001-1499</v>
      </c>
      <c r="I1121" t="s">
        <v>58</v>
      </c>
      <c r="J1121">
        <v>14</v>
      </c>
      <c r="K1121" t="str">
        <f t="shared" si="259"/>
        <v>11-20</v>
      </c>
      <c r="L1121">
        <v>3</v>
      </c>
      <c r="M1121" t="s">
        <v>85</v>
      </c>
      <c r="N1121" t="s">
        <v>60</v>
      </c>
      <c r="O1121">
        <v>1</v>
      </c>
      <c r="P1121">
        <v>3</v>
      </c>
      <c r="Q1121" t="s">
        <v>63</v>
      </c>
      <c r="R1121" t="s">
        <v>75</v>
      </c>
      <c r="S1121">
        <v>80</v>
      </c>
      <c r="T1121" t="str">
        <f t="shared" si="260"/>
        <v>76-100</v>
      </c>
      <c r="U1121">
        <v>3</v>
      </c>
      <c r="V1121" t="s">
        <v>63</v>
      </c>
      <c r="W1121">
        <v>2</v>
      </c>
      <c r="X1121" t="s">
        <v>64</v>
      </c>
      <c r="Y1121">
        <v>2</v>
      </c>
      <c r="Z1121" t="s">
        <v>61</v>
      </c>
      <c r="AA1121" t="s">
        <v>77</v>
      </c>
      <c r="AB1121" s="4">
        <v>9924</v>
      </c>
      <c r="AC1121" s="4" t="str">
        <f t="shared" si="261"/>
        <v>$8,500-$10,000</v>
      </c>
      <c r="AD1121">
        <v>12355</v>
      </c>
      <c r="AE1121" t="str">
        <f t="shared" si="262"/>
        <v>$8,001-$16,000</v>
      </c>
      <c r="AF1121">
        <v>0</v>
      </c>
      <c r="AG1121" t="str">
        <f t="shared" si="263"/>
        <v>0-1</v>
      </c>
      <c r="AH1121" t="s">
        <v>67</v>
      </c>
      <c r="AI1121" t="s">
        <v>71</v>
      </c>
      <c r="AJ1121">
        <v>11</v>
      </c>
      <c r="AK1121" t="str">
        <f t="shared" si="264"/>
        <v>11-12%</v>
      </c>
      <c r="AL1121">
        <v>3</v>
      </c>
      <c r="AM1121" t="s">
        <v>68</v>
      </c>
      <c r="AN1121">
        <v>4</v>
      </c>
      <c r="AO1121" t="s">
        <v>65</v>
      </c>
      <c r="AP1121">
        <v>80</v>
      </c>
      <c r="AQ1121">
        <v>1</v>
      </c>
      <c r="AR1121">
        <v>10</v>
      </c>
      <c r="AS1121" t="str">
        <f t="shared" si="265"/>
        <v>6-10</v>
      </c>
      <c r="AT1121">
        <v>3</v>
      </c>
      <c r="AU1121" t="str">
        <f t="shared" si="266"/>
        <v>3-4</v>
      </c>
      <c r="AV1121">
        <v>3</v>
      </c>
      <c r="AW1121" t="s">
        <v>79</v>
      </c>
      <c r="AX1121">
        <v>9</v>
      </c>
      <c r="AY1121" t="str">
        <f t="shared" si="255"/>
        <v>6-10</v>
      </c>
      <c r="AZ1121">
        <v>8</v>
      </c>
      <c r="BA1121" t="str">
        <f t="shared" si="267"/>
        <v>6-10</v>
      </c>
      <c r="BB1121">
        <v>7</v>
      </c>
      <c r="BC1121" t="str">
        <f t="shared" si="268"/>
        <v>6-10</v>
      </c>
      <c r="BD1121">
        <v>7</v>
      </c>
      <c r="BE1121" t="str">
        <f t="shared" si="269"/>
        <v>6-10</v>
      </c>
    </row>
    <row r="1122" spans="1:57" x14ac:dyDescent="0.3">
      <c r="A1122">
        <v>1583</v>
      </c>
      <c r="B1122">
        <v>38</v>
      </c>
      <c r="C1122" t="str">
        <f t="shared" si="256"/>
        <v>36-45</v>
      </c>
      <c r="D1122" t="s">
        <v>71</v>
      </c>
      <c r="E1122">
        <f t="shared" si="257"/>
        <v>0</v>
      </c>
      <c r="F1122" t="s">
        <v>57</v>
      </c>
      <c r="G1122">
        <v>437</v>
      </c>
      <c r="H1122" t="str">
        <f t="shared" si="258"/>
        <v>102-500</v>
      </c>
      <c r="I1122" t="s">
        <v>58</v>
      </c>
      <c r="J1122">
        <v>16</v>
      </c>
      <c r="K1122" t="str">
        <f t="shared" si="259"/>
        <v>11-20</v>
      </c>
      <c r="L1122">
        <v>3</v>
      </c>
      <c r="M1122" t="s">
        <v>85</v>
      </c>
      <c r="N1122" t="s">
        <v>60</v>
      </c>
      <c r="O1122">
        <v>1</v>
      </c>
      <c r="P1122">
        <v>2</v>
      </c>
      <c r="Q1122" t="s">
        <v>61</v>
      </c>
      <c r="R1122" t="s">
        <v>62</v>
      </c>
      <c r="S1122">
        <v>90</v>
      </c>
      <c r="T1122" t="str">
        <f t="shared" si="260"/>
        <v>76-100</v>
      </c>
      <c r="U1122">
        <v>3</v>
      </c>
      <c r="V1122" t="s">
        <v>63</v>
      </c>
      <c r="W1122">
        <v>2</v>
      </c>
      <c r="X1122" t="s">
        <v>64</v>
      </c>
      <c r="Y1122">
        <v>2</v>
      </c>
      <c r="Z1122" t="s">
        <v>61</v>
      </c>
      <c r="AA1122" t="s">
        <v>66</v>
      </c>
      <c r="AB1122" s="4">
        <v>4198</v>
      </c>
      <c r="AC1122" s="4" t="str">
        <f t="shared" si="261"/>
        <v>$4,000-$5,500</v>
      </c>
      <c r="AD1122">
        <v>16379</v>
      </c>
      <c r="AE1122" t="str">
        <f t="shared" si="262"/>
        <v>$16,001-$22,000</v>
      </c>
      <c r="AF1122">
        <v>2</v>
      </c>
      <c r="AG1122" t="str">
        <f t="shared" si="263"/>
        <v>2-3</v>
      </c>
      <c r="AH1122" t="s">
        <v>67</v>
      </c>
      <c r="AI1122" t="s">
        <v>71</v>
      </c>
      <c r="AJ1122">
        <v>12</v>
      </c>
      <c r="AK1122" t="str">
        <f t="shared" si="264"/>
        <v>11-12%</v>
      </c>
      <c r="AL1122">
        <v>3</v>
      </c>
      <c r="AM1122" t="s">
        <v>68</v>
      </c>
      <c r="AN1122">
        <v>2</v>
      </c>
      <c r="AO1122" t="s">
        <v>61</v>
      </c>
      <c r="AP1122">
        <v>80</v>
      </c>
      <c r="AQ1122">
        <v>0</v>
      </c>
      <c r="AR1122">
        <v>8</v>
      </c>
      <c r="AS1122" t="str">
        <f t="shared" si="265"/>
        <v>6-10</v>
      </c>
      <c r="AT1122">
        <v>5</v>
      </c>
      <c r="AU1122" t="str">
        <f t="shared" si="266"/>
        <v>5-6</v>
      </c>
      <c r="AV1122">
        <v>4</v>
      </c>
      <c r="AW1122" t="s">
        <v>94</v>
      </c>
      <c r="AX1122">
        <v>3</v>
      </c>
      <c r="AY1122" t="str">
        <f t="shared" si="255"/>
        <v>2-5</v>
      </c>
      <c r="AZ1122">
        <v>2</v>
      </c>
      <c r="BA1122" t="str">
        <f t="shared" si="267"/>
        <v>2-5</v>
      </c>
      <c r="BB1122">
        <v>1</v>
      </c>
      <c r="BC1122" t="str">
        <f t="shared" si="268"/>
        <v>0-1</v>
      </c>
      <c r="BD1122">
        <v>2</v>
      </c>
      <c r="BE1122" t="str">
        <f t="shared" si="269"/>
        <v>2-5</v>
      </c>
    </row>
    <row r="1123" spans="1:57" x14ac:dyDescent="0.3">
      <c r="A1123">
        <v>1585</v>
      </c>
      <c r="B1123">
        <v>36</v>
      </c>
      <c r="C1123" t="str">
        <f t="shared" si="256"/>
        <v>36-45</v>
      </c>
      <c r="D1123" t="s">
        <v>71</v>
      </c>
      <c r="E1123">
        <f t="shared" si="257"/>
        <v>0</v>
      </c>
      <c r="F1123" t="s">
        <v>57</v>
      </c>
      <c r="G1123">
        <v>884</v>
      </c>
      <c r="H1123" t="str">
        <f t="shared" si="258"/>
        <v>501-1000</v>
      </c>
      <c r="I1123" t="s">
        <v>58</v>
      </c>
      <c r="J1123">
        <v>1</v>
      </c>
      <c r="K1123" t="str">
        <f t="shared" si="259"/>
        <v>1-5</v>
      </c>
      <c r="L1123">
        <v>4</v>
      </c>
      <c r="M1123" t="s">
        <v>82</v>
      </c>
      <c r="N1123" t="s">
        <v>60</v>
      </c>
      <c r="O1123">
        <v>1</v>
      </c>
      <c r="P1123">
        <v>2</v>
      </c>
      <c r="Q1123" t="s">
        <v>61</v>
      </c>
      <c r="R1123" t="s">
        <v>62</v>
      </c>
      <c r="S1123">
        <v>73</v>
      </c>
      <c r="T1123" t="str">
        <f t="shared" si="260"/>
        <v>51-75</v>
      </c>
      <c r="U1123">
        <v>3</v>
      </c>
      <c r="V1123" t="s">
        <v>63</v>
      </c>
      <c r="W1123">
        <v>2</v>
      </c>
      <c r="X1123" t="s">
        <v>64</v>
      </c>
      <c r="Y1123">
        <v>3</v>
      </c>
      <c r="Z1123" t="s">
        <v>63</v>
      </c>
      <c r="AA1123" t="s">
        <v>66</v>
      </c>
      <c r="AB1123" s="4">
        <v>6815</v>
      </c>
      <c r="AC1123" s="4" t="str">
        <f t="shared" si="261"/>
        <v>$5,500-$7,000</v>
      </c>
      <c r="AD1123">
        <v>21447</v>
      </c>
      <c r="AE1123" t="str">
        <f t="shared" si="262"/>
        <v>$16,001-$22,000</v>
      </c>
      <c r="AF1123">
        <v>6</v>
      </c>
      <c r="AG1123" t="str">
        <f t="shared" si="263"/>
        <v>4-6</v>
      </c>
      <c r="AH1123" t="s">
        <v>67</v>
      </c>
      <c r="AI1123" t="s">
        <v>71</v>
      </c>
      <c r="AJ1123">
        <v>13</v>
      </c>
      <c r="AK1123" t="str">
        <f t="shared" si="264"/>
        <v>13-15%</v>
      </c>
      <c r="AL1123">
        <v>3</v>
      </c>
      <c r="AM1123" t="s">
        <v>68</v>
      </c>
      <c r="AN1123">
        <v>1</v>
      </c>
      <c r="AO1123" t="s">
        <v>69</v>
      </c>
      <c r="AP1123">
        <v>80</v>
      </c>
      <c r="AQ1123">
        <v>0</v>
      </c>
      <c r="AR1123">
        <v>15</v>
      </c>
      <c r="AS1123" t="str">
        <f t="shared" si="265"/>
        <v>11-20</v>
      </c>
      <c r="AT1123">
        <v>5</v>
      </c>
      <c r="AU1123" t="str">
        <f t="shared" si="266"/>
        <v>5-6</v>
      </c>
      <c r="AV1123">
        <v>3</v>
      </c>
      <c r="AW1123" t="s">
        <v>79</v>
      </c>
      <c r="AX1123">
        <v>1</v>
      </c>
      <c r="AY1123" t="str">
        <f t="shared" si="255"/>
        <v>0-1</v>
      </c>
      <c r="AZ1123">
        <v>0</v>
      </c>
      <c r="BA1123" t="str">
        <f t="shared" si="267"/>
        <v>0-1</v>
      </c>
      <c r="BB1123">
        <v>0</v>
      </c>
      <c r="BC1123" t="str">
        <f t="shared" si="268"/>
        <v>0-1</v>
      </c>
      <c r="BD1123">
        <v>0</v>
      </c>
      <c r="BE1123" t="str">
        <f t="shared" si="269"/>
        <v>0-1</v>
      </c>
    </row>
    <row r="1124" spans="1:57" x14ac:dyDescent="0.3">
      <c r="A1124">
        <v>1586</v>
      </c>
      <c r="B1124">
        <v>29</v>
      </c>
      <c r="C1124" t="str">
        <f t="shared" si="256"/>
        <v>26-35</v>
      </c>
      <c r="D1124" t="s">
        <v>71</v>
      </c>
      <c r="E1124">
        <f t="shared" si="257"/>
        <v>0</v>
      </c>
      <c r="F1124" t="s">
        <v>57</v>
      </c>
      <c r="G1124">
        <v>1370</v>
      </c>
      <c r="H1124" t="str">
        <f t="shared" si="258"/>
        <v>1001-1499</v>
      </c>
      <c r="I1124" t="s">
        <v>73</v>
      </c>
      <c r="J1124">
        <v>3</v>
      </c>
      <c r="K1124" t="str">
        <f t="shared" si="259"/>
        <v>1-5</v>
      </c>
      <c r="L1124">
        <v>1</v>
      </c>
      <c r="M1124" t="s">
        <v>74</v>
      </c>
      <c r="N1124" t="s">
        <v>83</v>
      </c>
      <c r="O1124">
        <v>1</v>
      </c>
      <c r="P1124">
        <v>2</v>
      </c>
      <c r="Q1124" t="s">
        <v>61</v>
      </c>
      <c r="R1124" t="s">
        <v>75</v>
      </c>
      <c r="S1124">
        <v>87</v>
      </c>
      <c r="T1124" t="str">
        <f t="shared" si="260"/>
        <v>76-100</v>
      </c>
      <c r="U1124">
        <v>3</v>
      </c>
      <c r="V1124" t="s">
        <v>63</v>
      </c>
      <c r="W1124">
        <v>1</v>
      </c>
      <c r="X1124" t="s">
        <v>81</v>
      </c>
      <c r="Y1124">
        <v>1</v>
      </c>
      <c r="Z1124" t="s">
        <v>69</v>
      </c>
      <c r="AA1124" t="s">
        <v>66</v>
      </c>
      <c r="AB1124" s="4">
        <v>4723</v>
      </c>
      <c r="AC1124" s="4" t="str">
        <f t="shared" si="261"/>
        <v>$4,000-$5,500</v>
      </c>
      <c r="AD1124">
        <v>16213</v>
      </c>
      <c r="AE1124" t="str">
        <f t="shared" si="262"/>
        <v>$16,001-$22,000</v>
      </c>
      <c r="AF1124">
        <v>1</v>
      </c>
      <c r="AG1124" t="str">
        <f t="shared" si="263"/>
        <v>0-1</v>
      </c>
      <c r="AH1124" t="s">
        <v>67</v>
      </c>
      <c r="AI1124" t="s">
        <v>56</v>
      </c>
      <c r="AJ1124">
        <v>18</v>
      </c>
      <c r="AK1124" t="str">
        <f t="shared" si="264"/>
        <v>18-19%</v>
      </c>
      <c r="AL1124">
        <v>3</v>
      </c>
      <c r="AM1124" t="s">
        <v>68</v>
      </c>
      <c r="AN1124">
        <v>4</v>
      </c>
      <c r="AO1124" t="s">
        <v>65</v>
      </c>
      <c r="AP1124">
        <v>80</v>
      </c>
      <c r="AQ1124">
        <v>0</v>
      </c>
      <c r="AR1124">
        <v>10</v>
      </c>
      <c r="AS1124" t="str">
        <f t="shared" si="265"/>
        <v>6-10</v>
      </c>
      <c r="AT1124">
        <v>3</v>
      </c>
      <c r="AU1124" t="str">
        <f t="shared" si="266"/>
        <v>3-4</v>
      </c>
      <c r="AV1124">
        <v>3</v>
      </c>
      <c r="AW1124" t="s">
        <v>79</v>
      </c>
      <c r="AX1124">
        <v>10</v>
      </c>
      <c r="AY1124" t="str">
        <f t="shared" si="255"/>
        <v>6-10</v>
      </c>
      <c r="AZ1124">
        <v>9</v>
      </c>
      <c r="BA1124" t="str">
        <f t="shared" si="267"/>
        <v>6-10</v>
      </c>
      <c r="BB1124">
        <v>1</v>
      </c>
      <c r="BC1124" t="str">
        <f t="shared" si="268"/>
        <v>0-1</v>
      </c>
      <c r="BD1124">
        <v>5</v>
      </c>
      <c r="BE1124" t="str">
        <f t="shared" si="269"/>
        <v>2-5</v>
      </c>
    </row>
    <row r="1125" spans="1:57" x14ac:dyDescent="0.3">
      <c r="A1125">
        <v>1587</v>
      </c>
      <c r="B1125">
        <v>35</v>
      </c>
      <c r="C1125" t="str">
        <f t="shared" si="256"/>
        <v>26-35</v>
      </c>
      <c r="D1125" t="s">
        <v>71</v>
      </c>
      <c r="E1125">
        <f t="shared" si="257"/>
        <v>0</v>
      </c>
      <c r="F1125" t="s">
        <v>57</v>
      </c>
      <c r="G1125">
        <v>670</v>
      </c>
      <c r="H1125" t="str">
        <f t="shared" si="258"/>
        <v>501-1000</v>
      </c>
      <c r="I1125" t="s">
        <v>73</v>
      </c>
      <c r="J1125">
        <v>10</v>
      </c>
      <c r="K1125" t="str">
        <f t="shared" si="259"/>
        <v>6-10</v>
      </c>
      <c r="L1125">
        <v>4</v>
      </c>
      <c r="M1125" t="s">
        <v>82</v>
      </c>
      <c r="N1125" t="s">
        <v>83</v>
      </c>
      <c r="O1125">
        <v>1</v>
      </c>
      <c r="P1125">
        <v>1</v>
      </c>
      <c r="Q1125" t="s">
        <v>69</v>
      </c>
      <c r="R1125" t="s">
        <v>62</v>
      </c>
      <c r="S1125">
        <v>51</v>
      </c>
      <c r="T1125" t="str">
        <f t="shared" si="260"/>
        <v>51-75</v>
      </c>
      <c r="U1125">
        <v>3</v>
      </c>
      <c r="V1125" t="s">
        <v>63</v>
      </c>
      <c r="W1125">
        <v>2</v>
      </c>
      <c r="X1125" t="s">
        <v>88</v>
      </c>
      <c r="Y1125">
        <v>3</v>
      </c>
      <c r="Z1125" t="s">
        <v>63</v>
      </c>
      <c r="AA1125" t="s">
        <v>66</v>
      </c>
      <c r="AB1125" s="4">
        <v>6142</v>
      </c>
      <c r="AC1125" s="4" t="str">
        <f t="shared" si="261"/>
        <v>$5,500-$7,000</v>
      </c>
      <c r="AD1125">
        <v>4223</v>
      </c>
      <c r="AE1125" t="str">
        <f t="shared" si="262"/>
        <v>$2,094-$8,000</v>
      </c>
      <c r="AF1125">
        <v>3</v>
      </c>
      <c r="AG1125" t="str">
        <f t="shared" si="263"/>
        <v>2-3</v>
      </c>
      <c r="AH1125" t="s">
        <v>67</v>
      </c>
      <c r="AI1125" t="s">
        <v>56</v>
      </c>
      <c r="AJ1125">
        <v>16</v>
      </c>
      <c r="AK1125" t="str">
        <f t="shared" si="264"/>
        <v>16-17%</v>
      </c>
      <c r="AL1125">
        <v>3</v>
      </c>
      <c r="AM1125" t="s">
        <v>68</v>
      </c>
      <c r="AN1125">
        <v>3</v>
      </c>
      <c r="AO1125" t="s">
        <v>63</v>
      </c>
      <c r="AP1125">
        <v>80</v>
      </c>
      <c r="AQ1125">
        <v>0</v>
      </c>
      <c r="AR1125">
        <v>10</v>
      </c>
      <c r="AS1125" t="str">
        <f t="shared" si="265"/>
        <v>6-10</v>
      </c>
      <c r="AT1125">
        <v>4</v>
      </c>
      <c r="AU1125" t="str">
        <f t="shared" si="266"/>
        <v>3-4</v>
      </c>
      <c r="AV1125">
        <v>3</v>
      </c>
      <c r="AW1125" t="s">
        <v>79</v>
      </c>
      <c r="AX1125">
        <v>5</v>
      </c>
      <c r="AY1125" t="str">
        <f t="shared" si="255"/>
        <v>2-5</v>
      </c>
      <c r="AZ1125">
        <v>2</v>
      </c>
      <c r="BA1125" t="str">
        <f t="shared" si="267"/>
        <v>2-5</v>
      </c>
      <c r="BB1125">
        <v>0</v>
      </c>
      <c r="BC1125" t="str">
        <f t="shared" si="268"/>
        <v>0-1</v>
      </c>
      <c r="BD1125">
        <v>4</v>
      </c>
      <c r="BE1125" t="str">
        <f t="shared" si="269"/>
        <v>2-5</v>
      </c>
    </row>
    <row r="1126" spans="1:57" x14ac:dyDescent="0.3">
      <c r="A1126">
        <v>1588</v>
      </c>
      <c r="B1126">
        <v>39</v>
      </c>
      <c r="C1126" t="str">
        <f t="shared" si="256"/>
        <v>36-45</v>
      </c>
      <c r="D1126" t="s">
        <v>71</v>
      </c>
      <c r="E1126">
        <f t="shared" si="257"/>
        <v>0</v>
      </c>
      <c r="F1126" t="s">
        <v>57</v>
      </c>
      <c r="G1126">
        <v>1462</v>
      </c>
      <c r="H1126" t="str">
        <f t="shared" si="258"/>
        <v>1001-1499</v>
      </c>
      <c r="I1126" t="s">
        <v>58</v>
      </c>
      <c r="J1126">
        <v>6</v>
      </c>
      <c r="K1126" t="str">
        <f t="shared" si="259"/>
        <v>6-10</v>
      </c>
      <c r="L1126">
        <v>3</v>
      </c>
      <c r="M1126" t="s">
        <v>85</v>
      </c>
      <c r="N1126" t="s">
        <v>83</v>
      </c>
      <c r="O1126">
        <v>1</v>
      </c>
      <c r="P1126">
        <v>4</v>
      </c>
      <c r="Q1126" t="s">
        <v>65</v>
      </c>
      <c r="R1126" t="s">
        <v>75</v>
      </c>
      <c r="S1126">
        <v>38</v>
      </c>
      <c r="T1126" t="str">
        <f t="shared" si="260"/>
        <v>30-50</v>
      </c>
      <c r="U1126">
        <v>4</v>
      </c>
      <c r="V1126" t="s">
        <v>65</v>
      </c>
      <c r="W1126">
        <v>3</v>
      </c>
      <c r="X1126" t="s">
        <v>64</v>
      </c>
      <c r="Y1126">
        <v>3</v>
      </c>
      <c r="Z1126" t="s">
        <v>63</v>
      </c>
      <c r="AA1126" t="s">
        <v>77</v>
      </c>
      <c r="AB1126" s="4">
        <v>8237</v>
      </c>
      <c r="AC1126" s="4" t="str">
        <f t="shared" si="261"/>
        <v>$7,000-$8,500</v>
      </c>
      <c r="AD1126">
        <v>4658</v>
      </c>
      <c r="AE1126" t="str">
        <f t="shared" si="262"/>
        <v>$2,094-$8,000</v>
      </c>
      <c r="AF1126">
        <v>2</v>
      </c>
      <c r="AG1126" t="str">
        <f t="shared" si="263"/>
        <v>2-3</v>
      </c>
      <c r="AH1126" t="s">
        <v>67</v>
      </c>
      <c r="AI1126" t="s">
        <v>71</v>
      </c>
      <c r="AJ1126">
        <v>11</v>
      </c>
      <c r="AK1126" t="str">
        <f t="shared" si="264"/>
        <v>11-12%</v>
      </c>
      <c r="AL1126">
        <v>3</v>
      </c>
      <c r="AM1126" t="s">
        <v>68</v>
      </c>
      <c r="AN1126">
        <v>1</v>
      </c>
      <c r="AO1126" t="s">
        <v>69</v>
      </c>
      <c r="AP1126">
        <v>80</v>
      </c>
      <c r="AQ1126">
        <v>1</v>
      </c>
      <c r="AR1126">
        <v>11</v>
      </c>
      <c r="AS1126" t="str">
        <f t="shared" si="265"/>
        <v>11-20</v>
      </c>
      <c r="AT1126">
        <v>3</v>
      </c>
      <c r="AU1126" t="str">
        <f t="shared" si="266"/>
        <v>3-4</v>
      </c>
      <c r="AV1126">
        <v>3</v>
      </c>
      <c r="AW1126" t="s">
        <v>79</v>
      </c>
      <c r="AX1126">
        <v>7</v>
      </c>
      <c r="AY1126" t="str">
        <f t="shared" si="255"/>
        <v>6-10</v>
      </c>
      <c r="AZ1126">
        <v>6</v>
      </c>
      <c r="BA1126" t="str">
        <f t="shared" si="267"/>
        <v>6-10</v>
      </c>
      <c r="BB1126">
        <v>7</v>
      </c>
      <c r="BC1126" t="str">
        <f t="shared" si="268"/>
        <v>6-10</v>
      </c>
      <c r="BD1126">
        <v>6</v>
      </c>
      <c r="BE1126" t="str">
        <f t="shared" si="269"/>
        <v>6-10</v>
      </c>
    </row>
    <row r="1127" spans="1:57" x14ac:dyDescent="0.3">
      <c r="A1127">
        <v>1590</v>
      </c>
      <c r="B1127">
        <v>29</v>
      </c>
      <c r="C1127" t="str">
        <f t="shared" si="256"/>
        <v>26-35</v>
      </c>
      <c r="D1127" t="s">
        <v>71</v>
      </c>
      <c r="E1127">
        <f t="shared" si="257"/>
        <v>0</v>
      </c>
      <c r="F1127" t="s">
        <v>72</v>
      </c>
      <c r="G1127">
        <v>995</v>
      </c>
      <c r="H1127" t="str">
        <f t="shared" si="258"/>
        <v>501-1000</v>
      </c>
      <c r="I1127" t="s">
        <v>73</v>
      </c>
      <c r="J1127">
        <v>2</v>
      </c>
      <c r="K1127" t="str">
        <f t="shared" si="259"/>
        <v>1-5</v>
      </c>
      <c r="L1127">
        <v>1</v>
      </c>
      <c r="M1127" t="s">
        <v>74</v>
      </c>
      <c r="N1127" t="s">
        <v>60</v>
      </c>
      <c r="O1127">
        <v>1</v>
      </c>
      <c r="P1127">
        <v>1</v>
      </c>
      <c r="Q1127" t="s">
        <v>69</v>
      </c>
      <c r="R1127" t="s">
        <v>75</v>
      </c>
      <c r="S1127">
        <v>87</v>
      </c>
      <c r="T1127" t="str">
        <f t="shared" si="260"/>
        <v>76-100</v>
      </c>
      <c r="U1127">
        <v>3</v>
      </c>
      <c r="V1127" t="s">
        <v>63</v>
      </c>
      <c r="W1127">
        <v>2</v>
      </c>
      <c r="X1127" t="s">
        <v>88</v>
      </c>
      <c r="Y1127">
        <v>4</v>
      </c>
      <c r="Z1127" t="s">
        <v>65</v>
      </c>
      <c r="AA1127" t="s">
        <v>86</v>
      </c>
      <c r="AB1127" s="4">
        <v>8853</v>
      </c>
      <c r="AC1127" s="4" t="str">
        <f t="shared" si="261"/>
        <v>$8,500-$10,000</v>
      </c>
      <c r="AD1127">
        <v>24483</v>
      </c>
      <c r="AE1127" t="str">
        <f t="shared" si="262"/>
        <v>$22,001-$26,999</v>
      </c>
      <c r="AF1127">
        <v>1</v>
      </c>
      <c r="AG1127" t="str">
        <f t="shared" si="263"/>
        <v>0-1</v>
      </c>
      <c r="AH1127" t="s">
        <v>67</v>
      </c>
      <c r="AI1127" t="s">
        <v>71</v>
      </c>
      <c r="AJ1127">
        <v>19</v>
      </c>
      <c r="AK1127" t="str">
        <f t="shared" si="264"/>
        <v>18-19%</v>
      </c>
      <c r="AL1127">
        <v>3</v>
      </c>
      <c r="AM1127" t="s">
        <v>68</v>
      </c>
      <c r="AN1127">
        <v>4</v>
      </c>
      <c r="AO1127" t="s">
        <v>65</v>
      </c>
      <c r="AP1127">
        <v>80</v>
      </c>
      <c r="AQ1127">
        <v>1</v>
      </c>
      <c r="AR1127">
        <v>6</v>
      </c>
      <c r="AS1127" t="str">
        <f t="shared" si="265"/>
        <v>6-10</v>
      </c>
      <c r="AT1127">
        <v>0</v>
      </c>
      <c r="AU1127" t="str">
        <f t="shared" si="266"/>
        <v>0-2</v>
      </c>
      <c r="AV1127">
        <v>4</v>
      </c>
      <c r="AW1127" t="s">
        <v>94</v>
      </c>
      <c r="AX1127">
        <v>6</v>
      </c>
      <c r="AY1127" t="str">
        <f t="shared" si="255"/>
        <v>6-10</v>
      </c>
      <c r="AZ1127">
        <v>4</v>
      </c>
      <c r="BA1127" t="str">
        <f t="shared" si="267"/>
        <v>2-5</v>
      </c>
      <c r="BB1127">
        <v>1</v>
      </c>
      <c r="BC1127" t="str">
        <f t="shared" si="268"/>
        <v>0-1</v>
      </c>
      <c r="BD1127">
        <v>3</v>
      </c>
      <c r="BE1127" t="str">
        <f t="shared" si="269"/>
        <v>2-5</v>
      </c>
    </row>
    <row r="1128" spans="1:57" x14ac:dyDescent="0.3">
      <c r="A1128">
        <v>1591</v>
      </c>
      <c r="B1128">
        <v>50</v>
      </c>
      <c r="C1128" t="str">
        <f t="shared" si="256"/>
        <v>46-55</v>
      </c>
      <c r="D1128" t="s">
        <v>71</v>
      </c>
      <c r="E1128">
        <f t="shared" si="257"/>
        <v>0</v>
      </c>
      <c r="F1128" t="s">
        <v>57</v>
      </c>
      <c r="G1128">
        <v>264</v>
      </c>
      <c r="H1128" t="str">
        <f t="shared" si="258"/>
        <v>102-500</v>
      </c>
      <c r="I1128" t="s">
        <v>58</v>
      </c>
      <c r="J1128">
        <v>9</v>
      </c>
      <c r="K1128" t="str">
        <f t="shared" si="259"/>
        <v>6-10</v>
      </c>
      <c r="L1128">
        <v>3</v>
      </c>
      <c r="M1128" t="s">
        <v>85</v>
      </c>
      <c r="N1128" t="s">
        <v>93</v>
      </c>
      <c r="O1128">
        <v>1</v>
      </c>
      <c r="P1128">
        <v>3</v>
      </c>
      <c r="Q1128" t="s">
        <v>63</v>
      </c>
      <c r="R1128" t="s">
        <v>75</v>
      </c>
      <c r="S1128">
        <v>59</v>
      </c>
      <c r="T1128" t="str">
        <f t="shared" si="260"/>
        <v>51-75</v>
      </c>
      <c r="U1128">
        <v>3</v>
      </c>
      <c r="V1128" t="s">
        <v>63</v>
      </c>
      <c r="W1128">
        <v>5</v>
      </c>
      <c r="X1128" t="s">
        <v>90</v>
      </c>
      <c r="Y1128">
        <v>3</v>
      </c>
      <c r="Z1128" t="s">
        <v>63</v>
      </c>
      <c r="AA1128" t="s">
        <v>77</v>
      </c>
      <c r="AB1128" s="4">
        <v>19331</v>
      </c>
      <c r="AC1128" s="4" t="str">
        <f t="shared" si="261"/>
        <v>$19,000-$20,500</v>
      </c>
      <c r="AD1128">
        <v>19519</v>
      </c>
      <c r="AE1128" t="str">
        <f t="shared" si="262"/>
        <v>$16,001-$22,000</v>
      </c>
      <c r="AF1128">
        <v>4</v>
      </c>
      <c r="AG1128" t="str">
        <f t="shared" si="263"/>
        <v>4-6</v>
      </c>
      <c r="AH1128" t="s">
        <v>67</v>
      </c>
      <c r="AI1128" t="s">
        <v>56</v>
      </c>
      <c r="AJ1128">
        <v>16</v>
      </c>
      <c r="AK1128" t="str">
        <f t="shared" si="264"/>
        <v>16-17%</v>
      </c>
      <c r="AL1128">
        <v>3</v>
      </c>
      <c r="AM1128" t="s">
        <v>68</v>
      </c>
      <c r="AN1128">
        <v>3</v>
      </c>
      <c r="AO1128" t="s">
        <v>63</v>
      </c>
      <c r="AP1128">
        <v>80</v>
      </c>
      <c r="AQ1128">
        <v>1</v>
      </c>
      <c r="AR1128">
        <v>27</v>
      </c>
      <c r="AS1128" t="str">
        <f t="shared" si="265"/>
        <v>21-40</v>
      </c>
      <c r="AT1128">
        <v>2</v>
      </c>
      <c r="AU1128" t="str">
        <f t="shared" si="266"/>
        <v>0-2</v>
      </c>
      <c r="AV1128">
        <v>3</v>
      </c>
      <c r="AW1128" t="s">
        <v>79</v>
      </c>
      <c r="AX1128">
        <v>1</v>
      </c>
      <c r="AY1128" t="str">
        <f t="shared" si="255"/>
        <v>0-1</v>
      </c>
      <c r="AZ1128">
        <v>0</v>
      </c>
      <c r="BA1128" t="str">
        <f t="shared" si="267"/>
        <v>0-1</v>
      </c>
      <c r="BB1128">
        <v>0</v>
      </c>
      <c r="BC1128" t="str">
        <f t="shared" si="268"/>
        <v>0-1</v>
      </c>
      <c r="BD1128">
        <v>0</v>
      </c>
      <c r="BE1128" t="str">
        <f t="shared" si="269"/>
        <v>0-1</v>
      </c>
    </row>
    <row r="1129" spans="1:57" x14ac:dyDescent="0.3">
      <c r="A1129">
        <v>1592</v>
      </c>
      <c r="B1129">
        <v>23</v>
      </c>
      <c r="C1129" t="str">
        <f t="shared" si="256"/>
        <v>18-25</v>
      </c>
      <c r="D1129" t="s">
        <v>71</v>
      </c>
      <c r="E1129">
        <f t="shared" si="257"/>
        <v>0</v>
      </c>
      <c r="F1129" t="s">
        <v>57</v>
      </c>
      <c r="G1129">
        <v>977</v>
      </c>
      <c r="H1129" t="str">
        <f t="shared" si="258"/>
        <v>501-1000</v>
      </c>
      <c r="I1129" t="s">
        <v>73</v>
      </c>
      <c r="J1129">
        <v>10</v>
      </c>
      <c r="K1129" t="str">
        <f t="shared" si="259"/>
        <v>6-10</v>
      </c>
      <c r="L1129">
        <v>3</v>
      </c>
      <c r="M1129" t="s">
        <v>85</v>
      </c>
      <c r="N1129" t="s">
        <v>95</v>
      </c>
      <c r="O1129">
        <v>1</v>
      </c>
      <c r="P1129">
        <v>4</v>
      </c>
      <c r="Q1129" t="s">
        <v>65</v>
      </c>
      <c r="R1129" t="s">
        <v>75</v>
      </c>
      <c r="S1129">
        <v>45</v>
      </c>
      <c r="T1129" t="str">
        <f t="shared" si="260"/>
        <v>30-50</v>
      </c>
      <c r="U1129">
        <v>4</v>
      </c>
      <c r="V1129" t="s">
        <v>65</v>
      </c>
      <c r="W1129">
        <v>1</v>
      </c>
      <c r="X1129" t="s">
        <v>76</v>
      </c>
      <c r="Y1129">
        <v>3</v>
      </c>
      <c r="Z1129" t="s">
        <v>63</v>
      </c>
      <c r="AA1129" t="s">
        <v>77</v>
      </c>
      <c r="AB1129" s="4">
        <v>2073</v>
      </c>
      <c r="AC1129" s="4" t="str">
        <f t="shared" si="261"/>
        <v>$1,000-$2,500</v>
      </c>
      <c r="AD1129">
        <v>12826</v>
      </c>
      <c r="AE1129" t="str">
        <f t="shared" si="262"/>
        <v>$8,001-$16,000</v>
      </c>
      <c r="AF1129">
        <v>2</v>
      </c>
      <c r="AG1129" t="str">
        <f t="shared" si="263"/>
        <v>2-3</v>
      </c>
      <c r="AH1129" t="s">
        <v>67</v>
      </c>
      <c r="AI1129" t="s">
        <v>71</v>
      </c>
      <c r="AJ1129">
        <v>16</v>
      </c>
      <c r="AK1129" t="str">
        <f t="shared" si="264"/>
        <v>16-17%</v>
      </c>
      <c r="AL1129">
        <v>3</v>
      </c>
      <c r="AM1129" t="s">
        <v>68</v>
      </c>
      <c r="AN1129">
        <v>4</v>
      </c>
      <c r="AO1129" t="s">
        <v>65</v>
      </c>
      <c r="AP1129">
        <v>80</v>
      </c>
      <c r="AQ1129">
        <v>1</v>
      </c>
      <c r="AR1129">
        <v>4</v>
      </c>
      <c r="AS1129" t="str">
        <f t="shared" si="265"/>
        <v>3-5</v>
      </c>
      <c r="AT1129">
        <v>2</v>
      </c>
      <c r="AU1129" t="str">
        <f t="shared" si="266"/>
        <v>0-2</v>
      </c>
      <c r="AV1129">
        <v>3</v>
      </c>
      <c r="AW1129" t="s">
        <v>79</v>
      </c>
      <c r="AX1129">
        <v>2</v>
      </c>
      <c r="AY1129" t="str">
        <f t="shared" si="255"/>
        <v>2-5</v>
      </c>
      <c r="AZ1129">
        <v>2</v>
      </c>
      <c r="BA1129" t="str">
        <f t="shared" si="267"/>
        <v>2-5</v>
      </c>
      <c r="BB1129">
        <v>2</v>
      </c>
      <c r="BC1129" t="str">
        <f t="shared" si="268"/>
        <v>2-5</v>
      </c>
      <c r="BD1129">
        <v>2</v>
      </c>
      <c r="BE1129" t="str">
        <f t="shared" si="269"/>
        <v>2-5</v>
      </c>
    </row>
    <row r="1130" spans="1:57" x14ac:dyDescent="0.3">
      <c r="A1130">
        <v>1594</v>
      </c>
      <c r="B1130">
        <v>36</v>
      </c>
      <c r="C1130" t="str">
        <f t="shared" si="256"/>
        <v>36-45</v>
      </c>
      <c r="D1130" t="s">
        <v>71</v>
      </c>
      <c r="E1130">
        <f t="shared" si="257"/>
        <v>0</v>
      </c>
      <c r="F1130" t="s">
        <v>72</v>
      </c>
      <c r="G1130">
        <v>1302</v>
      </c>
      <c r="H1130" t="str">
        <f t="shared" si="258"/>
        <v>1001-1499</v>
      </c>
      <c r="I1130" t="s">
        <v>73</v>
      </c>
      <c r="J1130">
        <v>6</v>
      </c>
      <c r="K1130" t="str">
        <f t="shared" si="259"/>
        <v>6-10</v>
      </c>
      <c r="L1130">
        <v>4</v>
      </c>
      <c r="M1130" t="s">
        <v>82</v>
      </c>
      <c r="N1130" t="s">
        <v>60</v>
      </c>
      <c r="O1130">
        <v>1</v>
      </c>
      <c r="P1130">
        <v>1</v>
      </c>
      <c r="Q1130" t="s">
        <v>69</v>
      </c>
      <c r="R1130" t="s">
        <v>75</v>
      </c>
      <c r="S1130">
        <v>80</v>
      </c>
      <c r="T1130" t="str">
        <f t="shared" si="260"/>
        <v>76-100</v>
      </c>
      <c r="U1130">
        <v>4</v>
      </c>
      <c r="V1130" t="s">
        <v>65</v>
      </c>
      <c r="W1130">
        <v>2</v>
      </c>
      <c r="X1130" t="s">
        <v>81</v>
      </c>
      <c r="Y1130">
        <v>1</v>
      </c>
      <c r="Z1130" t="s">
        <v>69</v>
      </c>
      <c r="AA1130" t="s">
        <v>77</v>
      </c>
      <c r="AB1130" s="4">
        <v>5562</v>
      </c>
      <c r="AC1130" s="4" t="str">
        <f t="shared" si="261"/>
        <v>$5,500-$7,000</v>
      </c>
      <c r="AD1130">
        <v>19711</v>
      </c>
      <c r="AE1130" t="str">
        <f t="shared" si="262"/>
        <v>$16,001-$22,000</v>
      </c>
      <c r="AF1130">
        <v>3</v>
      </c>
      <c r="AG1130" t="str">
        <f t="shared" si="263"/>
        <v>2-3</v>
      </c>
      <c r="AH1130" t="s">
        <v>67</v>
      </c>
      <c r="AI1130" t="s">
        <v>56</v>
      </c>
      <c r="AJ1130">
        <v>13</v>
      </c>
      <c r="AK1130" t="str">
        <f t="shared" si="264"/>
        <v>13-15%</v>
      </c>
      <c r="AL1130">
        <v>3</v>
      </c>
      <c r="AM1130" t="s">
        <v>68</v>
      </c>
      <c r="AN1130">
        <v>4</v>
      </c>
      <c r="AO1130" t="s">
        <v>65</v>
      </c>
      <c r="AP1130">
        <v>80</v>
      </c>
      <c r="AQ1130">
        <v>1</v>
      </c>
      <c r="AR1130">
        <v>9</v>
      </c>
      <c r="AS1130" t="str">
        <f t="shared" si="265"/>
        <v>6-10</v>
      </c>
      <c r="AT1130">
        <v>3</v>
      </c>
      <c r="AU1130" t="str">
        <f t="shared" si="266"/>
        <v>3-4</v>
      </c>
      <c r="AV1130">
        <v>3</v>
      </c>
      <c r="AW1130" t="s">
        <v>79</v>
      </c>
      <c r="AX1130">
        <v>3</v>
      </c>
      <c r="AY1130" t="str">
        <f t="shared" si="255"/>
        <v>2-5</v>
      </c>
      <c r="AZ1130">
        <v>2</v>
      </c>
      <c r="BA1130" t="str">
        <f t="shared" si="267"/>
        <v>2-5</v>
      </c>
      <c r="BB1130">
        <v>0</v>
      </c>
      <c r="BC1130" t="str">
        <f t="shared" si="268"/>
        <v>0-1</v>
      </c>
      <c r="BD1130">
        <v>2</v>
      </c>
      <c r="BE1130" t="str">
        <f t="shared" si="269"/>
        <v>2-5</v>
      </c>
    </row>
    <row r="1131" spans="1:57" x14ac:dyDescent="0.3">
      <c r="A1131">
        <v>1595</v>
      </c>
      <c r="B1131">
        <v>42</v>
      </c>
      <c r="C1131" t="str">
        <f t="shared" si="256"/>
        <v>36-45</v>
      </c>
      <c r="D1131" t="s">
        <v>71</v>
      </c>
      <c r="E1131">
        <f t="shared" si="257"/>
        <v>0</v>
      </c>
      <c r="F1131" t="s">
        <v>57</v>
      </c>
      <c r="G1131">
        <v>1059</v>
      </c>
      <c r="H1131" t="str">
        <f t="shared" si="258"/>
        <v>1001-1499</v>
      </c>
      <c r="I1131" t="s">
        <v>73</v>
      </c>
      <c r="J1131">
        <v>9</v>
      </c>
      <c r="K1131" t="str">
        <f t="shared" si="259"/>
        <v>6-10</v>
      </c>
      <c r="L1131">
        <v>2</v>
      </c>
      <c r="M1131" t="s">
        <v>59</v>
      </c>
      <c r="N1131" t="s">
        <v>80</v>
      </c>
      <c r="O1131">
        <v>1</v>
      </c>
      <c r="P1131">
        <v>4</v>
      </c>
      <c r="Q1131" t="s">
        <v>65</v>
      </c>
      <c r="R1131" t="s">
        <v>75</v>
      </c>
      <c r="S1131">
        <v>93</v>
      </c>
      <c r="T1131" t="str">
        <f t="shared" si="260"/>
        <v>76-100</v>
      </c>
      <c r="U1131">
        <v>2</v>
      </c>
      <c r="V1131" t="s">
        <v>61</v>
      </c>
      <c r="W1131">
        <v>5</v>
      </c>
      <c r="X1131" t="s">
        <v>90</v>
      </c>
      <c r="Y1131">
        <v>4</v>
      </c>
      <c r="Z1131" t="s">
        <v>65</v>
      </c>
      <c r="AA1131" t="s">
        <v>66</v>
      </c>
      <c r="AB1131" s="4">
        <v>19613</v>
      </c>
      <c r="AC1131" s="4" t="str">
        <f t="shared" si="261"/>
        <v>$19,000-$20,500</v>
      </c>
      <c r="AD1131">
        <v>26362</v>
      </c>
      <c r="AE1131" t="str">
        <f t="shared" si="262"/>
        <v>$22,001-$26,999</v>
      </c>
      <c r="AF1131">
        <v>8</v>
      </c>
      <c r="AG1131" t="str">
        <f t="shared" si="263"/>
        <v>7-9</v>
      </c>
      <c r="AH1131" t="s">
        <v>67</v>
      </c>
      <c r="AI1131" t="s">
        <v>71</v>
      </c>
      <c r="AJ1131">
        <v>22</v>
      </c>
      <c r="AK1131" t="str">
        <f t="shared" si="264"/>
        <v>18-19%</v>
      </c>
      <c r="AL1131">
        <v>4</v>
      </c>
      <c r="AM1131" t="s">
        <v>78</v>
      </c>
      <c r="AN1131">
        <v>4</v>
      </c>
      <c r="AO1131" t="s">
        <v>65</v>
      </c>
      <c r="AP1131">
        <v>80</v>
      </c>
      <c r="AQ1131">
        <v>0</v>
      </c>
      <c r="AR1131">
        <v>24</v>
      </c>
      <c r="AS1131" t="str">
        <f t="shared" si="265"/>
        <v>21-40</v>
      </c>
      <c r="AT1131">
        <v>2</v>
      </c>
      <c r="AU1131" t="str">
        <f t="shared" si="266"/>
        <v>0-2</v>
      </c>
      <c r="AV1131">
        <v>3</v>
      </c>
      <c r="AW1131" t="s">
        <v>79</v>
      </c>
      <c r="AX1131">
        <v>1</v>
      </c>
      <c r="AY1131" t="str">
        <f t="shared" si="255"/>
        <v>0-1</v>
      </c>
      <c r="AZ1131">
        <v>0</v>
      </c>
      <c r="BA1131" t="str">
        <f t="shared" si="267"/>
        <v>0-1</v>
      </c>
      <c r="BB1131">
        <v>0</v>
      </c>
      <c r="BC1131" t="str">
        <f t="shared" si="268"/>
        <v>0-1</v>
      </c>
      <c r="BD1131">
        <v>1</v>
      </c>
      <c r="BE1131" t="str">
        <f t="shared" si="269"/>
        <v>0-1</v>
      </c>
    </row>
    <row r="1132" spans="1:57" x14ac:dyDescent="0.3">
      <c r="A1132">
        <v>1596</v>
      </c>
      <c r="B1132">
        <v>35</v>
      </c>
      <c r="C1132" t="str">
        <f t="shared" si="256"/>
        <v>26-35</v>
      </c>
      <c r="D1132" t="s">
        <v>71</v>
      </c>
      <c r="E1132">
        <f t="shared" si="257"/>
        <v>0</v>
      </c>
      <c r="F1132" t="s">
        <v>57</v>
      </c>
      <c r="G1132">
        <v>750</v>
      </c>
      <c r="H1132" t="str">
        <f t="shared" si="258"/>
        <v>501-1000</v>
      </c>
      <c r="I1132" t="s">
        <v>73</v>
      </c>
      <c r="J1132">
        <v>28</v>
      </c>
      <c r="K1132" t="str">
        <f t="shared" si="259"/>
        <v>21-29</v>
      </c>
      <c r="L1132">
        <v>3</v>
      </c>
      <c r="M1132" t="s">
        <v>85</v>
      </c>
      <c r="N1132" t="s">
        <v>60</v>
      </c>
      <c r="O1132">
        <v>1</v>
      </c>
      <c r="P1132">
        <v>2</v>
      </c>
      <c r="Q1132" t="s">
        <v>61</v>
      </c>
      <c r="R1132" t="s">
        <v>75</v>
      </c>
      <c r="S1132">
        <v>46</v>
      </c>
      <c r="T1132" t="str">
        <f t="shared" si="260"/>
        <v>30-50</v>
      </c>
      <c r="U1132">
        <v>4</v>
      </c>
      <c r="V1132" t="s">
        <v>65</v>
      </c>
      <c r="W1132">
        <v>2</v>
      </c>
      <c r="X1132" t="s">
        <v>81</v>
      </c>
      <c r="Y1132">
        <v>3</v>
      </c>
      <c r="Z1132" t="s">
        <v>63</v>
      </c>
      <c r="AA1132" t="s">
        <v>77</v>
      </c>
      <c r="AB1132" s="4">
        <v>3407</v>
      </c>
      <c r="AC1132" s="4" t="str">
        <f t="shared" si="261"/>
        <v>$2,500-$4,000</v>
      </c>
      <c r="AD1132">
        <v>25348</v>
      </c>
      <c r="AE1132" t="str">
        <f t="shared" si="262"/>
        <v>$22,001-$26,999</v>
      </c>
      <c r="AF1132">
        <v>1</v>
      </c>
      <c r="AG1132" t="str">
        <f t="shared" si="263"/>
        <v>0-1</v>
      </c>
      <c r="AH1132" t="s">
        <v>67</v>
      </c>
      <c r="AI1132" t="s">
        <v>71</v>
      </c>
      <c r="AJ1132">
        <v>17</v>
      </c>
      <c r="AK1132" t="str">
        <f t="shared" si="264"/>
        <v>16-17%</v>
      </c>
      <c r="AL1132">
        <v>3</v>
      </c>
      <c r="AM1132" t="s">
        <v>68</v>
      </c>
      <c r="AN1132">
        <v>4</v>
      </c>
      <c r="AO1132" t="s">
        <v>65</v>
      </c>
      <c r="AP1132">
        <v>80</v>
      </c>
      <c r="AQ1132">
        <v>2</v>
      </c>
      <c r="AR1132">
        <v>10</v>
      </c>
      <c r="AS1132" t="str">
        <f t="shared" si="265"/>
        <v>6-10</v>
      </c>
      <c r="AT1132">
        <v>3</v>
      </c>
      <c r="AU1132" t="str">
        <f t="shared" si="266"/>
        <v>3-4</v>
      </c>
      <c r="AV1132">
        <v>2</v>
      </c>
      <c r="AW1132" t="s">
        <v>84</v>
      </c>
      <c r="AX1132">
        <v>10</v>
      </c>
      <c r="AY1132" t="str">
        <f t="shared" si="255"/>
        <v>6-10</v>
      </c>
      <c r="AZ1132">
        <v>9</v>
      </c>
      <c r="BA1132" t="str">
        <f t="shared" si="267"/>
        <v>6-10</v>
      </c>
      <c r="BB1132">
        <v>6</v>
      </c>
      <c r="BC1132" t="str">
        <f t="shared" si="268"/>
        <v>6-10</v>
      </c>
      <c r="BD1132">
        <v>8</v>
      </c>
      <c r="BE1132" t="str">
        <f t="shared" si="269"/>
        <v>6-10</v>
      </c>
    </row>
    <row r="1133" spans="1:57" x14ac:dyDescent="0.3">
      <c r="A1133">
        <v>1597</v>
      </c>
      <c r="B1133">
        <v>34</v>
      </c>
      <c r="C1133" t="str">
        <f t="shared" si="256"/>
        <v>26-35</v>
      </c>
      <c r="D1133" t="s">
        <v>71</v>
      </c>
      <c r="E1133">
        <f t="shared" si="257"/>
        <v>0</v>
      </c>
      <c r="F1133" t="s">
        <v>72</v>
      </c>
      <c r="G1133">
        <v>653</v>
      </c>
      <c r="H1133" t="str">
        <f t="shared" si="258"/>
        <v>501-1000</v>
      </c>
      <c r="I1133" t="s">
        <v>73</v>
      </c>
      <c r="J1133">
        <v>10</v>
      </c>
      <c r="K1133" t="str">
        <f t="shared" si="259"/>
        <v>6-10</v>
      </c>
      <c r="L1133">
        <v>4</v>
      </c>
      <c r="M1133" t="s">
        <v>82</v>
      </c>
      <c r="N1133" t="s">
        <v>95</v>
      </c>
      <c r="O1133">
        <v>1</v>
      </c>
      <c r="P1133">
        <v>4</v>
      </c>
      <c r="Q1133" t="s">
        <v>65</v>
      </c>
      <c r="R1133" t="s">
        <v>75</v>
      </c>
      <c r="S1133">
        <v>92</v>
      </c>
      <c r="T1133" t="str">
        <f t="shared" si="260"/>
        <v>76-100</v>
      </c>
      <c r="U1133">
        <v>2</v>
      </c>
      <c r="V1133" t="s">
        <v>61</v>
      </c>
      <c r="W1133">
        <v>2</v>
      </c>
      <c r="X1133" t="s">
        <v>88</v>
      </c>
      <c r="Y1133">
        <v>3</v>
      </c>
      <c r="Z1133" t="s">
        <v>63</v>
      </c>
      <c r="AA1133" t="s">
        <v>77</v>
      </c>
      <c r="AB1133" s="4">
        <v>5063</v>
      </c>
      <c r="AC1133" s="4" t="str">
        <f t="shared" si="261"/>
        <v>$4,000-$5,500</v>
      </c>
      <c r="AD1133">
        <v>15332</v>
      </c>
      <c r="AE1133" t="str">
        <f t="shared" si="262"/>
        <v>$8,001-$16,000</v>
      </c>
      <c r="AF1133">
        <v>1</v>
      </c>
      <c r="AG1133" t="str">
        <f t="shared" si="263"/>
        <v>0-1</v>
      </c>
      <c r="AH1133" t="s">
        <v>67</v>
      </c>
      <c r="AI1133" t="s">
        <v>71</v>
      </c>
      <c r="AJ1133">
        <v>14</v>
      </c>
      <c r="AK1133" t="str">
        <f t="shared" si="264"/>
        <v>13-15%</v>
      </c>
      <c r="AL1133">
        <v>3</v>
      </c>
      <c r="AM1133" t="s">
        <v>68</v>
      </c>
      <c r="AN1133">
        <v>2</v>
      </c>
      <c r="AO1133" t="s">
        <v>61</v>
      </c>
      <c r="AP1133">
        <v>80</v>
      </c>
      <c r="AQ1133">
        <v>1</v>
      </c>
      <c r="AR1133">
        <v>8</v>
      </c>
      <c r="AS1133" t="str">
        <f t="shared" si="265"/>
        <v>6-10</v>
      </c>
      <c r="AT1133">
        <v>3</v>
      </c>
      <c r="AU1133" t="str">
        <f t="shared" si="266"/>
        <v>3-4</v>
      </c>
      <c r="AV1133">
        <v>2</v>
      </c>
      <c r="AW1133" t="s">
        <v>84</v>
      </c>
      <c r="AX1133">
        <v>8</v>
      </c>
      <c r="AY1133" t="str">
        <f t="shared" si="255"/>
        <v>6-10</v>
      </c>
      <c r="AZ1133">
        <v>2</v>
      </c>
      <c r="BA1133" t="str">
        <f t="shared" si="267"/>
        <v>2-5</v>
      </c>
      <c r="BB1133">
        <v>7</v>
      </c>
      <c r="BC1133" t="str">
        <f t="shared" si="268"/>
        <v>6-10</v>
      </c>
      <c r="BD1133">
        <v>7</v>
      </c>
      <c r="BE1133" t="str">
        <f t="shared" si="269"/>
        <v>6-10</v>
      </c>
    </row>
    <row r="1134" spans="1:57" x14ac:dyDescent="0.3">
      <c r="A1134">
        <v>1598</v>
      </c>
      <c r="B1134">
        <v>40</v>
      </c>
      <c r="C1134" t="str">
        <f t="shared" si="256"/>
        <v>36-45</v>
      </c>
      <c r="D1134" t="s">
        <v>71</v>
      </c>
      <c r="E1134">
        <f t="shared" si="257"/>
        <v>0</v>
      </c>
      <c r="F1134" t="s">
        <v>57</v>
      </c>
      <c r="G1134">
        <v>118</v>
      </c>
      <c r="H1134" t="str">
        <f t="shared" si="258"/>
        <v>102-500</v>
      </c>
      <c r="I1134" t="s">
        <v>58</v>
      </c>
      <c r="J1134">
        <v>14</v>
      </c>
      <c r="K1134" t="str">
        <f t="shared" si="259"/>
        <v>11-20</v>
      </c>
      <c r="L1134">
        <v>2</v>
      </c>
      <c r="M1134" t="s">
        <v>59</v>
      </c>
      <c r="N1134" t="s">
        <v>60</v>
      </c>
      <c r="O1134">
        <v>1</v>
      </c>
      <c r="P1134">
        <v>4</v>
      </c>
      <c r="Q1134" t="s">
        <v>65</v>
      </c>
      <c r="R1134" t="s">
        <v>62</v>
      </c>
      <c r="S1134">
        <v>84</v>
      </c>
      <c r="T1134" t="str">
        <f t="shared" si="260"/>
        <v>76-100</v>
      </c>
      <c r="U1134">
        <v>3</v>
      </c>
      <c r="V1134" t="s">
        <v>63</v>
      </c>
      <c r="W1134">
        <v>2</v>
      </c>
      <c r="X1134" t="s">
        <v>64</v>
      </c>
      <c r="Y1134">
        <v>1</v>
      </c>
      <c r="Z1134" t="s">
        <v>69</v>
      </c>
      <c r="AA1134" t="s">
        <v>77</v>
      </c>
      <c r="AB1134" s="4">
        <v>4639</v>
      </c>
      <c r="AC1134" s="4" t="str">
        <f t="shared" si="261"/>
        <v>$4,000-$5,500</v>
      </c>
      <c r="AD1134">
        <v>11262</v>
      </c>
      <c r="AE1134" t="str">
        <f t="shared" si="262"/>
        <v>$8,001-$16,000</v>
      </c>
      <c r="AF1134">
        <v>1</v>
      </c>
      <c r="AG1134" t="str">
        <f t="shared" si="263"/>
        <v>0-1</v>
      </c>
      <c r="AH1134" t="s">
        <v>67</v>
      </c>
      <c r="AI1134" t="s">
        <v>71</v>
      </c>
      <c r="AJ1134">
        <v>15</v>
      </c>
      <c r="AK1134" t="str">
        <f t="shared" si="264"/>
        <v>13-15%</v>
      </c>
      <c r="AL1134">
        <v>3</v>
      </c>
      <c r="AM1134" t="s">
        <v>68</v>
      </c>
      <c r="AN1134">
        <v>3</v>
      </c>
      <c r="AO1134" t="s">
        <v>63</v>
      </c>
      <c r="AP1134">
        <v>80</v>
      </c>
      <c r="AQ1134">
        <v>1</v>
      </c>
      <c r="AR1134">
        <v>5</v>
      </c>
      <c r="AS1134" t="str">
        <f t="shared" si="265"/>
        <v>3-5</v>
      </c>
      <c r="AT1134">
        <v>2</v>
      </c>
      <c r="AU1134" t="str">
        <f t="shared" si="266"/>
        <v>0-2</v>
      </c>
      <c r="AV1134">
        <v>3</v>
      </c>
      <c r="AW1134" t="s">
        <v>79</v>
      </c>
      <c r="AX1134">
        <v>5</v>
      </c>
      <c r="AY1134" t="str">
        <f t="shared" si="255"/>
        <v>2-5</v>
      </c>
      <c r="AZ1134">
        <v>4</v>
      </c>
      <c r="BA1134" t="str">
        <f t="shared" si="267"/>
        <v>2-5</v>
      </c>
      <c r="BB1134">
        <v>1</v>
      </c>
      <c r="BC1134" t="str">
        <f t="shared" si="268"/>
        <v>0-1</v>
      </c>
      <c r="BD1134">
        <v>2</v>
      </c>
      <c r="BE1134" t="str">
        <f t="shared" si="269"/>
        <v>2-5</v>
      </c>
    </row>
    <row r="1135" spans="1:57" x14ac:dyDescent="0.3">
      <c r="A1135">
        <v>1599</v>
      </c>
      <c r="B1135">
        <v>43</v>
      </c>
      <c r="C1135" t="str">
        <f t="shared" si="256"/>
        <v>36-45</v>
      </c>
      <c r="D1135" t="s">
        <v>71</v>
      </c>
      <c r="E1135">
        <f t="shared" si="257"/>
        <v>0</v>
      </c>
      <c r="F1135" t="s">
        <v>57</v>
      </c>
      <c r="G1135">
        <v>990</v>
      </c>
      <c r="H1135" t="str">
        <f t="shared" si="258"/>
        <v>501-1000</v>
      </c>
      <c r="I1135" t="s">
        <v>73</v>
      </c>
      <c r="J1135">
        <v>27</v>
      </c>
      <c r="K1135" t="str">
        <f t="shared" si="259"/>
        <v>21-29</v>
      </c>
      <c r="L1135">
        <v>3</v>
      </c>
      <c r="M1135" t="s">
        <v>85</v>
      </c>
      <c r="N1135" t="s">
        <v>95</v>
      </c>
      <c r="O1135">
        <v>1</v>
      </c>
      <c r="P1135">
        <v>4</v>
      </c>
      <c r="Q1135" t="s">
        <v>65</v>
      </c>
      <c r="R1135" t="s">
        <v>75</v>
      </c>
      <c r="S1135">
        <v>87</v>
      </c>
      <c r="T1135" t="str">
        <f t="shared" si="260"/>
        <v>76-100</v>
      </c>
      <c r="U1135">
        <v>4</v>
      </c>
      <c r="V1135" t="s">
        <v>65</v>
      </c>
      <c r="W1135">
        <v>1</v>
      </c>
      <c r="X1135" t="s">
        <v>81</v>
      </c>
      <c r="Y1135">
        <v>2</v>
      </c>
      <c r="Z1135" t="s">
        <v>61</v>
      </c>
      <c r="AA1135" t="s">
        <v>86</v>
      </c>
      <c r="AB1135" s="4">
        <v>4876</v>
      </c>
      <c r="AC1135" s="4" t="str">
        <f t="shared" si="261"/>
        <v>$4,000-$5,500</v>
      </c>
      <c r="AD1135">
        <v>5855</v>
      </c>
      <c r="AE1135" t="str">
        <f t="shared" si="262"/>
        <v>$2,094-$8,000</v>
      </c>
      <c r="AF1135">
        <v>5</v>
      </c>
      <c r="AG1135" t="str">
        <f t="shared" si="263"/>
        <v>4-6</v>
      </c>
      <c r="AH1135" t="s">
        <v>67</v>
      </c>
      <c r="AI1135" t="s">
        <v>71</v>
      </c>
      <c r="AJ1135">
        <v>12</v>
      </c>
      <c r="AK1135" t="str">
        <f t="shared" si="264"/>
        <v>11-12%</v>
      </c>
      <c r="AL1135">
        <v>3</v>
      </c>
      <c r="AM1135" t="s">
        <v>68</v>
      </c>
      <c r="AN1135">
        <v>3</v>
      </c>
      <c r="AO1135" t="s">
        <v>63</v>
      </c>
      <c r="AP1135">
        <v>80</v>
      </c>
      <c r="AQ1135">
        <v>1</v>
      </c>
      <c r="AR1135">
        <v>8</v>
      </c>
      <c r="AS1135" t="str">
        <f t="shared" si="265"/>
        <v>6-10</v>
      </c>
      <c r="AT1135">
        <v>0</v>
      </c>
      <c r="AU1135" t="str">
        <f t="shared" si="266"/>
        <v>0-2</v>
      </c>
      <c r="AV1135">
        <v>3</v>
      </c>
      <c r="AW1135" t="s">
        <v>79</v>
      </c>
      <c r="AX1135">
        <v>6</v>
      </c>
      <c r="AY1135" t="str">
        <f t="shared" si="255"/>
        <v>6-10</v>
      </c>
      <c r="AZ1135">
        <v>4</v>
      </c>
      <c r="BA1135" t="str">
        <f t="shared" si="267"/>
        <v>2-5</v>
      </c>
      <c r="BB1135">
        <v>0</v>
      </c>
      <c r="BC1135" t="str">
        <f t="shared" si="268"/>
        <v>0-1</v>
      </c>
      <c r="BD1135">
        <v>2</v>
      </c>
      <c r="BE1135" t="str">
        <f t="shared" si="269"/>
        <v>2-5</v>
      </c>
    </row>
    <row r="1136" spans="1:57" x14ac:dyDescent="0.3">
      <c r="A1136">
        <v>1601</v>
      </c>
      <c r="B1136">
        <v>35</v>
      </c>
      <c r="C1136" t="str">
        <f t="shared" si="256"/>
        <v>26-35</v>
      </c>
      <c r="D1136" t="s">
        <v>71</v>
      </c>
      <c r="E1136">
        <f t="shared" si="257"/>
        <v>0</v>
      </c>
      <c r="F1136" t="s">
        <v>57</v>
      </c>
      <c r="G1136">
        <v>1349</v>
      </c>
      <c r="H1136" t="str">
        <f t="shared" si="258"/>
        <v>1001-1499</v>
      </c>
      <c r="I1136" t="s">
        <v>73</v>
      </c>
      <c r="J1136">
        <v>7</v>
      </c>
      <c r="K1136" t="str">
        <f t="shared" si="259"/>
        <v>6-10</v>
      </c>
      <c r="L1136">
        <v>2</v>
      </c>
      <c r="M1136" t="s">
        <v>59</v>
      </c>
      <c r="N1136" t="s">
        <v>60</v>
      </c>
      <c r="O1136">
        <v>1</v>
      </c>
      <c r="P1136">
        <v>3</v>
      </c>
      <c r="Q1136" t="s">
        <v>63</v>
      </c>
      <c r="R1136" t="s">
        <v>75</v>
      </c>
      <c r="S1136">
        <v>63</v>
      </c>
      <c r="T1136" t="str">
        <f t="shared" si="260"/>
        <v>51-75</v>
      </c>
      <c r="U1136">
        <v>2</v>
      </c>
      <c r="V1136" t="s">
        <v>61</v>
      </c>
      <c r="W1136">
        <v>1</v>
      </c>
      <c r="X1136" t="s">
        <v>81</v>
      </c>
      <c r="Y1136">
        <v>4</v>
      </c>
      <c r="Z1136" t="s">
        <v>65</v>
      </c>
      <c r="AA1136" t="s">
        <v>77</v>
      </c>
      <c r="AB1136" s="4">
        <v>2690</v>
      </c>
      <c r="AC1136" s="4" t="str">
        <f t="shared" si="261"/>
        <v>$2,500-$4,000</v>
      </c>
      <c r="AD1136">
        <v>7713</v>
      </c>
      <c r="AE1136" t="str">
        <f t="shared" si="262"/>
        <v>$2,094-$8,000</v>
      </c>
      <c r="AF1136">
        <v>1</v>
      </c>
      <c r="AG1136" t="str">
        <f t="shared" si="263"/>
        <v>0-1</v>
      </c>
      <c r="AH1136" t="s">
        <v>67</v>
      </c>
      <c r="AI1136" t="s">
        <v>71</v>
      </c>
      <c r="AJ1136">
        <v>18</v>
      </c>
      <c r="AK1136" t="str">
        <f t="shared" si="264"/>
        <v>18-19%</v>
      </c>
      <c r="AL1136">
        <v>3</v>
      </c>
      <c r="AM1136" t="s">
        <v>68</v>
      </c>
      <c r="AN1136">
        <v>4</v>
      </c>
      <c r="AO1136" t="s">
        <v>65</v>
      </c>
      <c r="AP1136">
        <v>80</v>
      </c>
      <c r="AQ1136">
        <v>1</v>
      </c>
      <c r="AR1136">
        <v>1</v>
      </c>
      <c r="AS1136" t="str">
        <f t="shared" si="265"/>
        <v>0-2</v>
      </c>
      <c r="AT1136">
        <v>5</v>
      </c>
      <c r="AU1136" t="str">
        <f t="shared" si="266"/>
        <v>5-6</v>
      </c>
      <c r="AV1136">
        <v>2</v>
      </c>
      <c r="AW1136" t="s">
        <v>84</v>
      </c>
      <c r="AX1136">
        <v>1</v>
      </c>
      <c r="AY1136" t="str">
        <f t="shared" si="255"/>
        <v>0-1</v>
      </c>
      <c r="AZ1136">
        <v>0</v>
      </c>
      <c r="BA1136" t="str">
        <f t="shared" si="267"/>
        <v>0-1</v>
      </c>
      <c r="BB1136">
        <v>0</v>
      </c>
      <c r="BC1136" t="str">
        <f t="shared" si="268"/>
        <v>0-1</v>
      </c>
      <c r="BD1136">
        <v>1</v>
      </c>
      <c r="BE1136" t="str">
        <f t="shared" si="269"/>
        <v>0-1</v>
      </c>
    </row>
    <row r="1137" spans="1:57" x14ac:dyDescent="0.3">
      <c r="A1137">
        <v>1602</v>
      </c>
      <c r="B1137">
        <v>46</v>
      </c>
      <c r="C1137" t="str">
        <f t="shared" si="256"/>
        <v>46-55</v>
      </c>
      <c r="D1137" t="s">
        <v>71</v>
      </c>
      <c r="E1137">
        <f t="shared" si="257"/>
        <v>0</v>
      </c>
      <c r="F1137" t="s">
        <v>57</v>
      </c>
      <c r="G1137">
        <v>563</v>
      </c>
      <c r="H1137" t="str">
        <f t="shared" si="258"/>
        <v>501-1000</v>
      </c>
      <c r="I1137" t="s">
        <v>58</v>
      </c>
      <c r="J1137">
        <v>1</v>
      </c>
      <c r="K1137" t="str">
        <f t="shared" si="259"/>
        <v>1-5</v>
      </c>
      <c r="L1137">
        <v>4</v>
      </c>
      <c r="M1137" t="s">
        <v>82</v>
      </c>
      <c r="N1137" t="s">
        <v>60</v>
      </c>
      <c r="O1137">
        <v>1</v>
      </c>
      <c r="P1137">
        <v>4</v>
      </c>
      <c r="Q1137" t="s">
        <v>65</v>
      </c>
      <c r="R1137" t="s">
        <v>75</v>
      </c>
      <c r="S1137">
        <v>56</v>
      </c>
      <c r="T1137" t="str">
        <f t="shared" si="260"/>
        <v>51-75</v>
      </c>
      <c r="U1137">
        <v>4</v>
      </c>
      <c r="V1137" t="s">
        <v>65</v>
      </c>
      <c r="W1137">
        <v>4</v>
      </c>
      <c r="X1137" t="s">
        <v>90</v>
      </c>
      <c r="Y1137">
        <v>1</v>
      </c>
      <c r="Z1137" t="s">
        <v>69</v>
      </c>
      <c r="AA1137" t="s">
        <v>66</v>
      </c>
      <c r="AB1137" s="4">
        <v>17567</v>
      </c>
      <c r="AC1137" s="4" t="str">
        <f t="shared" si="261"/>
        <v>$17,500-$19,000</v>
      </c>
      <c r="AD1137">
        <v>3156</v>
      </c>
      <c r="AE1137" t="str">
        <f t="shared" si="262"/>
        <v>$2,094-$8,000</v>
      </c>
      <c r="AF1137">
        <v>1</v>
      </c>
      <c r="AG1137" t="str">
        <f t="shared" si="263"/>
        <v>0-1</v>
      </c>
      <c r="AH1137" t="s">
        <v>67</v>
      </c>
      <c r="AI1137" t="s">
        <v>71</v>
      </c>
      <c r="AJ1137">
        <v>15</v>
      </c>
      <c r="AK1137" t="str">
        <f t="shared" si="264"/>
        <v>13-15%</v>
      </c>
      <c r="AL1137">
        <v>3</v>
      </c>
      <c r="AM1137" t="s">
        <v>68</v>
      </c>
      <c r="AN1137">
        <v>2</v>
      </c>
      <c r="AO1137" t="s">
        <v>61</v>
      </c>
      <c r="AP1137">
        <v>80</v>
      </c>
      <c r="AQ1137">
        <v>0</v>
      </c>
      <c r="AR1137">
        <v>27</v>
      </c>
      <c r="AS1137" t="str">
        <f t="shared" si="265"/>
        <v>21-40</v>
      </c>
      <c r="AT1137">
        <v>5</v>
      </c>
      <c r="AU1137" t="str">
        <f t="shared" si="266"/>
        <v>5-6</v>
      </c>
      <c r="AV1137">
        <v>1</v>
      </c>
      <c r="AW1137" t="s">
        <v>70</v>
      </c>
      <c r="AX1137">
        <v>26</v>
      </c>
      <c r="AY1137" t="str">
        <f t="shared" si="255"/>
        <v>21-40</v>
      </c>
      <c r="AZ1137">
        <v>0</v>
      </c>
      <c r="BA1137" t="str">
        <f t="shared" si="267"/>
        <v>0-1</v>
      </c>
      <c r="BB1137">
        <v>0</v>
      </c>
      <c r="BC1137" t="str">
        <f t="shared" si="268"/>
        <v>0-1</v>
      </c>
      <c r="BD1137">
        <v>12</v>
      </c>
      <c r="BE1137" t="str">
        <f t="shared" si="269"/>
        <v>11-17</v>
      </c>
    </row>
    <row r="1138" spans="1:57" x14ac:dyDescent="0.3">
      <c r="A1138">
        <v>1604</v>
      </c>
      <c r="B1138">
        <v>28</v>
      </c>
      <c r="C1138" t="str">
        <f t="shared" si="256"/>
        <v>26-35</v>
      </c>
      <c r="D1138" t="s">
        <v>56</v>
      </c>
      <c r="E1138">
        <f t="shared" si="257"/>
        <v>1</v>
      </c>
      <c r="F1138" t="s">
        <v>57</v>
      </c>
      <c r="G1138">
        <v>329</v>
      </c>
      <c r="H1138" t="str">
        <f t="shared" si="258"/>
        <v>102-500</v>
      </c>
      <c r="I1138" t="s">
        <v>73</v>
      </c>
      <c r="J1138">
        <v>24</v>
      </c>
      <c r="K1138" t="str">
        <f t="shared" si="259"/>
        <v>21-29</v>
      </c>
      <c r="L1138">
        <v>3</v>
      </c>
      <c r="M1138" t="s">
        <v>85</v>
      </c>
      <c r="N1138" t="s">
        <v>83</v>
      </c>
      <c r="O1138">
        <v>1</v>
      </c>
      <c r="P1138">
        <v>3</v>
      </c>
      <c r="Q1138" t="s">
        <v>63</v>
      </c>
      <c r="R1138" t="s">
        <v>75</v>
      </c>
      <c r="S1138">
        <v>51</v>
      </c>
      <c r="T1138" t="str">
        <f t="shared" si="260"/>
        <v>51-75</v>
      </c>
      <c r="U1138">
        <v>3</v>
      </c>
      <c r="V1138" t="s">
        <v>63</v>
      </c>
      <c r="W1138">
        <v>1</v>
      </c>
      <c r="X1138" t="s">
        <v>81</v>
      </c>
      <c r="Y1138">
        <v>2</v>
      </c>
      <c r="Z1138" t="s">
        <v>61</v>
      </c>
      <c r="AA1138" t="s">
        <v>77</v>
      </c>
      <c r="AB1138" s="4">
        <v>2408</v>
      </c>
      <c r="AC1138" s="4" t="str">
        <f t="shared" si="261"/>
        <v>$1,000-$2,500</v>
      </c>
      <c r="AD1138">
        <v>7324</v>
      </c>
      <c r="AE1138" t="str">
        <f t="shared" si="262"/>
        <v>$2,094-$8,000</v>
      </c>
      <c r="AF1138">
        <v>1</v>
      </c>
      <c r="AG1138" t="str">
        <f t="shared" si="263"/>
        <v>0-1</v>
      </c>
      <c r="AH1138" t="s">
        <v>67</v>
      </c>
      <c r="AI1138" t="s">
        <v>56</v>
      </c>
      <c r="AJ1138">
        <v>17</v>
      </c>
      <c r="AK1138" t="str">
        <f t="shared" si="264"/>
        <v>16-17%</v>
      </c>
      <c r="AL1138">
        <v>3</v>
      </c>
      <c r="AM1138" t="s">
        <v>68</v>
      </c>
      <c r="AN1138">
        <v>3</v>
      </c>
      <c r="AO1138" t="s">
        <v>63</v>
      </c>
      <c r="AP1138">
        <v>80</v>
      </c>
      <c r="AQ1138">
        <v>3</v>
      </c>
      <c r="AR1138">
        <v>1</v>
      </c>
      <c r="AS1138" t="str">
        <f t="shared" si="265"/>
        <v>0-2</v>
      </c>
      <c r="AT1138">
        <v>3</v>
      </c>
      <c r="AU1138" t="str">
        <f t="shared" si="266"/>
        <v>3-4</v>
      </c>
      <c r="AV1138">
        <v>3</v>
      </c>
      <c r="AW1138" t="s">
        <v>79</v>
      </c>
      <c r="AX1138">
        <v>1</v>
      </c>
      <c r="AY1138" t="str">
        <f t="shared" si="255"/>
        <v>0-1</v>
      </c>
      <c r="AZ1138">
        <v>1</v>
      </c>
      <c r="BA1138" t="str">
        <f t="shared" si="267"/>
        <v>0-1</v>
      </c>
      <c r="BB1138">
        <v>0</v>
      </c>
      <c r="BC1138" t="str">
        <f t="shared" si="268"/>
        <v>0-1</v>
      </c>
      <c r="BD1138">
        <v>0</v>
      </c>
      <c r="BE1138" t="str">
        <f t="shared" si="269"/>
        <v>0-1</v>
      </c>
    </row>
    <row r="1139" spans="1:57" x14ac:dyDescent="0.3">
      <c r="A1139">
        <v>1605</v>
      </c>
      <c r="B1139">
        <v>22</v>
      </c>
      <c r="C1139" t="str">
        <f t="shared" si="256"/>
        <v>18-25</v>
      </c>
      <c r="D1139" t="s">
        <v>71</v>
      </c>
      <c r="E1139">
        <f t="shared" si="257"/>
        <v>0</v>
      </c>
      <c r="F1139" t="s">
        <v>89</v>
      </c>
      <c r="G1139">
        <v>457</v>
      </c>
      <c r="H1139" t="str">
        <f t="shared" si="258"/>
        <v>102-500</v>
      </c>
      <c r="I1139" t="s">
        <v>73</v>
      </c>
      <c r="J1139">
        <v>26</v>
      </c>
      <c r="K1139" t="str">
        <f t="shared" si="259"/>
        <v>21-29</v>
      </c>
      <c r="L1139">
        <v>2</v>
      </c>
      <c r="M1139" t="s">
        <v>59</v>
      </c>
      <c r="N1139" t="s">
        <v>80</v>
      </c>
      <c r="O1139">
        <v>1</v>
      </c>
      <c r="P1139">
        <v>2</v>
      </c>
      <c r="Q1139" t="s">
        <v>61</v>
      </c>
      <c r="R1139" t="s">
        <v>62</v>
      </c>
      <c r="S1139">
        <v>85</v>
      </c>
      <c r="T1139" t="str">
        <f t="shared" si="260"/>
        <v>76-100</v>
      </c>
      <c r="U1139">
        <v>2</v>
      </c>
      <c r="V1139" t="s">
        <v>61</v>
      </c>
      <c r="W1139">
        <v>1</v>
      </c>
      <c r="X1139" t="s">
        <v>76</v>
      </c>
      <c r="Y1139">
        <v>3</v>
      </c>
      <c r="Z1139" t="s">
        <v>63</v>
      </c>
      <c r="AA1139" t="s">
        <v>77</v>
      </c>
      <c r="AB1139" s="4">
        <v>2814</v>
      </c>
      <c r="AC1139" s="4" t="str">
        <f t="shared" si="261"/>
        <v>$2,500-$4,000</v>
      </c>
      <c r="AD1139">
        <v>10293</v>
      </c>
      <c r="AE1139" t="str">
        <f t="shared" si="262"/>
        <v>$8,001-$16,000</v>
      </c>
      <c r="AF1139">
        <v>1</v>
      </c>
      <c r="AG1139" t="str">
        <f t="shared" si="263"/>
        <v>0-1</v>
      </c>
      <c r="AH1139" t="s">
        <v>67</v>
      </c>
      <c r="AI1139" t="s">
        <v>56</v>
      </c>
      <c r="AJ1139">
        <v>14</v>
      </c>
      <c r="AK1139" t="str">
        <f t="shared" si="264"/>
        <v>13-15%</v>
      </c>
      <c r="AL1139">
        <v>3</v>
      </c>
      <c r="AM1139" t="s">
        <v>68</v>
      </c>
      <c r="AN1139">
        <v>2</v>
      </c>
      <c r="AO1139" t="s">
        <v>61</v>
      </c>
      <c r="AP1139">
        <v>80</v>
      </c>
      <c r="AQ1139">
        <v>0</v>
      </c>
      <c r="AR1139">
        <v>4</v>
      </c>
      <c r="AS1139" t="str">
        <f t="shared" si="265"/>
        <v>3-5</v>
      </c>
      <c r="AT1139">
        <v>2</v>
      </c>
      <c r="AU1139" t="str">
        <f t="shared" si="266"/>
        <v>0-2</v>
      </c>
      <c r="AV1139">
        <v>2</v>
      </c>
      <c r="AW1139" t="s">
        <v>84</v>
      </c>
      <c r="AX1139">
        <v>4</v>
      </c>
      <c r="AY1139" t="str">
        <f t="shared" si="255"/>
        <v>2-5</v>
      </c>
      <c r="AZ1139">
        <v>2</v>
      </c>
      <c r="BA1139" t="str">
        <f t="shared" si="267"/>
        <v>2-5</v>
      </c>
      <c r="BB1139">
        <v>1</v>
      </c>
      <c r="BC1139" t="str">
        <f t="shared" si="268"/>
        <v>0-1</v>
      </c>
      <c r="BD1139">
        <v>3</v>
      </c>
      <c r="BE1139" t="str">
        <f t="shared" si="269"/>
        <v>2-5</v>
      </c>
    </row>
    <row r="1140" spans="1:57" x14ac:dyDescent="0.3">
      <c r="A1140">
        <v>1606</v>
      </c>
      <c r="B1140">
        <v>50</v>
      </c>
      <c r="C1140" t="str">
        <f t="shared" si="256"/>
        <v>46-55</v>
      </c>
      <c r="D1140" t="s">
        <v>71</v>
      </c>
      <c r="E1140">
        <f t="shared" si="257"/>
        <v>0</v>
      </c>
      <c r="F1140" t="s">
        <v>72</v>
      </c>
      <c r="G1140">
        <v>1234</v>
      </c>
      <c r="H1140" t="str">
        <f t="shared" si="258"/>
        <v>1001-1499</v>
      </c>
      <c r="I1140" t="s">
        <v>73</v>
      </c>
      <c r="J1140">
        <v>20</v>
      </c>
      <c r="K1140" t="str">
        <f t="shared" si="259"/>
        <v>11-20</v>
      </c>
      <c r="L1140">
        <v>5</v>
      </c>
      <c r="M1140" t="s">
        <v>96</v>
      </c>
      <c r="N1140" t="s">
        <v>83</v>
      </c>
      <c r="O1140">
        <v>1</v>
      </c>
      <c r="P1140">
        <v>2</v>
      </c>
      <c r="Q1140" t="s">
        <v>61</v>
      </c>
      <c r="R1140" t="s">
        <v>75</v>
      </c>
      <c r="S1140">
        <v>41</v>
      </c>
      <c r="T1140" t="str">
        <f t="shared" si="260"/>
        <v>30-50</v>
      </c>
      <c r="U1140">
        <v>3</v>
      </c>
      <c r="V1140" t="s">
        <v>63</v>
      </c>
      <c r="W1140">
        <v>4</v>
      </c>
      <c r="X1140" t="s">
        <v>88</v>
      </c>
      <c r="Y1140">
        <v>3</v>
      </c>
      <c r="Z1140" t="s">
        <v>63</v>
      </c>
      <c r="AA1140" t="s">
        <v>77</v>
      </c>
      <c r="AB1140" s="4">
        <v>11245</v>
      </c>
      <c r="AC1140" s="4" t="str">
        <f t="shared" si="261"/>
        <v>$10,000-$11,500</v>
      </c>
      <c r="AD1140">
        <v>20689</v>
      </c>
      <c r="AE1140" t="str">
        <f t="shared" si="262"/>
        <v>$16,001-$22,000</v>
      </c>
      <c r="AF1140">
        <v>2</v>
      </c>
      <c r="AG1140" t="str">
        <f t="shared" si="263"/>
        <v>2-3</v>
      </c>
      <c r="AH1140" t="s">
        <v>67</v>
      </c>
      <c r="AI1140" t="s">
        <v>56</v>
      </c>
      <c r="AJ1140">
        <v>15</v>
      </c>
      <c r="AK1140" t="str">
        <f t="shared" si="264"/>
        <v>13-15%</v>
      </c>
      <c r="AL1140">
        <v>3</v>
      </c>
      <c r="AM1140" t="s">
        <v>68</v>
      </c>
      <c r="AN1140">
        <v>3</v>
      </c>
      <c r="AO1140" t="s">
        <v>63</v>
      </c>
      <c r="AP1140">
        <v>80</v>
      </c>
      <c r="AQ1140">
        <v>1</v>
      </c>
      <c r="AR1140">
        <v>32</v>
      </c>
      <c r="AS1140" t="str">
        <f t="shared" si="265"/>
        <v>21-40</v>
      </c>
      <c r="AT1140">
        <v>3</v>
      </c>
      <c r="AU1140" t="str">
        <f t="shared" si="266"/>
        <v>3-4</v>
      </c>
      <c r="AV1140">
        <v>3</v>
      </c>
      <c r="AW1140" t="s">
        <v>79</v>
      </c>
      <c r="AX1140">
        <v>30</v>
      </c>
      <c r="AY1140" t="str">
        <f t="shared" si="255"/>
        <v>21-40</v>
      </c>
      <c r="AZ1140">
        <v>8</v>
      </c>
      <c r="BA1140" t="str">
        <f t="shared" si="267"/>
        <v>6-10</v>
      </c>
      <c r="BB1140">
        <v>12</v>
      </c>
      <c r="BC1140" t="str">
        <f t="shared" si="268"/>
        <v>11-15</v>
      </c>
      <c r="BD1140">
        <v>13</v>
      </c>
      <c r="BE1140" t="str">
        <f t="shared" si="269"/>
        <v>11-17</v>
      </c>
    </row>
    <row r="1141" spans="1:57" x14ac:dyDescent="0.3">
      <c r="A1141">
        <v>1607</v>
      </c>
      <c r="B1141">
        <v>32</v>
      </c>
      <c r="C1141" t="str">
        <f t="shared" si="256"/>
        <v>26-35</v>
      </c>
      <c r="D1141" t="s">
        <v>71</v>
      </c>
      <c r="E1141">
        <f t="shared" si="257"/>
        <v>0</v>
      </c>
      <c r="F1141" t="s">
        <v>57</v>
      </c>
      <c r="G1141">
        <v>634</v>
      </c>
      <c r="H1141" t="str">
        <f t="shared" si="258"/>
        <v>501-1000</v>
      </c>
      <c r="I1141" t="s">
        <v>73</v>
      </c>
      <c r="J1141">
        <v>5</v>
      </c>
      <c r="K1141" t="str">
        <f t="shared" si="259"/>
        <v>1-5</v>
      </c>
      <c r="L1141">
        <v>4</v>
      </c>
      <c r="M1141" t="s">
        <v>82</v>
      </c>
      <c r="N1141" t="s">
        <v>80</v>
      </c>
      <c r="O1141">
        <v>1</v>
      </c>
      <c r="P1141">
        <v>2</v>
      </c>
      <c r="Q1141" t="s">
        <v>61</v>
      </c>
      <c r="R1141" t="s">
        <v>62</v>
      </c>
      <c r="S1141">
        <v>35</v>
      </c>
      <c r="T1141" t="str">
        <f t="shared" si="260"/>
        <v>30-50</v>
      </c>
      <c r="U1141">
        <v>4</v>
      </c>
      <c r="V1141" t="s">
        <v>65</v>
      </c>
      <c r="W1141">
        <v>1</v>
      </c>
      <c r="X1141" t="s">
        <v>76</v>
      </c>
      <c r="Y1141">
        <v>4</v>
      </c>
      <c r="Z1141" t="s">
        <v>65</v>
      </c>
      <c r="AA1141" t="s">
        <v>77</v>
      </c>
      <c r="AB1141" s="4">
        <v>3312</v>
      </c>
      <c r="AC1141" s="4" t="str">
        <f t="shared" si="261"/>
        <v>$2,500-$4,000</v>
      </c>
      <c r="AD1141">
        <v>18783</v>
      </c>
      <c r="AE1141" t="str">
        <f t="shared" si="262"/>
        <v>$16,001-$22,000</v>
      </c>
      <c r="AF1141">
        <v>3</v>
      </c>
      <c r="AG1141" t="str">
        <f t="shared" si="263"/>
        <v>2-3</v>
      </c>
      <c r="AH1141" t="s">
        <v>67</v>
      </c>
      <c r="AI1141" t="s">
        <v>71</v>
      </c>
      <c r="AJ1141">
        <v>17</v>
      </c>
      <c r="AK1141" t="str">
        <f t="shared" si="264"/>
        <v>16-17%</v>
      </c>
      <c r="AL1141">
        <v>3</v>
      </c>
      <c r="AM1141" t="s">
        <v>68</v>
      </c>
      <c r="AN1141">
        <v>4</v>
      </c>
      <c r="AO1141" t="s">
        <v>65</v>
      </c>
      <c r="AP1141">
        <v>80</v>
      </c>
      <c r="AQ1141">
        <v>2</v>
      </c>
      <c r="AR1141">
        <v>6</v>
      </c>
      <c r="AS1141" t="str">
        <f t="shared" si="265"/>
        <v>6-10</v>
      </c>
      <c r="AT1141">
        <v>3</v>
      </c>
      <c r="AU1141" t="str">
        <f t="shared" si="266"/>
        <v>3-4</v>
      </c>
      <c r="AV1141">
        <v>3</v>
      </c>
      <c r="AW1141" t="s">
        <v>79</v>
      </c>
      <c r="AX1141">
        <v>3</v>
      </c>
      <c r="AY1141" t="str">
        <f t="shared" si="255"/>
        <v>2-5</v>
      </c>
      <c r="AZ1141">
        <v>2</v>
      </c>
      <c r="BA1141" t="str">
        <f t="shared" si="267"/>
        <v>2-5</v>
      </c>
      <c r="BB1141">
        <v>0</v>
      </c>
      <c r="BC1141" t="str">
        <f t="shared" si="268"/>
        <v>0-1</v>
      </c>
      <c r="BD1141">
        <v>2</v>
      </c>
      <c r="BE1141" t="str">
        <f t="shared" si="269"/>
        <v>2-5</v>
      </c>
    </row>
    <row r="1142" spans="1:57" x14ac:dyDescent="0.3">
      <c r="A1142">
        <v>1608</v>
      </c>
      <c r="B1142">
        <v>44</v>
      </c>
      <c r="C1142" t="str">
        <f t="shared" si="256"/>
        <v>36-45</v>
      </c>
      <c r="D1142" t="s">
        <v>71</v>
      </c>
      <c r="E1142">
        <f t="shared" si="257"/>
        <v>0</v>
      </c>
      <c r="F1142" t="s">
        <v>57</v>
      </c>
      <c r="G1142">
        <v>1313</v>
      </c>
      <c r="H1142" t="str">
        <f t="shared" si="258"/>
        <v>1001-1499</v>
      </c>
      <c r="I1142" t="s">
        <v>73</v>
      </c>
      <c r="J1142">
        <v>7</v>
      </c>
      <c r="K1142" t="str">
        <f t="shared" si="259"/>
        <v>6-10</v>
      </c>
      <c r="L1142">
        <v>3</v>
      </c>
      <c r="M1142" t="s">
        <v>85</v>
      </c>
      <c r="N1142" t="s">
        <v>83</v>
      </c>
      <c r="O1142">
        <v>1</v>
      </c>
      <c r="P1142">
        <v>2</v>
      </c>
      <c r="Q1142" t="s">
        <v>61</v>
      </c>
      <c r="R1142" t="s">
        <v>62</v>
      </c>
      <c r="S1142">
        <v>31</v>
      </c>
      <c r="T1142" t="str">
        <f t="shared" si="260"/>
        <v>30-50</v>
      </c>
      <c r="U1142">
        <v>3</v>
      </c>
      <c r="V1142" t="s">
        <v>63</v>
      </c>
      <c r="W1142">
        <v>5</v>
      </c>
      <c r="X1142" t="s">
        <v>92</v>
      </c>
      <c r="Y1142">
        <v>4</v>
      </c>
      <c r="Z1142" t="s">
        <v>65</v>
      </c>
      <c r="AA1142" t="s">
        <v>86</v>
      </c>
      <c r="AB1142" s="4">
        <v>19049</v>
      </c>
      <c r="AC1142" s="4" t="str">
        <f t="shared" si="261"/>
        <v>$19,000-$20,500</v>
      </c>
      <c r="AD1142">
        <v>3549</v>
      </c>
      <c r="AE1142" t="str">
        <f t="shared" si="262"/>
        <v>$2,094-$8,000</v>
      </c>
      <c r="AF1142">
        <v>0</v>
      </c>
      <c r="AG1142" t="str">
        <f t="shared" si="263"/>
        <v>0-1</v>
      </c>
      <c r="AH1142" t="s">
        <v>67</v>
      </c>
      <c r="AI1142" t="s">
        <v>56</v>
      </c>
      <c r="AJ1142">
        <v>14</v>
      </c>
      <c r="AK1142" t="str">
        <f t="shared" si="264"/>
        <v>13-15%</v>
      </c>
      <c r="AL1142">
        <v>3</v>
      </c>
      <c r="AM1142" t="s">
        <v>68</v>
      </c>
      <c r="AN1142">
        <v>4</v>
      </c>
      <c r="AO1142" t="s">
        <v>65</v>
      </c>
      <c r="AP1142">
        <v>80</v>
      </c>
      <c r="AQ1142">
        <v>1</v>
      </c>
      <c r="AR1142">
        <v>23</v>
      </c>
      <c r="AS1142" t="str">
        <f t="shared" si="265"/>
        <v>21-40</v>
      </c>
      <c r="AT1142">
        <v>4</v>
      </c>
      <c r="AU1142" t="str">
        <f t="shared" si="266"/>
        <v>3-4</v>
      </c>
      <c r="AV1142">
        <v>2</v>
      </c>
      <c r="AW1142" t="s">
        <v>84</v>
      </c>
      <c r="AX1142">
        <v>22</v>
      </c>
      <c r="AY1142" t="str">
        <f t="shared" si="255"/>
        <v>21-40</v>
      </c>
      <c r="AZ1142">
        <v>7</v>
      </c>
      <c r="BA1142" t="str">
        <f t="shared" si="267"/>
        <v>6-10</v>
      </c>
      <c r="BB1142">
        <v>1</v>
      </c>
      <c r="BC1142" t="str">
        <f t="shared" si="268"/>
        <v>0-1</v>
      </c>
      <c r="BD1142">
        <v>10</v>
      </c>
      <c r="BE1142" t="str">
        <f t="shared" si="269"/>
        <v>6-10</v>
      </c>
    </row>
    <row r="1143" spans="1:57" x14ac:dyDescent="0.3">
      <c r="A1143">
        <v>1609</v>
      </c>
      <c r="B1143">
        <v>30</v>
      </c>
      <c r="C1143" t="str">
        <f t="shared" si="256"/>
        <v>26-35</v>
      </c>
      <c r="D1143" t="s">
        <v>71</v>
      </c>
      <c r="E1143">
        <f t="shared" si="257"/>
        <v>0</v>
      </c>
      <c r="F1143" t="s">
        <v>57</v>
      </c>
      <c r="G1143">
        <v>241</v>
      </c>
      <c r="H1143" t="str">
        <f t="shared" si="258"/>
        <v>102-500</v>
      </c>
      <c r="I1143" t="s">
        <v>73</v>
      </c>
      <c r="J1143">
        <v>7</v>
      </c>
      <c r="K1143" t="str">
        <f t="shared" si="259"/>
        <v>6-10</v>
      </c>
      <c r="L1143">
        <v>3</v>
      </c>
      <c r="M1143" t="s">
        <v>85</v>
      </c>
      <c r="N1143" t="s">
        <v>83</v>
      </c>
      <c r="O1143">
        <v>1</v>
      </c>
      <c r="P1143">
        <v>2</v>
      </c>
      <c r="Q1143" t="s">
        <v>61</v>
      </c>
      <c r="R1143" t="s">
        <v>75</v>
      </c>
      <c r="S1143">
        <v>48</v>
      </c>
      <c r="T1143" t="str">
        <f t="shared" si="260"/>
        <v>30-50</v>
      </c>
      <c r="U1143">
        <v>2</v>
      </c>
      <c r="V1143" t="s">
        <v>61</v>
      </c>
      <c r="W1143">
        <v>1</v>
      </c>
      <c r="X1143" t="s">
        <v>76</v>
      </c>
      <c r="Y1143">
        <v>2</v>
      </c>
      <c r="Z1143" t="s">
        <v>61</v>
      </c>
      <c r="AA1143" t="s">
        <v>77</v>
      </c>
      <c r="AB1143" s="4">
        <v>2141</v>
      </c>
      <c r="AC1143" s="4" t="str">
        <f t="shared" si="261"/>
        <v>$1,000-$2,500</v>
      </c>
      <c r="AD1143">
        <v>5348</v>
      </c>
      <c r="AE1143" t="str">
        <f t="shared" si="262"/>
        <v>$2,094-$8,000</v>
      </c>
      <c r="AF1143">
        <v>1</v>
      </c>
      <c r="AG1143" t="str">
        <f t="shared" si="263"/>
        <v>0-1</v>
      </c>
      <c r="AH1143" t="s">
        <v>67</v>
      </c>
      <c r="AI1143" t="s">
        <v>71</v>
      </c>
      <c r="AJ1143">
        <v>12</v>
      </c>
      <c r="AK1143" t="str">
        <f t="shared" si="264"/>
        <v>11-12%</v>
      </c>
      <c r="AL1143">
        <v>3</v>
      </c>
      <c r="AM1143" t="s">
        <v>68</v>
      </c>
      <c r="AN1143">
        <v>2</v>
      </c>
      <c r="AO1143" t="s">
        <v>61</v>
      </c>
      <c r="AP1143">
        <v>80</v>
      </c>
      <c r="AQ1143">
        <v>1</v>
      </c>
      <c r="AR1143">
        <v>6</v>
      </c>
      <c r="AS1143" t="str">
        <f t="shared" si="265"/>
        <v>6-10</v>
      </c>
      <c r="AT1143">
        <v>3</v>
      </c>
      <c r="AU1143" t="str">
        <f t="shared" si="266"/>
        <v>3-4</v>
      </c>
      <c r="AV1143">
        <v>2</v>
      </c>
      <c r="AW1143" t="s">
        <v>84</v>
      </c>
      <c r="AX1143">
        <v>6</v>
      </c>
      <c r="AY1143" t="str">
        <f t="shared" si="255"/>
        <v>6-10</v>
      </c>
      <c r="AZ1143">
        <v>4</v>
      </c>
      <c r="BA1143" t="str">
        <f t="shared" si="267"/>
        <v>2-5</v>
      </c>
      <c r="BB1143">
        <v>1</v>
      </c>
      <c r="BC1143" t="str">
        <f t="shared" si="268"/>
        <v>0-1</v>
      </c>
      <c r="BD1143">
        <v>1</v>
      </c>
      <c r="BE1143" t="str">
        <f t="shared" si="269"/>
        <v>0-1</v>
      </c>
    </row>
    <row r="1144" spans="1:57" x14ac:dyDescent="0.3">
      <c r="A1144">
        <v>1611</v>
      </c>
      <c r="B1144">
        <v>45</v>
      </c>
      <c r="C1144" t="str">
        <f t="shared" si="256"/>
        <v>36-45</v>
      </c>
      <c r="D1144" t="s">
        <v>71</v>
      </c>
      <c r="E1144">
        <f t="shared" si="257"/>
        <v>0</v>
      </c>
      <c r="F1144" t="s">
        <v>57</v>
      </c>
      <c r="G1144">
        <v>1015</v>
      </c>
      <c r="H1144" t="str">
        <f t="shared" si="258"/>
        <v>1001-1499</v>
      </c>
      <c r="I1144" t="s">
        <v>73</v>
      </c>
      <c r="J1144">
        <v>5</v>
      </c>
      <c r="K1144" t="str">
        <f t="shared" si="259"/>
        <v>1-5</v>
      </c>
      <c r="L1144">
        <v>5</v>
      </c>
      <c r="M1144" t="s">
        <v>96</v>
      </c>
      <c r="N1144" t="s">
        <v>83</v>
      </c>
      <c r="O1144">
        <v>1</v>
      </c>
      <c r="P1144">
        <v>3</v>
      </c>
      <c r="Q1144" t="s">
        <v>63</v>
      </c>
      <c r="R1144" t="s">
        <v>62</v>
      </c>
      <c r="S1144">
        <v>50</v>
      </c>
      <c r="T1144" t="str">
        <f t="shared" si="260"/>
        <v>30-50</v>
      </c>
      <c r="U1144">
        <v>1</v>
      </c>
      <c r="V1144" t="s">
        <v>69</v>
      </c>
      <c r="W1144">
        <v>2</v>
      </c>
      <c r="X1144" t="s">
        <v>81</v>
      </c>
      <c r="Y1144">
        <v>1</v>
      </c>
      <c r="Z1144" t="s">
        <v>69</v>
      </c>
      <c r="AA1144" t="s">
        <v>66</v>
      </c>
      <c r="AB1144" s="4">
        <v>5769</v>
      </c>
      <c r="AC1144" s="4" t="str">
        <f t="shared" si="261"/>
        <v>$5,500-$7,000</v>
      </c>
      <c r="AD1144">
        <v>23447</v>
      </c>
      <c r="AE1144" t="str">
        <f t="shared" si="262"/>
        <v>$22,001-$26,999</v>
      </c>
      <c r="AF1144">
        <v>1</v>
      </c>
      <c r="AG1144" t="str">
        <f t="shared" si="263"/>
        <v>0-1</v>
      </c>
      <c r="AH1144" t="s">
        <v>67</v>
      </c>
      <c r="AI1144" t="s">
        <v>56</v>
      </c>
      <c r="AJ1144">
        <v>14</v>
      </c>
      <c r="AK1144" t="str">
        <f t="shared" si="264"/>
        <v>13-15%</v>
      </c>
      <c r="AL1144">
        <v>3</v>
      </c>
      <c r="AM1144" t="s">
        <v>68</v>
      </c>
      <c r="AN1144">
        <v>1</v>
      </c>
      <c r="AO1144" t="s">
        <v>69</v>
      </c>
      <c r="AP1144">
        <v>80</v>
      </c>
      <c r="AQ1144">
        <v>0</v>
      </c>
      <c r="AR1144">
        <v>10</v>
      </c>
      <c r="AS1144" t="str">
        <f t="shared" si="265"/>
        <v>6-10</v>
      </c>
      <c r="AT1144">
        <v>3</v>
      </c>
      <c r="AU1144" t="str">
        <f t="shared" si="266"/>
        <v>3-4</v>
      </c>
      <c r="AV1144">
        <v>3</v>
      </c>
      <c r="AW1144" t="s">
        <v>79</v>
      </c>
      <c r="AX1144">
        <v>10</v>
      </c>
      <c r="AY1144" t="str">
        <f t="shared" si="255"/>
        <v>6-10</v>
      </c>
      <c r="AZ1144">
        <v>7</v>
      </c>
      <c r="BA1144" t="str">
        <f t="shared" si="267"/>
        <v>6-10</v>
      </c>
      <c r="BB1144">
        <v>1</v>
      </c>
      <c r="BC1144" t="str">
        <f t="shared" si="268"/>
        <v>0-1</v>
      </c>
      <c r="BD1144">
        <v>4</v>
      </c>
      <c r="BE1144" t="str">
        <f t="shared" si="269"/>
        <v>2-5</v>
      </c>
    </row>
    <row r="1145" spans="1:57" x14ac:dyDescent="0.3">
      <c r="A1145">
        <v>1612</v>
      </c>
      <c r="B1145">
        <v>45</v>
      </c>
      <c r="C1145" t="str">
        <f t="shared" si="256"/>
        <v>36-45</v>
      </c>
      <c r="D1145" t="s">
        <v>71</v>
      </c>
      <c r="E1145">
        <f t="shared" si="257"/>
        <v>0</v>
      </c>
      <c r="F1145" t="s">
        <v>89</v>
      </c>
      <c r="G1145">
        <v>336</v>
      </c>
      <c r="H1145" t="str">
        <f t="shared" si="258"/>
        <v>102-500</v>
      </c>
      <c r="I1145" t="s">
        <v>58</v>
      </c>
      <c r="J1145">
        <v>26</v>
      </c>
      <c r="K1145" t="str">
        <f t="shared" si="259"/>
        <v>21-29</v>
      </c>
      <c r="L1145">
        <v>3</v>
      </c>
      <c r="M1145" t="s">
        <v>85</v>
      </c>
      <c r="N1145" t="s">
        <v>93</v>
      </c>
      <c r="O1145">
        <v>1</v>
      </c>
      <c r="P1145">
        <v>1</v>
      </c>
      <c r="Q1145" t="s">
        <v>69</v>
      </c>
      <c r="R1145" t="s">
        <v>75</v>
      </c>
      <c r="S1145">
        <v>52</v>
      </c>
      <c r="T1145" t="str">
        <f t="shared" si="260"/>
        <v>51-75</v>
      </c>
      <c r="U1145">
        <v>2</v>
      </c>
      <c r="V1145" t="s">
        <v>61</v>
      </c>
      <c r="W1145">
        <v>2</v>
      </c>
      <c r="X1145" t="s">
        <v>64</v>
      </c>
      <c r="Y1145">
        <v>1</v>
      </c>
      <c r="Z1145" t="s">
        <v>69</v>
      </c>
      <c r="AA1145" t="s">
        <v>77</v>
      </c>
      <c r="AB1145" s="4">
        <v>4385</v>
      </c>
      <c r="AC1145" s="4" t="str">
        <f t="shared" si="261"/>
        <v>$4,000-$5,500</v>
      </c>
      <c r="AD1145">
        <v>24162</v>
      </c>
      <c r="AE1145" t="str">
        <f t="shared" si="262"/>
        <v>$22,001-$26,999</v>
      </c>
      <c r="AF1145">
        <v>1</v>
      </c>
      <c r="AG1145" t="str">
        <f t="shared" si="263"/>
        <v>0-1</v>
      </c>
      <c r="AH1145" t="s">
        <v>67</v>
      </c>
      <c r="AI1145" t="s">
        <v>71</v>
      </c>
      <c r="AJ1145">
        <v>15</v>
      </c>
      <c r="AK1145" t="str">
        <f t="shared" si="264"/>
        <v>13-15%</v>
      </c>
      <c r="AL1145">
        <v>3</v>
      </c>
      <c r="AM1145" t="s">
        <v>68</v>
      </c>
      <c r="AN1145">
        <v>1</v>
      </c>
      <c r="AO1145" t="s">
        <v>69</v>
      </c>
      <c r="AP1145">
        <v>80</v>
      </c>
      <c r="AQ1145">
        <v>1</v>
      </c>
      <c r="AR1145">
        <v>10</v>
      </c>
      <c r="AS1145" t="str">
        <f t="shared" si="265"/>
        <v>6-10</v>
      </c>
      <c r="AT1145">
        <v>2</v>
      </c>
      <c r="AU1145" t="str">
        <f t="shared" si="266"/>
        <v>0-2</v>
      </c>
      <c r="AV1145">
        <v>3</v>
      </c>
      <c r="AW1145" t="s">
        <v>79</v>
      </c>
      <c r="AX1145">
        <v>10</v>
      </c>
      <c r="AY1145" t="str">
        <f t="shared" si="255"/>
        <v>6-10</v>
      </c>
      <c r="AZ1145">
        <v>7</v>
      </c>
      <c r="BA1145" t="str">
        <f t="shared" si="267"/>
        <v>6-10</v>
      </c>
      <c r="BB1145">
        <v>4</v>
      </c>
      <c r="BC1145" t="str">
        <f t="shared" si="268"/>
        <v>2-5</v>
      </c>
      <c r="BD1145">
        <v>5</v>
      </c>
      <c r="BE1145" t="str">
        <f t="shared" si="269"/>
        <v>2-5</v>
      </c>
    </row>
    <row r="1146" spans="1:57" x14ac:dyDescent="0.3">
      <c r="A1146">
        <v>1613</v>
      </c>
      <c r="B1146">
        <v>31</v>
      </c>
      <c r="C1146" t="str">
        <f t="shared" si="256"/>
        <v>26-35</v>
      </c>
      <c r="D1146" t="s">
        <v>71</v>
      </c>
      <c r="E1146">
        <f t="shared" si="257"/>
        <v>0</v>
      </c>
      <c r="F1146" t="s">
        <v>72</v>
      </c>
      <c r="G1146">
        <v>715</v>
      </c>
      <c r="H1146" t="str">
        <f t="shared" si="258"/>
        <v>501-1000</v>
      </c>
      <c r="I1146" t="s">
        <v>58</v>
      </c>
      <c r="J1146">
        <v>2</v>
      </c>
      <c r="K1146" t="str">
        <f t="shared" si="259"/>
        <v>1-5</v>
      </c>
      <c r="L1146">
        <v>4</v>
      </c>
      <c r="M1146" t="s">
        <v>82</v>
      </c>
      <c r="N1146" t="s">
        <v>80</v>
      </c>
      <c r="O1146">
        <v>1</v>
      </c>
      <c r="P1146">
        <v>4</v>
      </c>
      <c r="Q1146" t="s">
        <v>65</v>
      </c>
      <c r="R1146" t="s">
        <v>75</v>
      </c>
      <c r="S1146">
        <v>54</v>
      </c>
      <c r="T1146" t="str">
        <f t="shared" si="260"/>
        <v>51-75</v>
      </c>
      <c r="U1146">
        <v>3</v>
      </c>
      <c r="V1146" t="s">
        <v>63</v>
      </c>
      <c r="W1146">
        <v>2</v>
      </c>
      <c r="X1146" t="s">
        <v>64</v>
      </c>
      <c r="Y1146">
        <v>1</v>
      </c>
      <c r="Z1146" t="s">
        <v>69</v>
      </c>
      <c r="AA1146" t="s">
        <v>66</v>
      </c>
      <c r="AB1146" s="4">
        <v>5332</v>
      </c>
      <c r="AC1146" s="4" t="str">
        <f t="shared" si="261"/>
        <v>$4,000-$5,500</v>
      </c>
      <c r="AD1146">
        <v>21602</v>
      </c>
      <c r="AE1146" t="str">
        <f t="shared" si="262"/>
        <v>$16,001-$22,000</v>
      </c>
      <c r="AF1146">
        <v>7</v>
      </c>
      <c r="AG1146" t="str">
        <f t="shared" si="263"/>
        <v>7-9</v>
      </c>
      <c r="AH1146" t="s">
        <v>67</v>
      </c>
      <c r="AI1146" t="s">
        <v>71</v>
      </c>
      <c r="AJ1146">
        <v>13</v>
      </c>
      <c r="AK1146" t="str">
        <f t="shared" si="264"/>
        <v>13-15%</v>
      </c>
      <c r="AL1146">
        <v>3</v>
      </c>
      <c r="AM1146" t="s">
        <v>68</v>
      </c>
      <c r="AN1146">
        <v>4</v>
      </c>
      <c r="AO1146" t="s">
        <v>65</v>
      </c>
      <c r="AP1146">
        <v>80</v>
      </c>
      <c r="AQ1146">
        <v>0</v>
      </c>
      <c r="AR1146">
        <v>10</v>
      </c>
      <c r="AS1146" t="str">
        <f t="shared" si="265"/>
        <v>6-10</v>
      </c>
      <c r="AT1146">
        <v>3</v>
      </c>
      <c r="AU1146" t="str">
        <f t="shared" si="266"/>
        <v>3-4</v>
      </c>
      <c r="AV1146">
        <v>3</v>
      </c>
      <c r="AW1146" t="s">
        <v>79</v>
      </c>
      <c r="AX1146">
        <v>5</v>
      </c>
      <c r="AY1146" t="str">
        <f t="shared" si="255"/>
        <v>2-5</v>
      </c>
      <c r="AZ1146">
        <v>2</v>
      </c>
      <c r="BA1146" t="str">
        <f t="shared" si="267"/>
        <v>2-5</v>
      </c>
      <c r="BB1146">
        <v>0</v>
      </c>
      <c r="BC1146" t="str">
        <f t="shared" si="268"/>
        <v>0-1</v>
      </c>
      <c r="BD1146">
        <v>3</v>
      </c>
      <c r="BE1146" t="str">
        <f t="shared" si="269"/>
        <v>2-5</v>
      </c>
    </row>
    <row r="1147" spans="1:57" x14ac:dyDescent="0.3">
      <c r="A1147">
        <v>1614</v>
      </c>
      <c r="B1147">
        <v>36</v>
      </c>
      <c r="C1147" t="str">
        <f t="shared" si="256"/>
        <v>36-45</v>
      </c>
      <c r="D1147" t="s">
        <v>71</v>
      </c>
      <c r="E1147">
        <f t="shared" si="257"/>
        <v>0</v>
      </c>
      <c r="F1147" t="s">
        <v>57</v>
      </c>
      <c r="G1147">
        <v>559</v>
      </c>
      <c r="H1147" t="str">
        <f t="shared" si="258"/>
        <v>501-1000</v>
      </c>
      <c r="I1147" t="s">
        <v>73</v>
      </c>
      <c r="J1147">
        <v>12</v>
      </c>
      <c r="K1147" t="str">
        <f t="shared" si="259"/>
        <v>11-20</v>
      </c>
      <c r="L1147">
        <v>4</v>
      </c>
      <c r="M1147" t="s">
        <v>82</v>
      </c>
      <c r="N1147" t="s">
        <v>60</v>
      </c>
      <c r="O1147">
        <v>1</v>
      </c>
      <c r="P1147">
        <v>3</v>
      </c>
      <c r="Q1147" t="s">
        <v>63</v>
      </c>
      <c r="R1147" t="s">
        <v>62</v>
      </c>
      <c r="S1147">
        <v>76</v>
      </c>
      <c r="T1147" t="str">
        <f t="shared" si="260"/>
        <v>76-100</v>
      </c>
      <c r="U1147">
        <v>3</v>
      </c>
      <c r="V1147" t="s">
        <v>63</v>
      </c>
      <c r="W1147">
        <v>2</v>
      </c>
      <c r="X1147" t="s">
        <v>87</v>
      </c>
      <c r="Y1147">
        <v>3</v>
      </c>
      <c r="Z1147" t="s">
        <v>63</v>
      </c>
      <c r="AA1147" t="s">
        <v>77</v>
      </c>
      <c r="AB1147" s="4">
        <v>4663</v>
      </c>
      <c r="AC1147" s="4" t="str">
        <f t="shared" si="261"/>
        <v>$4,000-$5,500</v>
      </c>
      <c r="AD1147">
        <v>12421</v>
      </c>
      <c r="AE1147" t="str">
        <f t="shared" si="262"/>
        <v>$8,001-$16,000</v>
      </c>
      <c r="AF1147">
        <v>9</v>
      </c>
      <c r="AG1147" t="str">
        <f t="shared" si="263"/>
        <v>7-9</v>
      </c>
      <c r="AH1147" t="s">
        <v>67</v>
      </c>
      <c r="AI1147" t="s">
        <v>56</v>
      </c>
      <c r="AJ1147">
        <v>12</v>
      </c>
      <c r="AK1147" t="str">
        <f t="shared" si="264"/>
        <v>11-12%</v>
      </c>
      <c r="AL1147">
        <v>3</v>
      </c>
      <c r="AM1147" t="s">
        <v>68</v>
      </c>
      <c r="AN1147">
        <v>2</v>
      </c>
      <c r="AO1147" t="s">
        <v>61</v>
      </c>
      <c r="AP1147">
        <v>80</v>
      </c>
      <c r="AQ1147">
        <v>2</v>
      </c>
      <c r="AR1147">
        <v>7</v>
      </c>
      <c r="AS1147" t="str">
        <f t="shared" si="265"/>
        <v>6-10</v>
      </c>
      <c r="AT1147">
        <v>2</v>
      </c>
      <c r="AU1147" t="str">
        <f t="shared" si="266"/>
        <v>0-2</v>
      </c>
      <c r="AV1147">
        <v>3</v>
      </c>
      <c r="AW1147" t="s">
        <v>79</v>
      </c>
      <c r="AX1147">
        <v>3</v>
      </c>
      <c r="AY1147" t="str">
        <f t="shared" si="255"/>
        <v>2-5</v>
      </c>
      <c r="AZ1147">
        <v>2</v>
      </c>
      <c r="BA1147" t="str">
        <f t="shared" si="267"/>
        <v>2-5</v>
      </c>
      <c r="BB1147">
        <v>1</v>
      </c>
      <c r="BC1147" t="str">
        <f t="shared" si="268"/>
        <v>0-1</v>
      </c>
      <c r="BD1147">
        <v>1</v>
      </c>
      <c r="BE1147" t="str">
        <f t="shared" si="269"/>
        <v>0-1</v>
      </c>
    </row>
    <row r="1148" spans="1:57" x14ac:dyDescent="0.3">
      <c r="A1148">
        <v>1615</v>
      </c>
      <c r="B1148">
        <v>34</v>
      </c>
      <c r="C1148" t="str">
        <f t="shared" si="256"/>
        <v>26-35</v>
      </c>
      <c r="D1148" t="s">
        <v>71</v>
      </c>
      <c r="E1148">
        <f t="shared" si="257"/>
        <v>0</v>
      </c>
      <c r="F1148" t="s">
        <v>72</v>
      </c>
      <c r="G1148">
        <v>426</v>
      </c>
      <c r="H1148" t="str">
        <f t="shared" si="258"/>
        <v>102-500</v>
      </c>
      <c r="I1148" t="s">
        <v>73</v>
      </c>
      <c r="J1148">
        <v>10</v>
      </c>
      <c r="K1148" t="str">
        <f t="shared" si="259"/>
        <v>6-10</v>
      </c>
      <c r="L1148">
        <v>4</v>
      </c>
      <c r="M1148" t="s">
        <v>82</v>
      </c>
      <c r="N1148" t="s">
        <v>60</v>
      </c>
      <c r="O1148">
        <v>1</v>
      </c>
      <c r="P1148">
        <v>3</v>
      </c>
      <c r="Q1148" t="s">
        <v>63</v>
      </c>
      <c r="R1148" t="s">
        <v>75</v>
      </c>
      <c r="S1148">
        <v>42</v>
      </c>
      <c r="T1148" t="str">
        <f t="shared" si="260"/>
        <v>30-50</v>
      </c>
      <c r="U1148">
        <v>4</v>
      </c>
      <c r="V1148" t="s">
        <v>65</v>
      </c>
      <c r="W1148">
        <v>2</v>
      </c>
      <c r="X1148" t="s">
        <v>87</v>
      </c>
      <c r="Y1148">
        <v>4</v>
      </c>
      <c r="Z1148" t="s">
        <v>65</v>
      </c>
      <c r="AA1148" t="s">
        <v>86</v>
      </c>
      <c r="AB1148" s="4">
        <v>4724</v>
      </c>
      <c r="AC1148" s="4" t="str">
        <f t="shared" si="261"/>
        <v>$4,000-$5,500</v>
      </c>
      <c r="AD1148">
        <v>17000</v>
      </c>
      <c r="AE1148" t="str">
        <f t="shared" si="262"/>
        <v>$16,001-$22,000</v>
      </c>
      <c r="AF1148">
        <v>1</v>
      </c>
      <c r="AG1148" t="str">
        <f t="shared" si="263"/>
        <v>0-1</v>
      </c>
      <c r="AH1148" t="s">
        <v>67</v>
      </c>
      <c r="AI1148" t="s">
        <v>71</v>
      </c>
      <c r="AJ1148">
        <v>13</v>
      </c>
      <c r="AK1148" t="str">
        <f t="shared" si="264"/>
        <v>13-15%</v>
      </c>
      <c r="AL1148">
        <v>3</v>
      </c>
      <c r="AM1148" t="s">
        <v>68</v>
      </c>
      <c r="AN1148">
        <v>1</v>
      </c>
      <c r="AO1148" t="s">
        <v>69</v>
      </c>
      <c r="AP1148">
        <v>80</v>
      </c>
      <c r="AQ1148">
        <v>1</v>
      </c>
      <c r="AR1148">
        <v>9</v>
      </c>
      <c r="AS1148" t="str">
        <f t="shared" si="265"/>
        <v>6-10</v>
      </c>
      <c r="AT1148">
        <v>3</v>
      </c>
      <c r="AU1148" t="str">
        <f t="shared" si="266"/>
        <v>3-4</v>
      </c>
      <c r="AV1148">
        <v>3</v>
      </c>
      <c r="AW1148" t="s">
        <v>79</v>
      </c>
      <c r="AX1148">
        <v>9</v>
      </c>
      <c r="AY1148" t="str">
        <f t="shared" si="255"/>
        <v>6-10</v>
      </c>
      <c r="AZ1148">
        <v>7</v>
      </c>
      <c r="BA1148" t="str">
        <f t="shared" si="267"/>
        <v>6-10</v>
      </c>
      <c r="BB1148">
        <v>7</v>
      </c>
      <c r="BC1148" t="str">
        <f t="shared" si="268"/>
        <v>6-10</v>
      </c>
      <c r="BD1148">
        <v>2</v>
      </c>
      <c r="BE1148" t="str">
        <f t="shared" si="269"/>
        <v>2-5</v>
      </c>
    </row>
    <row r="1149" spans="1:57" x14ac:dyDescent="0.3">
      <c r="A1149">
        <v>1617</v>
      </c>
      <c r="B1149">
        <v>49</v>
      </c>
      <c r="C1149" t="str">
        <f t="shared" si="256"/>
        <v>46-55</v>
      </c>
      <c r="D1149" t="s">
        <v>71</v>
      </c>
      <c r="E1149">
        <f t="shared" si="257"/>
        <v>0</v>
      </c>
      <c r="F1149" t="s">
        <v>57</v>
      </c>
      <c r="G1149">
        <v>722</v>
      </c>
      <c r="H1149" t="str">
        <f t="shared" si="258"/>
        <v>501-1000</v>
      </c>
      <c r="I1149" t="s">
        <v>73</v>
      </c>
      <c r="J1149">
        <v>25</v>
      </c>
      <c r="K1149" t="str">
        <f t="shared" si="259"/>
        <v>21-29</v>
      </c>
      <c r="L1149">
        <v>4</v>
      </c>
      <c r="M1149" t="s">
        <v>82</v>
      </c>
      <c r="N1149" t="s">
        <v>60</v>
      </c>
      <c r="O1149">
        <v>1</v>
      </c>
      <c r="P1149">
        <v>3</v>
      </c>
      <c r="Q1149" t="s">
        <v>63</v>
      </c>
      <c r="R1149" t="s">
        <v>62</v>
      </c>
      <c r="S1149">
        <v>84</v>
      </c>
      <c r="T1149" t="str">
        <f t="shared" si="260"/>
        <v>76-100</v>
      </c>
      <c r="U1149">
        <v>3</v>
      </c>
      <c r="V1149" t="s">
        <v>63</v>
      </c>
      <c r="W1149">
        <v>1</v>
      </c>
      <c r="X1149" t="s">
        <v>81</v>
      </c>
      <c r="Y1149">
        <v>1</v>
      </c>
      <c r="Z1149" t="s">
        <v>69</v>
      </c>
      <c r="AA1149" t="s">
        <v>77</v>
      </c>
      <c r="AB1149" s="4">
        <v>3211</v>
      </c>
      <c r="AC1149" s="4" t="str">
        <f t="shared" si="261"/>
        <v>$2,500-$4,000</v>
      </c>
      <c r="AD1149">
        <v>22102</v>
      </c>
      <c r="AE1149" t="str">
        <f t="shared" si="262"/>
        <v>$22,001-$26,999</v>
      </c>
      <c r="AF1149">
        <v>1</v>
      </c>
      <c r="AG1149" t="str">
        <f t="shared" si="263"/>
        <v>0-1</v>
      </c>
      <c r="AH1149" t="s">
        <v>67</v>
      </c>
      <c r="AI1149" t="s">
        <v>71</v>
      </c>
      <c r="AJ1149">
        <v>14</v>
      </c>
      <c r="AK1149" t="str">
        <f t="shared" si="264"/>
        <v>13-15%</v>
      </c>
      <c r="AL1149">
        <v>3</v>
      </c>
      <c r="AM1149" t="s">
        <v>68</v>
      </c>
      <c r="AN1149">
        <v>4</v>
      </c>
      <c r="AO1149" t="s">
        <v>65</v>
      </c>
      <c r="AP1149">
        <v>80</v>
      </c>
      <c r="AQ1149">
        <v>1</v>
      </c>
      <c r="AR1149">
        <v>10</v>
      </c>
      <c r="AS1149" t="str">
        <f t="shared" si="265"/>
        <v>6-10</v>
      </c>
      <c r="AT1149">
        <v>3</v>
      </c>
      <c r="AU1149" t="str">
        <f t="shared" si="266"/>
        <v>3-4</v>
      </c>
      <c r="AV1149">
        <v>2</v>
      </c>
      <c r="AW1149" t="s">
        <v>84</v>
      </c>
      <c r="AX1149">
        <v>9</v>
      </c>
      <c r="AY1149" t="str">
        <f t="shared" si="255"/>
        <v>6-10</v>
      </c>
      <c r="AZ1149">
        <v>6</v>
      </c>
      <c r="BA1149" t="str">
        <f t="shared" si="267"/>
        <v>6-10</v>
      </c>
      <c r="BB1149">
        <v>1</v>
      </c>
      <c r="BC1149" t="str">
        <f t="shared" si="268"/>
        <v>0-1</v>
      </c>
      <c r="BD1149">
        <v>4</v>
      </c>
      <c r="BE1149" t="str">
        <f t="shared" si="269"/>
        <v>2-5</v>
      </c>
    </row>
    <row r="1150" spans="1:57" x14ac:dyDescent="0.3">
      <c r="A1150">
        <v>1618</v>
      </c>
      <c r="B1150">
        <v>39</v>
      </c>
      <c r="C1150" t="str">
        <f t="shared" si="256"/>
        <v>36-45</v>
      </c>
      <c r="D1150" t="s">
        <v>71</v>
      </c>
      <c r="E1150">
        <f t="shared" si="257"/>
        <v>0</v>
      </c>
      <c r="F1150" t="s">
        <v>57</v>
      </c>
      <c r="G1150">
        <v>1387</v>
      </c>
      <c r="H1150" t="str">
        <f t="shared" si="258"/>
        <v>1001-1499</v>
      </c>
      <c r="I1150" t="s">
        <v>73</v>
      </c>
      <c r="J1150">
        <v>10</v>
      </c>
      <c r="K1150" t="str">
        <f t="shared" si="259"/>
        <v>6-10</v>
      </c>
      <c r="L1150">
        <v>5</v>
      </c>
      <c r="M1150" t="s">
        <v>96</v>
      </c>
      <c r="N1150" t="s">
        <v>83</v>
      </c>
      <c r="O1150">
        <v>1</v>
      </c>
      <c r="P1150">
        <v>2</v>
      </c>
      <c r="Q1150" t="s">
        <v>61</v>
      </c>
      <c r="R1150" t="s">
        <v>75</v>
      </c>
      <c r="S1150">
        <v>76</v>
      </c>
      <c r="T1150" t="str">
        <f t="shared" si="260"/>
        <v>76-100</v>
      </c>
      <c r="U1150">
        <v>3</v>
      </c>
      <c r="V1150" t="s">
        <v>63</v>
      </c>
      <c r="W1150">
        <v>2</v>
      </c>
      <c r="X1150" t="s">
        <v>87</v>
      </c>
      <c r="Y1150">
        <v>1</v>
      </c>
      <c r="Z1150" t="s">
        <v>69</v>
      </c>
      <c r="AA1150" t="s">
        <v>77</v>
      </c>
      <c r="AB1150" s="4">
        <v>5377</v>
      </c>
      <c r="AC1150" s="4" t="str">
        <f t="shared" si="261"/>
        <v>$4,000-$5,500</v>
      </c>
      <c r="AD1150">
        <v>3835</v>
      </c>
      <c r="AE1150" t="str">
        <f t="shared" si="262"/>
        <v>$2,094-$8,000</v>
      </c>
      <c r="AF1150">
        <v>2</v>
      </c>
      <c r="AG1150" t="str">
        <f t="shared" si="263"/>
        <v>2-3</v>
      </c>
      <c r="AH1150" t="s">
        <v>67</v>
      </c>
      <c r="AI1150" t="s">
        <v>71</v>
      </c>
      <c r="AJ1150">
        <v>13</v>
      </c>
      <c r="AK1150" t="str">
        <f t="shared" si="264"/>
        <v>13-15%</v>
      </c>
      <c r="AL1150">
        <v>3</v>
      </c>
      <c r="AM1150" t="s">
        <v>68</v>
      </c>
      <c r="AN1150">
        <v>4</v>
      </c>
      <c r="AO1150" t="s">
        <v>65</v>
      </c>
      <c r="AP1150">
        <v>80</v>
      </c>
      <c r="AQ1150">
        <v>3</v>
      </c>
      <c r="AR1150">
        <v>10</v>
      </c>
      <c r="AS1150" t="str">
        <f t="shared" si="265"/>
        <v>6-10</v>
      </c>
      <c r="AT1150">
        <v>3</v>
      </c>
      <c r="AU1150" t="str">
        <f t="shared" si="266"/>
        <v>3-4</v>
      </c>
      <c r="AV1150">
        <v>3</v>
      </c>
      <c r="AW1150" t="s">
        <v>79</v>
      </c>
      <c r="AX1150">
        <v>7</v>
      </c>
      <c r="AY1150" t="str">
        <f t="shared" si="255"/>
        <v>6-10</v>
      </c>
      <c r="AZ1150">
        <v>7</v>
      </c>
      <c r="BA1150" t="str">
        <f t="shared" si="267"/>
        <v>6-10</v>
      </c>
      <c r="BB1150">
        <v>7</v>
      </c>
      <c r="BC1150" t="str">
        <f t="shared" si="268"/>
        <v>6-10</v>
      </c>
      <c r="BD1150">
        <v>7</v>
      </c>
      <c r="BE1150" t="str">
        <f t="shared" si="269"/>
        <v>6-10</v>
      </c>
    </row>
    <row r="1151" spans="1:57" x14ac:dyDescent="0.3">
      <c r="A1151">
        <v>1619</v>
      </c>
      <c r="B1151">
        <v>27</v>
      </c>
      <c r="C1151" t="str">
        <f t="shared" si="256"/>
        <v>26-35</v>
      </c>
      <c r="D1151" t="s">
        <v>71</v>
      </c>
      <c r="E1151">
        <f t="shared" si="257"/>
        <v>0</v>
      </c>
      <c r="F1151" t="s">
        <v>57</v>
      </c>
      <c r="G1151">
        <v>1302</v>
      </c>
      <c r="H1151" t="str">
        <f t="shared" si="258"/>
        <v>1001-1499</v>
      </c>
      <c r="I1151" t="s">
        <v>73</v>
      </c>
      <c r="J1151">
        <v>19</v>
      </c>
      <c r="K1151" t="str">
        <f t="shared" si="259"/>
        <v>11-20</v>
      </c>
      <c r="L1151">
        <v>3</v>
      </c>
      <c r="M1151" t="s">
        <v>85</v>
      </c>
      <c r="N1151" t="s">
        <v>80</v>
      </c>
      <c r="O1151">
        <v>1</v>
      </c>
      <c r="P1151">
        <v>4</v>
      </c>
      <c r="Q1151" t="s">
        <v>65</v>
      </c>
      <c r="R1151" t="s">
        <v>75</v>
      </c>
      <c r="S1151">
        <v>67</v>
      </c>
      <c r="T1151" t="str">
        <f t="shared" si="260"/>
        <v>51-75</v>
      </c>
      <c r="U1151">
        <v>2</v>
      </c>
      <c r="V1151" t="s">
        <v>61</v>
      </c>
      <c r="W1151">
        <v>1</v>
      </c>
      <c r="X1151" t="s">
        <v>81</v>
      </c>
      <c r="Y1151">
        <v>1</v>
      </c>
      <c r="Z1151" t="s">
        <v>69</v>
      </c>
      <c r="AA1151" t="s">
        <v>86</v>
      </c>
      <c r="AB1151" s="4">
        <v>4066</v>
      </c>
      <c r="AC1151" s="4" t="str">
        <f t="shared" si="261"/>
        <v>$4,000-$5,500</v>
      </c>
      <c r="AD1151">
        <v>16290</v>
      </c>
      <c r="AE1151" t="str">
        <f t="shared" si="262"/>
        <v>$16,001-$22,000</v>
      </c>
      <c r="AF1151">
        <v>1</v>
      </c>
      <c r="AG1151" t="str">
        <f t="shared" si="263"/>
        <v>0-1</v>
      </c>
      <c r="AH1151" t="s">
        <v>67</v>
      </c>
      <c r="AI1151" t="s">
        <v>71</v>
      </c>
      <c r="AJ1151">
        <v>11</v>
      </c>
      <c r="AK1151" t="str">
        <f t="shared" si="264"/>
        <v>11-12%</v>
      </c>
      <c r="AL1151">
        <v>3</v>
      </c>
      <c r="AM1151" t="s">
        <v>68</v>
      </c>
      <c r="AN1151">
        <v>1</v>
      </c>
      <c r="AO1151" t="s">
        <v>69</v>
      </c>
      <c r="AP1151">
        <v>80</v>
      </c>
      <c r="AQ1151">
        <v>2</v>
      </c>
      <c r="AR1151">
        <v>7</v>
      </c>
      <c r="AS1151" t="str">
        <f t="shared" si="265"/>
        <v>6-10</v>
      </c>
      <c r="AT1151">
        <v>3</v>
      </c>
      <c r="AU1151" t="str">
        <f t="shared" si="266"/>
        <v>3-4</v>
      </c>
      <c r="AV1151">
        <v>3</v>
      </c>
      <c r="AW1151" t="s">
        <v>79</v>
      </c>
      <c r="AX1151">
        <v>7</v>
      </c>
      <c r="AY1151" t="str">
        <f t="shared" si="255"/>
        <v>6-10</v>
      </c>
      <c r="AZ1151">
        <v>7</v>
      </c>
      <c r="BA1151" t="str">
        <f t="shared" si="267"/>
        <v>6-10</v>
      </c>
      <c r="BB1151">
        <v>0</v>
      </c>
      <c r="BC1151" t="str">
        <f t="shared" si="268"/>
        <v>0-1</v>
      </c>
      <c r="BD1151">
        <v>7</v>
      </c>
      <c r="BE1151" t="str">
        <f t="shared" si="269"/>
        <v>6-10</v>
      </c>
    </row>
    <row r="1152" spans="1:57" x14ac:dyDescent="0.3">
      <c r="A1152">
        <v>1621</v>
      </c>
      <c r="B1152">
        <v>35</v>
      </c>
      <c r="C1152" t="str">
        <f t="shared" si="256"/>
        <v>26-35</v>
      </c>
      <c r="D1152" t="s">
        <v>71</v>
      </c>
      <c r="E1152">
        <f t="shared" si="257"/>
        <v>0</v>
      </c>
      <c r="F1152" t="s">
        <v>57</v>
      </c>
      <c r="G1152">
        <v>819</v>
      </c>
      <c r="H1152" t="str">
        <f t="shared" si="258"/>
        <v>501-1000</v>
      </c>
      <c r="I1152" t="s">
        <v>73</v>
      </c>
      <c r="J1152">
        <v>18</v>
      </c>
      <c r="K1152" t="str">
        <f t="shared" si="259"/>
        <v>11-20</v>
      </c>
      <c r="L1152">
        <v>5</v>
      </c>
      <c r="M1152" t="s">
        <v>96</v>
      </c>
      <c r="N1152" t="s">
        <v>60</v>
      </c>
      <c r="O1152">
        <v>1</v>
      </c>
      <c r="P1152">
        <v>2</v>
      </c>
      <c r="Q1152" t="s">
        <v>61</v>
      </c>
      <c r="R1152" t="s">
        <v>75</v>
      </c>
      <c r="S1152">
        <v>48</v>
      </c>
      <c r="T1152" t="str">
        <f t="shared" si="260"/>
        <v>30-50</v>
      </c>
      <c r="U1152">
        <v>4</v>
      </c>
      <c r="V1152" t="s">
        <v>65</v>
      </c>
      <c r="W1152">
        <v>2</v>
      </c>
      <c r="X1152" t="s">
        <v>76</v>
      </c>
      <c r="Y1152">
        <v>1</v>
      </c>
      <c r="Z1152" t="s">
        <v>69</v>
      </c>
      <c r="AA1152" t="s">
        <v>77</v>
      </c>
      <c r="AB1152" s="4">
        <v>5208</v>
      </c>
      <c r="AC1152" s="4" t="str">
        <f t="shared" si="261"/>
        <v>$4,000-$5,500</v>
      </c>
      <c r="AD1152">
        <v>26312</v>
      </c>
      <c r="AE1152" t="str">
        <f t="shared" si="262"/>
        <v>$22,001-$26,999</v>
      </c>
      <c r="AF1152">
        <v>1</v>
      </c>
      <c r="AG1152" t="str">
        <f t="shared" si="263"/>
        <v>0-1</v>
      </c>
      <c r="AH1152" t="s">
        <v>67</v>
      </c>
      <c r="AI1152" t="s">
        <v>71</v>
      </c>
      <c r="AJ1152">
        <v>11</v>
      </c>
      <c r="AK1152" t="str">
        <f t="shared" si="264"/>
        <v>11-12%</v>
      </c>
      <c r="AL1152">
        <v>3</v>
      </c>
      <c r="AM1152" t="s">
        <v>68</v>
      </c>
      <c r="AN1152">
        <v>4</v>
      </c>
      <c r="AO1152" t="s">
        <v>65</v>
      </c>
      <c r="AP1152">
        <v>80</v>
      </c>
      <c r="AQ1152">
        <v>0</v>
      </c>
      <c r="AR1152">
        <v>16</v>
      </c>
      <c r="AS1152" t="str">
        <f t="shared" si="265"/>
        <v>11-20</v>
      </c>
      <c r="AT1152">
        <v>2</v>
      </c>
      <c r="AU1152" t="str">
        <f t="shared" si="266"/>
        <v>0-2</v>
      </c>
      <c r="AV1152">
        <v>3</v>
      </c>
      <c r="AW1152" t="s">
        <v>79</v>
      </c>
      <c r="AX1152">
        <v>16</v>
      </c>
      <c r="AY1152" t="str">
        <f t="shared" si="255"/>
        <v>11-20</v>
      </c>
      <c r="AZ1152">
        <v>15</v>
      </c>
      <c r="BA1152" t="str">
        <f t="shared" si="267"/>
        <v>11-18</v>
      </c>
      <c r="BB1152">
        <v>1</v>
      </c>
      <c r="BC1152" t="str">
        <f t="shared" si="268"/>
        <v>0-1</v>
      </c>
      <c r="BD1152">
        <v>10</v>
      </c>
      <c r="BE1152" t="str">
        <f t="shared" si="269"/>
        <v>6-10</v>
      </c>
    </row>
    <row r="1153" spans="1:57" x14ac:dyDescent="0.3">
      <c r="A1153">
        <v>1622</v>
      </c>
      <c r="B1153">
        <v>28</v>
      </c>
      <c r="C1153" t="str">
        <f t="shared" si="256"/>
        <v>26-35</v>
      </c>
      <c r="D1153" t="s">
        <v>71</v>
      </c>
      <c r="E1153">
        <f t="shared" si="257"/>
        <v>0</v>
      </c>
      <c r="F1153" t="s">
        <v>57</v>
      </c>
      <c r="G1153">
        <v>580</v>
      </c>
      <c r="H1153" t="str">
        <f t="shared" si="258"/>
        <v>501-1000</v>
      </c>
      <c r="I1153" t="s">
        <v>73</v>
      </c>
      <c r="J1153">
        <v>27</v>
      </c>
      <c r="K1153" t="str">
        <f t="shared" si="259"/>
        <v>21-29</v>
      </c>
      <c r="L1153">
        <v>3</v>
      </c>
      <c r="M1153" t="s">
        <v>85</v>
      </c>
      <c r="N1153" t="s">
        <v>83</v>
      </c>
      <c r="O1153">
        <v>1</v>
      </c>
      <c r="P1153">
        <v>2</v>
      </c>
      <c r="Q1153" t="s">
        <v>61</v>
      </c>
      <c r="R1153" t="s">
        <v>62</v>
      </c>
      <c r="S1153">
        <v>39</v>
      </c>
      <c r="T1153" t="str">
        <f t="shared" si="260"/>
        <v>30-50</v>
      </c>
      <c r="U1153">
        <v>1</v>
      </c>
      <c r="V1153" t="s">
        <v>69</v>
      </c>
      <c r="W1153">
        <v>2</v>
      </c>
      <c r="X1153" t="s">
        <v>87</v>
      </c>
      <c r="Y1153">
        <v>1</v>
      </c>
      <c r="Z1153" t="s">
        <v>69</v>
      </c>
      <c r="AA1153" t="s">
        <v>86</v>
      </c>
      <c r="AB1153" s="4">
        <v>4877</v>
      </c>
      <c r="AC1153" s="4" t="str">
        <f t="shared" si="261"/>
        <v>$4,000-$5,500</v>
      </c>
      <c r="AD1153">
        <v>20460</v>
      </c>
      <c r="AE1153" t="str">
        <f t="shared" si="262"/>
        <v>$16,001-$22,000</v>
      </c>
      <c r="AF1153">
        <v>0</v>
      </c>
      <c r="AG1153" t="str">
        <f t="shared" si="263"/>
        <v>0-1</v>
      </c>
      <c r="AH1153" t="s">
        <v>67</v>
      </c>
      <c r="AI1153" t="s">
        <v>71</v>
      </c>
      <c r="AJ1153">
        <v>21</v>
      </c>
      <c r="AK1153" t="str">
        <f t="shared" si="264"/>
        <v>18-19%</v>
      </c>
      <c r="AL1153">
        <v>4</v>
      </c>
      <c r="AM1153" t="s">
        <v>78</v>
      </c>
      <c r="AN1153">
        <v>2</v>
      </c>
      <c r="AO1153" t="s">
        <v>61</v>
      </c>
      <c r="AP1153">
        <v>80</v>
      </c>
      <c r="AQ1153">
        <v>1</v>
      </c>
      <c r="AR1153">
        <v>6</v>
      </c>
      <c r="AS1153" t="str">
        <f t="shared" si="265"/>
        <v>6-10</v>
      </c>
      <c r="AT1153">
        <v>5</v>
      </c>
      <c r="AU1153" t="str">
        <f t="shared" si="266"/>
        <v>5-6</v>
      </c>
      <c r="AV1153">
        <v>2</v>
      </c>
      <c r="AW1153" t="s">
        <v>84</v>
      </c>
      <c r="AX1153">
        <v>5</v>
      </c>
      <c r="AY1153" t="str">
        <f t="shared" si="255"/>
        <v>2-5</v>
      </c>
      <c r="AZ1153">
        <v>3</v>
      </c>
      <c r="BA1153" t="str">
        <f t="shared" si="267"/>
        <v>2-5</v>
      </c>
      <c r="BB1153">
        <v>0</v>
      </c>
      <c r="BC1153" t="str">
        <f t="shared" si="268"/>
        <v>0-1</v>
      </c>
      <c r="BD1153">
        <v>0</v>
      </c>
      <c r="BE1153" t="str">
        <f t="shared" si="269"/>
        <v>0-1</v>
      </c>
    </row>
    <row r="1154" spans="1:57" x14ac:dyDescent="0.3">
      <c r="A1154">
        <v>1623</v>
      </c>
      <c r="B1154">
        <v>21</v>
      </c>
      <c r="C1154" t="str">
        <f t="shared" si="256"/>
        <v>18-25</v>
      </c>
      <c r="D1154" t="s">
        <v>71</v>
      </c>
      <c r="E1154">
        <f t="shared" si="257"/>
        <v>0</v>
      </c>
      <c r="F1154" t="s">
        <v>57</v>
      </c>
      <c r="G1154">
        <v>546</v>
      </c>
      <c r="H1154" t="str">
        <f t="shared" si="258"/>
        <v>501-1000</v>
      </c>
      <c r="I1154" t="s">
        <v>73</v>
      </c>
      <c r="J1154">
        <v>5</v>
      </c>
      <c r="K1154" t="str">
        <f t="shared" si="259"/>
        <v>1-5</v>
      </c>
      <c r="L1154">
        <v>1</v>
      </c>
      <c r="M1154" t="s">
        <v>74</v>
      </c>
      <c r="N1154" t="s">
        <v>83</v>
      </c>
      <c r="O1154">
        <v>1</v>
      </c>
      <c r="P1154">
        <v>3</v>
      </c>
      <c r="Q1154" t="s">
        <v>63</v>
      </c>
      <c r="R1154" t="s">
        <v>75</v>
      </c>
      <c r="S1154">
        <v>97</v>
      </c>
      <c r="T1154" t="str">
        <f t="shared" si="260"/>
        <v>76-100</v>
      </c>
      <c r="U1154">
        <v>3</v>
      </c>
      <c r="V1154" t="s">
        <v>63</v>
      </c>
      <c r="W1154">
        <v>1</v>
      </c>
      <c r="X1154" t="s">
        <v>76</v>
      </c>
      <c r="Y1154">
        <v>4</v>
      </c>
      <c r="Z1154" t="s">
        <v>65</v>
      </c>
      <c r="AA1154" t="s">
        <v>66</v>
      </c>
      <c r="AB1154" s="4">
        <v>3117</v>
      </c>
      <c r="AC1154" s="4" t="str">
        <f t="shared" si="261"/>
        <v>$2,500-$4,000</v>
      </c>
      <c r="AD1154">
        <v>26009</v>
      </c>
      <c r="AE1154" t="str">
        <f t="shared" si="262"/>
        <v>$22,001-$26,999</v>
      </c>
      <c r="AF1154">
        <v>1</v>
      </c>
      <c r="AG1154" t="str">
        <f t="shared" si="263"/>
        <v>0-1</v>
      </c>
      <c r="AH1154" t="s">
        <v>67</v>
      </c>
      <c r="AI1154" t="s">
        <v>71</v>
      </c>
      <c r="AJ1154">
        <v>18</v>
      </c>
      <c r="AK1154" t="str">
        <f t="shared" si="264"/>
        <v>18-19%</v>
      </c>
      <c r="AL1154">
        <v>3</v>
      </c>
      <c r="AM1154" t="s">
        <v>68</v>
      </c>
      <c r="AN1154">
        <v>3</v>
      </c>
      <c r="AO1154" t="s">
        <v>63</v>
      </c>
      <c r="AP1154">
        <v>80</v>
      </c>
      <c r="AQ1154">
        <v>0</v>
      </c>
      <c r="AR1154">
        <v>3</v>
      </c>
      <c r="AS1154" t="str">
        <f t="shared" si="265"/>
        <v>3-5</v>
      </c>
      <c r="AT1154">
        <v>2</v>
      </c>
      <c r="AU1154" t="str">
        <f t="shared" si="266"/>
        <v>0-2</v>
      </c>
      <c r="AV1154">
        <v>3</v>
      </c>
      <c r="AW1154" t="s">
        <v>79</v>
      </c>
      <c r="AX1154">
        <v>2</v>
      </c>
      <c r="AY1154" t="str">
        <f t="shared" ref="AY1154:AY1217" si="270">IF(AX1154&lt;=1,"0-1",IF(AX1154&lt;=5,"2-5",IF(AX1154&lt;=10,"6-10",IF(AX1154&lt;=20,"11-20","21-40"))))</f>
        <v>2-5</v>
      </c>
      <c r="AZ1154">
        <v>2</v>
      </c>
      <c r="BA1154" t="str">
        <f t="shared" si="267"/>
        <v>2-5</v>
      </c>
      <c r="BB1154">
        <v>2</v>
      </c>
      <c r="BC1154" t="str">
        <f t="shared" si="268"/>
        <v>2-5</v>
      </c>
      <c r="BD1154">
        <v>2</v>
      </c>
      <c r="BE1154" t="str">
        <f t="shared" si="269"/>
        <v>2-5</v>
      </c>
    </row>
    <row r="1155" spans="1:57" x14ac:dyDescent="0.3">
      <c r="A1155">
        <v>1624</v>
      </c>
      <c r="B1155">
        <v>18</v>
      </c>
      <c r="C1155" t="str">
        <f t="shared" ref="C1155:C1218" si="271">IF(B1155&lt;=25, "18-25", IF(B1155&lt;=35, "26-35", IF(B1155&lt;=45, "36-45", IF(B1155&lt;=55, "46-55", "56+"))))</f>
        <v>18-25</v>
      </c>
      <c r="D1155" t="s">
        <v>56</v>
      </c>
      <c r="E1155">
        <f t="shared" ref="E1155:E1218" si="272">IF(D1155="Yes",1,0)</f>
        <v>1</v>
      </c>
      <c r="F1155" t="s">
        <v>72</v>
      </c>
      <c r="G1155">
        <v>544</v>
      </c>
      <c r="H1155" t="str">
        <f t="shared" ref="H1155:H1218" si="273">IF(G1155&lt;=500,"102-500",IF(G1155&lt;=1000,"501-1000","1001-1499"))</f>
        <v>501-1000</v>
      </c>
      <c r="I1155" t="s">
        <v>58</v>
      </c>
      <c r="J1155">
        <v>3</v>
      </c>
      <c r="K1155" t="str">
        <f t="shared" ref="K1155:K1218" si="274">IF(J1155&lt;=5,"1-5",IF(J1155&lt;=10,"6-10",IF(J1155&lt;=20,"11-20","21-29")))</f>
        <v>1-5</v>
      </c>
      <c r="L1155">
        <v>2</v>
      </c>
      <c r="M1155" t="s">
        <v>59</v>
      </c>
      <c r="N1155" t="s">
        <v>83</v>
      </c>
      <c r="O1155">
        <v>1</v>
      </c>
      <c r="P1155">
        <v>2</v>
      </c>
      <c r="Q1155" t="s">
        <v>61</v>
      </c>
      <c r="R1155" t="s">
        <v>62</v>
      </c>
      <c r="S1155">
        <v>70</v>
      </c>
      <c r="T1155" t="str">
        <f t="shared" ref="T1155:T1218" si="275">IF(S1155&lt;=50,"30-50",IF(S1155&lt;=75,"51-75","76-100"))</f>
        <v>51-75</v>
      </c>
      <c r="U1155">
        <v>3</v>
      </c>
      <c r="V1155" t="s">
        <v>63</v>
      </c>
      <c r="W1155">
        <v>1</v>
      </c>
      <c r="X1155" t="s">
        <v>91</v>
      </c>
      <c r="Y1155">
        <v>4</v>
      </c>
      <c r="Z1155" t="s">
        <v>65</v>
      </c>
      <c r="AA1155" t="s">
        <v>66</v>
      </c>
      <c r="AB1155" s="4">
        <v>1569</v>
      </c>
      <c r="AC1155" s="4" t="str">
        <f t="shared" ref="AC1155:AC1218" si="276">IF(AB1155&lt;2500,"$1,000-$2,500",IF(AB1155&lt;4000,"$2,500-$4,000",IF(AB1155&lt;5500,"$4,000-$5,500",IF(AB1155&lt;7000,"$5,500-$7,000",IF(AB1155&lt;8500,"$7,000-$8,500",IF(AB1155&lt;10000,"$8,500-$10,000",IF(AB1155&lt;11500,"$10,000-$11,500",IF(AB1155&lt;13000,"$11,500-$13,000",IF(AB1155&lt;14500,"$13,000-$14,500",IF(AB1155&lt;16000,"$14,500-$16,000",IF(AB1155&lt;17500,"$16,000-$17,500",IF(AB1155&lt;19000,"$17,500-$19,000",IF(AB1155&lt;20500,"$19,000-$20,500",IF(AB1155&lt;22000,"$20,500-$22,000",IF(AB1155&lt;23500,"$22,000-$23,500",IF(AB1155&lt;25000,"$23,500-$25,000",IF(AB1155&lt;26500,"$25,000-$26,500",IF(AB1155&lt;28000,"$26,500-$28,000",IF(AB1155&lt;29500,"$28,000-$29,500","$29,500+")))))))))))))))))))</f>
        <v>$1,000-$2,500</v>
      </c>
      <c r="AD1155">
        <v>18420</v>
      </c>
      <c r="AE1155" t="str">
        <f t="shared" ref="AE1155:AE1218" si="277">IF(AD1155&lt;=8000,"$2,094-$8,000",IF(AD1155&lt;=16000,"$8,001-$16,000",IF(AD1155&lt;=22000,"$16,001-$22,000","$22,001-$26,999")))</f>
        <v>$16,001-$22,000</v>
      </c>
      <c r="AF1155">
        <v>1</v>
      </c>
      <c r="AG1155" t="str">
        <f t="shared" ref="AG1155:AG1218" si="278">IF(AF1155&lt;=1,"0-1",IF(AF1155&lt;=3,"2-3",IF(AF1155&lt;=6,"4-6","7-9")))</f>
        <v>0-1</v>
      </c>
      <c r="AH1155" t="s">
        <v>67</v>
      </c>
      <c r="AI1155" t="s">
        <v>56</v>
      </c>
      <c r="AJ1155">
        <v>12</v>
      </c>
      <c r="AK1155" t="str">
        <f t="shared" ref="AK1155:AK1218" si="279">IF(AJ1155&lt;=12,"11-12%",IF(AJ1155&lt;=15,"13-15%",IF(AJ1155&lt;=17,"16-17%","18-19%")))</f>
        <v>11-12%</v>
      </c>
      <c r="AL1155">
        <v>3</v>
      </c>
      <c r="AM1155" t="s">
        <v>68</v>
      </c>
      <c r="AN1155">
        <v>3</v>
      </c>
      <c r="AO1155" t="s">
        <v>63</v>
      </c>
      <c r="AP1155">
        <v>80</v>
      </c>
      <c r="AQ1155">
        <v>0</v>
      </c>
      <c r="AR1155">
        <v>0</v>
      </c>
      <c r="AS1155" t="str">
        <f t="shared" ref="AS1155:AS1218" si="280">IF(AR1155&lt;=2,"0-2",IF(AR1155&lt;=5,"3-5",IF(AR1155&lt;=10,"6-10",IF(AR1155&lt;=20,"11-20","21-40"))))</f>
        <v>0-2</v>
      </c>
      <c r="AT1155">
        <v>2</v>
      </c>
      <c r="AU1155" t="str">
        <f t="shared" ref="AU1155:AU1218" si="281">IF(AT1155&lt;=2,"0-2",IF(AT1155&lt;=4,"3-4","5-6"))</f>
        <v>0-2</v>
      </c>
      <c r="AV1155">
        <v>4</v>
      </c>
      <c r="AW1155" t="s">
        <v>94</v>
      </c>
      <c r="AX1155">
        <v>0</v>
      </c>
      <c r="AY1155" t="str">
        <f t="shared" si="270"/>
        <v>0-1</v>
      </c>
      <c r="AZ1155">
        <v>0</v>
      </c>
      <c r="BA1155" t="str">
        <f t="shared" ref="BA1155:BA1218" si="282">IF(AZ1155&lt;=1,"0-1",IF(AZ1155&lt;=5,"2-5",IF(AZ1155&lt;=10,"6-10","11-18")))</f>
        <v>0-1</v>
      </c>
      <c r="BB1155">
        <v>0</v>
      </c>
      <c r="BC1155" t="str">
        <f t="shared" ref="BC1155:BC1218" si="283">IF(BB1155&lt;=1,"0-1",IF(BB1155&lt;=5,"2-5",IF(BB1155&lt;=10,"6-10","11-15")))</f>
        <v>0-1</v>
      </c>
      <c r="BD1155">
        <v>0</v>
      </c>
      <c r="BE1155" t="str">
        <f t="shared" ref="BE1155:BE1218" si="284">IF(BD1155&lt;=1,"0-1",IF(BD1155&lt;=5,"2-5",IF(BD1155&lt;=10,"6-10","11-17")))</f>
        <v>0-1</v>
      </c>
    </row>
    <row r="1156" spans="1:57" x14ac:dyDescent="0.3">
      <c r="A1156">
        <v>1625</v>
      </c>
      <c r="B1156">
        <v>47</v>
      </c>
      <c r="C1156" t="str">
        <f t="shared" si="271"/>
        <v>46-55</v>
      </c>
      <c r="D1156" t="s">
        <v>71</v>
      </c>
      <c r="E1156">
        <f t="shared" si="272"/>
        <v>0</v>
      </c>
      <c r="F1156" t="s">
        <v>57</v>
      </c>
      <c r="G1156">
        <v>1176</v>
      </c>
      <c r="H1156" t="str">
        <f t="shared" si="273"/>
        <v>1001-1499</v>
      </c>
      <c r="I1156" t="s">
        <v>97</v>
      </c>
      <c r="J1156">
        <v>26</v>
      </c>
      <c r="K1156" t="str">
        <f t="shared" si="274"/>
        <v>21-29</v>
      </c>
      <c r="L1156">
        <v>4</v>
      </c>
      <c r="M1156" t="s">
        <v>82</v>
      </c>
      <c r="N1156" t="s">
        <v>60</v>
      </c>
      <c r="O1156">
        <v>1</v>
      </c>
      <c r="P1156">
        <v>4</v>
      </c>
      <c r="Q1156" t="s">
        <v>65</v>
      </c>
      <c r="R1156" t="s">
        <v>62</v>
      </c>
      <c r="S1156">
        <v>98</v>
      </c>
      <c r="T1156" t="str">
        <f t="shared" si="275"/>
        <v>76-100</v>
      </c>
      <c r="U1156">
        <v>3</v>
      </c>
      <c r="V1156" t="s">
        <v>63</v>
      </c>
      <c r="W1156">
        <v>5</v>
      </c>
      <c r="X1156" t="s">
        <v>90</v>
      </c>
      <c r="Y1156">
        <v>3</v>
      </c>
      <c r="Z1156" t="s">
        <v>63</v>
      </c>
      <c r="AA1156" t="s">
        <v>77</v>
      </c>
      <c r="AB1156" s="4">
        <v>19658</v>
      </c>
      <c r="AC1156" s="4" t="str">
        <f t="shared" si="276"/>
        <v>$19,000-$20,500</v>
      </c>
      <c r="AD1156">
        <v>5220</v>
      </c>
      <c r="AE1156" t="str">
        <f t="shared" si="277"/>
        <v>$2,094-$8,000</v>
      </c>
      <c r="AF1156">
        <v>3</v>
      </c>
      <c r="AG1156" t="str">
        <f t="shared" si="278"/>
        <v>2-3</v>
      </c>
      <c r="AH1156" t="s">
        <v>67</v>
      </c>
      <c r="AI1156" t="s">
        <v>71</v>
      </c>
      <c r="AJ1156">
        <v>11</v>
      </c>
      <c r="AK1156" t="str">
        <f t="shared" si="279"/>
        <v>11-12%</v>
      </c>
      <c r="AL1156">
        <v>3</v>
      </c>
      <c r="AM1156" t="s">
        <v>68</v>
      </c>
      <c r="AN1156">
        <v>3</v>
      </c>
      <c r="AO1156" t="s">
        <v>63</v>
      </c>
      <c r="AP1156">
        <v>80</v>
      </c>
      <c r="AQ1156">
        <v>1</v>
      </c>
      <c r="AR1156">
        <v>27</v>
      </c>
      <c r="AS1156" t="str">
        <f t="shared" si="280"/>
        <v>21-40</v>
      </c>
      <c r="AT1156">
        <v>2</v>
      </c>
      <c r="AU1156" t="str">
        <f t="shared" si="281"/>
        <v>0-2</v>
      </c>
      <c r="AV1156">
        <v>3</v>
      </c>
      <c r="AW1156" t="s">
        <v>79</v>
      </c>
      <c r="AX1156">
        <v>5</v>
      </c>
      <c r="AY1156" t="str">
        <f t="shared" si="270"/>
        <v>2-5</v>
      </c>
      <c r="AZ1156">
        <v>2</v>
      </c>
      <c r="BA1156" t="str">
        <f t="shared" si="282"/>
        <v>2-5</v>
      </c>
      <c r="BB1156">
        <v>1</v>
      </c>
      <c r="BC1156" t="str">
        <f t="shared" si="283"/>
        <v>0-1</v>
      </c>
      <c r="BD1156">
        <v>0</v>
      </c>
      <c r="BE1156" t="str">
        <f t="shared" si="284"/>
        <v>0-1</v>
      </c>
    </row>
    <row r="1157" spans="1:57" x14ac:dyDescent="0.3">
      <c r="A1157">
        <v>1627</v>
      </c>
      <c r="B1157">
        <v>39</v>
      </c>
      <c r="C1157" t="str">
        <f t="shared" si="271"/>
        <v>36-45</v>
      </c>
      <c r="D1157" t="s">
        <v>71</v>
      </c>
      <c r="E1157">
        <f t="shared" si="272"/>
        <v>0</v>
      </c>
      <c r="F1157" t="s">
        <v>57</v>
      </c>
      <c r="G1157">
        <v>170</v>
      </c>
      <c r="H1157" t="str">
        <f t="shared" si="273"/>
        <v>102-500</v>
      </c>
      <c r="I1157" t="s">
        <v>73</v>
      </c>
      <c r="J1157">
        <v>3</v>
      </c>
      <c r="K1157" t="str">
        <f t="shared" si="274"/>
        <v>1-5</v>
      </c>
      <c r="L1157">
        <v>2</v>
      </c>
      <c r="M1157" t="s">
        <v>59</v>
      </c>
      <c r="N1157" t="s">
        <v>83</v>
      </c>
      <c r="O1157">
        <v>1</v>
      </c>
      <c r="P1157">
        <v>3</v>
      </c>
      <c r="Q1157" t="s">
        <v>63</v>
      </c>
      <c r="R1157" t="s">
        <v>75</v>
      </c>
      <c r="S1157">
        <v>76</v>
      </c>
      <c r="T1157" t="str">
        <f t="shared" si="275"/>
        <v>76-100</v>
      </c>
      <c r="U1157">
        <v>2</v>
      </c>
      <c r="V1157" t="s">
        <v>61</v>
      </c>
      <c r="W1157">
        <v>2</v>
      </c>
      <c r="X1157" t="s">
        <v>81</v>
      </c>
      <c r="Y1157">
        <v>3</v>
      </c>
      <c r="Z1157" t="s">
        <v>63</v>
      </c>
      <c r="AA1157" t="s">
        <v>86</v>
      </c>
      <c r="AB1157" s="4">
        <v>3069</v>
      </c>
      <c r="AC1157" s="4" t="str">
        <f t="shared" si="276"/>
        <v>$2,500-$4,000</v>
      </c>
      <c r="AD1157">
        <v>10302</v>
      </c>
      <c r="AE1157" t="str">
        <f t="shared" si="277"/>
        <v>$8,001-$16,000</v>
      </c>
      <c r="AF1157">
        <v>0</v>
      </c>
      <c r="AG1157" t="str">
        <f t="shared" si="278"/>
        <v>0-1</v>
      </c>
      <c r="AH1157" t="s">
        <v>67</v>
      </c>
      <c r="AI1157" t="s">
        <v>71</v>
      </c>
      <c r="AJ1157">
        <v>15</v>
      </c>
      <c r="AK1157" t="str">
        <f t="shared" si="279"/>
        <v>13-15%</v>
      </c>
      <c r="AL1157">
        <v>3</v>
      </c>
      <c r="AM1157" t="s">
        <v>68</v>
      </c>
      <c r="AN1157">
        <v>4</v>
      </c>
      <c r="AO1157" t="s">
        <v>65</v>
      </c>
      <c r="AP1157">
        <v>80</v>
      </c>
      <c r="AQ1157">
        <v>1</v>
      </c>
      <c r="AR1157">
        <v>11</v>
      </c>
      <c r="AS1157" t="str">
        <f t="shared" si="280"/>
        <v>11-20</v>
      </c>
      <c r="AT1157">
        <v>3</v>
      </c>
      <c r="AU1157" t="str">
        <f t="shared" si="281"/>
        <v>3-4</v>
      </c>
      <c r="AV1157">
        <v>3</v>
      </c>
      <c r="AW1157" t="s">
        <v>79</v>
      </c>
      <c r="AX1157">
        <v>10</v>
      </c>
      <c r="AY1157" t="str">
        <f t="shared" si="270"/>
        <v>6-10</v>
      </c>
      <c r="AZ1157">
        <v>8</v>
      </c>
      <c r="BA1157" t="str">
        <f t="shared" si="282"/>
        <v>6-10</v>
      </c>
      <c r="BB1157">
        <v>0</v>
      </c>
      <c r="BC1157" t="str">
        <f t="shared" si="283"/>
        <v>0-1</v>
      </c>
      <c r="BD1157">
        <v>7</v>
      </c>
      <c r="BE1157" t="str">
        <f t="shared" si="284"/>
        <v>6-10</v>
      </c>
    </row>
    <row r="1158" spans="1:57" x14ac:dyDescent="0.3">
      <c r="A1158">
        <v>1628</v>
      </c>
      <c r="B1158">
        <v>40</v>
      </c>
      <c r="C1158" t="str">
        <f t="shared" si="271"/>
        <v>36-45</v>
      </c>
      <c r="D1158" t="s">
        <v>71</v>
      </c>
      <c r="E1158">
        <f t="shared" si="272"/>
        <v>0</v>
      </c>
      <c r="F1158" t="s">
        <v>57</v>
      </c>
      <c r="G1158">
        <v>884</v>
      </c>
      <c r="H1158" t="str">
        <f t="shared" si="273"/>
        <v>501-1000</v>
      </c>
      <c r="I1158" t="s">
        <v>73</v>
      </c>
      <c r="J1158">
        <v>15</v>
      </c>
      <c r="K1158" t="str">
        <f t="shared" si="274"/>
        <v>11-20</v>
      </c>
      <c r="L1158">
        <v>3</v>
      </c>
      <c r="M1158" t="s">
        <v>85</v>
      </c>
      <c r="N1158" t="s">
        <v>60</v>
      </c>
      <c r="O1158">
        <v>1</v>
      </c>
      <c r="P1158">
        <v>1</v>
      </c>
      <c r="Q1158" t="s">
        <v>69</v>
      </c>
      <c r="R1158" t="s">
        <v>62</v>
      </c>
      <c r="S1158">
        <v>80</v>
      </c>
      <c r="T1158" t="str">
        <f t="shared" si="275"/>
        <v>76-100</v>
      </c>
      <c r="U1158">
        <v>2</v>
      </c>
      <c r="V1158" t="s">
        <v>61</v>
      </c>
      <c r="W1158">
        <v>3</v>
      </c>
      <c r="X1158" t="s">
        <v>87</v>
      </c>
      <c r="Y1158">
        <v>3</v>
      </c>
      <c r="Z1158" t="s">
        <v>63</v>
      </c>
      <c r="AA1158" t="s">
        <v>77</v>
      </c>
      <c r="AB1158" s="4">
        <v>10435</v>
      </c>
      <c r="AC1158" s="4" t="str">
        <f t="shared" si="276"/>
        <v>$10,000-$11,500</v>
      </c>
      <c r="AD1158">
        <v>25800</v>
      </c>
      <c r="AE1158" t="str">
        <f t="shared" si="277"/>
        <v>$22,001-$26,999</v>
      </c>
      <c r="AF1158">
        <v>1</v>
      </c>
      <c r="AG1158" t="str">
        <f t="shared" si="278"/>
        <v>0-1</v>
      </c>
      <c r="AH1158" t="s">
        <v>67</v>
      </c>
      <c r="AI1158" t="s">
        <v>71</v>
      </c>
      <c r="AJ1158">
        <v>13</v>
      </c>
      <c r="AK1158" t="str">
        <f t="shared" si="279"/>
        <v>13-15%</v>
      </c>
      <c r="AL1158">
        <v>3</v>
      </c>
      <c r="AM1158" t="s">
        <v>68</v>
      </c>
      <c r="AN1158">
        <v>4</v>
      </c>
      <c r="AO1158" t="s">
        <v>65</v>
      </c>
      <c r="AP1158">
        <v>80</v>
      </c>
      <c r="AQ1158">
        <v>2</v>
      </c>
      <c r="AR1158">
        <v>18</v>
      </c>
      <c r="AS1158" t="str">
        <f t="shared" si="280"/>
        <v>11-20</v>
      </c>
      <c r="AT1158">
        <v>2</v>
      </c>
      <c r="AU1158" t="str">
        <f t="shared" si="281"/>
        <v>0-2</v>
      </c>
      <c r="AV1158">
        <v>3</v>
      </c>
      <c r="AW1158" t="s">
        <v>79</v>
      </c>
      <c r="AX1158">
        <v>18</v>
      </c>
      <c r="AY1158" t="str">
        <f t="shared" si="270"/>
        <v>11-20</v>
      </c>
      <c r="AZ1158">
        <v>15</v>
      </c>
      <c r="BA1158" t="str">
        <f t="shared" si="282"/>
        <v>11-18</v>
      </c>
      <c r="BB1158">
        <v>14</v>
      </c>
      <c r="BC1158" t="str">
        <f t="shared" si="283"/>
        <v>11-15</v>
      </c>
      <c r="BD1158">
        <v>12</v>
      </c>
      <c r="BE1158" t="str">
        <f t="shared" si="284"/>
        <v>11-17</v>
      </c>
    </row>
    <row r="1159" spans="1:57" x14ac:dyDescent="0.3">
      <c r="A1159">
        <v>1630</v>
      </c>
      <c r="B1159">
        <v>35</v>
      </c>
      <c r="C1159" t="str">
        <f t="shared" si="271"/>
        <v>26-35</v>
      </c>
      <c r="D1159" t="s">
        <v>71</v>
      </c>
      <c r="E1159">
        <f t="shared" si="272"/>
        <v>0</v>
      </c>
      <c r="F1159" t="s">
        <v>89</v>
      </c>
      <c r="G1159">
        <v>208</v>
      </c>
      <c r="H1159" t="str">
        <f t="shared" si="273"/>
        <v>102-500</v>
      </c>
      <c r="I1159" t="s">
        <v>73</v>
      </c>
      <c r="J1159">
        <v>8</v>
      </c>
      <c r="K1159" t="str">
        <f t="shared" si="274"/>
        <v>6-10</v>
      </c>
      <c r="L1159">
        <v>4</v>
      </c>
      <c r="M1159" t="s">
        <v>82</v>
      </c>
      <c r="N1159" t="s">
        <v>60</v>
      </c>
      <c r="O1159">
        <v>1</v>
      </c>
      <c r="P1159">
        <v>3</v>
      </c>
      <c r="Q1159" t="s">
        <v>63</v>
      </c>
      <c r="R1159" t="s">
        <v>62</v>
      </c>
      <c r="S1159">
        <v>52</v>
      </c>
      <c r="T1159" t="str">
        <f t="shared" si="275"/>
        <v>51-75</v>
      </c>
      <c r="U1159">
        <v>3</v>
      </c>
      <c r="V1159" t="s">
        <v>63</v>
      </c>
      <c r="W1159">
        <v>2</v>
      </c>
      <c r="X1159" t="s">
        <v>88</v>
      </c>
      <c r="Y1159">
        <v>3</v>
      </c>
      <c r="Z1159" t="s">
        <v>63</v>
      </c>
      <c r="AA1159" t="s">
        <v>77</v>
      </c>
      <c r="AB1159" s="4">
        <v>4148</v>
      </c>
      <c r="AC1159" s="4" t="str">
        <f t="shared" si="276"/>
        <v>$4,000-$5,500</v>
      </c>
      <c r="AD1159">
        <v>12250</v>
      </c>
      <c r="AE1159" t="str">
        <f t="shared" si="277"/>
        <v>$8,001-$16,000</v>
      </c>
      <c r="AF1159">
        <v>1</v>
      </c>
      <c r="AG1159" t="str">
        <f t="shared" si="278"/>
        <v>0-1</v>
      </c>
      <c r="AH1159" t="s">
        <v>67</v>
      </c>
      <c r="AI1159" t="s">
        <v>71</v>
      </c>
      <c r="AJ1159">
        <v>12</v>
      </c>
      <c r="AK1159" t="str">
        <f t="shared" si="279"/>
        <v>11-12%</v>
      </c>
      <c r="AL1159">
        <v>3</v>
      </c>
      <c r="AM1159" t="s">
        <v>68</v>
      </c>
      <c r="AN1159">
        <v>4</v>
      </c>
      <c r="AO1159" t="s">
        <v>65</v>
      </c>
      <c r="AP1159">
        <v>80</v>
      </c>
      <c r="AQ1159">
        <v>1</v>
      </c>
      <c r="AR1159">
        <v>15</v>
      </c>
      <c r="AS1159" t="str">
        <f t="shared" si="280"/>
        <v>11-20</v>
      </c>
      <c r="AT1159">
        <v>5</v>
      </c>
      <c r="AU1159" t="str">
        <f t="shared" si="281"/>
        <v>5-6</v>
      </c>
      <c r="AV1159">
        <v>3</v>
      </c>
      <c r="AW1159" t="s">
        <v>79</v>
      </c>
      <c r="AX1159">
        <v>14</v>
      </c>
      <c r="AY1159" t="str">
        <f t="shared" si="270"/>
        <v>11-20</v>
      </c>
      <c r="AZ1159">
        <v>11</v>
      </c>
      <c r="BA1159" t="str">
        <f t="shared" si="282"/>
        <v>11-18</v>
      </c>
      <c r="BB1159">
        <v>2</v>
      </c>
      <c r="BC1159" t="str">
        <f t="shared" si="283"/>
        <v>2-5</v>
      </c>
      <c r="BD1159">
        <v>9</v>
      </c>
      <c r="BE1159" t="str">
        <f t="shared" si="284"/>
        <v>6-10</v>
      </c>
    </row>
    <row r="1160" spans="1:57" x14ac:dyDescent="0.3">
      <c r="A1160">
        <v>1631</v>
      </c>
      <c r="B1160">
        <v>37</v>
      </c>
      <c r="C1160" t="str">
        <f t="shared" si="271"/>
        <v>36-45</v>
      </c>
      <c r="D1160" t="s">
        <v>71</v>
      </c>
      <c r="E1160">
        <f t="shared" si="272"/>
        <v>0</v>
      </c>
      <c r="F1160" t="s">
        <v>57</v>
      </c>
      <c r="G1160">
        <v>671</v>
      </c>
      <c r="H1160" t="str">
        <f t="shared" si="273"/>
        <v>501-1000</v>
      </c>
      <c r="I1160" t="s">
        <v>73</v>
      </c>
      <c r="J1160">
        <v>19</v>
      </c>
      <c r="K1160" t="str">
        <f t="shared" si="274"/>
        <v>11-20</v>
      </c>
      <c r="L1160">
        <v>3</v>
      </c>
      <c r="M1160" t="s">
        <v>85</v>
      </c>
      <c r="N1160" t="s">
        <v>60</v>
      </c>
      <c r="O1160">
        <v>1</v>
      </c>
      <c r="P1160">
        <v>3</v>
      </c>
      <c r="Q1160" t="s">
        <v>63</v>
      </c>
      <c r="R1160" t="s">
        <v>75</v>
      </c>
      <c r="S1160">
        <v>85</v>
      </c>
      <c r="T1160" t="str">
        <f t="shared" si="275"/>
        <v>76-100</v>
      </c>
      <c r="U1160">
        <v>3</v>
      </c>
      <c r="V1160" t="s">
        <v>63</v>
      </c>
      <c r="W1160">
        <v>2</v>
      </c>
      <c r="X1160" t="s">
        <v>87</v>
      </c>
      <c r="Y1160">
        <v>3</v>
      </c>
      <c r="Z1160" t="s">
        <v>63</v>
      </c>
      <c r="AA1160" t="s">
        <v>77</v>
      </c>
      <c r="AB1160" s="4">
        <v>5768</v>
      </c>
      <c r="AC1160" s="4" t="str">
        <f t="shared" si="276"/>
        <v>$5,500-$7,000</v>
      </c>
      <c r="AD1160">
        <v>26493</v>
      </c>
      <c r="AE1160" t="str">
        <f t="shared" si="277"/>
        <v>$22,001-$26,999</v>
      </c>
      <c r="AF1160">
        <v>3</v>
      </c>
      <c r="AG1160" t="str">
        <f t="shared" si="278"/>
        <v>2-3</v>
      </c>
      <c r="AH1160" t="s">
        <v>67</v>
      </c>
      <c r="AI1160" t="s">
        <v>71</v>
      </c>
      <c r="AJ1160">
        <v>17</v>
      </c>
      <c r="AK1160" t="str">
        <f t="shared" si="279"/>
        <v>16-17%</v>
      </c>
      <c r="AL1160">
        <v>3</v>
      </c>
      <c r="AM1160" t="s">
        <v>68</v>
      </c>
      <c r="AN1160">
        <v>1</v>
      </c>
      <c r="AO1160" t="s">
        <v>69</v>
      </c>
      <c r="AP1160">
        <v>80</v>
      </c>
      <c r="AQ1160">
        <v>3</v>
      </c>
      <c r="AR1160">
        <v>9</v>
      </c>
      <c r="AS1160" t="str">
        <f t="shared" si="280"/>
        <v>6-10</v>
      </c>
      <c r="AT1160">
        <v>2</v>
      </c>
      <c r="AU1160" t="str">
        <f t="shared" si="281"/>
        <v>0-2</v>
      </c>
      <c r="AV1160">
        <v>2</v>
      </c>
      <c r="AW1160" t="s">
        <v>84</v>
      </c>
      <c r="AX1160">
        <v>4</v>
      </c>
      <c r="AY1160" t="str">
        <f t="shared" si="270"/>
        <v>2-5</v>
      </c>
      <c r="AZ1160">
        <v>3</v>
      </c>
      <c r="BA1160" t="str">
        <f t="shared" si="282"/>
        <v>2-5</v>
      </c>
      <c r="BB1160">
        <v>0</v>
      </c>
      <c r="BC1160" t="str">
        <f t="shared" si="283"/>
        <v>0-1</v>
      </c>
      <c r="BD1160">
        <v>2</v>
      </c>
      <c r="BE1160" t="str">
        <f t="shared" si="284"/>
        <v>2-5</v>
      </c>
    </row>
    <row r="1161" spans="1:57" x14ac:dyDescent="0.3">
      <c r="A1161">
        <v>1633</v>
      </c>
      <c r="B1161">
        <v>39</v>
      </c>
      <c r="C1161" t="str">
        <f t="shared" si="271"/>
        <v>36-45</v>
      </c>
      <c r="D1161" t="s">
        <v>71</v>
      </c>
      <c r="E1161">
        <f t="shared" si="272"/>
        <v>0</v>
      </c>
      <c r="F1161" t="s">
        <v>72</v>
      </c>
      <c r="G1161">
        <v>711</v>
      </c>
      <c r="H1161" t="str">
        <f t="shared" si="273"/>
        <v>501-1000</v>
      </c>
      <c r="I1161" t="s">
        <v>73</v>
      </c>
      <c r="J1161">
        <v>4</v>
      </c>
      <c r="K1161" t="str">
        <f t="shared" si="274"/>
        <v>1-5</v>
      </c>
      <c r="L1161">
        <v>3</v>
      </c>
      <c r="M1161" t="s">
        <v>85</v>
      </c>
      <c r="N1161" t="s">
        <v>83</v>
      </c>
      <c r="O1161">
        <v>1</v>
      </c>
      <c r="P1161">
        <v>1</v>
      </c>
      <c r="Q1161" t="s">
        <v>69</v>
      </c>
      <c r="R1161" t="s">
        <v>62</v>
      </c>
      <c r="S1161">
        <v>81</v>
      </c>
      <c r="T1161" t="str">
        <f t="shared" si="275"/>
        <v>76-100</v>
      </c>
      <c r="U1161">
        <v>3</v>
      </c>
      <c r="V1161" t="s">
        <v>63</v>
      </c>
      <c r="W1161">
        <v>2</v>
      </c>
      <c r="X1161" t="s">
        <v>87</v>
      </c>
      <c r="Y1161">
        <v>3</v>
      </c>
      <c r="Z1161" t="s">
        <v>63</v>
      </c>
      <c r="AA1161" t="s">
        <v>66</v>
      </c>
      <c r="AB1161" s="4">
        <v>5042</v>
      </c>
      <c r="AC1161" s="4" t="str">
        <f t="shared" si="276"/>
        <v>$4,000-$5,500</v>
      </c>
      <c r="AD1161">
        <v>3140</v>
      </c>
      <c r="AE1161" t="str">
        <f t="shared" si="277"/>
        <v>$2,094-$8,000</v>
      </c>
      <c r="AF1161">
        <v>0</v>
      </c>
      <c r="AG1161" t="str">
        <f t="shared" si="278"/>
        <v>0-1</v>
      </c>
      <c r="AH1161" t="s">
        <v>67</v>
      </c>
      <c r="AI1161" t="s">
        <v>71</v>
      </c>
      <c r="AJ1161">
        <v>13</v>
      </c>
      <c r="AK1161" t="str">
        <f t="shared" si="279"/>
        <v>13-15%</v>
      </c>
      <c r="AL1161">
        <v>3</v>
      </c>
      <c r="AM1161" t="s">
        <v>68</v>
      </c>
      <c r="AN1161">
        <v>4</v>
      </c>
      <c r="AO1161" t="s">
        <v>65</v>
      </c>
      <c r="AP1161">
        <v>80</v>
      </c>
      <c r="AQ1161">
        <v>0</v>
      </c>
      <c r="AR1161">
        <v>10</v>
      </c>
      <c r="AS1161" t="str">
        <f t="shared" si="280"/>
        <v>6-10</v>
      </c>
      <c r="AT1161">
        <v>2</v>
      </c>
      <c r="AU1161" t="str">
        <f t="shared" si="281"/>
        <v>0-2</v>
      </c>
      <c r="AV1161">
        <v>1</v>
      </c>
      <c r="AW1161" t="s">
        <v>70</v>
      </c>
      <c r="AX1161">
        <v>9</v>
      </c>
      <c r="AY1161" t="str">
        <f t="shared" si="270"/>
        <v>6-10</v>
      </c>
      <c r="AZ1161">
        <v>2</v>
      </c>
      <c r="BA1161" t="str">
        <f t="shared" si="282"/>
        <v>2-5</v>
      </c>
      <c r="BB1161">
        <v>3</v>
      </c>
      <c r="BC1161" t="str">
        <f t="shared" si="283"/>
        <v>2-5</v>
      </c>
      <c r="BD1161">
        <v>8</v>
      </c>
      <c r="BE1161" t="str">
        <f t="shared" si="284"/>
        <v>6-10</v>
      </c>
    </row>
    <row r="1162" spans="1:57" x14ac:dyDescent="0.3">
      <c r="A1162">
        <v>1635</v>
      </c>
      <c r="B1162">
        <v>45</v>
      </c>
      <c r="C1162" t="str">
        <f t="shared" si="271"/>
        <v>36-45</v>
      </c>
      <c r="D1162" t="s">
        <v>71</v>
      </c>
      <c r="E1162">
        <f t="shared" si="272"/>
        <v>0</v>
      </c>
      <c r="F1162" t="s">
        <v>57</v>
      </c>
      <c r="G1162">
        <v>1329</v>
      </c>
      <c r="H1162" t="str">
        <f t="shared" si="273"/>
        <v>1001-1499</v>
      </c>
      <c r="I1162" t="s">
        <v>73</v>
      </c>
      <c r="J1162">
        <v>2</v>
      </c>
      <c r="K1162" t="str">
        <f t="shared" si="274"/>
        <v>1-5</v>
      </c>
      <c r="L1162">
        <v>2</v>
      </c>
      <c r="M1162" t="s">
        <v>59</v>
      </c>
      <c r="N1162" t="s">
        <v>80</v>
      </c>
      <c r="O1162">
        <v>1</v>
      </c>
      <c r="P1162">
        <v>4</v>
      </c>
      <c r="Q1162" t="s">
        <v>65</v>
      </c>
      <c r="R1162" t="s">
        <v>62</v>
      </c>
      <c r="S1162">
        <v>59</v>
      </c>
      <c r="T1162" t="str">
        <f t="shared" si="275"/>
        <v>51-75</v>
      </c>
      <c r="U1162">
        <v>2</v>
      </c>
      <c r="V1162" t="s">
        <v>61</v>
      </c>
      <c r="W1162">
        <v>2</v>
      </c>
      <c r="X1162" t="s">
        <v>87</v>
      </c>
      <c r="Y1162">
        <v>4</v>
      </c>
      <c r="Z1162" t="s">
        <v>65</v>
      </c>
      <c r="AA1162" t="s">
        <v>86</v>
      </c>
      <c r="AB1162" s="4">
        <v>5770</v>
      </c>
      <c r="AC1162" s="4" t="str">
        <f t="shared" si="276"/>
        <v>$5,500-$7,000</v>
      </c>
      <c r="AD1162">
        <v>5388</v>
      </c>
      <c r="AE1162" t="str">
        <f t="shared" si="277"/>
        <v>$2,094-$8,000</v>
      </c>
      <c r="AF1162">
        <v>1</v>
      </c>
      <c r="AG1162" t="str">
        <f t="shared" si="278"/>
        <v>0-1</v>
      </c>
      <c r="AH1162" t="s">
        <v>67</v>
      </c>
      <c r="AI1162" t="s">
        <v>71</v>
      </c>
      <c r="AJ1162">
        <v>19</v>
      </c>
      <c r="AK1162" t="str">
        <f t="shared" si="279"/>
        <v>18-19%</v>
      </c>
      <c r="AL1162">
        <v>3</v>
      </c>
      <c r="AM1162" t="s">
        <v>68</v>
      </c>
      <c r="AN1162">
        <v>1</v>
      </c>
      <c r="AO1162" t="s">
        <v>69</v>
      </c>
      <c r="AP1162">
        <v>80</v>
      </c>
      <c r="AQ1162">
        <v>2</v>
      </c>
      <c r="AR1162">
        <v>10</v>
      </c>
      <c r="AS1162" t="str">
        <f t="shared" si="280"/>
        <v>6-10</v>
      </c>
      <c r="AT1162">
        <v>3</v>
      </c>
      <c r="AU1162" t="str">
        <f t="shared" si="281"/>
        <v>3-4</v>
      </c>
      <c r="AV1162">
        <v>3</v>
      </c>
      <c r="AW1162" t="s">
        <v>79</v>
      </c>
      <c r="AX1162">
        <v>10</v>
      </c>
      <c r="AY1162" t="str">
        <f t="shared" si="270"/>
        <v>6-10</v>
      </c>
      <c r="AZ1162">
        <v>7</v>
      </c>
      <c r="BA1162" t="str">
        <f t="shared" si="282"/>
        <v>6-10</v>
      </c>
      <c r="BB1162">
        <v>3</v>
      </c>
      <c r="BC1162" t="str">
        <f t="shared" si="283"/>
        <v>2-5</v>
      </c>
      <c r="BD1162">
        <v>9</v>
      </c>
      <c r="BE1162" t="str">
        <f t="shared" si="284"/>
        <v>6-10</v>
      </c>
    </row>
    <row r="1163" spans="1:57" x14ac:dyDescent="0.3">
      <c r="A1163">
        <v>1638</v>
      </c>
      <c r="B1163">
        <v>38</v>
      </c>
      <c r="C1163" t="str">
        <f t="shared" si="271"/>
        <v>36-45</v>
      </c>
      <c r="D1163" t="s">
        <v>71</v>
      </c>
      <c r="E1163">
        <f t="shared" si="272"/>
        <v>0</v>
      </c>
      <c r="F1163" t="s">
        <v>57</v>
      </c>
      <c r="G1163">
        <v>397</v>
      </c>
      <c r="H1163" t="str">
        <f t="shared" si="273"/>
        <v>102-500</v>
      </c>
      <c r="I1163" t="s">
        <v>73</v>
      </c>
      <c r="J1163">
        <v>2</v>
      </c>
      <c r="K1163" t="str">
        <f t="shared" si="274"/>
        <v>1-5</v>
      </c>
      <c r="L1163">
        <v>2</v>
      </c>
      <c r="M1163" t="s">
        <v>59</v>
      </c>
      <c r="N1163" t="s">
        <v>83</v>
      </c>
      <c r="O1163">
        <v>1</v>
      </c>
      <c r="P1163">
        <v>4</v>
      </c>
      <c r="Q1163" t="s">
        <v>65</v>
      </c>
      <c r="R1163" t="s">
        <v>62</v>
      </c>
      <c r="S1163">
        <v>54</v>
      </c>
      <c r="T1163" t="str">
        <f t="shared" si="275"/>
        <v>51-75</v>
      </c>
      <c r="U1163">
        <v>2</v>
      </c>
      <c r="V1163" t="s">
        <v>61</v>
      </c>
      <c r="W1163">
        <v>3</v>
      </c>
      <c r="X1163" t="s">
        <v>87</v>
      </c>
      <c r="Y1163">
        <v>3</v>
      </c>
      <c r="Z1163" t="s">
        <v>63</v>
      </c>
      <c r="AA1163" t="s">
        <v>77</v>
      </c>
      <c r="AB1163" s="4">
        <v>7756</v>
      </c>
      <c r="AC1163" s="4" t="str">
        <f t="shared" si="276"/>
        <v>$7,000-$8,500</v>
      </c>
      <c r="AD1163">
        <v>14199</v>
      </c>
      <c r="AE1163" t="str">
        <f t="shared" si="277"/>
        <v>$8,001-$16,000</v>
      </c>
      <c r="AF1163">
        <v>3</v>
      </c>
      <c r="AG1163" t="str">
        <f t="shared" si="278"/>
        <v>2-3</v>
      </c>
      <c r="AH1163" t="s">
        <v>67</v>
      </c>
      <c r="AI1163" t="s">
        <v>56</v>
      </c>
      <c r="AJ1163">
        <v>19</v>
      </c>
      <c r="AK1163" t="str">
        <f t="shared" si="279"/>
        <v>18-19%</v>
      </c>
      <c r="AL1163">
        <v>3</v>
      </c>
      <c r="AM1163" t="s">
        <v>68</v>
      </c>
      <c r="AN1163">
        <v>4</v>
      </c>
      <c r="AO1163" t="s">
        <v>65</v>
      </c>
      <c r="AP1163">
        <v>80</v>
      </c>
      <c r="AQ1163">
        <v>1</v>
      </c>
      <c r="AR1163">
        <v>10</v>
      </c>
      <c r="AS1163" t="str">
        <f t="shared" si="280"/>
        <v>6-10</v>
      </c>
      <c r="AT1163">
        <v>6</v>
      </c>
      <c r="AU1163" t="str">
        <f t="shared" si="281"/>
        <v>5-6</v>
      </c>
      <c r="AV1163">
        <v>4</v>
      </c>
      <c r="AW1163" t="s">
        <v>94</v>
      </c>
      <c r="AX1163">
        <v>5</v>
      </c>
      <c r="AY1163" t="str">
        <f t="shared" si="270"/>
        <v>2-5</v>
      </c>
      <c r="AZ1163">
        <v>4</v>
      </c>
      <c r="BA1163" t="str">
        <f t="shared" si="282"/>
        <v>2-5</v>
      </c>
      <c r="BB1163">
        <v>0</v>
      </c>
      <c r="BC1163" t="str">
        <f t="shared" si="283"/>
        <v>0-1</v>
      </c>
      <c r="BD1163">
        <v>2</v>
      </c>
      <c r="BE1163" t="str">
        <f t="shared" si="284"/>
        <v>2-5</v>
      </c>
    </row>
    <row r="1164" spans="1:57" x14ac:dyDescent="0.3">
      <c r="A1164">
        <v>1639</v>
      </c>
      <c r="B1164">
        <v>35</v>
      </c>
      <c r="C1164" t="str">
        <f t="shared" si="271"/>
        <v>26-35</v>
      </c>
      <c r="D1164" t="s">
        <v>56</v>
      </c>
      <c r="E1164">
        <f t="shared" si="272"/>
        <v>1</v>
      </c>
      <c r="F1164" t="s">
        <v>57</v>
      </c>
      <c r="G1164">
        <v>737</v>
      </c>
      <c r="H1164" t="str">
        <f t="shared" si="273"/>
        <v>501-1000</v>
      </c>
      <c r="I1164" t="s">
        <v>58</v>
      </c>
      <c r="J1164">
        <v>10</v>
      </c>
      <c r="K1164" t="str">
        <f t="shared" si="274"/>
        <v>6-10</v>
      </c>
      <c r="L1164">
        <v>3</v>
      </c>
      <c r="M1164" t="s">
        <v>85</v>
      </c>
      <c r="N1164" t="s">
        <v>83</v>
      </c>
      <c r="O1164">
        <v>1</v>
      </c>
      <c r="P1164">
        <v>4</v>
      </c>
      <c r="Q1164" t="s">
        <v>65</v>
      </c>
      <c r="R1164" t="s">
        <v>75</v>
      </c>
      <c r="S1164">
        <v>55</v>
      </c>
      <c r="T1164" t="str">
        <f t="shared" si="275"/>
        <v>51-75</v>
      </c>
      <c r="U1164">
        <v>2</v>
      </c>
      <c r="V1164" t="s">
        <v>61</v>
      </c>
      <c r="W1164">
        <v>3</v>
      </c>
      <c r="X1164" t="s">
        <v>64</v>
      </c>
      <c r="Y1164">
        <v>1</v>
      </c>
      <c r="Z1164" t="s">
        <v>69</v>
      </c>
      <c r="AA1164" t="s">
        <v>77</v>
      </c>
      <c r="AB1164" s="4">
        <v>10306</v>
      </c>
      <c r="AC1164" s="4" t="str">
        <f t="shared" si="276"/>
        <v>$10,000-$11,500</v>
      </c>
      <c r="AD1164">
        <v>21530</v>
      </c>
      <c r="AE1164" t="str">
        <f t="shared" si="277"/>
        <v>$16,001-$22,000</v>
      </c>
      <c r="AF1164">
        <v>9</v>
      </c>
      <c r="AG1164" t="str">
        <f t="shared" si="278"/>
        <v>7-9</v>
      </c>
      <c r="AH1164" t="s">
        <v>67</v>
      </c>
      <c r="AI1164" t="s">
        <v>71</v>
      </c>
      <c r="AJ1164">
        <v>17</v>
      </c>
      <c r="AK1164" t="str">
        <f t="shared" si="279"/>
        <v>16-17%</v>
      </c>
      <c r="AL1164">
        <v>3</v>
      </c>
      <c r="AM1164" t="s">
        <v>68</v>
      </c>
      <c r="AN1164">
        <v>3</v>
      </c>
      <c r="AO1164" t="s">
        <v>63</v>
      </c>
      <c r="AP1164">
        <v>80</v>
      </c>
      <c r="AQ1164">
        <v>0</v>
      </c>
      <c r="AR1164">
        <v>15</v>
      </c>
      <c r="AS1164" t="str">
        <f t="shared" si="280"/>
        <v>11-20</v>
      </c>
      <c r="AT1164">
        <v>3</v>
      </c>
      <c r="AU1164" t="str">
        <f t="shared" si="281"/>
        <v>3-4</v>
      </c>
      <c r="AV1164">
        <v>3</v>
      </c>
      <c r="AW1164" t="s">
        <v>79</v>
      </c>
      <c r="AX1164">
        <v>13</v>
      </c>
      <c r="AY1164" t="str">
        <f t="shared" si="270"/>
        <v>11-20</v>
      </c>
      <c r="AZ1164">
        <v>12</v>
      </c>
      <c r="BA1164" t="str">
        <f t="shared" si="282"/>
        <v>11-18</v>
      </c>
      <c r="BB1164">
        <v>6</v>
      </c>
      <c r="BC1164" t="str">
        <f t="shared" si="283"/>
        <v>6-10</v>
      </c>
      <c r="BD1164">
        <v>0</v>
      </c>
      <c r="BE1164" t="str">
        <f t="shared" si="284"/>
        <v>0-1</v>
      </c>
    </row>
    <row r="1165" spans="1:57" x14ac:dyDescent="0.3">
      <c r="A1165">
        <v>1640</v>
      </c>
      <c r="B1165">
        <v>37</v>
      </c>
      <c r="C1165" t="str">
        <f t="shared" si="271"/>
        <v>36-45</v>
      </c>
      <c r="D1165" t="s">
        <v>71</v>
      </c>
      <c r="E1165">
        <f t="shared" si="272"/>
        <v>0</v>
      </c>
      <c r="F1165" t="s">
        <v>57</v>
      </c>
      <c r="G1165">
        <v>1470</v>
      </c>
      <c r="H1165" t="str">
        <f t="shared" si="273"/>
        <v>1001-1499</v>
      </c>
      <c r="I1165" t="s">
        <v>73</v>
      </c>
      <c r="J1165">
        <v>10</v>
      </c>
      <c r="K1165" t="str">
        <f t="shared" si="274"/>
        <v>6-10</v>
      </c>
      <c r="L1165">
        <v>3</v>
      </c>
      <c r="M1165" t="s">
        <v>85</v>
      </c>
      <c r="N1165" t="s">
        <v>83</v>
      </c>
      <c r="O1165">
        <v>1</v>
      </c>
      <c r="P1165">
        <v>2</v>
      </c>
      <c r="Q1165" t="s">
        <v>61</v>
      </c>
      <c r="R1165" t="s">
        <v>62</v>
      </c>
      <c r="S1165">
        <v>71</v>
      </c>
      <c r="T1165" t="str">
        <f t="shared" si="275"/>
        <v>51-75</v>
      </c>
      <c r="U1165">
        <v>3</v>
      </c>
      <c r="V1165" t="s">
        <v>63</v>
      </c>
      <c r="W1165">
        <v>1</v>
      </c>
      <c r="X1165" t="s">
        <v>76</v>
      </c>
      <c r="Y1165">
        <v>2</v>
      </c>
      <c r="Z1165" t="s">
        <v>61</v>
      </c>
      <c r="AA1165" t="s">
        <v>77</v>
      </c>
      <c r="AB1165" s="4">
        <v>3936</v>
      </c>
      <c r="AC1165" s="4" t="str">
        <f t="shared" si="276"/>
        <v>$2,500-$4,000</v>
      </c>
      <c r="AD1165">
        <v>9953</v>
      </c>
      <c r="AE1165" t="str">
        <f t="shared" si="277"/>
        <v>$8,001-$16,000</v>
      </c>
      <c r="AF1165">
        <v>1</v>
      </c>
      <c r="AG1165" t="str">
        <f t="shared" si="278"/>
        <v>0-1</v>
      </c>
      <c r="AH1165" t="s">
        <v>67</v>
      </c>
      <c r="AI1165" t="s">
        <v>71</v>
      </c>
      <c r="AJ1165">
        <v>11</v>
      </c>
      <c r="AK1165" t="str">
        <f t="shared" si="279"/>
        <v>11-12%</v>
      </c>
      <c r="AL1165">
        <v>3</v>
      </c>
      <c r="AM1165" t="s">
        <v>68</v>
      </c>
      <c r="AN1165">
        <v>1</v>
      </c>
      <c r="AO1165" t="s">
        <v>69</v>
      </c>
      <c r="AP1165">
        <v>80</v>
      </c>
      <c r="AQ1165">
        <v>1</v>
      </c>
      <c r="AR1165">
        <v>8</v>
      </c>
      <c r="AS1165" t="str">
        <f t="shared" si="280"/>
        <v>6-10</v>
      </c>
      <c r="AT1165">
        <v>2</v>
      </c>
      <c r="AU1165" t="str">
        <f t="shared" si="281"/>
        <v>0-2</v>
      </c>
      <c r="AV1165">
        <v>1</v>
      </c>
      <c r="AW1165" t="s">
        <v>70</v>
      </c>
      <c r="AX1165">
        <v>8</v>
      </c>
      <c r="AY1165" t="str">
        <f t="shared" si="270"/>
        <v>6-10</v>
      </c>
      <c r="AZ1165">
        <v>4</v>
      </c>
      <c r="BA1165" t="str">
        <f t="shared" si="282"/>
        <v>2-5</v>
      </c>
      <c r="BB1165">
        <v>7</v>
      </c>
      <c r="BC1165" t="str">
        <f t="shared" si="283"/>
        <v>6-10</v>
      </c>
      <c r="BD1165">
        <v>7</v>
      </c>
      <c r="BE1165" t="str">
        <f t="shared" si="284"/>
        <v>6-10</v>
      </c>
    </row>
    <row r="1166" spans="1:57" x14ac:dyDescent="0.3">
      <c r="A1166">
        <v>1641</v>
      </c>
      <c r="B1166">
        <v>40</v>
      </c>
      <c r="C1166" t="str">
        <f t="shared" si="271"/>
        <v>36-45</v>
      </c>
      <c r="D1166" t="s">
        <v>71</v>
      </c>
      <c r="E1166">
        <f t="shared" si="272"/>
        <v>0</v>
      </c>
      <c r="F1166" t="s">
        <v>57</v>
      </c>
      <c r="G1166">
        <v>448</v>
      </c>
      <c r="H1166" t="str">
        <f t="shared" si="273"/>
        <v>102-500</v>
      </c>
      <c r="I1166" t="s">
        <v>73</v>
      </c>
      <c r="J1166">
        <v>16</v>
      </c>
      <c r="K1166" t="str">
        <f t="shared" si="274"/>
        <v>11-20</v>
      </c>
      <c r="L1166">
        <v>3</v>
      </c>
      <c r="M1166" t="s">
        <v>85</v>
      </c>
      <c r="N1166" t="s">
        <v>60</v>
      </c>
      <c r="O1166">
        <v>1</v>
      </c>
      <c r="P1166">
        <v>3</v>
      </c>
      <c r="Q1166" t="s">
        <v>63</v>
      </c>
      <c r="R1166" t="s">
        <v>62</v>
      </c>
      <c r="S1166">
        <v>84</v>
      </c>
      <c r="T1166" t="str">
        <f t="shared" si="275"/>
        <v>76-100</v>
      </c>
      <c r="U1166">
        <v>3</v>
      </c>
      <c r="V1166" t="s">
        <v>63</v>
      </c>
      <c r="W1166">
        <v>3</v>
      </c>
      <c r="X1166" t="s">
        <v>87</v>
      </c>
      <c r="Y1166">
        <v>4</v>
      </c>
      <c r="Z1166" t="s">
        <v>65</v>
      </c>
      <c r="AA1166" t="s">
        <v>66</v>
      </c>
      <c r="AB1166" s="4">
        <v>7945</v>
      </c>
      <c r="AC1166" s="4" t="str">
        <f t="shared" si="276"/>
        <v>$7,000-$8,500</v>
      </c>
      <c r="AD1166">
        <v>19948</v>
      </c>
      <c r="AE1166" t="str">
        <f t="shared" si="277"/>
        <v>$16,001-$22,000</v>
      </c>
      <c r="AF1166">
        <v>6</v>
      </c>
      <c r="AG1166" t="str">
        <f t="shared" si="278"/>
        <v>4-6</v>
      </c>
      <c r="AH1166" t="s">
        <v>67</v>
      </c>
      <c r="AI1166" t="s">
        <v>56</v>
      </c>
      <c r="AJ1166">
        <v>15</v>
      </c>
      <c r="AK1166" t="str">
        <f t="shared" si="279"/>
        <v>13-15%</v>
      </c>
      <c r="AL1166">
        <v>3</v>
      </c>
      <c r="AM1166" t="s">
        <v>68</v>
      </c>
      <c r="AN1166">
        <v>4</v>
      </c>
      <c r="AO1166" t="s">
        <v>65</v>
      </c>
      <c r="AP1166">
        <v>80</v>
      </c>
      <c r="AQ1166">
        <v>0</v>
      </c>
      <c r="AR1166">
        <v>18</v>
      </c>
      <c r="AS1166" t="str">
        <f t="shared" si="280"/>
        <v>11-20</v>
      </c>
      <c r="AT1166">
        <v>2</v>
      </c>
      <c r="AU1166" t="str">
        <f t="shared" si="281"/>
        <v>0-2</v>
      </c>
      <c r="AV1166">
        <v>2</v>
      </c>
      <c r="AW1166" t="s">
        <v>84</v>
      </c>
      <c r="AX1166">
        <v>4</v>
      </c>
      <c r="AY1166" t="str">
        <f t="shared" si="270"/>
        <v>2-5</v>
      </c>
      <c r="AZ1166">
        <v>2</v>
      </c>
      <c r="BA1166" t="str">
        <f t="shared" si="282"/>
        <v>2-5</v>
      </c>
      <c r="BB1166">
        <v>3</v>
      </c>
      <c r="BC1166" t="str">
        <f t="shared" si="283"/>
        <v>2-5</v>
      </c>
      <c r="BD1166">
        <v>3</v>
      </c>
      <c r="BE1166" t="str">
        <f t="shared" si="284"/>
        <v>2-5</v>
      </c>
    </row>
    <row r="1167" spans="1:57" x14ac:dyDescent="0.3">
      <c r="A1167">
        <v>1642</v>
      </c>
      <c r="B1167">
        <v>44</v>
      </c>
      <c r="C1167" t="str">
        <f t="shared" si="271"/>
        <v>36-45</v>
      </c>
      <c r="D1167" t="s">
        <v>71</v>
      </c>
      <c r="E1167">
        <f t="shared" si="272"/>
        <v>0</v>
      </c>
      <c r="F1167" t="s">
        <v>72</v>
      </c>
      <c r="G1167">
        <v>602</v>
      </c>
      <c r="H1167" t="str">
        <f t="shared" si="273"/>
        <v>501-1000</v>
      </c>
      <c r="I1167" t="s">
        <v>97</v>
      </c>
      <c r="J1167">
        <v>1</v>
      </c>
      <c r="K1167" t="str">
        <f t="shared" si="274"/>
        <v>1-5</v>
      </c>
      <c r="L1167">
        <v>5</v>
      </c>
      <c r="M1167" t="s">
        <v>96</v>
      </c>
      <c r="N1167" t="s">
        <v>97</v>
      </c>
      <c r="O1167">
        <v>1</v>
      </c>
      <c r="P1167">
        <v>1</v>
      </c>
      <c r="Q1167" t="s">
        <v>69</v>
      </c>
      <c r="R1167" t="s">
        <v>75</v>
      </c>
      <c r="S1167">
        <v>37</v>
      </c>
      <c r="T1167" t="str">
        <f t="shared" si="275"/>
        <v>30-50</v>
      </c>
      <c r="U1167">
        <v>3</v>
      </c>
      <c r="V1167" t="s">
        <v>63</v>
      </c>
      <c r="W1167">
        <v>2</v>
      </c>
      <c r="X1167" t="s">
        <v>97</v>
      </c>
      <c r="Y1167">
        <v>4</v>
      </c>
      <c r="Z1167" t="s">
        <v>65</v>
      </c>
      <c r="AA1167" t="s">
        <v>77</v>
      </c>
      <c r="AB1167" s="4">
        <v>5743</v>
      </c>
      <c r="AC1167" s="4" t="str">
        <f t="shared" si="276"/>
        <v>$5,500-$7,000</v>
      </c>
      <c r="AD1167">
        <v>10503</v>
      </c>
      <c r="AE1167" t="str">
        <f t="shared" si="277"/>
        <v>$8,001-$16,000</v>
      </c>
      <c r="AF1167">
        <v>4</v>
      </c>
      <c r="AG1167" t="str">
        <f t="shared" si="278"/>
        <v>4-6</v>
      </c>
      <c r="AH1167" t="s">
        <v>67</v>
      </c>
      <c r="AI1167" t="s">
        <v>56</v>
      </c>
      <c r="AJ1167">
        <v>11</v>
      </c>
      <c r="AK1167" t="str">
        <f t="shared" si="279"/>
        <v>11-12%</v>
      </c>
      <c r="AL1167">
        <v>3</v>
      </c>
      <c r="AM1167" t="s">
        <v>68</v>
      </c>
      <c r="AN1167">
        <v>3</v>
      </c>
      <c r="AO1167" t="s">
        <v>63</v>
      </c>
      <c r="AP1167">
        <v>80</v>
      </c>
      <c r="AQ1167">
        <v>0</v>
      </c>
      <c r="AR1167">
        <v>14</v>
      </c>
      <c r="AS1167" t="str">
        <f t="shared" si="280"/>
        <v>11-20</v>
      </c>
      <c r="AT1167">
        <v>3</v>
      </c>
      <c r="AU1167" t="str">
        <f t="shared" si="281"/>
        <v>3-4</v>
      </c>
      <c r="AV1167">
        <v>3</v>
      </c>
      <c r="AW1167" t="s">
        <v>79</v>
      </c>
      <c r="AX1167">
        <v>10</v>
      </c>
      <c r="AY1167" t="str">
        <f t="shared" si="270"/>
        <v>6-10</v>
      </c>
      <c r="AZ1167">
        <v>7</v>
      </c>
      <c r="BA1167" t="str">
        <f t="shared" si="282"/>
        <v>6-10</v>
      </c>
      <c r="BB1167">
        <v>0</v>
      </c>
      <c r="BC1167" t="str">
        <f t="shared" si="283"/>
        <v>0-1</v>
      </c>
      <c r="BD1167">
        <v>2</v>
      </c>
      <c r="BE1167" t="str">
        <f t="shared" si="284"/>
        <v>2-5</v>
      </c>
    </row>
    <row r="1168" spans="1:57" x14ac:dyDescent="0.3">
      <c r="A1168">
        <v>1644</v>
      </c>
      <c r="B1168">
        <v>48</v>
      </c>
      <c r="C1168" t="str">
        <f t="shared" si="271"/>
        <v>46-55</v>
      </c>
      <c r="D1168" t="s">
        <v>71</v>
      </c>
      <c r="E1168">
        <f t="shared" si="272"/>
        <v>0</v>
      </c>
      <c r="F1168" t="s">
        <v>72</v>
      </c>
      <c r="G1168">
        <v>365</v>
      </c>
      <c r="H1168" t="str">
        <f t="shared" si="273"/>
        <v>102-500</v>
      </c>
      <c r="I1168" t="s">
        <v>73</v>
      </c>
      <c r="J1168">
        <v>4</v>
      </c>
      <c r="K1168" t="str">
        <f t="shared" si="274"/>
        <v>1-5</v>
      </c>
      <c r="L1168">
        <v>5</v>
      </c>
      <c r="M1168" t="s">
        <v>96</v>
      </c>
      <c r="N1168" t="s">
        <v>83</v>
      </c>
      <c r="O1168">
        <v>1</v>
      </c>
      <c r="P1168">
        <v>3</v>
      </c>
      <c r="Q1168" t="s">
        <v>63</v>
      </c>
      <c r="R1168" t="s">
        <v>75</v>
      </c>
      <c r="S1168">
        <v>89</v>
      </c>
      <c r="T1168" t="str">
        <f t="shared" si="275"/>
        <v>76-100</v>
      </c>
      <c r="U1168">
        <v>2</v>
      </c>
      <c r="V1168" t="s">
        <v>61</v>
      </c>
      <c r="W1168">
        <v>4</v>
      </c>
      <c r="X1168" t="s">
        <v>90</v>
      </c>
      <c r="Y1168">
        <v>4</v>
      </c>
      <c r="Z1168" t="s">
        <v>65</v>
      </c>
      <c r="AA1168" t="s">
        <v>77</v>
      </c>
      <c r="AB1168" s="4">
        <v>15202</v>
      </c>
      <c r="AC1168" s="4" t="str">
        <f t="shared" si="276"/>
        <v>$14,500-$16,000</v>
      </c>
      <c r="AD1168">
        <v>5602</v>
      </c>
      <c r="AE1168" t="str">
        <f t="shared" si="277"/>
        <v>$2,094-$8,000</v>
      </c>
      <c r="AF1168">
        <v>2</v>
      </c>
      <c r="AG1168" t="str">
        <f t="shared" si="278"/>
        <v>2-3</v>
      </c>
      <c r="AH1168" t="s">
        <v>67</v>
      </c>
      <c r="AI1168" t="s">
        <v>71</v>
      </c>
      <c r="AJ1168">
        <v>25</v>
      </c>
      <c r="AK1168" t="str">
        <f t="shared" si="279"/>
        <v>18-19%</v>
      </c>
      <c r="AL1168">
        <v>4</v>
      </c>
      <c r="AM1168" t="s">
        <v>78</v>
      </c>
      <c r="AN1168">
        <v>2</v>
      </c>
      <c r="AO1168" t="s">
        <v>61</v>
      </c>
      <c r="AP1168">
        <v>80</v>
      </c>
      <c r="AQ1168">
        <v>1</v>
      </c>
      <c r="AR1168">
        <v>23</v>
      </c>
      <c r="AS1168" t="str">
        <f t="shared" si="280"/>
        <v>21-40</v>
      </c>
      <c r="AT1168">
        <v>3</v>
      </c>
      <c r="AU1168" t="str">
        <f t="shared" si="281"/>
        <v>3-4</v>
      </c>
      <c r="AV1168">
        <v>3</v>
      </c>
      <c r="AW1168" t="s">
        <v>79</v>
      </c>
      <c r="AX1168">
        <v>2</v>
      </c>
      <c r="AY1168" t="str">
        <f t="shared" si="270"/>
        <v>2-5</v>
      </c>
      <c r="AZ1168">
        <v>2</v>
      </c>
      <c r="BA1168" t="str">
        <f t="shared" si="282"/>
        <v>2-5</v>
      </c>
      <c r="BB1168">
        <v>2</v>
      </c>
      <c r="BC1168" t="str">
        <f t="shared" si="283"/>
        <v>2-5</v>
      </c>
      <c r="BD1168">
        <v>2</v>
      </c>
      <c r="BE1168" t="str">
        <f t="shared" si="284"/>
        <v>2-5</v>
      </c>
    </row>
    <row r="1169" spans="1:57" x14ac:dyDescent="0.3">
      <c r="A1169">
        <v>1645</v>
      </c>
      <c r="B1169">
        <v>35</v>
      </c>
      <c r="C1169" t="str">
        <f t="shared" si="271"/>
        <v>26-35</v>
      </c>
      <c r="D1169" t="s">
        <v>56</v>
      </c>
      <c r="E1169">
        <f t="shared" si="272"/>
        <v>1</v>
      </c>
      <c r="F1169" t="s">
        <v>57</v>
      </c>
      <c r="G1169">
        <v>763</v>
      </c>
      <c r="H1169" t="str">
        <f t="shared" si="273"/>
        <v>501-1000</v>
      </c>
      <c r="I1169" t="s">
        <v>58</v>
      </c>
      <c r="J1169">
        <v>15</v>
      </c>
      <c r="K1169" t="str">
        <f t="shared" si="274"/>
        <v>11-20</v>
      </c>
      <c r="L1169">
        <v>2</v>
      </c>
      <c r="M1169" t="s">
        <v>59</v>
      </c>
      <c r="N1169" t="s">
        <v>83</v>
      </c>
      <c r="O1169">
        <v>1</v>
      </c>
      <c r="P1169">
        <v>1</v>
      </c>
      <c r="Q1169" t="s">
        <v>69</v>
      </c>
      <c r="R1169" t="s">
        <v>75</v>
      </c>
      <c r="S1169">
        <v>59</v>
      </c>
      <c r="T1169" t="str">
        <f t="shared" si="275"/>
        <v>51-75</v>
      </c>
      <c r="U1169">
        <v>1</v>
      </c>
      <c r="V1169" t="s">
        <v>69</v>
      </c>
      <c r="W1169">
        <v>2</v>
      </c>
      <c r="X1169" t="s">
        <v>64</v>
      </c>
      <c r="Y1169">
        <v>4</v>
      </c>
      <c r="Z1169" t="s">
        <v>65</v>
      </c>
      <c r="AA1169" t="s">
        <v>86</v>
      </c>
      <c r="AB1169" s="4">
        <v>5440</v>
      </c>
      <c r="AC1169" s="4" t="str">
        <f t="shared" si="276"/>
        <v>$4,000-$5,500</v>
      </c>
      <c r="AD1169">
        <v>22098</v>
      </c>
      <c r="AE1169" t="str">
        <f t="shared" si="277"/>
        <v>$22,001-$26,999</v>
      </c>
      <c r="AF1169">
        <v>6</v>
      </c>
      <c r="AG1169" t="str">
        <f t="shared" si="278"/>
        <v>4-6</v>
      </c>
      <c r="AH1169" t="s">
        <v>67</v>
      </c>
      <c r="AI1169" t="s">
        <v>56</v>
      </c>
      <c r="AJ1169">
        <v>14</v>
      </c>
      <c r="AK1169" t="str">
        <f t="shared" si="279"/>
        <v>13-15%</v>
      </c>
      <c r="AL1169">
        <v>3</v>
      </c>
      <c r="AM1169" t="s">
        <v>68</v>
      </c>
      <c r="AN1169">
        <v>4</v>
      </c>
      <c r="AO1169" t="s">
        <v>65</v>
      </c>
      <c r="AP1169">
        <v>80</v>
      </c>
      <c r="AQ1169">
        <v>2</v>
      </c>
      <c r="AR1169">
        <v>7</v>
      </c>
      <c r="AS1169" t="str">
        <f t="shared" si="280"/>
        <v>6-10</v>
      </c>
      <c r="AT1169">
        <v>2</v>
      </c>
      <c r="AU1169" t="str">
        <f t="shared" si="281"/>
        <v>0-2</v>
      </c>
      <c r="AV1169">
        <v>2</v>
      </c>
      <c r="AW1169" t="s">
        <v>84</v>
      </c>
      <c r="AX1169">
        <v>2</v>
      </c>
      <c r="AY1169" t="str">
        <f t="shared" si="270"/>
        <v>2-5</v>
      </c>
      <c r="AZ1169">
        <v>2</v>
      </c>
      <c r="BA1169" t="str">
        <f t="shared" si="282"/>
        <v>2-5</v>
      </c>
      <c r="BB1169">
        <v>2</v>
      </c>
      <c r="BC1169" t="str">
        <f t="shared" si="283"/>
        <v>2-5</v>
      </c>
      <c r="BD1169">
        <v>2</v>
      </c>
      <c r="BE1169" t="str">
        <f t="shared" si="284"/>
        <v>2-5</v>
      </c>
    </row>
    <row r="1170" spans="1:57" x14ac:dyDescent="0.3">
      <c r="A1170">
        <v>1646</v>
      </c>
      <c r="B1170">
        <v>24</v>
      </c>
      <c r="C1170" t="str">
        <f t="shared" si="271"/>
        <v>18-25</v>
      </c>
      <c r="D1170" t="s">
        <v>71</v>
      </c>
      <c r="E1170">
        <f t="shared" si="272"/>
        <v>0</v>
      </c>
      <c r="F1170" t="s">
        <v>72</v>
      </c>
      <c r="G1170">
        <v>567</v>
      </c>
      <c r="H1170" t="str">
        <f t="shared" si="273"/>
        <v>501-1000</v>
      </c>
      <c r="I1170" t="s">
        <v>73</v>
      </c>
      <c r="J1170">
        <v>2</v>
      </c>
      <c r="K1170" t="str">
        <f t="shared" si="274"/>
        <v>1-5</v>
      </c>
      <c r="L1170">
        <v>1</v>
      </c>
      <c r="M1170" t="s">
        <v>74</v>
      </c>
      <c r="N1170" t="s">
        <v>95</v>
      </c>
      <c r="O1170">
        <v>1</v>
      </c>
      <c r="P1170">
        <v>1</v>
      </c>
      <c r="Q1170" t="s">
        <v>69</v>
      </c>
      <c r="R1170" t="s">
        <v>62</v>
      </c>
      <c r="S1170">
        <v>32</v>
      </c>
      <c r="T1170" t="str">
        <f t="shared" si="275"/>
        <v>30-50</v>
      </c>
      <c r="U1170">
        <v>3</v>
      </c>
      <c r="V1170" t="s">
        <v>63</v>
      </c>
      <c r="W1170">
        <v>1</v>
      </c>
      <c r="X1170" t="s">
        <v>76</v>
      </c>
      <c r="Y1170">
        <v>4</v>
      </c>
      <c r="Z1170" t="s">
        <v>65</v>
      </c>
      <c r="AA1170" t="s">
        <v>66</v>
      </c>
      <c r="AB1170" s="4">
        <v>3760</v>
      </c>
      <c r="AC1170" s="4" t="str">
        <f t="shared" si="276"/>
        <v>$2,500-$4,000</v>
      </c>
      <c r="AD1170">
        <v>17218</v>
      </c>
      <c r="AE1170" t="str">
        <f t="shared" si="277"/>
        <v>$16,001-$22,000</v>
      </c>
      <c r="AF1170">
        <v>1</v>
      </c>
      <c r="AG1170" t="str">
        <f t="shared" si="278"/>
        <v>0-1</v>
      </c>
      <c r="AH1170" t="s">
        <v>67</v>
      </c>
      <c r="AI1170" t="s">
        <v>56</v>
      </c>
      <c r="AJ1170">
        <v>13</v>
      </c>
      <c r="AK1170" t="str">
        <f t="shared" si="279"/>
        <v>13-15%</v>
      </c>
      <c r="AL1170">
        <v>3</v>
      </c>
      <c r="AM1170" t="s">
        <v>68</v>
      </c>
      <c r="AN1170">
        <v>3</v>
      </c>
      <c r="AO1170" t="s">
        <v>63</v>
      </c>
      <c r="AP1170">
        <v>80</v>
      </c>
      <c r="AQ1170">
        <v>0</v>
      </c>
      <c r="AR1170">
        <v>6</v>
      </c>
      <c r="AS1170" t="str">
        <f t="shared" si="280"/>
        <v>6-10</v>
      </c>
      <c r="AT1170">
        <v>2</v>
      </c>
      <c r="AU1170" t="str">
        <f t="shared" si="281"/>
        <v>0-2</v>
      </c>
      <c r="AV1170">
        <v>3</v>
      </c>
      <c r="AW1170" t="s">
        <v>79</v>
      </c>
      <c r="AX1170">
        <v>6</v>
      </c>
      <c r="AY1170" t="str">
        <f t="shared" si="270"/>
        <v>6-10</v>
      </c>
      <c r="AZ1170">
        <v>3</v>
      </c>
      <c r="BA1170" t="str">
        <f t="shared" si="282"/>
        <v>2-5</v>
      </c>
      <c r="BB1170">
        <v>1</v>
      </c>
      <c r="BC1170" t="str">
        <f t="shared" si="283"/>
        <v>0-1</v>
      </c>
      <c r="BD1170">
        <v>3</v>
      </c>
      <c r="BE1170" t="str">
        <f t="shared" si="284"/>
        <v>2-5</v>
      </c>
    </row>
    <row r="1171" spans="1:57" x14ac:dyDescent="0.3">
      <c r="A1171">
        <v>1647</v>
      </c>
      <c r="B1171">
        <v>27</v>
      </c>
      <c r="C1171" t="str">
        <f t="shared" si="271"/>
        <v>26-35</v>
      </c>
      <c r="D1171" t="s">
        <v>71</v>
      </c>
      <c r="E1171">
        <f t="shared" si="272"/>
        <v>0</v>
      </c>
      <c r="F1171" t="s">
        <v>57</v>
      </c>
      <c r="G1171">
        <v>486</v>
      </c>
      <c r="H1171" t="str">
        <f t="shared" si="273"/>
        <v>102-500</v>
      </c>
      <c r="I1171" t="s">
        <v>73</v>
      </c>
      <c r="J1171">
        <v>8</v>
      </c>
      <c r="K1171" t="str">
        <f t="shared" si="274"/>
        <v>6-10</v>
      </c>
      <c r="L1171">
        <v>3</v>
      </c>
      <c r="M1171" t="s">
        <v>85</v>
      </c>
      <c r="N1171" t="s">
        <v>83</v>
      </c>
      <c r="O1171">
        <v>1</v>
      </c>
      <c r="P1171">
        <v>2</v>
      </c>
      <c r="Q1171" t="s">
        <v>61</v>
      </c>
      <c r="R1171" t="s">
        <v>62</v>
      </c>
      <c r="S1171">
        <v>86</v>
      </c>
      <c r="T1171" t="str">
        <f t="shared" si="275"/>
        <v>76-100</v>
      </c>
      <c r="U1171">
        <v>4</v>
      </c>
      <c r="V1171" t="s">
        <v>65</v>
      </c>
      <c r="W1171">
        <v>1</v>
      </c>
      <c r="X1171" t="s">
        <v>76</v>
      </c>
      <c r="Y1171">
        <v>3</v>
      </c>
      <c r="Z1171" t="s">
        <v>63</v>
      </c>
      <c r="AA1171" t="s">
        <v>77</v>
      </c>
      <c r="AB1171" s="4">
        <v>3517</v>
      </c>
      <c r="AC1171" s="4" t="str">
        <f t="shared" si="276"/>
        <v>$2,500-$4,000</v>
      </c>
      <c r="AD1171">
        <v>22490</v>
      </c>
      <c r="AE1171" t="str">
        <f t="shared" si="277"/>
        <v>$22,001-$26,999</v>
      </c>
      <c r="AF1171">
        <v>7</v>
      </c>
      <c r="AG1171" t="str">
        <f t="shared" si="278"/>
        <v>7-9</v>
      </c>
      <c r="AH1171" t="s">
        <v>67</v>
      </c>
      <c r="AI1171" t="s">
        <v>71</v>
      </c>
      <c r="AJ1171">
        <v>17</v>
      </c>
      <c r="AK1171" t="str">
        <f t="shared" si="279"/>
        <v>16-17%</v>
      </c>
      <c r="AL1171">
        <v>3</v>
      </c>
      <c r="AM1171" t="s">
        <v>68</v>
      </c>
      <c r="AN1171">
        <v>1</v>
      </c>
      <c r="AO1171" t="s">
        <v>69</v>
      </c>
      <c r="AP1171">
        <v>80</v>
      </c>
      <c r="AQ1171">
        <v>0</v>
      </c>
      <c r="AR1171">
        <v>5</v>
      </c>
      <c r="AS1171" t="str">
        <f t="shared" si="280"/>
        <v>3-5</v>
      </c>
      <c r="AT1171">
        <v>0</v>
      </c>
      <c r="AU1171" t="str">
        <f t="shared" si="281"/>
        <v>0-2</v>
      </c>
      <c r="AV1171">
        <v>3</v>
      </c>
      <c r="AW1171" t="s">
        <v>79</v>
      </c>
      <c r="AX1171">
        <v>3</v>
      </c>
      <c r="AY1171" t="str">
        <f t="shared" si="270"/>
        <v>2-5</v>
      </c>
      <c r="AZ1171">
        <v>2</v>
      </c>
      <c r="BA1171" t="str">
        <f t="shared" si="282"/>
        <v>2-5</v>
      </c>
      <c r="BB1171">
        <v>0</v>
      </c>
      <c r="BC1171" t="str">
        <f t="shared" si="283"/>
        <v>0-1</v>
      </c>
      <c r="BD1171">
        <v>2</v>
      </c>
      <c r="BE1171" t="str">
        <f t="shared" si="284"/>
        <v>2-5</v>
      </c>
    </row>
    <row r="1172" spans="1:57" x14ac:dyDescent="0.3">
      <c r="A1172">
        <v>1648</v>
      </c>
      <c r="B1172">
        <v>27</v>
      </c>
      <c r="C1172" t="str">
        <f t="shared" si="271"/>
        <v>26-35</v>
      </c>
      <c r="D1172" t="s">
        <v>71</v>
      </c>
      <c r="E1172">
        <f t="shared" si="272"/>
        <v>0</v>
      </c>
      <c r="F1172" t="s">
        <v>72</v>
      </c>
      <c r="G1172">
        <v>591</v>
      </c>
      <c r="H1172" t="str">
        <f t="shared" si="273"/>
        <v>501-1000</v>
      </c>
      <c r="I1172" t="s">
        <v>73</v>
      </c>
      <c r="J1172">
        <v>2</v>
      </c>
      <c r="K1172" t="str">
        <f t="shared" si="274"/>
        <v>1-5</v>
      </c>
      <c r="L1172">
        <v>3</v>
      </c>
      <c r="M1172" t="s">
        <v>85</v>
      </c>
      <c r="N1172" t="s">
        <v>83</v>
      </c>
      <c r="O1172">
        <v>1</v>
      </c>
      <c r="P1172">
        <v>4</v>
      </c>
      <c r="Q1172" t="s">
        <v>65</v>
      </c>
      <c r="R1172" t="s">
        <v>75</v>
      </c>
      <c r="S1172">
        <v>87</v>
      </c>
      <c r="T1172" t="str">
        <f t="shared" si="275"/>
        <v>76-100</v>
      </c>
      <c r="U1172">
        <v>3</v>
      </c>
      <c r="V1172" t="s">
        <v>63</v>
      </c>
      <c r="W1172">
        <v>1</v>
      </c>
      <c r="X1172" t="s">
        <v>76</v>
      </c>
      <c r="Y1172">
        <v>4</v>
      </c>
      <c r="Z1172" t="s">
        <v>65</v>
      </c>
      <c r="AA1172" t="s">
        <v>66</v>
      </c>
      <c r="AB1172" s="4">
        <v>2580</v>
      </c>
      <c r="AC1172" s="4" t="str">
        <f t="shared" si="276"/>
        <v>$2,500-$4,000</v>
      </c>
      <c r="AD1172">
        <v>6297</v>
      </c>
      <c r="AE1172" t="str">
        <f t="shared" si="277"/>
        <v>$2,094-$8,000</v>
      </c>
      <c r="AF1172">
        <v>2</v>
      </c>
      <c r="AG1172" t="str">
        <f t="shared" si="278"/>
        <v>2-3</v>
      </c>
      <c r="AH1172" t="s">
        <v>67</v>
      </c>
      <c r="AI1172" t="s">
        <v>71</v>
      </c>
      <c r="AJ1172">
        <v>13</v>
      </c>
      <c r="AK1172" t="str">
        <f t="shared" si="279"/>
        <v>13-15%</v>
      </c>
      <c r="AL1172">
        <v>3</v>
      </c>
      <c r="AM1172" t="s">
        <v>68</v>
      </c>
      <c r="AN1172">
        <v>3</v>
      </c>
      <c r="AO1172" t="s">
        <v>63</v>
      </c>
      <c r="AP1172">
        <v>80</v>
      </c>
      <c r="AQ1172">
        <v>0</v>
      </c>
      <c r="AR1172">
        <v>6</v>
      </c>
      <c r="AS1172" t="str">
        <f t="shared" si="280"/>
        <v>6-10</v>
      </c>
      <c r="AT1172">
        <v>0</v>
      </c>
      <c r="AU1172" t="str">
        <f t="shared" si="281"/>
        <v>0-2</v>
      </c>
      <c r="AV1172">
        <v>2</v>
      </c>
      <c r="AW1172" t="s">
        <v>84</v>
      </c>
      <c r="AX1172">
        <v>4</v>
      </c>
      <c r="AY1172" t="str">
        <f t="shared" si="270"/>
        <v>2-5</v>
      </c>
      <c r="AZ1172">
        <v>2</v>
      </c>
      <c r="BA1172" t="str">
        <f t="shared" si="282"/>
        <v>2-5</v>
      </c>
      <c r="BB1172">
        <v>1</v>
      </c>
      <c r="BC1172" t="str">
        <f t="shared" si="283"/>
        <v>0-1</v>
      </c>
      <c r="BD1172">
        <v>2</v>
      </c>
      <c r="BE1172" t="str">
        <f t="shared" si="284"/>
        <v>2-5</v>
      </c>
    </row>
    <row r="1173" spans="1:57" x14ac:dyDescent="0.3">
      <c r="A1173">
        <v>1649</v>
      </c>
      <c r="B1173">
        <v>40</v>
      </c>
      <c r="C1173" t="str">
        <f t="shared" si="271"/>
        <v>36-45</v>
      </c>
      <c r="D1173" t="s">
        <v>56</v>
      </c>
      <c r="E1173">
        <f t="shared" si="272"/>
        <v>1</v>
      </c>
      <c r="F1173" t="s">
        <v>57</v>
      </c>
      <c r="G1173">
        <v>1329</v>
      </c>
      <c r="H1173" t="str">
        <f t="shared" si="273"/>
        <v>1001-1499</v>
      </c>
      <c r="I1173" t="s">
        <v>73</v>
      </c>
      <c r="J1173">
        <v>7</v>
      </c>
      <c r="K1173" t="str">
        <f t="shared" si="274"/>
        <v>6-10</v>
      </c>
      <c r="L1173">
        <v>3</v>
      </c>
      <c r="M1173" t="s">
        <v>85</v>
      </c>
      <c r="N1173" t="s">
        <v>60</v>
      </c>
      <c r="O1173">
        <v>1</v>
      </c>
      <c r="P1173">
        <v>1</v>
      </c>
      <c r="Q1173" t="s">
        <v>69</v>
      </c>
      <c r="R1173" t="s">
        <v>75</v>
      </c>
      <c r="S1173">
        <v>73</v>
      </c>
      <c r="T1173" t="str">
        <f t="shared" si="275"/>
        <v>51-75</v>
      </c>
      <c r="U1173">
        <v>3</v>
      </c>
      <c r="V1173" t="s">
        <v>63</v>
      </c>
      <c r="W1173">
        <v>1</v>
      </c>
      <c r="X1173" t="s">
        <v>81</v>
      </c>
      <c r="Y1173">
        <v>1</v>
      </c>
      <c r="Z1173" t="s">
        <v>69</v>
      </c>
      <c r="AA1173" t="s">
        <v>66</v>
      </c>
      <c r="AB1173" s="4">
        <v>2166</v>
      </c>
      <c r="AC1173" s="4" t="str">
        <f t="shared" si="276"/>
        <v>$1,000-$2,500</v>
      </c>
      <c r="AD1173">
        <v>3339</v>
      </c>
      <c r="AE1173" t="str">
        <f t="shared" si="277"/>
        <v>$2,094-$8,000</v>
      </c>
      <c r="AF1173">
        <v>3</v>
      </c>
      <c r="AG1173" t="str">
        <f t="shared" si="278"/>
        <v>2-3</v>
      </c>
      <c r="AH1173" t="s">
        <v>67</v>
      </c>
      <c r="AI1173" t="s">
        <v>56</v>
      </c>
      <c r="AJ1173">
        <v>14</v>
      </c>
      <c r="AK1173" t="str">
        <f t="shared" si="279"/>
        <v>13-15%</v>
      </c>
      <c r="AL1173">
        <v>3</v>
      </c>
      <c r="AM1173" t="s">
        <v>68</v>
      </c>
      <c r="AN1173">
        <v>2</v>
      </c>
      <c r="AO1173" t="s">
        <v>61</v>
      </c>
      <c r="AP1173">
        <v>80</v>
      </c>
      <c r="AQ1173">
        <v>0</v>
      </c>
      <c r="AR1173">
        <v>10</v>
      </c>
      <c r="AS1173" t="str">
        <f t="shared" si="280"/>
        <v>6-10</v>
      </c>
      <c r="AT1173">
        <v>3</v>
      </c>
      <c r="AU1173" t="str">
        <f t="shared" si="281"/>
        <v>3-4</v>
      </c>
      <c r="AV1173">
        <v>1</v>
      </c>
      <c r="AW1173" t="s">
        <v>70</v>
      </c>
      <c r="AX1173">
        <v>4</v>
      </c>
      <c r="AY1173" t="str">
        <f t="shared" si="270"/>
        <v>2-5</v>
      </c>
      <c r="AZ1173">
        <v>2</v>
      </c>
      <c r="BA1173" t="str">
        <f t="shared" si="282"/>
        <v>2-5</v>
      </c>
      <c r="BB1173">
        <v>0</v>
      </c>
      <c r="BC1173" t="str">
        <f t="shared" si="283"/>
        <v>0-1</v>
      </c>
      <c r="BD1173">
        <v>3</v>
      </c>
      <c r="BE1173" t="str">
        <f t="shared" si="284"/>
        <v>2-5</v>
      </c>
    </row>
    <row r="1174" spans="1:57" x14ac:dyDescent="0.3">
      <c r="A1174">
        <v>1650</v>
      </c>
      <c r="B1174">
        <v>29</v>
      </c>
      <c r="C1174" t="str">
        <f t="shared" si="271"/>
        <v>26-35</v>
      </c>
      <c r="D1174" t="s">
        <v>71</v>
      </c>
      <c r="E1174">
        <f t="shared" si="272"/>
        <v>0</v>
      </c>
      <c r="F1174" t="s">
        <v>57</v>
      </c>
      <c r="G1174">
        <v>469</v>
      </c>
      <c r="H1174" t="str">
        <f t="shared" si="273"/>
        <v>102-500</v>
      </c>
      <c r="I1174" t="s">
        <v>58</v>
      </c>
      <c r="J1174">
        <v>10</v>
      </c>
      <c r="K1174" t="str">
        <f t="shared" si="274"/>
        <v>6-10</v>
      </c>
      <c r="L1174">
        <v>3</v>
      </c>
      <c r="M1174" t="s">
        <v>85</v>
      </c>
      <c r="N1174" t="s">
        <v>83</v>
      </c>
      <c r="O1174">
        <v>1</v>
      </c>
      <c r="P1174">
        <v>3</v>
      </c>
      <c r="Q1174" t="s">
        <v>63</v>
      </c>
      <c r="R1174" t="s">
        <v>75</v>
      </c>
      <c r="S1174">
        <v>42</v>
      </c>
      <c r="T1174" t="str">
        <f t="shared" si="275"/>
        <v>30-50</v>
      </c>
      <c r="U1174">
        <v>2</v>
      </c>
      <c r="V1174" t="s">
        <v>61</v>
      </c>
      <c r="W1174">
        <v>2</v>
      </c>
      <c r="X1174" t="s">
        <v>64</v>
      </c>
      <c r="Y1174">
        <v>3</v>
      </c>
      <c r="Z1174" t="s">
        <v>63</v>
      </c>
      <c r="AA1174" t="s">
        <v>66</v>
      </c>
      <c r="AB1174" s="4">
        <v>5869</v>
      </c>
      <c r="AC1174" s="4" t="str">
        <f t="shared" si="276"/>
        <v>$5,500-$7,000</v>
      </c>
      <c r="AD1174">
        <v>23413</v>
      </c>
      <c r="AE1174" t="str">
        <f t="shared" si="277"/>
        <v>$22,001-$26,999</v>
      </c>
      <c r="AF1174">
        <v>9</v>
      </c>
      <c r="AG1174" t="str">
        <f t="shared" si="278"/>
        <v>7-9</v>
      </c>
      <c r="AH1174" t="s">
        <v>67</v>
      </c>
      <c r="AI1174" t="s">
        <v>71</v>
      </c>
      <c r="AJ1174">
        <v>11</v>
      </c>
      <c r="AK1174" t="str">
        <f t="shared" si="279"/>
        <v>11-12%</v>
      </c>
      <c r="AL1174">
        <v>3</v>
      </c>
      <c r="AM1174" t="s">
        <v>68</v>
      </c>
      <c r="AN1174">
        <v>3</v>
      </c>
      <c r="AO1174" t="s">
        <v>63</v>
      </c>
      <c r="AP1174">
        <v>80</v>
      </c>
      <c r="AQ1174">
        <v>0</v>
      </c>
      <c r="AR1174">
        <v>8</v>
      </c>
      <c r="AS1174" t="str">
        <f t="shared" si="280"/>
        <v>6-10</v>
      </c>
      <c r="AT1174">
        <v>2</v>
      </c>
      <c r="AU1174" t="str">
        <f t="shared" si="281"/>
        <v>0-2</v>
      </c>
      <c r="AV1174">
        <v>3</v>
      </c>
      <c r="AW1174" t="s">
        <v>79</v>
      </c>
      <c r="AX1174">
        <v>5</v>
      </c>
      <c r="AY1174" t="str">
        <f t="shared" si="270"/>
        <v>2-5</v>
      </c>
      <c r="AZ1174">
        <v>2</v>
      </c>
      <c r="BA1174" t="str">
        <f t="shared" si="282"/>
        <v>2-5</v>
      </c>
      <c r="BB1174">
        <v>1</v>
      </c>
      <c r="BC1174" t="str">
        <f t="shared" si="283"/>
        <v>0-1</v>
      </c>
      <c r="BD1174">
        <v>4</v>
      </c>
      <c r="BE1174" t="str">
        <f t="shared" si="284"/>
        <v>2-5</v>
      </c>
    </row>
    <row r="1175" spans="1:57" x14ac:dyDescent="0.3">
      <c r="A1175">
        <v>1651</v>
      </c>
      <c r="B1175">
        <v>36</v>
      </c>
      <c r="C1175" t="str">
        <f t="shared" si="271"/>
        <v>36-45</v>
      </c>
      <c r="D1175" t="s">
        <v>71</v>
      </c>
      <c r="E1175">
        <f t="shared" si="272"/>
        <v>0</v>
      </c>
      <c r="F1175" t="s">
        <v>57</v>
      </c>
      <c r="G1175">
        <v>711</v>
      </c>
      <c r="H1175" t="str">
        <f t="shared" si="273"/>
        <v>501-1000</v>
      </c>
      <c r="I1175" t="s">
        <v>73</v>
      </c>
      <c r="J1175">
        <v>5</v>
      </c>
      <c r="K1175" t="str">
        <f t="shared" si="274"/>
        <v>1-5</v>
      </c>
      <c r="L1175">
        <v>4</v>
      </c>
      <c r="M1175" t="s">
        <v>82</v>
      </c>
      <c r="N1175" t="s">
        <v>60</v>
      </c>
      <c r="O1175">
        <v>1</v>
      </c>
      <c r="P1175">
        <v>2</v>
      </c>
      <c r="Q1175" t="s">
        <v>61</v>
      </c>
      <c r="R1175" t="s">
        <v>62</v>
      </c>
      <c r="S1175">
        <v>42</v>
      </c>
      <c r="T1175" t="str">
        <f t="shared" si="275"/>
        <v>30-50</v>
      </c>
      <c r="U1175">
        <v>3</v>
      </c>
      <c r="V1175" t="s">
        <v>63</v>
      </c>
      <c r="W1175">
        <v>3</v>
      </c>
      <c r="X1175" t="s">
        <v>88</v>
      </c>
      <c r="Y1175">
        <v>1</v>
      </c>
      <c r="Z1175" t="s">
        <v>69</v>
      </c>
      <c r="AA1175" t="s">
        <v>77</v>
      </c>
      <c r="AB1175" s="4">
        <v>8008</v>
      </c>
      <c r="AC1175" s="4" t="str">
        <f t="shared" si="276"/>
        <v>$7,000-$8,500</v>
      </c>
      <c r="AD1175">
        <v>22792</v>
      </c>
      <c r="AE1175" t="str">
        <f t="shared" si="277"/>
        <v>$22,001-$26,999</v>
      </c>
      <c r="AF1175">
        <v>4</v>
      </c>
      <c r="AG1175" t="str">
        <f t="shared" si="278"/>
        <v>4-6</v>
      </c>
      <c r="AH1175" t="s">
        <v>67</v>
      </c>
      <c r="AI1175" t="s">
        <v>71</v>
      </c>
      <c r="AJ1175">
        <v>12</v>
      </c>
      <c r="AK1175" t="str">
        <f t="shared" si="279"/>
        <v>11-12%</v>
      </c>
      <c r="AL1175">
        <v>3</v>
      </c>
      <c r="AM1175" t="s">
        <v>68</v>
      </c>
      <c r="AN1175">
        <v>3</v>
      </c>
      <c r="AO1175" t="s">
        <v>63</v>
      </c>
      <c r="AP1175">
        <v>80</v>
      </c>
      <c r="AQ1175">
        <v>2</v>
      </c>
      <c r="AR1175">
        <v>9</v>
      </c>
      <c r="AS1175" t="str">
        <f t="shared" si="280"/>
        <v>6-10</v>
      </c>
      <c r="AT1175">
        <v>6</v>
      </c>
      <c r="AU1175" t="str">
        <f t="shared" si="281"/>
        <v>5-6</v>
      </c>
      <c r="AV1175">
        <v>3</v>
      </c>
      <c r="AW1175" t="s">
        <v>79</v>
      </c>
      <c r="AX1175">
        <v>3</v>
      </c>
      <c r="AY1175" t="str">
        <f t="shared" si="270"/>
        <v>2-5</v>
      </c>
      <c r="AZ1175">
        <v>2</v>
      </c>
      <c r="BA1175" t="str">
        <f t="shared" si="282"/>
        <v>2-5</v>
      </c>
      <c r="BB1175">
        <v>0</v>
      </c>
      <c r="BC1175" t="str">
        <f t="shared" si="283"/>
        <v>0-1</v>
      </c>
      <c r="BD1175">
        <v>2</v>
      </c>
      <c r="BE1175" t="str">
        <f t="shared" si="284"/>
        <v>2-5</v>
      </c>
    </row>
    <row r="1176" spans="1:57" x14ac:dyDescent="0.3">
      <c r="A1176">
        <v>1653</v>
      </c>
      <c r="B1176">
        <v>25</v>
      </c>
      <c r="C1176" t="str">
        <f t="shared" si="271"/>
        <v>18-25</v>
      </c>
      <c r="D1176" t="s">
        <v>71</v>
      </c>
      <c r="E1176">
        <f t="shared" si="272"/>
        <v>0</v>
      </c>
      <c r="F1176" t="s">
        <v>72</v>
      </c>
      <c r="G1176">
        <v>772</v>
      </c>
      <c r="H1176" t="str">
        <f t="shared" si="273"/>
        <v>501-1000</v>
      </c>
      <c r="I1176" t="s">
        <v>73</v>
      </c>
      <c r="J1176">
        <v>2</v>
      </c>
      <c r="K1176" t="str">
        <f t="shared" si="274"/>
        <v>1-5</v>
      </c>
      <c r="L1176">
        <v>1</v>
      </c>
      <c r="M1176" t="s">
        <v>74</v>
      </c>
      <c r="N1176" t="s">
        <v>60</v>
      </c>
      <c r="O1176">
        <v>1</v>
      </c>
      <c r="P1176">
        <v>4</v>
      </c>
      <c r="Q1176" t="s">
        <v>65</v>
      </c>
      <c r="R1176" t="s">
        <v>75</v>
      </c>
      <c r="S1176">
        <v>77</v>
      </c>
      <c r="T1176" t="str">
        <f t="shared" si="275"/>
        <v>76-100</v>
      </c>
      <c r="U1176">
        <v>4</v>
      </c>
      <c r="V1176" t="s">
        <v>65</v>
      </c>
      <c r="W1176">
        <v>2</v>
      </c>
      <c r="X1176" t="s">
        <v>87</v>
      </c>
      <c r="Y1176">
        <v>3</v>
      </c>
      <c r="Z1176" t="s">
        <v>63</v>
      </c>
      <c r="AA1176" t="s">
        <v>86</v>
      </c>
      <c r="AB1176" s="4">
        <v>5206</v>
      </c>
      <c r="AC1176" s="4" t="str">
        <f t="shared" si="276"/>
        <v>$4,000-$5,500</v>
      </c>
      <c r="AD1176">
        <v>4973</v>
      </c>
      <c r="AE1176" t="str">
        <f t="shared" si="277"/>
        <v>$2,094-$8,000</v>
      </c>
      <c r="AF1176">
        <v>1</v>
      </c>
      <c r="AG1176" t="str">
        <f t="shared" si="278"/>
        <v>0-1</v>
      </c>
      <c r="AH1176" t="s">
        <v>67</v>
      </c>
      <c r="AI1176" t="s">
        <v>71</v>
      </c>
      <c r="AJ1176">
        <v>17</v>
      </c>
      <c r="AK1176" t="str">
        <f t="shared" si="279"/>
        <v>16-17%</v>
      </c>
      <c r="AL1176">
        <v>3</v>
      </c>
      <c r="AM1176" t="s">
        <v>68</v>
      </c>
      <c r="AN1176">
        <v>3</v>
      </c>
      <c r="AO1176" t="s">
        <v>63</v>
      </c>
      <c r="AP1176">
        <v>80</v>
      </c>
      <c r="AQ1176">
        <v>2</v>
      </c>
      <c r="AR1176">
        <v>7</v>
      </c>
      <c r="AS1176" t="str">
        <f t="shared" si="280"/>
        <v>6-10</v>
      </c>
      <c r="AT1176">
        <v>6</v>
      </c>
      <c r="AU1176" t="str">
        <f t="shared" si="281"/>
        <v>5-6</v>
      </c>
      <c r="AV1176">
        <v>3</v>
      </c>
      <c r="AW1176" t="s">
        <v>79</v>
      </c>
      <c r="AX1176">
        <v>7</v>
      </c>
      <c r="AY1176" t="str">
        <f t="shared" si="270"/>
        <v>6-10</v>
      </c>
      <c r="AZ1176">
        <v>7</v>
      </c>
      <c r="BA1176" t="str">
        <f t="shared" si="282"/>
        <v>6-10</v>
      </c>
      <c r="BB1176">
        <v>0</v>
      </c>
      <c r="BC1176" t="str">
        <f t="shared" si="283"/>
        <v>0-1</v>
      </c>
      <c r="BD1176">
        <v>7</v>
      </c>
      <c r="BE1176" t="str">
        <f t="shared" si="284"/>
        <v>6-10</v>
      </c>
    </row>
    <row r="1177" spans="1:57" x14ac:dyDescent="0.3">
      <c r="A1177">
        <v>1654</v>
      </c>
      <c r="B1177">
        <v>39</v>
      </c>
      <c r="C1177" t="str">
        <f t="shared" si="271"/>
        <v>36-45</v>
      </c>
      <c r="D1177" t="s">
        <v>71</v>
      </c>
      <c r="E1177">
        <f t="shared" si="272"/>
        <v>0</v>
      </c>
      <c r="F1177" t="s">
        <v>57</v>
      </c>
      <c r="G1177">
        <v>492</v>
      </c>
      <c r="H1177" t="str">
        <f t="shared" si="273"/>
        <v>102-500</v>
      </c>
      <c r="I1177" t="s">
        <v>73</v>
      </c>
      <c r="J1177">
        <v>12</v>
      </c>
      <c r="K1177" t="str">
        <f t="shared" si="274"/>
        <v>11-20</v>
      </c>
      <c r="L1177">
        <v>3</v>
      </c>
      <c r="M1177" t="s">
        <v>85</v>
      </c>
      <c r="N1177" t="s">
        <v>83</v>
      </c>
      <c r="O1177">
        <v>1</v>
      </c>
      <c r="P1177">
        <v>4</v>
      </c>
      <c r="Q1177" t="s">
        <v>65</v>
      </c>
      <c r="R1177" t="s">
        <v>75</v>
      </c>
      <c r="S1177">
        <v>66</v>
      </c>
      <c r="T1177" t="str">
        <f t="shared" si="275"/>
        <v>51-75</v>
      </c>
      <c r="U1177">
        <v>3</v>
      </c>
      <c r="V1177" t="s">
        <v>63</v>
      </c>
      <c r="W1177">
        <v>2</v>
      </c>
      <c r="X1177" t="s">
        <v>87</v>
      </c>
      <c r="Y1177">
        <v>2</v>
      </c>
      <c r="Z1177" t="s">
        <v>61</v>
      </c>
      <c r="AA1177" t="s">
        <v>77</v>
      </c>
      <c r="AB1177" s="4">
        <v>5295</v>
      </c>
      <c r="AC1177" s="4" t="str">
        <f t="shared" si="276"/>
        <v>$4,000-$5,500</v>
      </c>
      <c r="AD1177">
        <v>7693</v>
      </c>
      <c r="AE1177" t="str">
        <f t="shared" si="277"/>
        <v>$2,094-$8,000</v>
      </c>
      <c r="AF1177">
        <v>4</v>
      </c>
      <c r="AG1177" t="str">
        <f t="shared" si="278"/>
        <v>4-6</v>
      </c>
      <c r="AH1177" t="s">
        <v>67</v>
      </c>
      <c r="AI1177" t="s">
        <v>71</v>
      </c>
      <c r="AJ1177">
        <v>21</v>
      </c>
      <c r="AK1177" t="str">
        <f t="shared" si="279"/>
        <v>18-19%</v>
      </c>
      <c r="AL1177">
        <v>4</v>
      </c>
      <c r="AM1177" t="s">
        <v>78</v>
      </c>
      <c r="AN1177">
        <v>3</v>
      </c>
      <c r="AO1177" t="s">
        <v>63</v>
      </c>
      <c r="AP1177">
        <v>80</v>
      </c>
      <c r="AQ1177">
        <v>0</v>
      </c>
      <c r="AR1177">
        <v>7</v>
      </c>
      <c r="AS1177" t="str">
        <f t="shared" si="280"/>
        <v>6-10</v>
      </c>
      <c r="AT1177">
        <v>3</v>
      </c>
      <c r="AU1177" t="str">
        <f t="shared" si="281"/>
        <v>3-4</v>
      </c>
      <c r="AV1177">
        <v>3</v>
      </c>
      <c r="AW1177" t="s">
        <v>79</v>
      </c>
      <c r="AX1177">
        <v>5</v>
      </c>
      <c r="AY1177" t="str">
        <f t="shared" si="270"/>
        <v>2-5</v>
      </c>
      <c r="AZ1177">
        <v>4</v>
      </c>
      <c r="BA1177" t="str">
        <f t="shared" si="282"/>
        <v>2-5</v>
      </c>
      <c r="BB1177">
        <v>1</v>
      </c>
      <c r="BC1177" t="str">
        <f t="shared" si="283"/>
        <v>0-1</v>
      </c>
      <c r="BD1177">
        <v>0</v>
      </c>
      <c r="BE1177" t="str">
        <f t="shared" si="284"/>
        <v>0-1</v>
      </c>
    </row>
    <row r="1178" spans="1:57" x14ac:dyDescent="0.3">
      <c r="A1178">
        <v>1655</v>
      </c>
      <c r="B1178">
        <v>49</v>
      </c>
      <c r="C1178" t="str">
        <f t="shared" si="271"/>
        <v>46-55</v>
      </c>
      <c r="D1178" t="s">
        <v>71</v>
      </c>
      <c r="E1178">
        <f t="shared" si="272"/>
        <v>0</v>
      </c>
      <c r="F1178" t="s">
        <v>57</v>
      </c>
      <c r="G1178">
        <v>301</v>
      </c>
      <c r="H1178" t="str">
        <f t="shared" si="273"/>
        <v>102-500</v>
      </c>
      <c r="I1178" t="s">
        <v>73</v>
      </c>
      <c r="J1178">
        <v>22</v>
      </c>
      <c r="K1178" t="str">
        <f t="shared" si="274"/>
        <v>21-29</v>
      </c>
      <c r="L1178">
        <v>4</v>
      </c>
      <c r="M1178" t="s">
        <v>82</v>
      </c>
      <c r="N1178" t="s">
        <v>80</v>
      </c>
      <c r="O1178">
        <v>1</v>
      </c>
      <c r="P1178">
        <v>1</v>
      </c>
      <c r="Q1178" t="s">
        <v>69</v>
      </c>
      <c r="R1178" t="s">
        <v>62</v>
      </c>
      <c r="S1178">
        <v>72</v>
      </c>
      <c r="T1178" t="str">
        <f t="shared" si="275"/>
        <v>51-75</v>
      </c>
      <c r="U1178">
        <v>3</v>
      </c>
      <c r="V1178" t="s">
        <v>63</v>
      </c>
      <c r="W1178">
        <v>4</v>
      </c>
      <c r="X1178" t="s">
        <v>92</v>
      </c>
      <c r="Y1178">
        <v>2</v>
      </c>
      <c r="Z1178" t="s">
        <v>61</v>
      </c>
      <c r="AA1178" t="s">
        <v>77</v>
      </c>
      <c r="AB1178" s="4">
        <v>16413</v>
      </c>
      <c r="AC1178" s="4" t="str">
        <f t="shared" si="276"/>
        <v>$16,000-$17,500</v>
      </c>
      <c r="AD1178">
        <v>3498</v>
      </c>
      <c r="AE1178" t="str">
        <f t="shared" si="277"/>
        <v>$2,094-$8,000</v>
      </c>
      <c r="AF1178">
        <v>3</v>
      </c>
      <c r="AG1178" t="str">
        <f t="shared" si="278"/>
        <v>2-3</v>
      </c>
      <c r="AH1178" t="s">
        <v>67</v>
      </c>
      <c r="AI1178" t="s">
        <v>71</v>
      </c>
      <c r="AJ1178">
        <v>16</v>
      </c>
      <c r="AK1178" t="str">
        <f t="shared" si="279"/>
        <v>16-17%</v>
      </c>
      <c r="AL1178">
        <v>3</v>
      </c>
      <c r="AM1178" t="s">
        <v>68</v>
      </c>
      <c r="AN1178">
        <v>2</v>
      </c>
      <c r="AO1178" t="s">
        <v>61</v>
      </c>
      <c r="AP1178">
        <v>80</v>
      </c>
      <c r="AQ1178">
        <v>2</v>
      </c>
      <c r="AR1178">
        <v>27</v>
      </c>
      <c r="AS1178" t="str">
        <f t="shared" si="280"/>
        <v>21-40</v>
      </c>
      <c r="AT1178">
        <v>2</v>
      </c>
      <c r="AU1178" t="str">
        <f t="shared" si="281"/>
        <v>0-2</v>
      </c>
      <c r="AV1178">
        <v>3</v>
      </c>
      <c r="AW1178" t="s">
        <v>79</v>
      </c>
      <c r="AX1178">
        <v>4</v>
      </c>
      <c r="AY1178" t="str">
        <f t="shared" si="270"/>
        <v>2-5</v>
      </c>
      <c r="AZ1178">
        <v>2</v>
      </c>
      <c r="BA1178" t="str">
        <f t="shared" si="282"/>
        <v>2-5</v>
      </c>
      <c r="BB1178">
        <v>1</v>
      </c>
      <c r="BC1178" t="str">
        <f t="shared" si="283"/>
        <v>0-1</v>
      </c>
      <c r="BD1178">
        <v>2</v>
      </c>
      <c r="BE1178" t="str">
        <f t="shared" si="284"/>
        <v>2-5</v>
      </c>
    </row>
    <row r="1179" spans="1:57" x14ac:dyDescent="0.3">
      <c r="A1179">
        <v>1656</v>
      </c>
      <c r="B1179">
        <v>50</v>
      </c>
      <c r="C1179" t="str">
        <f t="shared" si="271"/>
        <v>46-55</v>
      </c>
      <c r="D1179" t="s">
        <v>71</v>
      </c>
      <c r="E1179">
        <f t="shared" si="272"/>
        <v>0</v>
      </c>
      <c r="F1179" t="s">
        <v>57</v>
      </c>
      <c r="G1179">
        <v>813</v>
      </c>
      <c r="H1179" t="str">
        <f t="shared" si="273"/>
        <v>501-1000</v>
      </c>
      <c r="I1179" t="s">
        <v>73</v>
      </c>
      <c r="J1179">
        <v>17</v>
      </c>
      <c r="K1179" t="str">
        <f t="shared" si="274"/>
        <v>11-20</v>
      </c>
      <c r="L1179">
        <v>5</v>
      </c>
      <c r="M1179" t="s">
        <v>96</v>
      </c>
      <c r="N1179" t="s">
        <v>60</v>
      </c>
      <c r="O1179">
        <v>1</v>
      </c>
      <c r="P1179">
        <v>4</v>
      </c>
      <c r="Q1179" t="s">
        <v>65</v>
      </c>
      <c r="R1179" t="s">
        <v>62</v>
      </c>
      <c r="S1179">
        <v>50</v>
      </c>
      <c r="T1179" t="str">
        <f t="shared" si="275"/>
        <v>30-50</v>
      </c>
      <c r="U1179">
        <v>2</v>
      </c>
      <c r="V1179" t="s">
        <v>61</v>
      </c>
      <c r="W1179">
        <v>3</v>
      </c>
      <c r="X1179" t="s">
        <v>92</v>
      </c>
      <c r="Y1179">
        <v>1</v>
      </c>
      <c r="Z1179" t="s">
        <v>69</v>
      </c>
      <c r="AA1179" t="s">
        <v>86</v>
      </c>
      <c r="AB1179" s="4">
        <v>13269</v>
      </c>
      <c r="AC1179" s="4" t="str">
        <f t="shared" si="276"/>
        <v>$13,000-$14,500</v>
      </c>
      <c r="AD1179">
        <v>21981</v>
      </c>
      <c r="AE1179" t="str">
        <f t="shared" si="277"/>
        <v>$16,001-$22,000</v>
      </c>
      <c r="AF1179">
        <v>5</v>
      </c>
      <c r="AG1179" t="str">
        <f t="shared" si="278"/>
        <v>4-6</v>
      </c>
      <c r="AH1179" t="s">
        <v>67</v>
      </c>
      <c r="AI1179" t="s">
        <v>71</v>
      </c>
      <c r="AJ1179">
        <v>15</v>
      </c>
      <c r="AK1179" t="str">
        <f t="shared" si="279"/>
        <v>13-15%</v>
      </c>
      <c r="AL1179">
        <v>3</v>
      </c>
      <c r="AM1179" t="s">
        <v>68</v>
      </c>
      <c r="AN1179">
        <v>3</v>
      </c>
      <c r="AO1179" t="s">
        <v>63</v>
      </c>
      <c r="AP1179">
        <v>80</v>
      </c>
      <c r="AQ1179">
        <v>3</v>
      </c>
      <c r="AR1179">
        <v>19</v>
      </c>
      <c r="AS1179" t="str">
        <f t="shared" si="280"/>
        <v>11-20</v>
      </c>
      <c r="AT1179">
        <v>3</v>
      </c>
      <c r="AU1179" t="str">
        <f t="shared" si="281"/>
        <v>3-4</v>
      </c>
      <c r="AV1179">
        <v>3</v>
      </c>
      <c r="AW1179" t="s">
        <v>79</v>
      </c>
      <c r="AX1179">
        <v>14</v>
      </c>
      <c r="AY1179" t="str">
        <f t="shared" si="270"/>
        <v>11-20</v>
      </c>
      <c r="AZ1179">
        <v>11</v>
      </c>
      <c r="BA1179" t="str">
        <f t="shared" si="282"/>
        <v>11-18</v>
      </c>
      <c r="BB1179">
        <v>1</v>
      </c>
      <c r="BC1179" t="str">
        <f t="shared" si="283"/>
        <v>0-1</v>
      </c>
      <c r="BD1179">
        <v>11</v>
      </c>
      <c r="BE1179" t="str">
        <f t="shared" si="284"/>
        <v>11-17</v>
      </c>
    </row>
    <row r="1180" spans="1:57" x14ac:dyDescent="0.3">
      <c r="A1180">
        <v>1657</v>
      </c>
      <c r="B1180">
        <v>20</v>
      </c>
      <c r="C1180" t="str">
        <f t="shared" si="271"/>
        <v>18-25</v>
      </c>
      <c r="D1180" t="s">
        <v>71</v>
      </c>
      <c r="E1180">
        <f t="shared" si="272"/>
        <v>0</v>
      </c>
      <c r="F1180" t="s">
        <v>57</v>
      </c>
      <c r="G1180">
        <v>1141</v>
      </c>
      <c r="H1180" t="str">
        <f t="shared" si="273"/>
        <v>1001-1499</v>
      </c>
      <c r="I1180" t="s">
        <v>58</v>
      </c>
      <c r="J1180">
        <v>2</v>
      </c>
      <c r="K1180" t="str">
        <f t="shared" si="274"/>
        <v>1-5</v>
      </c>
      <c r="L1180">
        <v>3</v>
      </c>
      <c r="M1180" t="s">
        <v>85</v>
      </c>
      <c r="N1180" t="s">
        <v>83</v>
      </c>
      <c r="O1180">
        <v>1</v>
      </c>
      <c r="P1180">
        <v>3</v>
      </c>
      <c r="Q1180" t="s">
        <v>63</v>
      </c>
      <c r="R1180" t="s">
        <v>62</v>
      </c>
      <c r="S1180">
        <v>31</v>
      </c>
      <c r="T1180" t="str">
        <f t="shared" si="275"/>
        <v>30-50</v>
      </c>
      <c r="U1180">
        <v>3</v>
      </c>
      <c r="V1180" t="s">
        <v>63</v>
      </c>
      <c r="W1180">
        <v>1</v>
      </c>
      <c r="X1180" t="s">
        <v>91</v>
      </c>
      <c r="Y1180">
        <v>3</v>
      </c>
      <c r="Z1180" t="s">
        <v>63</v>
      </c>
      <c r="AA1180" t="s">
        <v>66</v>
      </c>
      <c r="AB1180" s="4">
        <v>2783</v>
      </c>
      <c r="AC1180" s="4" t="str">
        <f t="shared" si="276"/>
        <v>$2,500-$4,000</v>
      </c>
      <c r="AD1180">
        <v>13251</v>
      </c>
      <c r="AE1180" t="str">
        <f t="shared" si="277"/>
        <v>$8,001-$16,000</v>
      </c>
      <c r="AF1180">
        <v>1</v>
      </c>
      <c r="AG1180" t="str">
        <f t="shared" si="278"/>
        <v>0-1</v>
      </c>
      <c r="AH1180" t="s">
        <v>67</v>
      </c>
      <c r="AI1180" t="s">
        <v>71</v>
      </c>
      <c r="AJ1180">
        <v>19</v>
      </c>
      <c r="AK1180" t="str">
        <f t="shared" si="279"/>
        <v>18-19%</v>
      </c>
      <c r="AL1180">
        <v>3</v>
      </c>
      <c r="AM1180" t="s">
        <v>68</v>
      </c>
      <c r="AN1180">
        <v>1</v>
      </c>
      <c r="AO1180" t="s">
        <v>69</v>
      </c>
      <c r="AP1180">
        <v>80</v>
      </c>
      <c r="AQ1180">
        <v>0</v>
      </c>
      <c r="AR1180">
        <v>2</v>
      </c>
      <c r="AS1180" t="str">
        <f t="shared" si="280"/>
        <v>0-2</v>
      </c>
      <c r="AT1180">
        <v>3</v>
      </c>
      <c r="AU1180" t="str">
        <f t="shared" si="281"/>
        <v>3-4</v>
      </c>
      <c r="AV1180">
        <v>3</v>
      </c>
      <c r="AW1180" t="s">
        <v>79</v>
      </c>
      <c r="AX1180">
        <v>2</v>
      </c>
      <c r="AY1180" t="str">
        <f t="shared" si="270"/>
        <v>2-5</v>
      </c>
      <c r="AZ1180">
        <v>2</v>
      </c>
      <c r="BA1180" t="str">
        <f t="shared" si="282"/>
        <v>2-5</v>
      </c>
      <c r="BB1180">
        <v>2</v>
      </c>
      <c r="BC1180" t="str">
        <f t="shared" si="283"/>
        <v>2-5</v>
      </c>
      <c r="BD1180">
        <v>2</v>
      </c>
      <c r="BE1180" t="str">
        <f t="shared" si="284"/>
        <v>2-5</v>
      </c>
    </row>
    <row r="1181" spans="1:57" x14ac:dyDescent="0.3">
      <c r="A1181">
        <v>1658</v>
      </c>
      <c r="B1181">
        <v>34</v>
      </c>
      <c r="C1181" t="str">
        <f t="shared" si="271"/>
        <v>26-35</v>
      </c>
      <c r="D1181" t="s">
        <v>71</v>
      </c>
      <c r="E1181">
        <f t="shared" si="272"/>
        <v>0</v>
      </c>
      <c r="F1181" t="s">
        <v>57</v>
      </c>
      <c r="G1181">
        <v>1130</v>
      </c>
      <c r="H1181" t="str">
        <f t="shared" si="273"/>
        <v>1001-1499</v>
      </c>
      <c r="I1181" t="s">
        <v>73</v>
      </c>
      <c r="J1181">
        <v>3</v>
      </c>
      <c r="K1181" t="str">
        <f t="shared" si="274"/>
        <v>1-5</v>
      </c>
      <c r="L1181">
        <v>3</v>
      </c>
      <c r="M1181" t="s">
        <v>85</v>
      </c>
      <c r="N1181" t="s">
        <v>60</v>
      </c>
      <c r="O1181">
        <v>1</v>
      </c>
      <c r="P1181">
        <v>4</v>
      </c>
      <c r="Q1181" t="s">
        <v>65</v>
      </c>
      <c r="R1181" t="s">
        <v>62</v>
      </c>
      <c r="S1181">
        <v>66</v>
      </c>
      <c r="T1181" t="str">
        <f t="shared" si="275"/>
        <v>51-75</v>
      </c>
      <c r="U1181">
        <v>3</v>
      </c>
      <c r="V1181" t="s">
        <v>63</v>
      </c>
      <c r="W1181">
        <v>2</v>
      </c>
      <c r="X1181" t="s">
        <v>76</v>
      </c>
      <c r="Y1181">
        <v>2</v>
      </c>
      <c r="Z1181" t="s">
        <v>61</v>
      </c>
      <c r="AA1181" t="s">
        <v>86</v>
      </c>
      <c r="AB1181" s="4">
        <v>5433</v>
      </c>
      <c r="AC1181" s="4" t="str">
        <f t="shared" si="276"/>
        <v>$4,000-$5,500</v>
      </c>
      <c r="AD1181">
        <v>19332</v>
      </c>
      <c r="AE1181" t="str">
        <f t="shared" si="277"/>
        <v>$16,001-$22,000</v>
      </c>
      <c r="AF1181">
        <v>1</v>
      </c>
      <c r="AG1181" t="str">
        <f t="shared" si="278"/>
        <v>0-1</v>
      </c>
      <c r="AH1181" t="s">
        <v>67</v>
      </c>
      <c r="AI1181" t="s">
        <v>71</v>
      </c>
      <c r="AJ1181">
        <v>12</v>
      </c>
      <c r="AK1181" t="str">
        <f t="shared" si="279"/>
        <v>11-12%</v>
      </c>
      <c r="AL1181">
        <v>3</v>
      </c>
      <c r="AM1181" t="s">
        <v>68</v>
      </c>
      <c r="AN1181">
        <v>3</v>
      </c>
      <c r="AO1181" t="s">
        <v>63</v>
      </c>
      <c r="AP1181">
        <v>80</v>
      </c>
      <c r="AQ1181">
        <v>1</v>
      </c>
      <c r="AR1181">
        <v>11</v>
      </c>
      <c r="AS1181" t="str">
        <f t="shared" si="280"/>
        <v>11-20</v>
      </c>
      <c r="AT1181">
        <v>2</v>
      </c>
      <c r="AU1181" t="str">
        <f t="shared" si="281"/>
        <v>0-2</v>
      </c>
      <c r="AV1181">
        <v>3</v>
      </c>
      <c r="AW1181" t="s">
        <v>79</v>
      </c>
      <c r="AX1181">
        <v>11</v>
      </c>
      <c r="AY1181" t="str">
        <f t="shared" si="270"/>
        <v>11-20</v>
      </c>
      <c r="AZ1181">
        <v>8</v>
      </c>
      <c r="BA1181" t="str">
        <f t="shared" si="282"/>
        <v>6-10</v>
      </c>
      <c r="BB1181">
        <v>7</v>
      </c>
      <c r="BC1181" t="str">
        <f t="shared" si="283"/>
        <v>6-10</v>
      </c>
      <c r="BD1181">
        <v>9</v>
      </c>
      <c r="BE1181" t="str">
        <f t="shared" si="284"/>
        <v>6-10</v>
      </c>
    </row>
    <row r="1182" spans="1:57" x14ac:dyDescent="0.3">
      <c r="A1182">
        <v>1659</v>
      </c>
      <c r="B1182">
        <v>36</v>
      </c>
      <c r="C1182" t="str">
        <f t="shared" si="271"/>
        <v>36-45</v>
      </c>
      <c r="D1182" t="s">
        <v>71</v>
      </c>
      <c r="E1182">
        <f t="shared" si="272"/>
        <v>0</v>
      </c>
      <c r="F1182" t="s">
        <v>57</v>
      </c>
      <c r="G1182">
        <v>311</v>
      </c>
      <c r="H1182" t="str">
        <f t="shared" si="273"/>
        <v>102-500</v>
      </c>
      <c r="I1182" t="s">
        <v>73</v>
      </c>
      <c r="J1182">
        <v>7</v>
      </c>
      <c r="K1182" t="str">
        <f t="shared" si="274"/>
        <v>6-10</v>
      </c>
      <c r="L1182">
        <v>3</v>
      </c>
      <c r="M1182" t="s">
        <v>85</v>
      </c>
      <c r="N1182" t="s">
        <v>60</v>
      </c>
      <c r="O1182">
        <v>1</v>
      </c>
      <c r="P1182">
        <v>1</v>
      </c>
      <c r="Q1182" t="s">
        <v>69</v>
      </c>
      <c r="R1182" t="s">
        <v>75</v>
      </c>
      <c r="S1182">
        <v>77</v>
      </c>
      <c r="T1182" t="str">
        <f t="shared" si="275"/>
        <v>76-100</v>
      </c>
      <c r="U1182">
        <v>3</v>
      </c>
      <c r="V1182" t="s">
        <v>63</v>
      </c>
      <c r="W1182">
        <v>1</v>
      </c>
      <c r="X1182" t="s">
        <v>81</v>
      </c>
      <c r="Y1182">
        <v>2</v>
      </c>
      <c r="Z1182" t="s">
        <v>61</v>
      </c>
      <c r="AA1182" t="s">
        <v>66</v>
      </c>
      <c r="AB1182" s="4">
        <v>2013</v>
      </c>
      <c r="AC1182" s="4" t="str">
        <f t="shared" si="276"/>
        <v>$1,000-$2,500</v>
      </c>
      <c r="AD1182">
        <v>10950</v>
      </c>
      <c r="AE1182" t="str">
        <f t="shared" si="277"/>
        <v>$8,001-$16,000</v>
      </c>
      <c r="AF1182">
        <v>2</v>
      </c>
      <c r="AG1182" t="str">
        <f t="shared" si="278"/>
        <v>2-3</v>
      </c>
      <c r="AH1182" t="s">
        <v>67</v>
      </c>
      <c r="AI1182" t="s">
        <v>71</v>
      </c>
      <c r="AJ1182">
        <v>11</v>
      </c>
      <c r="AK1182" t="str">
        <f t="shared" si="279"/>
        <v>11-12%</v>
      </c>
      <c r="AL1182">
        <v>3</v>
      </c>
      <c r="AM1182" t="s">
        <v>68</v>
      </c>
      <c r="AN1182">
        <v>3</v>
      </c>
      <c r="AO1182" t="s">
        <v>63</v>
      </c>
      <c r="AP1182">
        <v>80</v>
      </c>
      <c r="AQ1182">
        <v>0</v>
      </c>
      <c r="AR1182">
        <v>15</v>
      </c>
      <c r="AS1182" t="str">
        <f t="shared" si="280"/>
        <v>11-20</v>
      </c>
      <c r="AT1182">
        <v>4</v>
      </c>
      <c r="AU1182" t="str">
        <f t="shared" si="281"/>
        <v>3-4</v>
      </c>
      <c r="AV1182">
        <v>3</v>
      </c>
      <c r="AW1182" t="s">
        <v>79</v>
      </c>
      <c r="AX1182">
        <v>4</v>
      </c>
      <c r="AY1182" t="str">
        <f t="shared" si="270"/>
        <v>2-5</v>
      </c>
      <c r="AZ1182">
        <v>3</v>
      </c>
      <c r="BA1182" t="str">
        <f t="shared" si="282"/>
        <v>2-5</v>
      </c>
      <c r="BB1182">
        <v>1</v>
      </c>
      <c r="BC1182" t="str">
        <f t="shared" si="283"/>
        <v>0-1</v>
      </c>
      <c r="BD1182">
        <v>3</v>
      </c>
      <c r="BE1182" t="str">
        <f t="shared" si="284"/>
        <v>2-5</v>
      </c>
    </row>
    <row r="1183" spans="1:57" x14ac:dyDescent="0.3">
      <c r="A1183">
        <v>1661</v>
      </c>
      <c r="B1183">
        <v>49</v>
      </c>
      <c r="C1183" t="str">
        <f t="shared" si="271"/>
        <v>46-55</v>
      </c>
      <c r="D1183" t="s">
        <v>71</v>
      </c>
      <c r="E1183">
        <f t="shared" si="272"/>
        <v>0</v>
      </c>
      <c r="F1183" t="s">
        <v>57</v>
      </c>
      <c r="G1183">
        <v>465</v>
      </c>
      <c r="H1183" t="str">
        <f t="shared" si="273"/>
        <v>102-500</v>
      </c>
      <c r="I1183" t="s">
        <v>73</v>
      </c>
      <c r="J1183">
        <v>6</v>
      </c>
      <c r="K1183" t="str">
        <f t="shared" si="274"/>
        <v>6-10</v>
      </c>
      <c r="L1183">
        <v>1</v>
      </c>
      <c r="M1183" t="s">
        <v>74</v>
      </c>
      <c r="N1183" t="s">
        <v>60</v>
      </c>
      <c r="O1183">
        <v>1</v>
      </c>
      <c r="P1183">
        <v>3</v>
      </c>
      <c r="Q1183" t="s">
        <v>63</v>
      </c>
      <c r="R1183" t="s">
        <v>62</v>
      </c>
      <c r="S1183">
        <v>41</v>
      </c>
      <c r="T1183" t="str">
        <f t="shared" si="275"/>
        <v>30-50</v>
      </c>
      <c r="U1183">
        <v>2</v>
      </c>
      <c r="V1183" t="s">
        <v>61</v>
      </c>
      <c r="W1183">
        <v>4</v>
      </c>
      <c r="X1183" t="s">
        <v>88</v>
      </c>
      <c r="Y1183">
        <v>3</v>
      </c>
      <c r="Z1183" t="s">
        <v>63</v>
      </c>
      <c r="AA1183" t="s">
        <v>77</v>
      </c>
      <c r="AB1183" s="4">
        <v>13966</v>
      </c>
      <c r="AC1183" s="4" t="str">
        <f t="shared" si="276"/>
        <v>$13,000-$14,500</v>
      </c>
      <c r="AD1183">
        <v>11652</v>
      </c>
      <c r="AE1183" t="str">
        <f t="shared" si="277"/>
        <v>$8,001-$16,000</v>
      </c>
      <c r="AF1183">
        <v>2</v>
      </c>
      <c r="AG1183" t="str">
        <f t="shared" si="278"/>
        <v>2-3</v>
      </c>
      <c r="AH1183" t="s">
        <v>67</v>
      </c>
      <c r="AI1183" t="s">
        <v>56</v>
      </c>
      <c r="AJ1183">
        <v>19</v>
      </c>
      <c r="AK1183" t="str">
        <f t="shared" si="279"/>
        <v>18-19%</v>
      </c>
      <c r="AL1183">
        <v>3</v>
      </c>
      <c r="AM1183" t="s">
        <v>68</v>
      </c>
      <c r="AN1183">
        <v>2</v>
      </c>
      <c r="AO1183" t="s">
        <v>61</v>
      </c>
      <c r="AP1183">
        <v>80</v>
      </c>
      <c r="AQ1183">
        <v>1</v>
      </c>
      <c r="AR1183">
        <v>30</v>
      </c>
      <c r="AS1183" t="str">
        <f t="shared" si="280"/>
        <v>21-40</v>
      </c>
      <c r="AT1183">
        <v>3</v>
      </c>
      <c r="AU1183" t="str">
        <f t="shared" si="281"/>
        <v>3-4</v>
      </c>
      <c r="AV1183">
        <v>3</v>
      </c>
      <c r="AW1183" t="s">
        <v>79</v>
      </c>
      <c r="AX1183">
        <v>15</v>
      </c>
      <c r="AY1183" t="str">
        <f t="shared" si="270"/>
        <v>11-20</v>
      </c>
      <c r="AZ1183">
        <v>11</v>
      </c>
      <c r="BA1183" t="str">
        <f t="shared" si="282"/>
        <v>11-18</v>
      </c>
      <c r="BB1183">
        <v>2</v>
      </c>
      <c r="BC1183" t="str">
        <f t="shared" si="283"/>
        <v>2-5</v>
      </c>
      <c r="BD1183">
        <v>12</v>
      </c>
      <c r="BE1183" t="str">
        <f t="shared" si="284"/>
        <v>11-17</v>
      </c>
    </row>
    <row r="1184" spans="1:57" x14ac:dyDescent="0.3">
      <c r="A1184">
        <v>1662</v>
      </c>
      <c r="B1184">
        <v>36</v>
      </c>
      <c r="C1184" t="str">
        <f t="shared" si="271"/>
        <v>36-45</v>
      </c>
      <c r="D1184" t="s">
        <v>71</v>
      </c>
      <c r="E1184">
        <f t="shared" si="272"/>
        <v>0</v>
      </c>
      <c r="F1184" t="s">
        <v>89</v>
      </c>
      <c r="G1184">
        <v>894</v>
      </c>
      <c r="H1184" t="str">
        <f t="shared" si="273"/>
        <v>501-1000</v>
      </c>
      <c r="I1184" t="s">
        <v>73</v>
      </c>
      <c r="J1184">
        <v>1</v>
      </c>
      <c r="K1184" t="str">
        <f t="shared" si="274"/>
        <v>1-5</v>
      </c>
      <c r="L1184">
        <v>4</v>
      </c>
      <c r="M1184" t="s">
        <v>82</v>
      </c>
      <c r="N1184" t="s">
        <v>83</v>
      </c>
      <c r="O1184">
        <v>1</v>
      </c>
      <c r="P1184">
        <v>4</v>
      </c>
      <c r="Q1184" t="s">
        <v>65</v>
      </c>
      <c r="R1184" t="s">
        <v>62</v>
      </c>
      <c r="S1184">
        <v>33</v>
      </c>
      <c r="T1184" t="str">
        <f t="shared" si="275"/>
        <v>30-50</v>
      </c>
      <c r="U1184">
        <v>2</v>
      </c>
      <c r="V1184" t="s">
        <v>61</v>
      </c>
      <c r="W1184">
        <v>2</v>
      </c>
      <c r="X1184" t="s">
        <v>87</v>
      </c>
      <c r="Y1184">
        <v>3</v>
      </c>
      <c r="Z1184" t="s">
        <v>63</v>
      </c>
      <c r="AA1184" t="s">
        <v>77</v>
      </c>
      <c r="AB1184" s="4">
        <v>4374</v>
      </c>
      <c r="AC1184" s="4" t="str">
        <f t="shared" si="276"/>
        <v>$4,000-$5,500</v>
      </c>
      <c r="AD1184">
        <v>15411</v>
      </c>
      <c r="AE1184" t="str">
        <f t="shared" si="277"/>
        <v>$8,001-$16,000</v>
      </c>
      <c r="AF1184">
        <v>0</v>
      </c>
      <c r="AG1184" t="str">
        <f t="shared" si="278"/>
        <v>0-1</v>
      </c>
      <c r="AH1184" t="s">
        <v>67</v>
      </c>
      <c r="AI1184" t="s">
        <v>71</v>
      </c>
      <c r="AJ1184">
        <v>15</v>
      </c>
      <c r="AK1184" t="str">
        <f t="shared" si="279"/>
        <v>13-15%</v>
      </c>
      <c r="AL1184">
        <v>3</v>
      </c>
      <c r="AM1184" t="s">
        <v>68</v>
      </c>
      <c r="AN1184">
        <v>3</v>
      </c>
      <c r="AO1184" t="s">
        <v>63</v>
      </c>
      <c r="AP1184">
        <v>80</v>
      </c>
      <c r="AQ1184">
        <v>0</v>
      </c>
      <c r="AR1184">
        <v>4</v>
      </c>
      <c r="AS1184" t="str">
        <f t="shared" si="280"/>
        <v>3-5</v>
      </c>
      <c r="AT1184">
        <v>6</v>
      </c>
      <c r="AU1184" t="str">
        <f t="shared" si="281"/>
        <v>5-6</v>
      </c>
      <c r="AV1184">
        <v>3</v>
      </c>
      <c r="AW1184" t="s">
        <v>79</v>
      </c>
      <c r="AX1184">
        <v>3</v>
      </c>
      <c r="AY1184" t="str">
        <f t="shared" si="270"/>
        <v>2-5</v>
      </c>
      <c r="AZ1184">
        <v>2</v>
      </c>
      <c r="BA1184" t="str">
        <f t="shared" si="282"/>
        <v>2-5</v>
      </c>
      <c r="BB1184">
        <v>1</v>
      </c>
      <c r="BC1184" t="str">
        <f t="shared" si="283"/>
        <v>0-1</v>
      </c>
      <c r="BD1184">
        <v>2</v>
      </c>
      <c r="BE1184" t="str">
        <f t="shared" si="284"/>
        <v>2-5</v>
      </c>
    </row>
    <row r="1185" spans="1:57" x14ac:dyDescent="0.3">
      <c r="A1185">
        <v>1664</v>
      </c>
      <c r="B1185">
        <v>36</v>
      </c>
      <c r="C1185" t="str">
        <f t="shared" si="271"/>
        <v>36-45</v>
      </c>
      <c r="D1185" t="s">
        <v>71</v>
      </c>
      <c r="E1185">
        <f t="shared" si="272"/>
        <v>0</v>
      </c>
      <c r="F1185" t="s">
        <v>57</v>
      </c>
      <c r="G1185">
        <v>1040</v>
      </c>
      <c r="H1185" t="str">
        <f t="shared" si="273"/>
        <v>1001-1499</v>
      </c>
      <c r="I1185" t="s">
        <v>73</v>
      </c>
      <c r="J1185">
        <v>3</v>
      </c>
      <c r="K1185" t="str">
        <f t="shared" si="274"/>
        <v>1-5</v>
      </c>
      <c r="L1185">
        <v>2</v>
      </c>
      <c r="M1185" t="s">
        <v>59</v>
      </c>
      <c r="N1185" t="s">
        <v>60</v>
      </c>
      <c r="O1185">
        <v>1</v>
      </c>
      <c r="P1185">
        <v>4</v>
      </c>
      <c r="Q1185" t="s">
        <v>65</v>
      </c>
      <c r="R1185" t="s">
        <v>75</v>
      </c>
      <c r="S1185">
        <v>79</v>
      </c>
      <c r="T1185" t="str">
        <f t="shared" si="275"/>
        <v>76-100</v>
      </c>
      <c r="U1185">
        <v>4</v>
      </c>
      <c r="V1185" t="s">
        <v>65</v>
      </c>
      <c r="W1185">
        <v>2</v>
      </c>
      <c r="X1185" t="s">
        <v>88</v>
      </c>
      <c r="Y1185">
        <v>1</v>
      </c>
      <c r="Z1185" t="s">
        <v>69</v>
      </c>
      <c r="AA1185" t="s">
        <v>86</v>
      </c>
      <c r="AB1185" s="4">
        <v>6842</v>
      </c>
      <c r="AC1185" s="4" t="str">
        <f t="shared" si="276"/>
        <v>$5,500-$7,000</v>
      </c>
      <c r="AD1185">
        <v>26308</v>
      </c>
      <c r="AE1185" t="str">
        <f t="shared" si="277"/>
        <v>$22,001-$26,999</v>
      </c>
      <c r="AF1185">
        <v>6</v>
      </c>
      <c r="AG1185" t="str">
        <f t="shared" si="278"/>
        <v>4-6</v>
      </c>
      <c r="AH1185" t="s">
        <v>67</v>
      </c>
      <c r="AI1185" t="s">
        <v>71</v>
      </c>
      <c r="AJ1185">
        <v>20</v>
      </c>
      <c r="AK1185" t="str">
        <f t="shared" si="279"/>
        <v>18-19%</v>
      </c>
      <c r="AL1185">
        <v>4</v>
      </c>
      <c r="AM1185" t="s">
        <v>78</v>
      </c>
      <c r="AN1185">
        <v>1</v>
      </c>
      <c r="AO1185" t="s">
        <v>69</v>
      </c>
      <c r="AP1185">
        <v>80</v>
      </c>
      <c r="AQ1185">
        <v>1</v>
      </c>
      <c r="AR1185">
        <v>13</v>
      </c>
      <c r="AS1185" t="str">
        <f t="shared" si="280"/>
        <v>11-20</v>
      </c>
      <c r="AT1185">
        <v>3</v>
      </c>
      <c r="AU1185" t="str">
        <f t="shared" si="281"/>
        <v>3-4</v>
      </c>
      <c r="AV1185">
        <v>3</v>
      </c>
      <c r="AW1185" t="s">
        <v>79</v>
      </c>
      <c r="AX1185">
        <v>5</v>
      </c>
      <c r="AY1185" t="str">
        <f t="shared" si="270"/>
        <v>2-5</v>
      </c>
      <c r="AZ1185">
        <v>4</v>
      </c>
      <c r="BA1185" t="str">
        <f t="shared" si="282"/>
        <v>2-5</v>
      </c>
      <c r="BB1185">
        <v>0</v>
      </c>
      <c r="BC1185" t="str">
        <f t="shared" si="283"/>
        <v>0-1</v>
      </c>
      <c r="BD1185">
        <v>4</v>
      </c>
      <c r="BE1185" t="str">
        <f t="shared" si="284"/>
        <v>2-5</v>
      </c>
    </row>
    <row r="1186" spans="1:57" x14ac:dyDescent="0.3">
      <c r="A1186">
        <v>1665</v>
      </c>
      <c r="B1186">
        <v>54</v>
      </c>
      <c r="C1186" t="str">
        <f t="shared" si="271"/>
        <v>46-55</v>
      </c>
      <c r="D1186" t="s">
        <v>71</v>
      </c>
      <c r="E1186">
        <f t="shared" si="272"/>
        <v>0</v>
      </c>
      <c r="F1186" t="s">
        <v>57</v>
      </c>
      <c r="G1186">
        <v>584</v>
      </c>
      <c r="H1186" t="str">
        <f t="shared" si="273"/>
        <v>501-1000</v>
      </c>
      <c r="I1186" t="s">
        <v>73</v>
      </c>
      <c r="J1186">
        <v>22</v>
      </c>
      <c r="K1186" t="str">
        <f t="shared" si="274"/>
        <v>21-29</v>
      </c>
      <c r="L1186">
        <v>5</v>
      </c>
      <c r="M1186" t="s">
        <v>96</v>
      </c>
      <c r="N1186" t="s">
        <v>83</v>
      </c>
      <c r="O1186">
        <v>1</v>
      </c>
      <c r="P1186">
        <v>2</v>
      </c>
      <c r="Q1186" t="s">
        <v>61</v>
      </c>
      <c r="R1186" t="s">
        <v>62</v>
      </c>
      <c r="S1186">
        <v>91</v>
      </c>
      <c r="T1186" t="str">
        <f t="shared" si="275"/>
        <v>76-100</v>
      </c>
      <c r="U1186">
        <v>3</v>
      </c>
      <c r="V1186" t="s">
        <v>63</v>
      </c>
      <c r="W1186">
        <v>4</v>
      </c>
      <c r="X1186" t="s">
        <v>90</v>
      </c>
      <c r="Y1186">
        <v>3</v>
      </c>
      <c r="Z1186" t="s">
        <v>63</v>
      </c>
      <c r="AA1186" t="s">
        <v>77</v>
      </c>
      <c r="AB1186" s="4">
        <v>17426</v>
      </c>
      <c r="AC1186" s="4" t="str">
        <f t="shared" si="276"/>
        <v>$16,000-$17,500</v>
      </c>
      <c r="AD1186">
        <v>18685</v>
      </c>
      <c r="AE1186" t="str">
        <f t="shared" si="277"/>
        <v>$16,001-$22,000</v>
      </c>
      <c r="AF1186">
        <v>3</v>
      </c>
      <c r="AG1186" t="str">
        <f t="shared" si="278"/>
        <v>2-3</v>
      </c>
      <c r="AH1186" t="s">
        <v>67</v>
      </c>
      <c r="AI1186" t="s">
        <v>71</v>
      </c>
      <c r="AJ1186">
        <v>25</v>
      </c>
      <c r="AK1186" t="str">
        <f t="shared" si="279"/>
        <v>18-19%</v>
      </c>
      <c r="AL1186">
        <v>4</v>
      </c>
      <c r="AM1186" t="s">
        <v>78</v>
      </c>
      <c r="AN1186">
        <v>3</v>
      </c>
      <c r="AO1186" t="s">
        <v>63</v>
      </c>
      <c r="AP1186">
        <v>80</v>
      </c>
      <c r="AQ1186">
        <v>1</v>
      </c>
      <c r="AR1186">
        <v>36</v>
      </c>
      <c r="AS1186" t="str">
        <f t="shared" si="280"/>
        <v>21-40</v>
      </c>
      <c r="AT1186">
        <v>6</v>
      </c>
      <c r="AU1186" t="str">
        <f t="shared" si="281"/>
        <v>5-6</v>
      </c>
      <c r="AV1186">
        <v>3</v>
      </c>
      <c r="AW1186" t="s">
        <v>79</v>
      </c>
      <c r="AX1186">
        <v>10</v>
      </c>
      <c r="AY1186" t="str">
        <f t="shared" si="270"/>
        <v>6-10</v>
      </c>
      <c r="AZ1186">
        <v>8</v>
      </c>
      <c r="BA1186" t="str">
        <f t="shared" si="282"/>
        <v>6-10</v>
      </c>
      <c r="BB1186">
        <v>4</v>
      </c>
      <c r="BC1186" t="str">
        <f t="shared" si="283"/>
        <v>2-5</v>
      </c>
      <c r="BD1186">
        <v>7</v>
      </c>
      <c r="BE1186" t="str">
        <f t="shared" si="284"/>
        <v>6-10</v>
      </c>
    </row>
    <row r="1187" spans="1:57" x14ac:dyDescent="0.3">
      <c r="A1187">
        <v>1666</v>
      </c>
      <c r="B1187">
        <v>43</v>
      </c>
      <c r="C1187" t="str">
        <f t="shared" si="271"/>
        <v>36-45</v>
      </c>
      <c r="D1187" t="s">
        <v>71</v>
      </c>
      <c r="E1187">
        <f t="shared" si="272"/>
        <v>0</v>
      </c>
      <c r="F1187" t="s">
        <v>57</v>
      </c>
      <c r="G1187">
        <v>1291</v>
      </c>
      <c r="H1187" t="str">
        <f t="shared" si="273"/>
        <v>1001-1499</v>
      </c>
      <c r="I1187" t="s">
        <v>73</v>
      </c>
      <c r="J1187">
        <v>15</v>
      </c>
      <c r="K1187" t="str">
        <f t="shared" si="274"/>
        <v>11-20</v>
      </c>
      <c r="L1187">
        <v>2</v>
      </c>
      <c r="M1187" t="s">
        <v>59</v>
      </c>
      <c r="N1187" t="s">
        <v>60</v>
      </c>
      <c r="O1187">
        <v>1</v>
      </c>
      <c r="P1187">
        <v>3</v>
      </c>
      <c r="Q1187" t="s">
        <v>63</v>
      </c>
      <c r="R1187" t="s">
        <v>75</v>
      </c>
      <c r="S1187">
        <v>65</v>
      </c>
      <c r="T1187" t="str">
        <f t="shared" si="275"/>
        <v>51-75</v>
      </c>
      <c r="U1187">
        <v>2</v>
      </c>
      <c r="V1187" t="s">
        <v>61</v>
      </c>
      <c r="W1187">
        <v>4</v>
      </c>
      <c r="X1187" t="s">
        <v>92</v>
      </c>
      <c r="Y1187">
        <v>3</v>
      </c>
      <c r="Z1187" t="s">
        <v>63</v>
      </c>
      <c r="AA1187" t="s">
        <v>77</v>
      </c>
      <c r="AB1187" s="4">
        <v>17603</v>
      </c>
      <c r="AC1187" s="4" t="str">
        <f t="shared" si="276"/>
        <v>$17,500-$19,000</v>
      </c>
      <c r="AD1187">
        <v>3525</v>
      </c>
      <c r="AE1187" t="str">
        <f t="shared" si="277"/>
        <v>$2,094-$8,000</v>
      </c>
      <c r="AF1187">
        <v>1</v>
      </c>
      <c r="AG1187" t="str">
        <f t="shared" si="278"/>
        <v>0-1</v>
      </c>
      <c r="AH1187" t="s">
        <v>67</v>
      </c>
      <c r="AI1187" t="s">
        <v>71</v>
      </c>
      <c r="AJ1187">
        <v>24</v>
      </c>
      <c r="AK1187" t="str">
        <f t="shared" si="279"/>
        <v>18-19%</v>
      </c>
      <c r="AL1187">
        <v>4</v>
      </c>
      <c r="AM1187" t="s">
        <v>78</v>
      </c>
      <c r="AN1187">
        <v>1</v>
      </c>
      <c r="AO1187" t="s">
        <v>69</v>
      </c>
      <c r="AP1187">
        <v>80</v>
      </c>
      <c r="AQ1187">
        <v>1</v>
      </c>
      <c r="AR1187">
        <v>14</v>
      </c>
      <c r="AS1187" t="str">
        <f t="shared" si="280"/>
        <v>11-20</v>
      </c>
      <c r="AT1187">
        <v>3</v>
      </c>
      <c r="AU1187" t="str">
        <f t="shared" si="281"/>
        <v>3-4</v>
      </c>
      <c r="AV1187">
        <v>3</v>
      </c>
      <c r="AW1187" t="s">
        <v>79</v>
      </c>
      <c r="AX1187">
        <v>14</v>
      </c>
      <c r="AY1187" t="str">
        <f t="shared" si="270"/>
        <v>11-20</v>
      </c>
      <c r="AZ1187">
        <v>10</v>
      </c>
      <c r="BA1187" t="str">
        <f t="shared" si="282"/>
        <v>6-10</v>
      </c>
      <c r="BB1187">
        <v>6</v>
      </c>
      <c r="BC1187" t="str">
        <f t="shared" si="283"/>
        <v>6-10</v>
      </c>
      <c r="BD1187">
        <v>11</v>
      </c>
      <c r="BE1187" t="str">
        <f t="shared" si="284"/>
        <v>11-17</v>
      </c>
    </row>
    <row r="1188" spans="1:57" x14ac:dyDescent="0.3">
      <c r="A1188">
        <v>1667</v>
      </c>
      <c r="B1188">
        <v>35</v>
      </c>
      <c r="C1188" t="str">
        <f t="shared" si="271"/>
        <v>26-35</v>
      </c>
      <c r="D1188" t="s">
        <v>56</v>
      </c>
      <c r="E1188">
        <f t="shared" si="272"/>
        <v>1</v>
      </c>
      <c r="F1188" t="s">
        <v>72</v>
      </c>
      <c r="G1188">
        <v>880</v>
      </c>
      <c r="H1188" t="str">
        <f t="shared" si="273"/>
        <v>501-1000</v>
      </c>
      <c r="I1188" t="s">
        <v>58</v>
      </c>
      <c r="J1188">
        <v>12</v>
      </c>
      <c r="K1188" t="str">
        <f t="shared" si="274"/>
        <v>11-20</v>
      </c>
      <c r="L1188">
        <v>4</v>
      </c>
      <c r="M1188" t="s">
        <v>82</v>
      </c>
      <c r="N1188" t="s">
        <v>80</v>
      </c>
      <c r="O1188">
        <v>1</v>
      </c>
      <c r="P1188">
        <v>4</v>
      </c>
      <c r="Q1188" t="s">
        <v>65</v>
      </c>
      <c r="R1188" t="s">
        <v>75</v>
      </c>
      <c r="S1188">
        <v>36</v>
      </c>
      <c r="T1188" t="str">
        <f t="shared" si="275"/>
        <v>30-50</v>
      </c>
      <c r="U1188">
        <v>3</v>
      </c>
      <c r="V1188" t="s">
        <v>63</v>
      </c>
      <c r="W1188">
        <v>2</v>
      </c>
      <c r="X1188" t="s">
        <v>64</v>
      </c>
      <c r="Y1188">
        <v>4</v>
      </c>
      <c r="Z1188" t="s">
        <v>65</v>
      </c>
      <c r="AA1188" t="s">
        <v>66</v>
      </c>
      <c r="AB1188" s="4">
        <v>4581</v>
      </c>
      <c r="AC1188" s="4" t="str">
        <f t="shared" si="276"/>
        <v>$4,000-$5,500</v>
      </c>
      <c r="AD1188">
        <v>10414</v>
      </c>
      <c r="AE1188" t="str">
        <f t="shared" si="277"/>
        <v>$8,001-$16,000</v>
      </c>
      <c r="AF1188">
        <v>3</v>
      </c>
      <c r="AG1188" t="str">
        <f t="shared" si="278"/>
        <v>2-3</v>
      </c>
      <c r="AH1188" t="s">
        <v>67</v>
      </c>
      <c r="AI1188" t="s">
        <v>56</v>
      </c>
      <c r="AJ1188">
        <v>24</v>
      </c>
      <c r="AK1188" t="str">
        <f t="shared" si="279"/>
        <v>18-19%</v>
      </c>
      <c r="AL1188">
        <v>4</v>
      </c>
      <c r="AM1188" t="s">
        <v>78</v>
      </c>
      <c r="AN1188">
        <v>1</v>
      </c>
      <c r="AO1188" t="s">
        <v>69</v>
      </c>
      <c r="AP1188">
        <v>80</v>
      </c>
      <c r="AQ1188">
        <v>0</v>
      </c>
      <c r="AR1188">
        <v>13</v>
      </c>
      <c r="AS1188" t="str">
        <f t="shared" si="280"/>
        <v>11-20</v>
      </c>
      <c r="AT1188">
        <v>2</v>
      </c>
      <c r="AU1188" t="str">
        <f t="shared" si="281"/>
        <v>0-2</v>
      </c>
      <c r="AV1188">
        <v>4</v>
      </c>
      <c r="AW1188" t="s">
        <v>94</v>
      </c>
      <c r="AX1188">
        <v>11</v>
      </c>
      <c r="AY1188" t="str">
        <f t="shared" si="270"/>
        <v>11-20</v>
      </c>
      <c r="AZ1188">
        <v>9</v>
      </c>
      <c r="BA1188" t="str">
        <f t="shared" si="282"/>
        <v>6-10</v>
      </c>
      <c r="BB1188">
        <v>6</v>
      </c>
      <c r="BC1188" t="str">
        <f t="shared" si="283"/>
        <v>6-10</v>
      </c>
      <c r="BD1188">
        <v>7</v>
      </c>
      <c r="BE1188" t="str">
        <f t="shared" si="284"/>
        <v>6-10</v>
      </c>
    </row>
    <row r="1189" spans="1:57" x14ac:dyDescent="0.3">
      <c r="A1189">
        <v>1668</v>
      </c>
      <c r="B1189">
        <v>38</v>
      </c>
      <c r="C1189" t="str">
        <f t="shared" si="271"/>
        <v>36-45</v>
      </c>
      <c r="D1189" t="s">
        <v>71</v>
      </c>
      <c r="E1189">
        <f t="shared" si="272"/>
        <v>0</v>
      </c>
      <c r="F1189" t="s">
        <v>72</v>
      </c>
      <c r="G1189">
        <v>1189</v>
      </c>
      <c r="H1189" t="str">
        <f t="shared" si="273"/>
        <v>1001-1499</v>
      </c>
      <c r="I1189" t="s">
        <v>73</v>
      </c>
      <c r="J1189">
        <v>1</v>
      </c>
      <c r="K1189" t="str">
        <f t="shared" si="274"/>
        <v>1-5</v>
      </c>
      <c r="L1189">
        <v>3</v>
      </c>
      <c r="M1189" t="s">
        <v>85</v>
      </c>
      <c r="N1189" t="s">
        <v>60</v>
      </c>
      <c r="O1189">
        <v>1</v>
      </c>
      <c r="P1189">
        <v>4</v>
      </c>
      <c r="Q1189" t="s">
        <v>65</v>
      </c>
      <c r="R1189" t="s">
        <v>75</v>
      </c>
      <c r="S1189">
        <v>90</v>
      </c>
      <c r="T1189" t="str">
        <f t="shared" si="275"/>
        <v>76-100</v>
      </c>
      <c r="U1189">
        <v>3</v>
      </c>
      <c r="V1189" t="s">
        <v>63</v>
      </c>
      <c r="W1189">
        <v>2</v>
      </c>
      <c r="X1189" t="s">
        <v>76</v>
      </c>
      <c r="Y1189">
        <v>4</v>
      </c>
      <c r="Z1189" t="s">
        <v>65</v>
      </c>
      <c r="AA1189" t="s">
        <v>77</v>
      </c>
      <c r="AB1189" s="4">
        <v>4735</v>
      </c>
      <c r="AC1189" s="4" t="str">
        <f t="shared" si="276"/>
        <v>$4,000-$5,500</v>
      </c>
      <c r="AD1189">
        <v>9867</v>
      </c>
      <c r="AE1189" t="str">
        <f t="shared" si="277"/>
        <v>$8,001-$16,000</v>
      </c>
      <c r="AF1189">
        <v>7</v>
      </c>
      <c r="AG1189" t="str">
        <f t="shared" si="278"/>
        <v>7-9</v>
      </c>
      <c r="AH1189" t="s">
        <v>67</v>
      </c>
      <c r="AI1189" t="s">
        <v>71</v>
      </c>
      <c r="AJ1189">
        <v>15</v>
      </c>
      <c r="AK1189" t="str">
        <f t="shared" si="279"/>
        <v>13-15%</v>
      </c>
      <c r="AL1189">
        <v>3</v>
      </c>
      <c r="AM1189" t="s">
        <v>68</v>
      </c>
      <c r="AN1189">
        <v>4</v>
      </c>
      <c r="AO1189" t="s">
        <v>65</v>
      </c>
      <c r="AP1189">
        <v>80</v>
      </c>
      <c r="AQ1189">
        <v>2</v>
      </c>
      <c r="AR1189">
        <v>19</v>
      </c>
      <c r="AS1189" t="str">
        <f t="shared" si="280"/>
        <v>11-20</v>
      </c>
      <c r="AT1189">
        <v>4</v>
      </c>
      <c r="AU1189" t="str">
        <f t="shared" si="281"/>
        <v>3-4</v>
      </c>
      <c r="AV1189">
        <v>4</v>
      </c>
      <c r="AW1189" t="s">
        <v>94</v>
      </c>
      <c r="AX1189">
        <v>13</v>
      </c>
      <c r="AY1189" t="str">
        <f t="shared" si="270"/>
        <v>11-20</v>
      </c>
      <c r="AZ1189">
        <v>11</v>
      </c>
      <c r="BA1189" t="str">
        <f t="shared" si="282"/>
        <v>11-18</v>
      </c>
      <c r="BB1189">
        <v>2</v>
      </c>
      <c r="BC1189" t="str">
        <f t="shared" si="283"/>
        <v>2-5</v>
      </c>
      <c r="BD1189">
        <v>9</v>
      </c>
      <c r="BE1189" t="str">
        <f t="shared" si="284"/>
        <v>6-10</v>
      </c>
    </row>
    <row r="1190" spans="1:57" x14ac:dyDescent="0.3">
      <c r="A1190">
        <v>1669</v>
      </c>
      <c r="B1190">
        <v>29</v>
      </c>
      <c r="C1190" t="str">
        <f t="shared" si="271"/>
        <v>26-35</v>
      </c>
      <c r="D1190" t="s">
        <v>71</v>
      </c>
      <c r="E1190">
        <f t="shared" si="272"/>
        <v>0</v>
      </c>
      <c r="F1190" t="s">
        <v>57</v>
      </c>
      <c r="G1190">
        <v>991</v>
      </c>
      <c r="H1190" t="str">
        <f t="shared" si="273"/>
        <v>501-1000</v>
      </c>
      <c r="I1190" t="s">
        <v>58</v>
      </c>
      <c r="J1190">
        <v>5</v>
      </c>
      <c r="K1190" t="str">
        <f t="shared" si="274"/>
        <v>1-5</v>
      </c>
      <c r="L1190">
        <v>3</v>
      </c>
      <c r="M1190" t="s">
        <v>85</v>
      </c>
      <c r="N1190" t="s">
        <v>83</v>
      </c>
      <c r="O1190">
        <v>1</v>
      </c>
      <c r="P1190">
        <v>1</v>
      </c>
      <c r="Q1190" t="s">
        <v>69</v>
      </c>
      <c r="R1190" t="s">
        <v>75</v>
      </c>
      <c r="S1190">
        <v>43</v>
      </c>
      <c r="T1190" t="str">
        <f t="shared" si="275"/>
        <v>30-50</v>
      </c>
      <c r="U1190">
        <v>2</v>
      </c>
      <c r="V1190" t="s">
        <v>61</v>
      </c>
      <c r="W1190">
        <v>2</v>
      </c>
      <c r="X1190" t="s">
        <v>64</v>
      </c>
      <c r="Y1190">
        <v>2</v>
      </c>
      <c r="Z1190" t="s">
        <v>61</v>
      </c>
      <c r="AA1190" t="s">
        <v>86</v>
      </c>
      <c r="AB1190" s="4">
        <v>4187</v>
      </c>
      <c r="AC1190" s="4" t="str">
        <f t="shared" si="276"/>
        <v>$4,000-$5,500</v>
      </c>
      <c r="AD1190">
        <v>3356</v>
      </c>
      <c r="AE1190" t="str">
        <f t="shared" si="277"/>
        <v>$2,094-$8,000</v>
      </c>
      <c r="AF1190">
        <v>1</v>
      </c>
      <c r="AG1190" t="str">
        <f t="shared" si="278"/>
        <v>0-1</v>
      </c>
      <c r="AH1190" t="s">
        <v>67</v>
      </c>
      <c r="AI1190" t="s">
        <v>56</v>
      </c>
      <c r="AJ1190">
        <v>13</v>
      </c>
      <c r="AK1190" t="str">
        <f t="shared" si="279"/>
        <v>13-15%</v>
      </c>
      <c r="AL1190">
        <v>3</v>
      </c>
      <c r="AM1190" t="s">
        <v>68</v>
      </c>
      <c r="AN1190">
        <v>2</v>
      </c>
      <c r="AO1190" t="s">
        <v>61</v>
      </c>
      <c r="AP1190">
        <v>80</v>
      </c>
      <c r="AQ1190">
        <v>1</v>
      </c>
      <c r="AR1190">
        <v>10</v>
      </c>
      <c r="AS1190" t="str">
        <f t="shared" si="280"/>
        <v>6-10</v>
      </c>
      <c r="AT1190">
        <v>3</v>
      </c>
      <c r="AU1190" t="str">
        <f t="shared" si="281"/>
        <v>3-4</v>
      </c>
      <c r="AV1190">
        <v>2</v>
      </c>
      <c r="AW1190" t="s">
        <v>84</v>
      </c>
      <c r="AX1190">
        <v>10</v>
      </c>
      <c r="AY1190" t="str">
        <f t="shared" si="270"/>
        <v>6-10</v>
      </c>
      <c r="AZ1190">
        <v>0</v>
      </c>
      <c r="BA1190" t="str">
        <f t="shared" si="282"/>
        <v>0-1</v>
      </c>
      <c r="BB1190">
        <v>0</v>
      </c>
      <c r="BC1190" t="str">
        <f t="shared" si="283"/>
        <v>0-1</v>
      </c>
      <c r="BD1190">
        <v>9</v>
      </c>
      <c r="BE1190" t="str">
        <f t="shared" si="284"/>
        <v>6-10</v>
      </c>
    </row>
    <row r="1191" spans="1:57" x14ac:dyDescent="0.3">
      <c r="A1191">
        <v>1670</v>
      </c>
      <c r="B1191">
        <v>33</v>
      </c>
      <c r="C1191" t="str">
        <f t="shared" si="271"/>
        <v>26-35</v>
      </c>
      <c r="D1191" t="s">
        <v>71</v>
      </c>
      <c r="E1191">
        <f t="shared" si="272"/>
        <v>0</v>
      </c>
      <c r="F1191" t="s">
        <v>57</v>
      </c>
      <c r="G1191">
        <v>392</v>
      </c>
      <c r="H1191" t="str">
        <f t="shared" si="273"/>
        <v>102-500</v>
      </c>
      <c r="I1191" t="s">
        <v>58</v>
      </c>
      <c r="J1191">
        <v>2</v>
      </c>
      <c r="K1191" t="str">
        <f t="shared" si="274"/>
        <v>1-5</v>
      </c>
      <c r="L1191">
        <v>4</v>
      </c>
      <c r="M1191" t="s">
        <v>82</v>
      </c>
      <c r="N1191" t="s">
        <v>83</v>
      </c>
      <c r="O1191">
        <v>1</v>
      </c>
      <c r="P1191">
        <v>4</v>
      </c>
      <c r="Q1191" t="s">
        <v>65</v>
      </c>
      <c r="R1191" t="s">
        <v>75</v>
      </c>
      <c r="S1191">
        <v>93</v>
      </c>
      <c r="T1191" t="str">
        <f t="shared" si="275"/>
        <v>76-100</v>
      </c>
      <c r="U1191">
        <v>3</v>
      </c>
      <c r="V1191" t="s">
        <v>63</v>
      </c>
      <c r="W1191">
        <v>2</v>
      </c>
      <c r="X1191" t="s">
        <v>64</v>
      </c>
      <c r="Y1191">
        <v>4</v>
      </c>
      <c r="Z1191" t="s">
        <v>65</v>
      </c>
      <c r="AA1191" t="s">
        <v>86</v>
      </c>
      <c r="AB1191" s="4">
        <v>5505</v>
      </c>
      <c r="AC1191" s="4" t="str">
        <f t="shared" si="276"/>
        <v>$5,500-$7,000</v>
      </c>
      <c r="AD1191">
        <v>3921</v>
      </c>
      <c r="AE1191" t="str">
        <f t="shared" si="277"/>
        <v>$2,094-$8,000</v>
      </c>
      <c r="AF1191">
        <v>1</v>
      </c>
      <c r="AG1191" t="str">
        <f t="shared" si="278"/>
        <v>0-1</v>
      </c>
      <c r="AH1191" t="s">
        <v>67</v>
      </c>
      <c r="AI1191" t="s">
        <v>71</v>
      </c>
      <c r="AJ1191">
        <v>14</v>
      </c>
      <c r="AK1191" t="str">
        <f t="shared" si="279"/>
        <v>13-15%</v>
      </c>
      <c r="AL1191">
        <v>3</v>
      </c>
      <c r="AM1191" t="s">
        <v>68</v>
      </c>
      <c r="AN1191">
        <v>3</v>
      </c>
      <c r="AO1191" t="s">
        <v>63</v>
      </c>
      <c r="AP1191">
        <v>80</v>
      </c>
      <c r="AQ1191">
        <v>2</v>
      </c>
      <c r="AR1191">
        <v>6</v>
      </c>
      <c r="AS1191" t="str">
        <f t="shared" si="280"/>
        <v>6-10</v>
      </c>
      <c r="AT1191">
        <v>5</v>
      </c>
      <c r="AU1191" t="str">
        <f t="shared" si="281"/>
        <v>5-6</v>
      </c>
      <c r="AV1191">
        <v>3</v>
      </c>
      <c r="AW1191" t="s">
        <v>79</v>
      </c>
      <c r="AX1191">
        <v>6</v>
      </c>
      <c r="AY1191" t="str">
        <f t="shared" si="270"/>
        <v>6-10</v>
      </c>
      <c r="AZ1191">
        <v>2</v>
      </c>
      <c r="BA1191" t="str">
        <f t="shared" si="282"/>
        <v>2-5</v>
      </c>
      <c r="BB1191">
        <v>0</v>
      </c>
      <c r="BC1191" t="str">
        <f t="shared" si="283"/>
        <v>0-1</v>
      </c>
      <c r="BD1191">
        <v>4</v>
      </c>
      <c r="BE1191" t="str">
        <f t="shared" si="284"/>
        <v>2-5</v>
      </c>
    </row>
    <row r="1192" spans="1:57" x14ac:dyDescent="0.3">
      <c r="A1192">
        <v>1671</v>
      </c>
      <c r="B1192">
        <v>32</v>
      </c>
      <c r="C1192" t="str">
        <f t="shared" si="271"/>
        <v>26-35</v>
      </c>
      <c r="D1192" t="s">
        <v>71</v>
      </c>
      <c r="E1192">
        <f t="shared" si="272"/>
        <v>0</v>
      </c>
      <c r="F1192" t="s">
        <v>57</v>
      </c>
      <c r="G1192">
        <v>977</v>
      </c>
      <c r="H1192" t="str">
        <f t="shared" si="273"/>
        <v>501-1000</v>
      </c>
      <c r="I1192" t="s">
        <v>73</v>
      </c>
      <c r="J1192">
        <v>2</v>
      </c>
      <c r="K1192" t="str">
        <f t="shared" si="274"/>
        <v>1-5</v>
      </c>
      <c r="L1192">
        <v>3</v>
      </c>
      <c r="M1192" t="s">
        <v>85</v>
      </c>
      <c r="N1192" t="s">
        <v>83</v>
      </c>
      <c r="O1192">
        <v>1</v>
      </c>
      <c r="P1192">
        <v>4</v>
      </c>
      <c r="Q1192" t="s">
        <v>65</v>
      </c>
      <c r="R1192" t="s">
        <v>75</v>
      </c>
      <c r="S1192">
        <v>45</v>
      </c>
      <c r="T1192" t="str">
        <f t="shared" si="275"/>
        <v>30-50</v>
      </c>
      <c r="U1192">
        <v>3</v>
      </c>
      <c r="V1192" t="s">
        <v>63</v>
      </c>
      <c r="W1192">
        <v>2</v>
      </c>
      <c r="X1192" t="s">
        <v>76</v>
      </c>
      <c r="Y1192">
        <v>2</v>
      </c>
      <c r="Z1192" t="s">
        <v>61</v>
      </c>
      <c r="AA1192" t="s">
        <v>86</v>
      </c>
      <c r="AB1192" s="4">
        <v>5470</v>
      </c>
      <c r="AC1192" s="4" t="str">
        <f t="shared" si="276"/>
        <v>$4,000-$5,500</v>
      </c>
      <c r="AD1192">
        <v>25518</v>
      </c>
      <c r="AE1192" t="str">
        <f t="shared" si="277"/>
        <v>$22,001-$26,999</v>
      </c>
      <c r="AF1192">
        <v>0</v>
      </c>
      <c r="AG1192" t="str">
        <f t="shared" si="278"/>
        <v>0-1</v>
      </c>
      <c r="AH1192" t="s">
        <v>67</v>
      </c>
      <c r="AI1192" t="s">
        <v>71</v>
      </c>
      <c r="AJ1192">
        <v>13</v>
      </c>
      <c r="AK1192" t="str">
        <f t="shared" si="279"/>
        <v>13-15%</v>
      </c>
      <c r="AL1192">
        <v>3</v>
      </c>
      <c r="AM1192" t="s">
        <v>68</v>
      </c>
      <c r="AN1192">
        <v>3</v>
      </c>
      <c r="AO1192" t="s">
        <v>63</v>
      </c>
      <c r="AP1192">
        <v>80</v>
      </c>
      <c r="AQ1192">
        <v>2</v>
      </c>
      <c r="AR1192">
        <v>10</v>
      </c>
      <c r="AS1192" t="str">
        <f t="shared" si="280"/>
        <v>6-10</v>
      </c>
      <c r="AT1192">
        <v>4</v>
      </c>
      <c r="AU1192" t="str">
        <f t="shared" si="281"/>
        <v>3-4</v>
      </c>
      <c r="AV1192">
        <v>2</v>
      </c>
      <c r="AW1192" t="s">
        <v>84</v>
      </c>
      <c r="AX1192">
        <v>9</v>
      </c>
      <c r="AY1192" t="str">
        <f t="shared" si="270"/>
        <v>6-10</v>
      </c>
      <c r="AZ1192">
        <v>5</v>
      </c>
      <c r="BA1192" t="str">
        <f t="shared" si="282"/>
        <v>2-5</v>
      </c>
      <c r="BB1192">
        <v>1</v>
      </c>
      <c r="BC1192" t="str">
        <f t="shared" si="283"/>
        <v>0-1</v>
      </c>
      <c r="BD1192">
        <v>6</v>
      </c>
      <c r="BE1192" t="str">
        <f t="shared" si="284"/>
        <v>6-10</v>
      </c>
    </row>
    <row r="1193" spans="1:57" x14ac:dyDescent="0.3">
      <c r="A1193">
        <v>1673</v>
      </c>
      <c r="B1193">
        <v>31</v>
      </c>
      <c r="C1193" t="str">
        <f t="shared" si="271"/>
        <v>26-35</v>
      </c>
      <c r="D1193" t="s">
        <v>71</v>
      </c>
      <c r="E1193">
        <f t="shared" si="272"/>
        <v>0</v>
      </c>
      <c r="F1193" t="s">
        <v>57</v>
      </c>
      <c r="G1193">
        <v>1112</v>
      </c>
      <c r="H1193" t="str">
        <f t="shared" si="273"/>
        <v>1001-1499</v>
      </c>
      <c r="I1193" t="s">
        <v>58</v>
      </c>
      <c r="J1193">
        <v>5</v>
      </c>
      <c r="K1193" t="str">
        <f t="shared" si="274"/>
        <v>1-5</v>
      </c>
      <c r="L1193">
        <v>4</v>
      </c>
      <c r="M1193" t="s">
        <v>82</v>
      </c>
      <c r="N1193" t="s">
        <v>60</v>
      </c>
      <c r="O1193">
        <v>1</v>
      </c>
      <c r="P1193">
        <v>1</v>
      </c>
      <c r="Q1193" t="s">
        <v>69</v>
      </c>
      <c r="R1193" t="s">
        <v>62</v>
      </c>
      <c r="S1193">
        <v>67</v>
      </c>
      <c r="T1193" t="str">
        <f t="shared" si="275"/>
        <v>51-75</v>
      </c>
      <c r="U1193">
        <v>3</v>
      </c>
      <c r="V1193" t="s">
        <v>63</v>
      </c>
      <c r="W1193">
        <v>2</v>
      </c>
      <c r="X1193" t="s">
        <v>64</v>
      </c>
      <c r="Y1193">
        <v>4</v>
      </c>
      <c r="Z1193" t="s">
        <v>65</v>
      </c>
      <c r="AA1193" t="s">
        <v>77</v>
      </c>
      <c r="AB1193" s="4">
        <v>5476</v>
      </c>
      <c r="AC1193" s="4" t="str">
        <f t="shared" si="276"/>
        <v>$4,000-$5,500</v>
      </c>
      <c r="AD1193">
        <v>22589</v>
      </c>
      <c r="AE1193" t="str">
        <f t="shared" si="277"/>
        <v>$22,001-$26,999</v>
      </c>
      <c r="AF1193">
        <v>1</v>
      </c>
      <c r="AG1193" t="str">
        <f t="shared" si="278"/>
        <v>0-1</v>
      </c>
      <c r="AH1193" t="s">
        <v>67</v>
      </c>
      <c r="AI1193" t="s">
        <v>71</v>
      </c>
      <c r="AJ1193">
        <v>11</v>
      </c>
      <c r="AK1193" t="str">
        <f t="shared" si="279"/>
        <v>11-12%</v>
      </c>
      <c r="AL1193">
        <v>3</v>
      </c>
      <c r="AM1193" t="s">
        <v>68</v>
      </c>
      <c r="AN1193">
        <v>1</v>
      </c>
      <c r="AO1193" t="s">
        <v>69</v>
      </c>
      <c r="AP1193">
        <v>80</v>
      </c>
      <c r="AQ1193">
        <v>2</v>
      </c>
      <c r="AR1193">
        <v>10</v>
      </c>
      <c r="AS1193" t="str">
        <f t="shared" si="280"/>
        <v>6-10</v>
      </c>
      <c r="AT1193">
        <v>2</v>
      </c>
      <c r="AU1193" t="str">
        <f t="shared" si="281"/>
        <v>0-2</v>
      </c>
      <c r="AV1193">
        <v>3</v>
      </c>
      <c r="AW1193" t="s">
        <v>79</v>
      </c>
      <c r="AX1193">
        <v>10</v>
      </c>
      <c r="AY1193" t="str">
        <f t="shared" si="270"/>
        <v>6-10</v>
      </c>
      <c r="AZ1193">
        <v>0</v>
      </c>
      <c r="BA1193" t="str">
        <f t="shared" si="282"/>
        <v>0-1</v>
      </c>
      <c r="BB1193">
        <v>0</v>
      </c>
      <c r="BC1193" t="str">
        <f t="shared" si="283"/>
        <v>0-1</v>
      </c>
      <c r="BD1193">
        <v>2</v>
      </c>
      <c r="BE1193" t="str">
        <f t="shared" si="284"/>
        <v>2-5</v>
      </c>
    </row>
    <row r="1194" spans="1:57" x14ac:dyDescent="0.3">
      <c r="A1194">
        <v>1674</v>
      </c>
      <c r="B1194">
        <v>49</v>
      </c>
      <c r="C1194" t="str">
        <f t="shared" si="271"/>
        <v>46-55</v>
      </c>
      <c r="D1194" t="s">
        <v>71</v>
      </c>
      <c r="E1194">
        <f t="shared" si="272"/>
        <v>0</v>
      </c>
      <c r="F1194" t="s">
        <v>57</v>
      </c>
      <c r="G1194">
        <v>464</v>
      </c>
      <c r="H1194" t="str">
        <f t="shared" si="273"/>
        <v>102-500</v>
      </c>
      <c r="I1194" t="s">
        <v>73</v>
      </c>
      <c r="J1194">
        <v>16</v>
      </c>
      <c r="K1194" t="str">
        <f t="shared" si="274"/>
        <v>11-20</v>
      </c>
      <c r="L1194">
        <v>3</v>
      </c>
      <c r="M1194" t="s">
        <v>85</v>
      </c>
      <c r="N1194" t="s">
        <v>83</v>
      </c>
      <c r="O1194">
        <v>1</v>
      </c>
      <c r="P1194">
        <v>4</v>
      </c>
      <c r="Q1194" t="s">
        <v>65</v>
      </c>
      <c r="R1194" t="s">
        <v>62</v>
      </c>
      <c r="S1194">
        <v>74</v>
      </c>
      <c r="T1194" t="str">
        <f t="shared" si="275"/>
        <v>51-75</v>
      </c>
      <c r="U1194">
        <v>3</v>
      </c>
      <c r="V1194" t="s">
        <v>63</v>
      </c>
      <c r="W1194">
        <v>1</v>
      </c>
      <c r="X1194" t="s">
        <v>81</v>
      </c>
      <c r="Y1194">
        <v>1</v>
      </c>
      <c r="Z1194" t="s">
        <v>69</v>
      </c>
      <c r="AA1194" t="s">
        <v>86</v>
      </c>
      <c r="AB1194" s="4">
        <v>2587</v>
      </c>
      <c r="AC1194" s="4" t="str">
        <f t="shared" si="276"/>
        <v>$2,500-$4,000</v>
      </c>
      <c r="AD1194">
        <v>24941</v>
      </c>
      <c r="AE1194" t="str">
        <f t="shared" si="277"/>
        <v>$22,001-$26,999</v>
      </c>
      <c r="AF1194">
        <v>4</v>
      </c>
      <c r="AG1194" t="str">
        <f t="shared" si="278"/>
        <v>4-6</v>
      </c>
      <c r="AH1194" t="s">
        <v>67</v>
      </c>
      <c r="AI1194" t="s">
        <v>56</v>
      </c>
      <c r="AJ1194">
        <v>16</v>
      </c>
      <c r="AK1194" t="str">
        <f t="shared" si="279"/>
        <v>16-17%</v>
      </c>
      <c r="AL1194">
        <v>3</v>
      </c>
      <c r="AM1194" t="s">
        <v>68</v>
      </c>
      <c r="AN1194">
        <v>2</v>
      </c>
      <c r="AO1194" t="s">
        <v>61</v>
      </c>
      <c r="AP1194">
        <v>80</v>
      </c>
      <c r="AQ1194">
        <v>1</v>
      </c>
      <c r="AR1194">
        <v>17</v>
      </c>
      <c r="AS1194" t="str">
        <f t="shared" si="280"/>
        <v>11-20</v>
      </c>
      <c r="AT1194">
        <v>2</v>
      </c>
      <c r="AU1194" t="str">
        <f t="shared" si="281"/>
        <v>0-2</v>
      </c>
      <c r="AV1194">
        <v>2</v>
      </c>
      <c r="AW1194" t="s">
        <v>84</v>
      </c>
      <c r="AX1194">
        <v>2</v>
      </c>
      <c r="AY1194" t="str">
        <f t="shared" si="270"/>
        <v>2-5</v>
      </c>
      <c r="AZ1194">
        <v>2</v>
      </c>
      <c r="BA1194" t="str">
        <f t="shared" si="282"/>
        <v>2-5</v>
      </c>
      <c r="BB1194">
        <v>2</v>
      </c>
      <c r="BC1194" t="str">
        <f t="shared" si="283"/>
        <v>2-5</v>
      </c>
      <c r="BD1194">
        <v>2</v>
      </c>
      <c r="BE1194" t="str">
        <f t="shared" si="284"/>
        <v>2-5</v>
      </c>
    </row>
    <row r="1195" spans="1:57" x14ac:dyDescent="0.3">
      <c r="A1195">
        <v>1675</v>
      </c>
      <c r="B1195">
        <v>38</v>
      </c>
      <c r="C1195" t="str">
        <f t="shared" si="271"/>
        <v>36-45</v>
      </c>
      <c r="D1195" t="s">
        <v>71</v>
      </c>
      <c r="E1195">
        <f t="shared" si="272"/>
        <v>0</v>
      </c>
      <c r="F1195" t="s">
        <v>72</v>
      </c>
      <c r="G1195">
        <v>148</v>
      </c>
      <c r="H1195" t="str">
        <f t="shared" si="273"/>
        <v>102-500</v>
      </c>
      <c r="I1195" t="s">
        <v>73</v>
      </c>
      <c r="J1195">
        <v>2</v>
      </c>
      <c r="K1195" t="str">
        <f t="shared" si="274"/>
        <v>1-5</v>
      </c>
      <c r="L1195">
        <v>3</v>
      </c>
      <c r="M1195" t="s">
        <v>85</v>
      </c>
      <c r="N1195" t="s">
        <v>83</v>
      </c>
      <c r="O1195">
        <v>1</v>
      </c>
      <c r="P1195">
        <v>4</v>
      </c>
      <c r="Q1195" t="s">
        <v>65</v>
      </c>
      <c r="R1195" t="s">
        <v>62</v>
      </c>
      <c r="S1195">
        <v>42</v>
      </c>
      <c r="T1195" t="str">
        <f t="shared" si="275"/>
        <v>30-50</v>
      </c>
      <c r="U1195">
        <v>2</v>
      </c>
      <c r="V1195" t="s">
        <v>61</v>
      </c>
      <c r="W1195">
        <v>1</v>
      </c>
      <c r="X1195" t="s">
        <v>81</v>
      </c>
      <c r="Y1195">
        <v>2</v>
      </c>
      <c r="Z1195" t="s">
        <v>61</v>
      </c>
      <c r="AA1195" t="s">
        <v>66</v>
      </c>
      <c r="AB1195" s="4">
        <v>2440</v>
      </c>
      <c r="AC1195" s="4" t="str">
        <f t="shared" si="276"/>
        <v>$1,000-$2,500</v>
      </c>
      <c r="AD1195">
        <v>23826</v>
      </c>
      <c r="AE1195" t="str">
        <f t="shared" si="277"/>
        <v>$22,001-$26,999</v>
      </c>
      <c r="AF1195">
        <v>1</v>
      </c>
      <c r="AG1195" t="str">
        <f t="shared" si="278"/>
        <v>0-1</v>
      </c>
      <c r="AH1195" t="s">
        <v>67</v>
      </c>
      <c r="AI1195" t="s">
        <v>71</v>
      </c>
      <c r="AJ1195">
        <v>22</v>
      </c>
      <c r="AK1195" t="str">
        <f t="shared" si="279"/>
        <v>18-19%</v>
      </c>
      <c r="AL1195">
        <v>4</v>
      </c>
      <c r="AM1195" t="s">
        <v>78</v>
      </c>
      <c r="AN1195">
        <v>2</v>
      </c>
      <c r="AO1195" t="s">
        <v>61</v>
      </c>
      <c r="AP1195">
        <v>80</v>
      </c>
      <c r="AQ1195">
        <v>0</v>
      </c>
      <c r="AR1195">
        <v>4</v>
      </c>
      <c r="AS1195" t="str">
        <f t="shared" si="280"/>
        <v>3-5</v>
      </c>
      <c r="AT1195">
        <v>3</v>
      </c>
      <c r="AU1195" t="str">
        <f t="shared" si="281"/>
        <v>3-4</v>
      </c>
      <c r="AV1195">
        <v>3</v>
      </c>
      <c r="AW1195" t="s">
        <v>79</v>
      </c>
      <c r="AX1195">
        <v>4</v>
      </c>
      <c r="AY1195" t="str">
        <f t="shared" si="270"/>
        <v>2-5</v>
      </c>
      <c r="AZ1195">
        <v>3</v>
      </c>
      <c r="BA1195" t="str">
        <f t="shared" si="282"/>
        <v>2-5</v>
      </c>
      <c r="BB1195">
        <v>3</v>
      </c>
      <c r="BC1195" t="str">
        <f t="shared" si="283"/>
        <v>2-5</v>
      </c>
      <c r="BD1195">
        <v>3</v>
      </c>
      <c r="BE1195" t="str">
        <f t="shared" si="284"/>
        <v>2-5</v>
      </c>
    </row>
    <row r="1196" spans="1:57" x14ac:dyDescent="0.3">
      <c r="A1196">
        <v>1676</v>
      </c>
      <c r="B1196">
        <v>47</v>
      </c>
      <c r="C1196" t="str">
        <f t="shared" si="271"/>
        <v>46-55</v>
      </c>
      <c r="D1196" t="s">
        <v>71</v>
      </c>
      <c r="E1196">
        <f t="shared" si="272"/>
        <v>0</v>
      </c>
      <c r="F1196" t="s">
        <v>57</v>
      </c>
      <c r="G1196">
        <v>1225</v>
      </c>
      <c r="H1196" t="str">
        <f t="shared" si="273"/>
        <v>1001-1499</v>
      </c>
      <c r="I1196" t="s">
        <v>58</v>
      </c>
      <c r="J1196">
        <v>2</v>
      </c>
      <c r="K1196" t="str">
        <f t="shared" si="274"/>
        <v>1-5</v>
      </c>
      <c r="L1196">
        <v>4</v>
      </c>
      <c r="M1196" t="s">
        <v>82</v>
      </c>
      <c r="N1196" t="s">
        <v>60</v>
      </c>
      <c r="O1196">
        <v>1</v>
      </c>
      <c r="P1196">
        <v>2</v>
      </c>
      <c r="Q1196" t="s">
        <v>61</v>
      </c>
      <c r="R1196" t="s">
        <v>62</v>
      </c>
      <c r="S1196">
        <v>47</v>
      </c>
      <c r="T1196" t="str">
        <f t="shared" si="275"/>
        <v>30-50</v>
      </c>
      <c r="U1196">
        <v>4</v>
      </c>
      <c r="V1196" t="s">
        <v>65</v>
      </c>
      <c r="W1196">
        <v>4</v>
      </c>
      <c r="X1196" t="s">
        <v>90</v>
      </c>
      <c r="Y1196">
        <v>2</v>
      </c>
      <c r="Z1196" t="s">
        <v>61</v>
      </c>
      <c r="AA1196" t="s">
        <v>86</v>
      </c>
      <c r="AB1196" s="4">
        <v>15972</v>
      </c>
      <c r="AC1196" s="4" t="str">
        <f t="shared" si="276"/>
        <v>$14,500-$16,000</v>
      </c>
      <c r="AD1196">
        <v>21086</v>
      </c>
      <c r="AE1196" t="str">
        <f t="shared" si="277"/>
        <v>$16,001-$22,000</v>
      </c>
      <c r="AF1196">
        <v>6</v>
      </c>
      <c r="AG1196" t="str">
        <f t="shared" si="278"/>
        <v>4-6</v>
      </c>
      <c r="AH1196" t="s">
        <v>67</v>
      </c>
      <c r="AI1196" t="s">
        <v>71</v>
      </c>
      <c r="AJ1196">
        <v>14</v>
      </c>
      <c r="AK1196" t="str">
        <f t="shared" si="279"/>
        <v>13-15%</v>
      </c>
      <c r="AL1196">
        <v>3</v>
      </c>
      <c r="AM1196" t="s">
        <v>68</v>
      </c>
      <c r="AN1196">
        <v>3</v>
      </c>
      <c r="AO1196" t="s">
        <v>63</v>
      </c>
      <c r="AP1196">
        <v>80</v>
      </c>
      <c r="AQ1196">
        <v>3</v>
      </c>
      <c r="AR1196">
        <v>29</v>
      </c>
      <c r="AS1196" t="str">
        <f t="shared" si="280"/>
        <v>21-40</v>
      </c>
      <c r="AT1196">
        <v>2</v>
      </c>
      <c r="AU1196" t="str">
        <f t="shared" si="281"/>
        <v>0-2</v>
      </c>
      <c r="AV1196">
        <v>3</v>
      </c>
      <c r="AW1196" t="s">
        <v>79</v>
      </c>
      <c r="AX1196">
        <v>3</v>
      </c>
      <c r="AY1196" t="str">
        <f t="shared" si="270"/>
        <v>2-5</v>
      </c>
      <c r="AZ1196">
        <v>2</v>
      </c>
      <c r="BA1196" t="str">
        <f t="shared" si="282"/>
        <v>2-5</v>
      </c>
      <c r="BB1196">
        <v>1</v>
      </c>
      <c r="BC1196" t="str">
        <f t="shared" si="283"/>
        <v>0-1</v>
      </c>
      <c r="BD1196">
        <v>2</v>
      </c>
      <c r="BE1196" t="str">
        <f t="shared" si="284"/>
        <v>2-5</v>
      </c>
    </row>
    <row r="1197" spans="1:57" x14ac:dyDescent="0.3">
      <c r="A1197">
        <v>1677</v>
      </c>
      <c r="B1197">
        <v>49</v>
      </c>
      <c r="C1197" t="str">
        <f t="shared" si="271"/>
        <v>46-55</v>
      </c>
      <c r="D1197" t="s">
        <v>71</v>
      </c>
      <c r="E1197">
        <f t="shared" si="272"/>
        <v>0</v>
      </c>
      <c r="F1197" t="s">
        <v>57</v>
      </c>
      <c r="G1197">
        <v>809</v>
      </c>
      <c r="H1197" t="str">
        <f t="shared" si="273"/>
        <v>501-1000</v>
      </c>
      <c r="I1197" t="s">
        <v>73</v>
      </c>
      <c r="J1197">
        <v>1</v>
      </c>
      <c r="K1197" t="str">
        <f t="shared" si="274"/>
        <v>1-5</v>
      </c>
      <c r="L1197">
        <v>3</v>
      </c>
      <c r="M1197" t="s">
        <v>85</v>
      </c>
      <c r="N1197" t="s">
        <v>60</v>
      </c>
      <c r="O1197">
        <v>1</v>
      </c>
      <c r="P1197">
        <v>3</v>
      </c>
      <c r="Q1197" t="s">
        <v>63</v>
      </c>
      <c r="R1197" t="s">
        <v>75</v>
      </c>
      <c r="S1197">
        <v>36</v>
      </c>
      <c r="T1197" t="str">
        <f t="shared" si="275"/>
        <v>30-50</v>
      </c>
      <c r="U1197">
        <v>3</v>
      </c>
      <c r="V1197" t="s">
        <v>63</v>
      </c>
      <c r="W1197">
        <v>4</v>
      </c>
      <c r="X1197" t="s">
        <v>90</v>
      </c>
      <c r="Y1197">
        <v>3</v>
      </c>
      <c r="Z1197" t="s">
        <v>63</v>
      </c>
      <c r="AA1197" t="s">
        <v>66</v>
      </c>
      <c r="AB1197" s="4">
        <v>15379</v>
      </c>
      <c r="AC1197" s="4" t="str">
        <f t="shared" si="276"/>
        <v>$14,500-$16,000</v>
      </c>
      <c r="AD1197">
        <v>22384</v>
      </c>
      <c r="AE1197" t="str">
        <f t="shared" si="277"/>
        <v>$22,001-$26,999</v>
      </c>
      <c r="AF1197">
        <v>4</v>
      </c>
      <c r="AG1197" t="str">
        <f t="shared" si="278"/>
        <v>4-6</v>
      </c>
      <c r="AH1197" t="s">
        <v>67</v>
      </c>
      <c r="AI1197" t="s">
        <v>71</v>
      </c>
      <c r="AJ1197">
        <v>14</v>
      </c>
      <c r="AK1197" t="str">
        <f t="shared" si="279"/>
        <v>13-15%</v>
      </c>
      <c r="AL1197">
        <v>3</v>
      </c>
      <c r="AM1197" t="s">
        <v>68</v>
      </c>
      <c r="AN1197">
        <v>1</v>
      </c>
      <c r="AO1197" t="s">
        <v>69</v>
      </c>
      <c r="AP1197">
        <v>80</v>
      </c>
      <c r="AQ1197">
        <v>0</v>
      </c>
      <c r="AR1197">
        <v>23</v>
      </c>
      <c r="AS1197" t="str">
        <f t="shared" si="280"/>
        <v>21-40</v>
      </c>
      <c r="AT1197">
        <v>2</v>
      </c>
      <c r="AU1197" t="str">
        <f t="shared" si="281"/>
        <v>0-2</v>
      </c>
      <c r="AV1197">
        <v>3</v>
      </c>
      <c r="AW1197" t="s">
        <v>79</v>
      </c>
      <c r="AX1197">
        <v>8</v>
      </c>
      <c r="AY1197" t="str">
        <f t="shared" si="270"/>
        <v>6-10</v>
      </c>
      <c r="AZ1197">
        <v>7</v>
      </c>
      <c r="BA1197" t="str">
        <f t="shared" si="282"/>
        <v>6-10</v>
      </c>
      <c r="BB1197">
        <v>0</v>
      </c>
      <c r="BC1197" t="str">
        <f t="shared" si="283"/>
        <v>0-1</v>
      </c>
      <c r="BD1197">
        <v>0</v>
      </c>
      <c r="BE1197" t="str">
        <f t="shared" si="284"/>
        <v>0-1</v>
      </c>
    </row>
    <row r="1198" spans="1:57" x14ac:dyDescent="0.3">
      <c r="A1198">
        <v>1678</v>
      </c>
      <c r="B1198">
        <v>41</v>
      </c>
      <c r="C1198" t="str">
        <f t="shared" si="271"/>
        <v>36-45</v>
      </c>
      <c r="D1198" t="s">
        <v>71</v>
      </c>
      <c r="E1198">
        <f t="shared" si="272"/>
        <v>0</v>
      </c>
      <c r="F1198" t="s">
        <v>57</v>
      </c>
      <c r="G1198">
        <v>1206</v>
      </c>
      <c r="H1198" t="str">
        <f t="shared" si="273"/>
        <v>1001-1499</v>
      </c>
      <c r="I1198" t="s">
        <v>58</v>
      </c>
      <c r="J1198">
        <v>23</v>
      </c>
      <c r="K1198" t="str">
        <f t="shared" si="274"/>
        <v>21-29</v>
      </c>
      <c r="L1198">
        <v>2</v>
      </c>
      <c r="M1198" t="s">
        <v>59</v>
      </c>
      <c r="N1198" t="s">
        <v>60</v>
      </c>
      <c r="O1198">
        <v>1</v>
      </c>
      <c r="P1198">
        <v>4</v>
      </c>
      <c r="Q1198" t="s">
        <v>65</v>
      </c>
      <c r="R1198" t="s">
        <v>75</v>
      </c>
      <c r="S1198">
        <v>80</v>
      </c>
      <c r="T1198" t="str">
        <f t="shared" si="275"/>
        <v>76-100</v>
      </c>
      <c r="U1198">
        <v>3</v>
      </c>
      <c r="V1198" t="s">
        <v>63</v>
      </c>
      <c r="W1198">
        <v>3</v>
      </c>
      <c r="X1198" t="s">
        <v>64</v>
      </c>
      <c r="Y1198">
        <v>3</v>
      </c>
      <c r="Z1198" t="s">
        <v>63</v>
      </c>
      <c r="AA1198" t="s">
        <v>66</v>
      </c>
      <c r="AB1198" s="4">
        <v>7082</v>
      </c>
      <c r="AC1198" s="4" t="str">
        <f t="shared" si="276"/>
        <v>$7,000-$8,500</v>
      </c>
      <c r="AD1198">
        <v>11591</v>
      </c>
      <c r="AE1198" t="str">
        <f t="shared" si="277"/>
        <v>$8,001-$16,000</v>
      </c>
      <c r="AF1198">
        <v>3</v>
      </c>
      <c r="AG1198" t="str">
        <f t="shared" si="278"/>
        <v>2-3</v>
      </c>
      <c r="AH1198" t="s">
        <v>67</v>
      </c>
      <c r="AI1198" t="s">
        <v>56</v>
      </c>
      <c r="AJ1198">
        <v>16</v>
      </c>
      <c r="AK1198" t="str">
        <f t="shared" si="279"/>
        <v>16-17%</v>
      </c>
      <c r="AL1198">
        <v>3</v>
      </c>
      <c r="AM1198" t="s">
        <v>68</v>
      </c>
      <c r="AN1198">
        <v>4</v>
      </c>
      <c r="AO1198" t="s">
        <v>65</v>
      </c>
      <c r="AP1198">
        <v>80</v>
      </c>
      <c r="AQ1198">
        <v>0</v>
      </c>
      <c r="AR1198">
        <v>21</v>
      </c>
      <c r="AS1198" t="str">
        <f t="shared" si="280"/>
        <v>21-40</v>
      </c>
      <c r="AT1198">
        <v>2</v>
      </c>
      <c r="AU1198" t="str">
        <f t="shared" si="281"/>
        <v>0-2</v>
      </c>
      <c r="AV1198">
        <v>3</v>
      </c>
      <c r="AW1198" t="s">
        <v>79</v>
      </c>
      <c r="AX1198">
        <v>2</v>
      </c>
      <c r="AY1198" t="str">
        <f t="shared" si="270"/>
        <v>2-5</v>
      </c>
      <c r="AZ1198">
        <v>0</v>
      </c>
      <c r="BA1198" t="str">
        <f t="shared" si="282"/>
        <v>0-1</v>
      </c>
      <c r="BB1198">
        <v>0</v>
      </c>
      <c r="BC1198" t="str">
        <f t="shared" si="283"/>
        <v>0-1</v>
      </c>
      <c r="BD1198">
        <v>2</v>
      </c>
      <c r="BE1198" t="str">
        <f t="shared" si="284"/>
        <v>2-5</v>
      </c>
    </row>
    <row r="1199" spans="1:57" x14ac:dyDescent="0.3">
      <c r="A1199">
        <v>1680</v>
      </c>
      <c r="B1199">
        <v>20</v>
      </c>
      <c r="C1199" t="str">
        <f t="shared" si="271"/>
        <v>18-25</v>
      </c>
      <c r="D1199" t="s">
        <v>71</v>
      </c>
      <c r="E1199">
        <f t="shared" si="272"/>
        <v>0</v>
      </c>
      <c r="F1199" t="s">
        <v>57</v>
      </c>
      <c r="G1199">
        <v>727</v>
      </c>
      <c r="H1199" t="str">
        <f t="shared" si="273"/>
        <v>501-1000</v>
      </c>
      <c r="I1199" t="s">
        <v>58</v>
      </c>
      <c r="J1199">
        <v>9</v>
      </c>
      <c r="K1199" t="str">
        <f t="shared" si="274"/>
        <v>6-10</v>
      </c>
      <c r="L1199">
        <v>1</v>
      </c>
      <c r="M1199" t="s">
        <v>74</v>
      </c>
      <c r="N1199" t="s">
        <v>60</v>
      </c>
      <c r="O1199">
        <v>1</v>
      </c>
      <c r="P1199">
        <v>4</v>
      </c>
      <c r="Q1199" t="s">
        <v>65</v>
      </c>
      <c r="R1199" t="s">
        <v>75</v>
      </c>
      <c r="S1199">
        <v>54</v>
      </c>
      <c r="T1199" t="str">
        <f t="shared" si="275"/>
        <v>51-75</v>
      </c>
      <c r="U1199">
        <v>3</v>
      </c>
      <c r="V1199" t="s">
        <v>63</v>
      </c>
      <c r="W1199">
        <v>1</v>
      </c>
      <c r="X1199" t="s">
        <v>91</v>
      </c>
      <c r="Y1199">
        <v>1</v>
      </c>
      <c r="Z1199" t="s">
        <v>69</v>
      </c>
      <c r="AA1199" t="s">
        <v>66</v>
      </c>
      <c r="AB1199" s="4">
        <v>2728</v>
      </c>
      <c r="AC1199" s="4" t="str">
        <f t="shared" si="276"/>
        <v>$2,500-$4,000</v>
      </c>
      <c r="AD1199">
        <v>21082</v>
      </c>
      <c r="AE1199" t="str">
        <f t="shared" si="277"/>
        <v>$16,001-$22,000</v>
      </c>
      <c r="AF1199">
        <v>1</v>
      </c>
      <c r="AG1199" t="str">
        <f t="shared" si="278"/>
        <v>0-1</v>
      </c>
      <c r="AH1199" t="s">
        <v>67</v>
      </c>
      <c r="AI1199" t="s">
        <v>71</v>
      </c>
      <c r="AJ1199">
        <v>11</v>
      </c>
      <c r="AK1199" t="str">
        <f t="shared" si="279"/>
        <v>11-12%</v>
      </c>
      <c r="AL1199">
        <v>3</v>
      </c>
      <c r="AM1199" t="s">
        <v>68</v>
      </c>
      <c r="AN1199">
        <v>1</v>
      </c>
      <c r="AO1199" t="s">
        <v>69</v>
      </c>
      <c r="AP1199">
        <v>80</v>
      </c>
      <c r="AQ1199">
        <v>0</v>
      </c>
      <c r="AR1199">
        <v>2</v>
      </c>
      <c r="AS1199" t="str">
        <f t="shared" si="280"/>
        <v>0-2</v>
      </c>
      <c r="AT1199">
        <v>3</v>
      </c>
      <c r="AU1199" t="str">
        <f t="shared" si="281"/>
        <v>3-4</v>
      </c>
      <c r="AV1199">
        <v>3</v>
      </c>
      <c r="AW1199" t="s">
        <v>79</v>
      </c>
      <c r="AX1199">
        <v>2</v>
      </c>
      <c r="AY1199" t="str">
        <f t="shared" si="270"/>
        <v>2-5</v>
      </c>
      <c r="AZ1199">
        <v>2</v>
      </c>
      <c r="BA1199" t="str">
        <f t="shared" si="282"/>
        <v>2-5</v>
      </c>
      <c r="BB1199">
        <v>0</v>
      </c>
      <c r="BC1199" t="str">
        <f t="shared" si="283"/>
        <v>0-1</v>
      </c>
      <c r="BD1199">
        <v>2</v>
      </c>
      <c r="BE1199" t="str">
        <f t="shared" si="284"/>
        <v>2-5</v>
      </c>
    </row>
    <row r="1200" spans="1:57" x14ac:dyDescent="0.3">
      <c r="A1200">
        <v>1681</v>
      </c>
      <c r="B1200">
        <v>33</v>
      </c>
      <c r="C1200" t="str">
        <f t="shared" si="271"/>
        <v>26-35</v>
      </c>
      <c r="D1200" t="s">
        <v>71</v>
      </c>
      <c r="E1200">
        <f t="shared" si="272"/>
        <v>0</v>
      </c>
      <c r="F1200" t="s">
        <v>89</v>
      </c>
      <c r="G1200">
        <v>530</v>
      </c>
      <c r="H1200" t="str">
        <f t="shared" si="273"/>
        <v>501-1000</v>
      </c>
      <c r="I1200" t="s">
        <v>58</v>
      </c>
      <c r="J1200">
        <v>16</v>
      </c>
      <c r="K1200" t="str">
        <f t="shared" si="274"/>
        <v>11-20</v>
      </c>
      <c r="L1200">
        <v>3</v>
      </c>
      <c r="M1200" t="s">
        <v>85</v>
      </c>
      <c r="N1200" t="s">
        <v>60</v>
      </c>
      <c r="O1200">
        <v>1</v>
      </c>
      <c r="P1200">
        <v>3</v>
      </c>
      <c r="Q1200" t="s">
        <v>63</v>
      </c>
      <c r="R1200" t="s">
        <v>62</v>
      </c>
      <c r="S1200">
        <v>36</v>
      </c>
      <c r="T1200" t="str">
        <f t="shared" si="275"/>
        <v>30-50</v>
      </c>
      <c r="U1200">
        <v>3</v>
      </c>
      <c r="V1200" t="s">
        <v>63</v>
      </c>
      <c r="W1200">
        <v>2</v>
      </c>
      <c r="X1200" t="s">
        <v>64</v>
      </c>
      <c r="Y1200">
        <v>4</v>
      </c>
      <c r="Z1200" t="s">
        <v>65</v>
      </c>
      <c r="AA1200" t="s">
        <v>86</v>
      </c>
      <c r="AB1200" s="4">
        <v>5368</v>
      </c>
      <c r="AC1200" s="4" t="str">
        <f t="shared" si="276"/>
        <v>$4,000-$5,500</v>
      </c>
      <c r="AD1200">
        <v>16130</v>
      </c>
      <c r="AE1200" t="str">
        <f t="shared" si="277"/>
        <v>$16,001-$22,000</v>
      </c>
      <c r="AF1200">
        <v>1</v>
      </c>
      <c r="AG1200" t="str">
        <f t="shared" si="278"/>
        <v>0-1</v>
      </c>
      <c r="AH1200" t="s">
        <v>67</v>
      </c>
      <c r="AI1200" t="s">
        <v>56</v>
      </c>
      <c r="AJ1200">
        <v>25</v>
      </c>
      <c r="AK1200" t="str">
        <f t="shared" si="279"/>
        <v>18-19%</v>
      </c>
      <c r="AL1200">
        <v>4</v>
      </c>
      <c r="AM1200" t="s">
        <v>78</v>
      </c>
      <c r="AN1200">
        <v>3</v>
      </c>
      <c r="AO1200" t="s">
        <v>63</v>
      </c>
      <c r="AP1200">
        <v>80</v>
      </c>
      <c r="AQ1200">
        <v>1</v>
      </c>
      <c r="AR1200">
        <v>7</v>
      </c>
      <c r="AS1200" t="str">
        <f t="shared" si="280"/>
        <v>6-10</v>
      </c>
      <c r="AT1200">
        <v>2</v>
      </c>
      <c r="AU1200" t="str">
        <f t="shared" si="281"/>
        <v>0-2</v>
      </c>
      <c r="AV1200">
        <v>3</v>
      </c>
      <c r="AW1200" t="s">
        <v>79</v>
      </c>
      <c r="AX1200">
        <v>6</v>
      </c>
      <c r="AY1200" t="str">
        <f t="shared" si="270"/>
        <v>6-10</v>
      </c>
      <c r="AZ1200">
        <v>5</v>
      </c>
      <c r="BA1200" t="str">
        <f t="shared" si="282"/>
        <v>2-5</v>
      </c>
      <c r="BB1200">
        <v>1</v>
      </c>
      <c r="BC1200" t="str">
        <f t="shared" si="283"/>
        <v>0-1</v>
      </c>
      <c r="BD1200">
        <v>2</v>
      </c>
      <c r="BE1200" t="str">
        <f t="shared" si="284"/>
        <v>2-5</v>
      </c>
    </row>
    <row r="1201" spans="1:57" x14ac:dyDescent="0.3">
      <c r="A1201">
        <v>1682</v>
      </c>
      <c r="B1201">
        <v>36</v>
      </c>
      <c r="C1201" t="str">
        <f t="shared" si="271"/>
        <v>36-45</v>
      </c>
      <c r="D1201" t="s">
        <v>71</v>
      </c>
      <c r="E1201">
        <f t="shared" si="272"/>
        <v>0</v>
      </c>
      <c r="F1201" t="s">
        <v>57</v>
      </c>
      <c r="G1201">
        <v>1351</v>
      </c>
      <c r="H1201" t="str">
        <f t="shared" si="273"/>
        <v>1001-1499</v>
      </c>
      <c r="I1201" t="s">
        <v>73</v>
      </c>
      <c r="J1201">
        <v>26</v>
      </c>
      <c r="K1201" t="str">
        <f t="shared" si="274"/>
        <v>21-29</v>
      </c>
      <c r="L1201">
        <v>4</v>
      </c>
      <c r="M1201" t="s">
        <v>82</v>
      </c>
      <c r="N1201" t="s">
        <v>60</v>
      </c>
      <c r="O1201">
        <v>1</v>
      </c>
      <c r="P1201">
        <v>1</v>
      </c>
      <c r="Q1201" t="s">
        <v>69</v>
      </c>
      <c r="R1201" t="s">
        <v>75</v>
      </c>
      <c r="S1201">
        <v>80</v>
      </c>
      <c r="T1201" t="str">
        <f t="shared" si="275"/>
        <v>76-100</v>
      </c>
      <c r="U1201">
        <v>3</v>
      </c>
      <c r="V1201" t="s">
        <v>63</v>
      </c>
      <c r="W1201">
        <v>2</v>
      </c>
      <c r="X1201" t="s">
        <v>88</v>
      </c>
      <c r="Y1201">
        <v>3</v>
      </c>
      <c r="Z1201" t="s">
        <v>63</v>
      </c>
      <c r="AA1201" t="s">
        <v>77</v>
      </c>
      <c r="AB1201" s="4">
        <v>5347</v>
      </c>
      <c r="AC1201" s="4" t="str">
        <f t="shared" si="276"/>
        <v>$4,000-$5,500</v>
      </c>
      <c r="AD1201">
        <v>7419</v>
      </c>
      <c r="AE1201" t="str">
        <f t="shared" si="277"/>
        <v>$2,094-$8,000</v>
      </c>
      <c r="AF1201">
        <v>6</v>
      </c>
      <c r="AG1201" t="str">
        <f t="shared" si="278"/>
        <v>4-6</v>
      </c>
      <c r="AH1201" t="s">
        <v>67</v>
      </c>
      <c r="AI1201" t="s">
        <v>71</v>
      </c>
      <c r="AJ1201">
        <v>14</v>
      </c>
      <c r="AK1201" t="str">
        <f t="shared" si="279"/>
        <v>13-15%</v>
      </c>
      <c r="AL1201">
        <v>3</v>
      </c>
      <c r="AM1201" t="s">
        <v>68</v>
      </c>
      <c r="AN1201">
        <v>2</v>
      </c>
      <c r="AO1201" t="s">
        <v>61</v>
      </c>
      <c r="AP1201">
        <v>80</v>
      </c>
      <c r="AQ1201">
        <v>2</v>
      </c>
      <c r="AR1201">
        <v>10</v>
      </c>
      <c r="AS1201" t="str">
        <f t="shared" si="280"/>
        <v>6-10</v>
      </c>
      <c r="AT1201">
        <v>2</v>
      </c>
      <c r="AU1201" t="str">
        <f t="shared" si="281"/>
        <v>0-2</v>
      </c>
      <c r="AV1201">
        <v>2</v>
      </c>
      <c r="AW1201" t="s">
        <v>84</v>
      </c>
      <c r="AX1201">
        <v>3</v>
      </c>
      <c r="AY1201" t="str">
        <f t="shared" si="270"/>
        <v>2-5</v>
      </c>
      <c r="AZ1201">
        <v>2</v>
      </c>
      <c r="BA1201" t="str">
        <f t="shared" si="282"/>
        <v>2-5</v>
      </c>
      <c r="BB1201">
        <v>0</v>
      </c>
      <c r="BC1201" t="str">
        <f t="shared" si="283"/>
        <v>0-1</v>
      </c>
      <c r="BD1201">
        <v>2</v>
      </c>
      <c r="BE1201" t="str">
        <f t="shared" si="284"/>
        <v>2-5</v>
      </c>
    </row>
    <row r="1202" spans="1:57" x14ac:dyDescent="0.3">
      <c r="A1202">
        <v>1683</v>
      </c>
      <c r="B1202">
        <v>44</v>
      </c>
      <c r="C1202" t="str">
        <f t="shared" si="271"/>
        <v>36-45</v>
      </c>
      <c r="D1202" t="s">
        <v>71</v>
      </c>
      <c r="E1202">
        <f t="shared" si="272"/>
        <v>0</v>
      </c>
      <c r="F1202" t="s">
        <v>57</v>
      </c>
      <c r="G1202">
        <v>528</v>
      </c>
      <c r="H1202" t="str">
        <f t="shared" si="273"/>
        <v>501-1000</v>
      </c>
      <c r="I1202" t="s">
        <v>97</v>
      </c>
      <c r="J1202">
        <v>1</v>
      </c>
      <c r="K1202" t="str">
        <f t="shared" si="274"/>
        <v>1-5</v>
      </c>
      <c r="L1202">
        <v>3</v>
      </c>
      <c r="M1202" t="s">
        <v>85</v>
      </c>
      <c r="N1202" t="s">
        <v>60</v>
      </c>
      <c r="O1202">
        <v>1</v>
      </c>
      <c r="P1202">
        <v>3</v>
      </c>
      <c r="Q1202" t="s">
        <v>63</v>
      </c>
      <c r="R1202" t="s">
        <v>62</v>
      </c>
      <c r="S1202">
        <v>44</v>
      </c>
      <c r="T1202" t="str">
        <f t="shared" si="275"/>
        <v>30-50</v>
      </c>
      <c r="U1202">
        <v>3</v>
      </c>
      <c r="V1202" t="s">
        <v>63</v>
      </c>
      <c r="W1202">
        <v>1</v>
      </c>
      <c r="X1202" t="s">
        <v>97</v>
      </c>
      <c r="Y1202">
        <v>4</v>
      </c>
      <c r="Z1202" t="s">
        <v>65</v>
      </c>
      <c r="AA1202" t="s">
        <v>86</v>
      </c>
      <c r="AB1202" s="4">
        <v>3195</v>
      </c>
      <c r="AC1202" s="4" t="str">
        <f t="shared" si="276"/>
        <v>$2,500-$4,000</v>
      </c>
      <c r="AD1202">
        <v>4167</v>
      </c>
      <c r="AE1202" t="str">
        <f t="shared" si="277"/>
        <v>$2,094-$8,000</v>
      </c>
      <c r="AF1202">
        <v>4</v>
      </c>
      <c r="AG1202" t="str">
        <f t="shared" si="278"/>
        <v>4-6</v>
      </c>
      <c r="AH1202" t="s">
        <v>67</v>
      </c>
      <c r="AI1202" t="s">
        <v>56</v>
      </c>
      <c r="AJ1202">
        <v>18</v>
      </c>
      <c r="AK1202" t="str">
        <f t="shared" si="279"/>
        <v>18-19%</v>
      </c>
      <c r="AL1202">
        <v>3</v>
      </c>
      <c r="AM1202" t="s">
        <v>68</v>
      </c>
      <c r="AN1202">
        <v>1</v>
      </c>
      <c r="AO1202" t="s">
        <v>69</v>
      </c>
      <c r="AP1202">
        <v>80</v>
      </c>
      <c r="AQ1202">
        <v>3</v>
      </c>
      <c r="AR1202">
        <v>8</v>
      </c>
      <c r="AS1202" t="str">
        <f t="shared" si="280"/>
        <v>6-10</v>
      </c>
      <c r="AT1202">
        <v>2</v>
      </c>
      <c r="AU1202" t="str">
        <f t="shared" si="281"/>
        <v>0-2</v>
      </c>
      <c r="AV1202">
        <v>3</v>
      </c>
      <c r="AW1202" t="s">
        <v>79</v>
      </c>
      <c r="AX1202">
        <v>2</v>
      </c>
      <c r="AY1202" t="str">
        <f t="shared" si="270"/>
        <v>2-5</v>
      </c>
      <c r="AZ1202">
        <v>2</v>
      </c>
      <c r="BA1202" t="str">
        <f t="shared" si="282"/>
        <v>2-5</v>
      </c>
      <c r="BB1202">
        <v>2</v>
      </c>
      <c r="BC1202" t="str">
        <f t="shared" si="283"/>
        <v>2-5</v>
      </c>
      <c r="BD1202">
        <v>2</v>
      </c>
      <c r="BE1202" t="str">
        <f t="shared" si="284"/>
        <v>2-5</v>
      </c>
    </row>
    <row r="1203" spans="1:57" x14ac:dyDescent="0.3">
      <c r="A1203">
        <v>1684</v>
      </c>
      <c r="B1203">
        <v>23</v>
      </c>
      <c r="C1203" t="str">
        <f t="shared" si="271"/>
        <v>18-25</v>
      </c>
      <c r="D1203" t="s">
        <v>56</v>
      </c>
      <c r="E1203">
        <f t="shared" si="272"/>
        <v>1</v>
      </c>
      <c r="F1203" t="s">
        <v>57</v>
      </c>
      <c r="G1203">
        <v>1320</v>
      </c>
      <c r="H1203" t="str">
        <f t="shared" si="273"/>
        <v>1001-1499</v>
      </c>
      <c r="I1203" t="s">
        <v>73</v>
      </c>
      <c r="J1203">
        <v>8</v>
      </c>
      <c r="K1203" t="str">
        <f t="shared" si="274"/>
        <v>6-10</v>
      </c>
      <c r="L1203">
        <v>1</v>
      </c>
      <c r="M1203" t="s">
        <v>74</v>
      </c>
      <c r="N1203" t="s">
        <v>83</v>
      </c>
      <c r="O1203">
        <v>1</v>
      </c>
      <c r="P1203">
        <v>4</v>
      </c>
      <c r="Q1203" t="s">
        <v>65</v>
      </c>
      <c r="R1203" t="s">
        <v>75</v>
      </c>
      <c r="S1203">
        <v>93</v>
      </c>
      <c r="T1203" t="str">
        <f t="shared" si="275"/>
        <v>76-100</v>
      </c>
      <c r="U1203">
        <v>2</v>
      </c>
      <c r="V1203" t="s">
        <v>61</v>
      </c>
      <c r="W1203">
        <v>1</v>
      </c>
      <c r="X1203" t="s">
        <v>81</v>
      </c>
      <c r="Y1203">
        <v>3</v>
      </c>
      <c r="Z1203" t="s">
        <v>63</v>
      </c>
      <c r="AA1203" t="s">
        <v>66</v>
      </c>
      <c r="AB1203" s="4">
        <v>3989</v>
      </c>
      <c r="AC1203" s="4" t="str">
        <f t="shared" si="276"/>
        <v>$2,500-$4,000</v>
      </c>
      <c r="AD1203">
        <v>20586</v>
      </c>
      <c r="AE1203" t="str">
        <f t="shared" si="277"/>
        <v>$16,001-$22,000</v>
      </c>
      <c r="AF1203">
        <v>1</v>
      </c>
      <c r="AG1203" t="str">
        <f t="shared" si="278"/>
        <v>0-1</v>
      </c>
      <c r="AH1203" t="s">
        <v>67</v>
      </c>
      <c r="AI1203" t="s">
        <v>56</v>
      </c>
      <c r="AJ1203">
        <v>11</v>
      </c>
      <c r="AK1203" t="str">
        <f t="shared" si="279"/>
        <v>11-12%</v>
      </c>
      <c r="AL1203">
        <v>3</v>
      </c>
      <c r="AM1203" t="s">
        <v>68</v>
      </c>
      <c r="AN1203">
        <v>1</v>
      </c>
      <c r="AO1203" t="s">
        <v>69</v>
      </c>
      <c r="AP1203">
        <v>80</v>
      </c>
      <c r="AQ1203">
        <v>0</v>
      </c>
      <c r="AR1203">
        <v>5</v>
      </c>
      <c r="AS1203" t="str">
        <f t="shared" si="280"/>
        <v>3-5</v>
      </c>
      <c r="AT1203">
        <v>2</v>
      </c>
      <c r="AU1203" t="str">
        <f t="shared" si="281"/>
        <v>0-2</v>
      </c>
      <c r="AV1203">
        <v>3</v>
      </c>
      <c r="AW1203" t="s">
        <v>79</v>
      </c>
      <c r="AX1203">
        <v>5</v>
      </c>
      <c r="AY1203" t="str">
        <f t="shared" si="270"/>
        <v>2-5</v>
      </c>
      <c r="AZ1203">
        <v>4</v>
      </c>
      <c r="BA1203" t="str">
        <f t="shared" si="282"/>
        <v>2-5</v>
      </c>
      <c r="BB1203">
        <v>1</v>
      </c>
      <c r="BC1203" t="str">
        <f t="shared" si="283"/>
        <v>0-1</v>
      </c>
      <c r="BD1203">
        <v>2</v>
      </c>
      <c r="BE1203" t="str">
        <f t="shared" si="284"/>
        <v>2-5</v>
      </c>
    </row>
    <row r="1204" spans="1:57" x14ac:dyDescent="0.3">
      <c r="A1204">
        <v>1687</v>
      </c>
      <c r="B1204">
        <v>38</v>
      </c>
      <c r="C1204" t="str">
        <f t="shared" si="271"/>
        <v>36-45</v>
      </c>
      <c r="D1204" t="s">
        <v>71</v>
      </c>
      <c r="E1204">
        <f t="shared" si="272"/>
        <v>0</v>
      </c>
      <c r="F1204" t="s">
        <v>57</v>
      </c>
      <c r="G1204">
        <v>1495</v>
      </c>
      <c r="H1204" t="str">
        <f t="shared" si="273"/>
        <v>1001-1499</v>
      </c>
      <c r="I1204" t="s">
        <v>73</v>
      </c>
      <c r="J1204">
        <v>4</v>
      </c>
      <c r="K1204" t="str">
        <f t="shared" si="274"/>
        <v>1-5</v>
      </c>
      <c r="L1204">
        <v>2</v>
      </c>
      <c r="M1204" t="s">
        <v>59</v>
      </c>
      <c r="N1204" t="s">
        <v>83</v>
      </c>
      <c r="O1204">
        <v>1</v>
      </c>
      <c r="P1204">
        <v>4</v>
      </c>
      <c r="Q1204" t="s">
        <v>65</v>
      </c>
      <c r="R1204" t="s">
        <v>62</v>
      </c>
      <c r="S1204">
        <v>87</v>
      </c>
      <c r="T1204" t="str">
        <f t="shared" si="275"/>
        <v>76-100</v>
      </c>
      <c r="U1204">
        <v>3</v>
      </c>
      <c r="V1204" t="s">
        <v>63</v>
      </c>
      <c r="W1204">
        <v>1</v>
      </c>
      <c r="X1204" t="s">
        <v>81</v>
      </c>
      <c r="Y1204">
        <v>3</v>
      </c>
      <c r="Z1204" t="s">
        <v>63</v>
      </c>
      <c r="AA1204" t="s">
        <v>77</v>
      </c>
      <c r="AB1204" s="4">
        <v>3306</v>
      </c>
      <c r="AC1204" s="4" t="str">
        <f t="shared" si="276"/>
        <v>$2,500-$4,000</v>
      </c>
      <c r="AD1204">
        <v>26176</v>
      </c>
      <c r="AE1204" t="str">
        <f t="shared" si="277"/>
        <v>$22,001-$26,999</v>
      </c>
      <c r="AF1204">
        <v>7</v>
      </c>
      <c r="AG1204" t="str">
        <f t="shared" si="278"/>
        <v>7-9</v>
      </c>
      <c r="AH1204" t="s">
        <v>67</v>
      </c>
      <c r="AI1204" t="s">
        <v>71</v>
      </c>
      <c r="AJ1204">
        <v>19</v>
      </c>
      <c r="AK1204" t="str">
        <f t="shared" si="279"/>
        <v>18-19%</v>
      </c>
      <c r="AL1204">
        <v>3</v>
      </c>
      <c r="AM1204" t="s">
        <v>68</v>
      </c>
      <c r="AN1204">
        <v>4</v>
      </c>
      <c r="AO1204" t="s">
        <v>65</v>
      </c>
      <c r="AP1204">
        <v>80</v>
      </c>
      <c r="AQ1204">
        <v>1</v>
      </c>
      <c r="AR1204">
        <v>7</v>
      </c>
      <c r="AS1204" t="str">
        <f t="shared" si="280"/>
        <v>6-10</v>
      </c>
      <c r="AT1204">
        <v>5</v>
      </c>
      <c r="AU1204" t="str">
        <f t="shared" si="281"/>
        <v>5-6</v>
      </c>
      <c r="AV1204">
        <v>2</v>
      </c>
      <c r="AW1204" t="s">
        <v>84</v>
      </c>
      <c r="AX1204">
        <v>0</v>
      </c>
      <c r="AY1204" t="str">
        <f t="shared" si="270"/>
        <v>0-1</v>
      </c>
      <c r="AZ1204">
        <v>0</v>
      </c>
      <c r="BA1204" t="str">
        <f t="shared" si="282"/>
        <v>0-1</v>
      </c>
      <c r="BB1204">
        <v>0</v>
      </c>
      <c r="BC1204" t="str">
        <f t="shared" si="283"/>
        <v>0-1</v>
      </c>
      <c r="BD1204">
        <v>0</v>
      </c>
      <c r="BE1204" t="str">
        <f t="shared" si="284"/>
        <v>0-1</v>
      </c>
    </row>
    <row r="1205" spans="1:57" x14ac:dyDescent="0.3">
      <c r="A1205">
        <v>1689</v>
      </c>
      <c r="B1205">
        <v>53</v>
      </c>
      <c r="C1205" t="str">
        <f t="shared" si="271"/>
        <v>46-55</v>
      </c>
      <c r="D1205" t="s">
        <v>71</v>
      </c>
      <c r="E1205">
        <f t="shared" si="272"/>
        <v>0</v>
      </c>
      <c r="F1205" t="s">
        <v>57</v>
      </c>
      <c r="G1205">
        <v>1395</v>
      </c>
      <c r="H1205" t="str">
        <f t="shared" si="273"/>
        <v>1001-1499</v>
      </c>
      <c r="I1205" t="s">
        <v>73</v>
      </c>
      <c r="J1205">
        <v>24</v>
      </c>
      <c r="K1205" t="str">
        <f t="shared" si="274"/>
        <v>21-29</v>
      </c>
      <c r="L1205">
        <v>4</v>
      </c>
      <c r="M1205" t="s">
        <v>82</v>
      </c>
      <c r="N1205" t="s">
        <v>83</v>
      </c>
      <c r="O1205">
        <v>1</v>
      </c>
      <c r="P1205">
        <v>2</v>
      </c>
      <c r="Q1205" t="s">
        <v>61</v>
      </c>
      <c r="R1205" t="s">
        <v>75</v>
      </c>
      <c r="S1205">
        <v>48</v>
      </c>
      <c r="T1205" t="str">
        <f t="shared" si="275"/>
        <v>30-50</v>
      </c>
      <c r="U1205">
        <v>4</v>
      </c>
      <c r="V1205" t="s">
        <v>65</v>
      </c>
      <c r="W1205">
        <v>3</v>
      </c>
      <c r="X1205" t="s">
        <v>88</v>
      </c>
      <c r="Y1205">
        <v>4</v>
      </c>
      <c r="Z1205" t="s">
        <v>65</v>
      </c>
      <c r="AA1205" t="s">
        <v>77</v>
      </c>
      <c r="AB1205" s="4">
        <v>7005</v>
      </c>
      <c r="AC1205" s="4" t="str">
        <f t="shared" si="276"/>
        <v>$7,000-$8,500</v>
      </c>
      <c r="AD1205">
        <v>3458</v>
      </c>
      <c r="AE1205" t="str">
        <f t="shared" si="277"/>
        <v>$2,094-$8,000</v>
      </c>
      <c r="AF1205">
        <v>3</v>
      </c>
      <c r="AG1205" t="str">
        <f t="shared" si="278"/>
        <v>2-3</v>
      </c>
      <c r="AH1205" t="s">
        <v>67</v>
      </c>
      <c r="AI1205" t="s">
        <v>71</v>
      </c>
      <c r="AJ1205">
        <v>15</v>
      </c>
      <c r="AK1205" t="str">
        <f t="shared" si="279"/>
        <v>13-15%</v>
      </c>
      <c r="AL1205">
        <v>3</v>
      </c>
      <c r="AM1205" t="s">
        <v>68</v>
      </c>
      <c r="AN1205">
        <v>3</v>
      </c>
      <c r="AO1205" t="s">
        <v>63</v>
      </c>
      <c r="AP1205">
        <v>80</v>
      </c>
      <c r="AQ1205">
        <v>0</v>
      </c>
      <c r="AR1205">
        <v>11</v>
      </c>
      <c r="AS1205" t="str">
        <f t="shared" si="280"/>
        <v>11-20</v>
      </c>
      <c r="AT1205">
        <v>2</v>
      </c>
      <c r="AU1205" t="str">
        <f t="shared" si="281"/>
        <v>0-2</v>
      </c>
      <c r="AV1205">
        <v>3</v>
      </c>
      <c r="AW1205" t="s">
        <v>79</v>
      </c>
      <c r="AX1205">
        <v>4</v>
      </c>
      <c r="AY1205" t="str">
        <f t="shared" si="270"/>
        <v>2-5</v>
      </c>
      <c r="AZ1205">
        <v>3</v>
      </c>
      <c r="BA1205" t="str">
        <f t="shared" si="282"/>
        <v>2-5</v>
      </c>
      <c r="BB1205">
        <v>1</v>
      </c>
      <c r="BC1205" t="str">
        <f t="shared" si="283"/>
        <v>0-1</v>
      </c>
      <c r="BD1205">
        <v>2</v>
      </c>
      <c r="BE1205" t="str">
        <f t="shared" si="284"/>
        <v>2-5</v>
      </c>
    </row>
    <row r="1206" spans="1:57" x14ac:dyDescent="0.3">
      <c r="A1206">
        <v>1691</v>
      </c>
      <c r="B1206">
        <v>48</v>
      </c>
      <c r="C1206" t="str">
        <f t="shared" si="271"/>
        <v>46-55</v>
      </c>
      <c r="D1206" t="s">
        <v>56</v>
      </c>
      <c r="E1206">
        <f t="shared" si="272"/>
        <v>1</v>
      </c>
      <c r="F1206" t="s">
        <v>72</v>
      </c>
      <c r="G1206">
        <v>708</v>
      </c>
      <c r="H1206" t="str">
        <f t="shared" si="273"/>
        <v>501-1000</v>
      </c>
      <c r="I1206" t="s">
        <v>58</v>
      </c>
      <c r="J1206">
        <v>7</v>
      </c>
      <c r="K1206" t="str">
        <f t="shared" si="274"/>
        <v>6-10</v>
      </c>
      <c r="L1206">
        <v>2</v>
      </c>
      <c r="M1206" t="s">
        <v>59</v>
      </c>
      <c r="N1206" t="s">
        <v>83</v>
      </c>
      <c r="O1206">
        <v>1</v>
      </c>
      <c r="P1206">
        <v>4</v>
      </c>
      <c r="Q1206" t="s">
        <v>65</v>
      </c>
      <c r="R1206" t="s">
        <v>62</v>
      </c>
      <c r="S1206">
        <v>95</v>
      </c>
      <c r="T1206" t="str">
        <f t="shared" si="275"/>
        <v>76-100</v>
      </c>
      <c r="U1206">
        <v>3</v>
      </c>
      <c r="V1206" t="s">
        <v>63</v>
      </c>
      <c r="W1206">
        <v>1</v>
      </c>
      <c r="X1206" t="s">
        <v>91</v>
      </c>
      <c r="Y1206">
        <v>3</v>
      </c>
      <c r="Z1206" t="s">
        <v>63</v>
      </c>
      <c r="AA1206" t="s">
        <v>77</v>
      </c>
      <c r="AB1206" s="4">
        <v>2655</v>
      </c>
      <c r="AC1206" s="4" t="str">
        <f t="shared" si="276"/>
        <v>$2,500-$4,000</v>
      </c>
      <c r="AD1206">
        <v>11740</v>
      </c>
      <c r="AE1206" t="str">
        <f t="shared" si="277"/>
        <v>$8,001-$16,000</v>
      </c>
      <c r="AF1206">
        <v>2</v>
      </c>
      <c r="AG1206" t="str">
        <f t="shared" si="278"/>
        <v>2-3</v>
      </c>
      <c r="AH1206" t="s">
        <v>67</v>
      </c>
      <c r="AI1206" t="s">
        <v>56</v>
      </c>
      <c r="AJ1206">
        <v>11</v>
      </c>
      <c r="AK1206" t="str">
        <f t="shared" si="279"/>
        <v>11-12%</v>
      </c>
      <c r="AL1206">
        <v>3</v>
      </c>
      <c r="AM1206" t="s">
        <v>68</v>
      </c>
      <c r="AN1206">
        <v>3</v>
      </c>
      <c r="AO1206" t="s">
        <v>63</v>
      </c>
      <c r="AP1206">
        <v>80</v>
      </c>
      <c r="AQ1206">
        <v>2</v>
      </c>
      <c r="AR1206">
        <v>19</v>
      </c>
      <c r="AS1206" t="str">
        <f t="shared" si="280"/>
        <v>11-20</v>
      </c>
      <c r="AT1206">
        <v>3</v>
      </c>
      <c r="AU1206" t="str">
        <f t="shared" si="281"/>
        <v>3-4</v>
      </c>
      <c r="AV1206">
        <v>3</v>
      </c>
      <c r="AW1206" t="s">
        <v>79</v>
      </c>
      <c r="AX1206">
        <v>9</v>
      </c>
      <c r="AY1206" t="str">
        <f t="shared" si="270"/>
        <v>6-10</v>
      </c>
      <c r="AZ1206">
        <v>7</v>
      </c>
      <c r="BA1206" t="str">
        <f t="shared" si="282"/>
        <v>6-10</v>
      </c>
      <c r="BB1206">
        <v>7</v>
      </c>
      <c r="BC1206" t="str">
        <f t="shared" si="283"/>
        <v>6-10</v>
      </c>
      <c r="BD1206">
        <v>7</v>
      </c>
      <c r="BE1206" t="str">
        <f t="shared" si="284"/>
        <v>6-10</v>
      </c>
    </row>
    <row r="1207" spans="1:57" x14ac:dyDescent="0.3">
      <c r="A1207">
        <v>1692</v>
      </c>
      <c r="B1207">
        <v>32</v>
      </c>
      <c r="C1207" t="str">
        <f t="shared" si="271"/>
        <v>26-35</v>
      </c>
      <c r="D1207" t="s">
        <v>56</v>
      </c>
      <c r="E1207">
        <f t="shared" si="272"/>
        <v>1</v>
      </c>
      <c r="F1207" t="s">
        <v>57</v>
      </c>
      <c r="G1207">
        <v>1259</v>
      </c>
      <c r="H1207" t="str">
        <f t="shared" si="273"/>
        <v>1001-1499</v>
      </c>
      <c r="I1207" t="s">
        <v>73</v>
      </c>
      <c r="J1207">
        <v>2</v>
      </c>
      <c r="K1207" t="str">
        <f t="shared" si="274"/>
        <v>1-5</v>
      </c>
      <c r="L1207">
        <v>4</v>
      </c>
      <c r="M1207" t="s">
        <v>82</v>
      </c>
      <c r="N1207" t="s">
        <v>60</v>
      </c>
      <c r="O1207">
        <v>1</v>
      </c>
      <c r="P1207">
        <v>4</v>
      </c>
      <c r="Q1207" t="s">
        <v>65</v>
      </c>
      <c r="R1207" t="s">
        <v>75</v>
      </c>
      <c r="S1207">
        <v>95</v>
      </c>
      <c r="T1207" t="str">
        <f t="shared" si="275"/>
        <v>76-100</v>
      </c>
      <c r="U1207">
        <v>3</v>
      </c>
      <c r="V1207" t="s">
        <v>63</v>
      </c>
      <c r="W1207">
        <v>1</v>
      </c>
      <c r="X1207" t="s">
        <v>81</v>
      </c>
      <c r="Y1207">
        <v>2</v>
      </c>
      <c r="Z1207" t="s">
        <v>61</v>
      </c>
      <c r="AA1207" t="s">
        <v>66</v>
      </c>
      <c r="AB1207" s="4">
        <v>1393</v>
      </c>
      <c r="AC1207" s="4" t="str">
        <f t="shared" si="276"/>
        <v>$1,000-$2,500</v>
      </c>
      <c r="AD1207">
        <v>24852</v>
      </c>
      <c r="AE1207" t="str">
        <f t="shared" si="277"/>
        <v>$22,001-$26,999</v>
      </c>
      <c r="AF1207">
        <v>1</v>
      </c>
      <c r="AG1207" t="str">
        <f t="shared" si="278"/>
        <v>0-1</v>
      </c>
      <c r="AH1207" t="s">
        <v>67</v>
      </c>
      <c r="AI1207" t="s">
        <v>71</v>
      </c>
      <c r="AJ1207">
        <v>12</v>
      </c>
      <c r="AK1207" t="str">
        <f t="shared" si="279"/>
        <v>11-12%</v>
      </c>
      <c r="AL1207">
        <v>3</v>
      </c>
      <c r="AM1207" t="s">
        <v>68</v>
      </c>
      <c r="AN1207">
        <v>1</v>
      </c>
      <c r="AO1207" t="s">
        <v>69</v>
      </c>
      <c r="AP1207">
        <v>80</v>
      </c>
      <c r="AQ1207">
        <v>0</v>
      </c>
      <c r="AR1207">
        <v>1</v>
      </c>
      <c r="AS1207" t="str">
        <f t="shared" si="280"/>
        <v>0-2</v>
      </c>
      <c r="AT1207">
        <v>2</v>
      </c>
      <c r="AU1207" t="str">
        <f t="shared" si="281"/>
        <v>0-2</v>
      </c>
      <c r="AV1207">
        <v>3</v>
      </c>
      <c r="AW1207" t="s">
        <v>79</v>
      </c>
      <c r="AX1207">
        <v>1</v>
      </c>
      <c r="AY1207" t="str">
        <f t="shared" si="270"/>
        <v>0-1</v>
      </c>
      <c r="AZ1207">
        <v>0</v>
      </c>
      <c r="BA1207" t="str">
        <f t="shared" si="282"/>
        <v>0-1</v>
      </c>
      <c r="BB1207">
        <v>0</v>
      </c>
      <c r="BC1207" t="str">
        <f t="shared" si="283"/>
        <v>0-1</v>
      </c>
      <c r="BD1207">
        <v>0</v>
      </c>
      <c r="BE1207" t="str">
        <f t="shared" si="284"/>
        <v>0-1</v>
      </c>
    </row>
    <row r="1208" spans="1:57" x14ac:dyDescent="0.3">
      <c r="A1208">
        <v>1693</v>
      </c>
      <c r="B1208">
        <v>26</v>
      </c>
      <c r="C1208" t="str">
        <f t="shared" si="271"/>
        <v>26-35</v>
      </c>
      <c r="D1208" t="s">
        <v>71</v>
      </c>
      <c r="E1208">
        <f t="shared" si="272"/>
        <v>0</v>
      </c>
      <c r="F1208" t="s">
        <v>89</v>
      </c>
      <c r="G1208">
        <v>786</v>
      </c>
      <c r="H1208" t="str">
        <f t="shared" si="273"/>
        <v>501-1000</v>
      </c>
      <c r="I1208" t="s">
        <v>73</v>
      </c>
      <c r="J1208">
        <v>7</v>
      </c>
      <c r="K1208" t="str">
        <f t="shared" si="274"/>
        <v>6-10</v>
      </c>
      <c r="L1208">
        <v>3</v>
      </c>
      <c r="M1208" t="s">
        <v>85</v>
      </c>
      <c r="N1208" t="s">
        <v>83</v>
      </c>
      <c r="O1208">
        <v>1</v>
      </c>
      <c r="P1208">
        <v>4</v>
      </c>
      <c r="Q1208" t="s">
        <v>65</v>
      </c>
      <c r="R1208" t="s">
        <v>75</v>
      </c>
      <c r="S1208">
        <v>76</v>
      </c>
      <c r="T1208" t="str">
        <f t="shared" si="275"/>
        <v>76-100</v>
      </c>
      <c r="U1208">
        <v>3</v>
      </c>
      <c r="V1208" t="s">
        <v>63</v>
      </c>
      <c r="W1208">
        <v>1</v>
      </c>
      <c r="X1208" t="s">
        <v>81</v>
      </c>
      <c r="Y1208">
        <v>4</v>
      </c>
      <c r="Z1208" t="s">
        <v>65</v>
      </c>
      <c r="AA1208" t="s">
        <v>66</v>
      </c>
      <c r="AB1208" s="4">
        <v>2570</v>
      </c>
      <c r="AC1208" s="4" t="str">
        <f t="shared" si="276"/>
        <v>$2,500-$4,000</v>
      </c>
      <c r="AD1208">
        <v>11925</v>
      </c>
      <c r="AE1208" t="str">
        <f t="shared" si="277"/>
        <v>$8,001-$16,000</v>
      </c>
      <c r="AF1208">
        <v>1</v>
      </c>
      <c r="AG1208" t="str">
        <f t="shared" si="278"/>
        <v>0-1</v>
      </c>
      <c r="AH1208" t="s">
        <v>67</v>
      </c>
      <c r="AI1208" t="s">
        <v>71</v>
      </c>
      <c r="AJ1208">
        <v>20</v>
      </c>
      <c r="AK1208" t="str">
        <f t="shared" si="279"/>
        <v>18-19%</v>
      </c>
      <c r="AL1208">
        <v>4</v>
      </c>
      <c r="AM1208" t="s">
        <v>78</v>
      </c>
      <c r="AN1208">
        <v>3</v>
      </c>
      <c r="AO1208" t="s">
        <v>63</v>
      </c>
      <c r="AP1208">
        <v>80</v>
      </c>
      <c r="AQ1208">
        <v>0</v>
      </c>
      <c r="AR1208">
        <v>7</v>
      </c>
      <c r="AS1208" t="str">
        <f t="shared" si="280"/>
        <v>6-10</v>
      </c>
      <c r="AT1208">
        <v>5</v>
      </c>
      <c r="AU1208" t="str">
        <f t="shared" si="281"/>
        <v>5-6</v>
      </c>
      <c r="AV1208">
        <v>3</v>
      </c>
      <c r="AW1208" t="s">
        <v>79</v>
      </c>
      <c r="AX1208">
        <v>7</v>
      </c>
      <c r="AY1208" t="str">
        <f t="shared" si="270"/>
        <v>6-10</v>
      </c>
      <c r="AZ1208">
        <v>7</v>
      </c>
      <c r="BA1208" t="str">
        <f t="shared" si="282"/>
        <v>6-10</v>
      </c>
      <c r="BB1208">
        <v>5</v>
      </c>
      <c r="BC1208" t="str">
        <f t="shared" si="283"/>
        <v>2-5</v>
      </c>
      <c r="BD1208">
        <v>7</v>
      </c>
      <c r="BE1208" t="str">
        <f t="shared" si="284"/>
        <v>6-10</v>
      </c>
    </row>
    <row r="1209" spans="1:57" x14ac:dyDescent="0.3">
      <c r="A1209">
        <v>1694</v>
      </c>
      <c r="B1209">
        <v>55</v>
      </c>
      <c r="C1209" t="str">
        <f t="shared" si="271"/>
        <v>46-55</v>
      </c>
      <c r="D1209" t="s">
        <v>71</v>
      </c>
      <c r="E1209">
        <f t="shared" si="272"/>
        <v>0</v>
      </c>
      <c r="F1209" t="s">
        <v>57</v>
      </c>
      <c r="G1209">
        <v>1441</v>
      </c>
      <c r="H1209" t="str">
        <f t="shared" si="273"/>
        <v>1001-1499</v>
      </c>
      <c r="I1209" t="s">
        <v>73</v>
      </c>
      <c r="J1209">
        <v>22</v>
      </c>
      <c r="K1209" t="str">
        <f t="shared" si="274"/>
        <v>21-29</v>
      </c>
      <c r="L1209">
        <v>3</v>
      </c>
      <c r="M1209" t="s">
        <v>85</v>
      </c>
      <c r="N1209" t="s">
        <v>95</v>
      </c>
      <c r="O1209">
        <v>1</v>
      </c>
      <c r="P1209">
        <v>1</v>
      </c>
      <c r="Q1209" t="s">
        <v>69</v>
      </c>
      <c r="R1209" t="s">
        <v>75</v>
      </c>
      <c r="S1209">
        <v>94</v>
      </c>
      <c r="T1209" t="str">
        <f t="shared" si="275"/>
        <v>76-100</v>
      </c>
      <c r="U1209">
        <v>2</v>
      </c>
      <c r="V1209" t="s">
        <v>61</v>
      </c>
      <c r="W1209">
        <v>1</v>
      </c>
      <c r="X1209" t="s">
        <v>76</v>
      </c>
      <c r="Y1209">
        <v>2</v>
      </c>
      <c r="Z1209" t="s">
        <v>61</v>
      </c>
      <c r="AA1209" t="s">
        <v>86</v>
      </c>
      <c r="AB1209" s="4">
        <v>3537</v>
      </c>
      <c r="AC1209" s="4" t="str">
        <f t="shared" si="276"/>
        <v>$2,500-$4,000</v>
      </c>
      <c r="AD1209">
        <v>23737</v>
      </c>
      <c r="AE1209" t="str">
        <f t="shared" si="277"/>
        <v>$22,001-$26,999</v>
      </c>
      <c r="AF1209">
        <v>5</v>
      </c>
      <c r="AG1209" t="str">
        <f t="shared" si="278"/>
        <v>4-6</v>
      </c>
      <c r="AH1209" t="s">
        <v>67</v>
      </c>
      <c r="AI1209" t="s">
        <v>71</v>
      </c>
      <c r="AJ1209">
        <v>12</v>
      </c>
      <c r="AK1209" t="str">
        <f t="shared" si="279"/>
        <v>11-12%</v>
      </c>
      <c r="AL1209">
        <v>3</v>
      </c>
      <c r="AM1209" t="s">
        <v>68</v>
      </c>
      <c r="AN1209">
        <v>4</v>
      </c>
      <c r="AO1209" t="s">
        <v>65</v>
      </c>
      <c r="AP1209">
        <v>80</v>
      </c>
      <c r="AQ1209">
        <v>1</v>
      </c>
      <c r="AR1209">
        <v>8</v>
      </c>
      <c r="AS1209" t="str">
        <f t="shared" si="280"/>
        <v>6-10</v>
      </c>
      <c r="AT1209">
        <v>1</v>
      </c>
      <c r="AU1209" t="str">
        <f t="shared" si="281"/>
        <v>0-2</v>
      </c>
      <c r="AV1209">
        <v>3</v>
      </c>
      <c r="AW1209" t="s">
        <v>79</v>
      </c>
      <c r="AX1209">
        <v>4</v>
      </c>
      <c r="AY1209" t="str">
        <f t="shared" si="270"/>
        <v>2-5</v>
      </c>
      <c r="AZ1209">
        <v>2</v>
      </c>
      <c r="BA1209" t="str">
        <f t="shared" si="282"/>
        <v>2-5</v>
      </c>
      <c r="BB1209">
        <v>1</v>
      </c>
      <c r="BC1209" t="str">
        <f t="shared" si="283"/>
        <v>0-1</v>
      </c>
      <c r="BD1209">
        <v>2</v>
      </c>
      <c r="BE1209" t="str">
        <f t="shared" si="284"/>
        <v>2-5</v>
      </c>
    </row>
    <row r="1210" spans="1:57" x14ac:dyDescent="0.3">
      <c r="A1210">
        <v>1696</v>
      </c>
      <c r="B1210">
        <v>34</v>
      </c>
      <c r="C1210" t="str">
        <f t="shared" si="271"/>
        <v>26-35</v>
      </c>
      <c r="D1210" t="s">
        <v>71</v>
      </c>
      <c r="E1210">
        <f t="shared" si="272"/>
        <v>0</v>
      </c>
      <c r="F1210" t="s">
        <v>57</v>
      </c>
      <c r="G1210">
        <v>1157</v>
      </c>
      <c r="H1210" t="str">
        <f t="shared" si="273"/>
        <v>1001-1499</v>
      </c>
      <c r="I1210" t="s">
        <v>73</v>
      </c>
      <c r="J1210">
        <v>5</v>
      </c>
      <c r="K1210" t="str">
        <f t="shared" si="274"/>
        <v>1-5</v>
      </c>
      <c r="L1210">
        <v>2</v>
      </c>
      <c r="M1210" t="s">
        <v>59</v>
      </c>
      <c r="N1210" t="s">
        <v>83</v>
      </c>
      <c r="O1210">
        <v>1</v>
      </c>
      <c r="P1210">
        <v>2</v>
      </c>
      <c r="Q1210" t="s">
        <v>61</v>
      </c>
      <c r="R1210" t="s">
        <v>75</v>
      </c>
      <c r="S1210">
        <v>57</v>
      </c>
      <c r="T1210" t="str">
        <f t="shared" si="275"/>
        <v>51-75</v>
      </c>
      <c r="U1210">
        <v>2</v>
      </c>
      <c r="V1210" t="s">
        <v>61</v>
      </c>
      <c r="W1210">
        <v>2</v>
      </c>
      <c r="X1210" t="s">
        <v>81</v>
      </c>
      <c r="Y1210">
        <v>4</v>
      </c>
      <c r="Z1210" t="s">
        <v>65</v>
      </c>
      <c r="AA1210" t="s">
        <v>77</v>
      </c>
      <c r="AB1210" s="4">
        <v>3986</v>
      </c>
      <c r="AC1210" s="4" t="str">
        <f t="shared" si="276"/>
        <v>$2,500-$4,000</v>
      </c>
      <c r="AD1210">
        <v>11912</v>
      </c>
      <c r="AE1210" t="str">
        <f t="shared" si="277"/>
        <v>$8,001-$16,000</v>
      </c>
      <c r="AF1210">
        <v>1</v>
      </c>
      <c r="AG1210" t="str">
        <f t="shared" si="278"/>
        <v>0-1</v>
      </c>
      <c r="AH1210" t="s">
        <v>67</v>
      </c>
      <c r="AI1210" t="s">
        <v>71</v>
      </c>
      <c r="AJ1210">
        <v>14</v>
      </c>
      <c r="AK1210" t="str">
        <f t="shared" si="279"/>
        <v>13-15%</v>
      </c>
      <c r="AL1210">
        <v>3</v>
      </c>
      <c r="AM1210" t="s">
        <v>68</v>
      </c>
      <c r="AN1210">
        <v>3</v>
      </c>
      <c r="AO1210" t="s">
        <v>63</v>
      </c>
      <c r="AP1210">
        <v>80</v>
      </c>
      <c r="AQ1210">
        <v>1</v>
      </c>
      <c r="AR1210">
        <v>15</v>
      </c>
      <c r="AS1210" t="str">
        <f t="shared" si="280"/>
        <v>11-20</v>
      </c>
      <c r="AT1210">
        <v>3</v>
      </c>
      <c r="AU1210" t="str">
        <f t="shared" si="281"/>
        <v>3-4</v>
      </c>
      <c r="AV1210">
        <v>4</v>
      </c>
      <c r="AW1210" t="s">
        <v>94</v>
      </c>
      <c r="AX1210">
        <v>15</v>
      </c>
      <c r="AY1210" t="str">
        <f t="shared" si="270"/>
        <v>11-20</v>
      </c>
      <c r="AZ1210">
        <v>10</v>
      </c>
      <c r="BA1210" t="str">
        <f t="shared" si="282"/>
        <v>6-10</v>
      </c>
      <c r="BB1210">
        <v>4</v>
      </c>
      <c r="BC1210" t="str">
        <f t="shared" si="283"/>
        <v>2-5</v>
      </c>
      <c r="BD1210">
        <v>13</v>
      </c>
      <c r="BE1210" t="str">
        <f t="shared" si="284"/>
        <v>11-17</v>
      </c>
    </row>
    <row r="1211" spans="1:57" x14ac:dyDescent="0.3">
      <c r="A1211">
        <v>1697</v>
      </c>
      <c r="B1211">
        <v>60</v>
      </c>
      <c r="C1211" t="str">
        <f t="shared" si="271"/>
        <v>56+</v>
      </c>
      <c r="D1211" t="s">
        <v>71</v>
      </c>
      <c r="E1211">
        <f t="shared" si="272"/>
        <v>0</v>
      </c>
      <c r="F1211" t="s">
        <v>57</v>
      </c>
      <c r="G1211">
        <v>370</v>
      </c>
      <c r="H1211" t="str">
        <f t="shared" si="273"/>
        <v>102-500</v>
      </c>
      <c r="I1211" t="s">
        <v>73</v>
      </c>
      <c r="J1211">
        <v>1</v>
      </c>
      <c r="K1211" t="str">
        <f t="shared" si="274"/>
        <v>1-5</v>
      </c>
      <c r="L1211">
        <v>4</v>
      </c>
      <c r="M1211" t="s">
        <v>82</v>
      </c>
      <c r="N1211" t="s">
        <v>83</v>
      </c>
      <c r="O1211">
        <v>1</v>
      </c>
      <c r="P1211">
        <v>3</v>
      </c>
      <c r="Q1211" t="s">
        <v>63</v>
      </c>
      <c r="R1211" t="s">
        <v>75</v>
      </c>
      <c r="S1211">
        <v>92</v>
      </c>
      <c r="T1211" t="str">
        <f t="shared" si="275"/>
        <v>76-100</v>
      </c>
      <c r="U1211">
        <v>1</v>
      </c>
      <c r="V1211" t="s">
        <v>69</v>
      </c>
      <c r="W1211">
        <v>3</v>
      </c>
      <c r="X1211" t="s">
        <v>88</v>
      </c>
      <c r="Y1211">
        <v>4</v>
      </c>
      <c r="Z1211" t="s">
        <v>65</v>
      </c>
      <c r="AA1211" t="s">
        <v>86</v>
      </c>
      <c r="AB1211" s="4">
        <v>10883</v>
      </c>
      <c r="AC1211" s="4" t="str">
        <f t="shared" si="276"/>
        <v>$10,000-$11,500</v>
      </c>
      <c r="AD1211">
        <v>20467</v>
      </c>
      <c r="AE1211" t="str">
        <f t="shared" si="277"/>
        <v>$16,001-$22,000</v>
      </c>
      <c r="AF1211">
        <v>3</v>
      </c>
      <c r="AG1211" t="str">
        <f t="shared" si="278"/>
        <v>2-3</v>
      </c>
      <c r="AH1211" t="s">
        <v>67</v>
      </c>
      <c r="AI1211" t="s">
        <v>71</v>
      </c>
      <c r="AJ1211">
        <v>20</v>
      </c>
      <c r="AK1211" t="str">
        <f t="shared" si="279"/>
        <v>18-19%</v>
      </c>
      <c r="AL1211">
        <v>4</v>
      </c>
      <c r="AM1211" t="s">
        <v>78</v>
      </c>
      <c r="AN1211">
        <v>3</v>
      </c>
      <c r="AO1211" t="s">
        <v>63</v>
      </c>
      <c r="AP1211">
        <v>80</v>
      </c>
      <c r="AQ1211">
        <v>1</v>
      </c>
      <c r="AR1211">
        <v>19</v>
      </c>
      <c r="AS1211" t="str">
        <f t="shared" si="280"/>
        <v>11-20</v>
      </c>
      <c r="AT1211">
        <v>2</v>
      </c>
      <c r="AU1211" t="str">
        <f t="shared" si="281"/>
        <v>0-2</v>
      </c>
      <c r="AV1211">
        <v>4</v>
      </c>
      <c r="AW1211" t="s">
        <v>94</v>
      </c>
      <c r="AX1211">
        <v>1</v>
      </c>
      <c r="AY1211" t="str">
        <f t="shared" si="270"/>
        <v>0-1</v>
      </c>
      <c r="AZ1211">
        <v>0</v>
      </c>
      <c r="BA1211" t="str">
        <f t="shared" si="282"/>
        <v>0-1</v>
      </c>
      <c r="BB1211">
        <v>0</v>
      </c>
      <c r="BC1211" t="str">
        <f t="shared" si="283"/>
        <v>0-1</v>
      </c>
      <c r="BD1211">
        <v>0</v>
      </c>
      <c r="BE1211" t="str">
        <f t="shared" si="284"/>
        <v>0-1</v>
      </c>
    </row>
    <row r="1212" spans="1:57" x14ac:dyDescent="0.3">
      <c r="A1212">
        <v>1698</v>
      </c>
      <c r="B1212">
        <v>33</v>
      </c>
      <c r="C1212" t="str">
        <f t="shared" si="271"/>
        <v>26-35</v>
      </c>
      <c r="D1212" t="s">
        <v>71</v>
      </c>
      <c r="E1212">
        <f t="shared" si="272"/>
        <v>0</v>
      </c>
      <c r="F1212" t="s">
        <v>57</v>
      </c>
      <c r="G1212">
        <v>267</v>
      </c>
      <c r="H1212" t="str">
        <f t="shared" si="273"/>
        <v>102-500</v>
      </c>
      <c r="I1212" t="s">
        <v>73</v>
      </c>
      <c r="J1212">
        <v>21</v>
      </c>
      <c r="K1212" t="str">
        <f t="shared" si="274"/>
        <v>21-29</v>
      </c>
      <c r="L1212">
        <v>3</v>
      </c>
      <c r="M1212" t="s">
        <v>85</v>
      </c>
      <c r="N1212" t="s">
        <v>83</v>
      </c>
      <c r="O1212">
        <v>1</v>
      </c>
      <c r="P1212">
        <v>2</v>
      </c>
      <c r="Q1212" t="s">
        <v>61</v>
      </c>
      <c r="R1212" t="s">
        <v>75</v>
      </c>
      <c r="S1212">
        <v>79</v>
      </c>
      <c r="T1212" t="str">
        <f t="shared" si="275"/>
        <v>76-100</v>
      </c>
      <c r="U1212">
        <v>4</v>
      </c>
      <c r="V1212" t="s">
        <v>65</v>
      </c>
      <c r="W1212">
        <v>1</v>
      </c>
      <c r="X1212" t="s">
        <v>81</v>
      </c>
      <c r="Y1212">
        <v>2</v>
      </c>
      <c r="Z1212" t="s">
        <v>61</v>
      </c>
      <c r="AA1212" t="s">
        <v>77</v>
      </c>
      <c r="AB1212" s="4">
        <v>2028</v>
      </c>
      <c r="AC1212" s="4" t="str">
        <f t="shared" si="276"/>
        <v>$1,000-$2,500</v>
      </c>
      <c r="AD1212">
        <v>13637</v>
      </c>
      <c r="AE1212" t="str">
        <f t="shared" si="277"/>
        <v>$8,001-$16,000</v>
      </c>
      <c r="AF1212">
        <v>1</v>
      </c>
      <c r="AG1212" t="str">
        <f t="shared" si="278"/>
        <v>0-1</v>
      </c>
      <c r="AH1212" t="s">
        <v>67</v>
      </c>
      <c r="AI1212" t="s">
        <v>71</v>
      </c>
      <c r="AJ1212">
        <v>18</v>
      </c>
      <c r="AK1212" t="str">
        <f t="shared" si="279"/>
        <v>18-19%</v>
      </c>
      <c r="AL1212">
        <v>3</v>
      </c>
      <c r="AM1212" t="s">
        <v>68</v>
      </c>
      <c r="AN1212">
        <v>4</v>
      </c>
      <c r="AO1212" t="s">
        <v>65</v>
      </c>
      <c r="AP1212">
        <v>80</v>
      </c>
      <c r="AQ1212">
        <v>3</v>
      </c>
      <c r="AR1212">
        <v>14</v>
      </c>
      <c r="AS1212" t="str">
        <f t="shared" si="280"/>
        <v>11-20</v>
      </c>
      <c r="AT1212">
        <v>6</v>
      </c>
      <c r="AU1212" t="str">
        <f t="shared" si="281"/>
        <v>5-6</v>
      </c>
      <c r="AV1212">
        <v>3</v>
      </c>
      <c r="AW1212" t="s">
        <v>79</v>
      </c>
      <c r="AX1212">
        <v>14</v>
      </c>
      <c r="AY1212" t="str">
        <f t="shared" si="270"/>
        <v>11-20</v>
      </c>
      <c r="AZ1212">
        <v>11</v>
      </c>
      <c r="BA1212" t="str">
        <f t="shared" si="282"/>
        <v>11-18</v>
      </c>
      <c r="BB1212">
        <v>2</v>
      </c>
      <c r="BC1212" t="str">
        <f t="shared" si="283"/>
        <v>2-5</v>
      </c>
      <c r="BD1212">
        <v>13</v>
      </c>
      <c r="BE1212" t="str">
        <f t="shared" si="284"/>
        <v>11-17</v>
      </c>
    </row>
    <row r="1213" spans="1:57" x14ac:dyDescent="0.3">
      <c r="A1213">
        <v>1700</v>
      </c>
      <c r="B1213">
        <v>37</v>
      </c>
      <c r="C1213" t="str">
        <f t="shared" si="271"/>
        <v>36-45</v>
      </c>
      <c r="D1213" t="s">
        <v>71</v>
      </c>
      <c r="E1213">
        <f t="shared" si="272"/>
        <v>0</v>
      </c>
      <c r="F1213" t="s">
        <v>72</v>
      </c>
      <c r="G1213">
        <v>1278</v>
      </c>
      <c r="H1213" t="str">
        <f t="shared" si="273"/>
        <v>1001-1499</v>
      </c>
      <c r="I1213" t="s">
        <v>58</v>
      </c>
      <c r="J1213">
        <v>1</v>
      </c>
      <c r="K1213" t="str">
        <f t="shared" si="274"/>
        <v>1-5</v>
      </c>
      <c r="L1213">
        <v>4</v>
      </c>
      <c r="M1213" t="s">
        <v>82</v>
      </c>
      <c r="N1213" t="s">
        <v>83</v>
      </c>
      <c r="O1213">
        <v>1</v>
      </c>
      <c r="P1213">
        <v>3</v>
      </c>
      <c r="Q1213" t="s">
        <v>63</v>
      </c>
      <c r="R1213" t="s">
        <v>75</v>
      </c>
      <c r="S1213">
        <v>31</v>
      </c>
      <c r="T1213" t="str">
        <f t="shared" si="275"/>
        <v>30-50</v>
      </c>
      <c r="U1213">
        <v>1</v>
      </c>
      <c r="V1213" t="s">
        <v>69</v>
      </c>
      <c r="W1213">
        <v>2</v>
      </c>
      <c r="X1213" t="s">
        <v>64</v>
      </c>
      <c r="Y1213">
        <v>4</v>
      </c>
      <c r="Z1213" t="s">
        <v>65</v>
      </c>
      <c r="AA1213" t="s">
        <v>86</v>
      </c>
      <c r="AB1213" s="4">
        <v>9525</v>
      </c>
      <c r="AC1213" s="4" t="str">
        <f t="shared" si="276"/>
        <v>$8,500-$10,000</v>
      </c>
      <c r="AD1213">
        <v>7677</v>
      </c>
      <c r="AE1213" t="str">
        <f t="shared" si="277"/>
        <v>$2,094-$8,000</v>
      </c>
      <c r="AF1213">
        <v>1</v>
      </c>
      <c r="AG1213" t="str">
        <f t="shared" si="278"/>
        <v>0-1</v>
      </c>
      <c r="AH1213" t="s">
        <v>67</v>
      </c>
      <c r="AI1213" t="s">
        <v>71</v>
      </c>
      <c r="AJ1213">
        <v>14</v>
      </c>
      <c r="AK1213" t="str">
        <f t="shared" si="279"/>
        <v>13-15%</v>
      </c>
      <c r="AL1213">
        <v>3</v>
      </c>
      <c r="AM1213" t="s">
        <v>68</v>
      </c>
      <c r="AN1213">
        <v>3</v>
      </c>
      <c r="AO1213" t="s">
        <v>63</v>
      </c>
      <c r="AP1213">
        <v>80</v>
      </c>
      <c r="AQ1213">
        <v>2</v>
      </c>
      <c r="AR1213">
        <v>6</v>
      </c>
      <c r="AS1213" t="str">
        <f t="shared" si="280"/>
        <v>6-10</v>
      </c>
      <c r="AT1213">
        <v>2</v>
      </c>
      <c r="AU1213" t="str">
        <f t="shared" si="281"/>
        <v>0-2</v>
      </c>
      <c r="AV1213">
        <v>2</v>
      </c>
      <c r="AW1213" t="s">
        <v>84</v>
      </c>
      <c r="AX1213">
        <v>6</v>
      </c>
      <c r="AY1213" t="str">
        <f t="shared" si="270"/>
        <v>6-10</v>
      </c>
      <c r="AZ1213">
        <v>3</v>
      </c>
      <c r="BA1213" t="str">
        <f t="shared" si="282"/>
        <v>2-5</v>
      </c>
      <c r="BB1213">
        <v>1</v>
      </c>
      <c r="BC1213" t="str">
        <f t="shared" si="283"/>
        <v>0-1</v>
      </c>
      <c r="BD1213">
        <v>3</v>
      </c>
      <c r="BE1213" t="str">
        <f t="shared" si="284"/>
        <v>2-5</v>
      </c>
    </row>
    <row r="1214" spans="1:57" x14ac:dyDescent="0.3">
      <c r="A1214">
        <v>1701</v>
      </c>
      <c r="B1214">
        <v>34</v>
      </c>
      <c r="C1214" t="str">
        <f t="shared" si="271"/>
        <v>26-35</v>
      </c>
      <c r="D1214" t="s">
        <v>71</v>
      </c>
      <c r="E1214">
        <f t="shared" si="272"/>
        <v>0</v>
      </c>
      <c r="F1214" t="s">
        <v>57</v>
      </c>
      <c r="G1214">
        <v>678</v>
      </c>
      <c r="H1214" t="str">
        <f t="shared" si="273"/>
        <v>501-1000</v>
      </c>
      <c r="I1214" t="s">
        <v>73</v>
      </c>
      <c r="J1214">
        <v>19</v>
      </c>
      <c r="K1214" t="str">
        <f t="shared" si="274"/>
        <v>11-20</v>
      </c>
      <c r="L1214">
        <v>3</v>
      </c>
      <c r="M1214" t="s">
        <v>85</v>
      </c>
      <c r="N1214" t="s">
        <v>60</v>
      </c>
      <c r="O1214">
        <v>1</v>
      </c>
      <c r="P1214">
        <v>2</v>
      </c>
      <c r="Q1214" t="s">
        <v>61</v>
      </c>
      <c r="R1214" t="s">
        <v>62</v>
      </c>
      <c r="S1214">
        <v>35</v>
      </c>
      <c r="T1214" t="str">
        <f t="shared" si="275"/>
        <v>30-50</v>
      </c>
      <c r="U1214">
        <v>2</v>
      </c>
      <c r="V1214" t="s">
        <v>61</v>
      </c>
      <c r="W1214">
        <v>1</v>
      </c>
      <c r="X1214" t="s">
        <v>76</v>
      </c>
      <c r="Y1214">
        <v>4</v>
      </c>
      <c r="Z1214" t="s">
        <v>65</v>
      </c>
      <c r="AA1214" t="s">
        <v>77</v>
      </c>
      <c r="AB1214" s="4">
        <v>2929</v>
      </c>
      <c r="AC1214" s="4" t="str">
        <f t="shared" si="276"/>
        <v>$2,500-$4,000</v>
      </c>
      <c r="AD1214">
        <v>20338</v>
      </c>
      <c r="AE1214" t="str">
        <f t="shared" si="277"/>
        <v>$16,001-$22,000</v>
      </c>
      <c r="AF1214">
        <v>1</v>
      </c>
      <c r="AG1214" t="str">
        <f t="shared" si="278"/>
        <v>0-1</v>
      </c>
      <c r="AH1214" t="s">
        <v>67</v>
      </c>
      <c r="AI1214" t="s">
        <v>71</v>
      </c>
      <c r="AJ1214">
        <v>12</v>
      </c>
      <c r="AK1214" t="str">
        <f t="shared" si="279"/>
        <v>11-12%</v>
      </c>
      <c r="AL1214">
        <v>3</v>
      </c>
      <c r="AM1214" t="s">
        <v>68</v>
      </c>
      <c r="AN1214">
        <v>2</v>
      </c>
      <c r="AO1214" t="s">
        <v>61</v>
      </c>
      <c r="AP1214">
        <v>80</v>
      </c>
      <c r="AQ1214">
        <v>0</v>
      </c>
      <c r="AR1214">
        <v>10</v>
      </c>
      <c r="AS1214" t="str">
        <f t="shared" si="280"/>
        <v>6-10</v>
      </c>
      <c r="AT1214">
        <v>3</v>
      </c>
      <c r="AU1214" t="str">
        <f t="shared" si="281"/>
        <v>3-4</v>
      </c>
      <c r="AV1214">
        <v>3</v>
      </c>
      <c r="AW1214" t="s">
        <v>79</v>
      </c>
      <c r="AX1214">
        <v>10</v>
      </c>
      <c r="AY1214" t="str">
        <f t="shared" si="270"/>
        <v>6-10</v>
      </c>
      <c r="AZ1214">
        <v>9</v>
      </c>
      <c r="BA1214" t="str">
        <f t="shared" si="282"/>
        <v>6-10</v>
      </c>
      <c r="BB1214">
        <v>8</v>
      </c>
      <c r="BC1214" t="str">
        <f t="shared" si="283"/>
        <v>6-10</v>
      </c>
      <c r="BD1214">
        <v>7</v>
      </c>
      <c r="BE1214" t="str">
        <f t="shared" si="284"/>
        <v>6-10</v>
      </c>
    </row>
    <row r="1215" spans="1:57" x14ac:dyDescent="0.3">
      <c r="A1215">
        <v>1702</v>
      </c>
      <c r="B1215">
        <v>23</v>
      </c>
      <c r="C1215" t="str">
        <f t="shared" si="271"/>
        <v>18-25</v>
      </c>
      <c r="D1215" t="s">
        <v>56</v>
      </c>
      <c r="E1215">
        <f t="shared" si="272"/>
        <v>1</v>
      </c>
      <c r="F1215" t="s">
        <v>57</v>
      </c>
      <c r="G1215">
        <v>427</v>
      </c>
      <c r="H1215" t="str">
        <f t="shared" si="273"/>
        <v>102-500</v>
      </c>
      <c r="I1215" t="s">
        <v>58</v>
      </c>
      <c r="J1215">
        <v>7</v>
      </c>
      <c r="K1215" t="str">
        <f t="shared" si="274"/>
        <v>6-10</v>
      </c>
      <c r="L1215">
        <v>3</v>
      </c>
      <c r="M1215" t="s">
        <v>85</v>
      </c>
      <c r="N1215" t="s">
        <v>60</v>
      </c>
      <c r="O1215">
        <v>1</v>
      </c>
      <c r="P1215">
        <v>3</v>
      </c>
      <c r="Q1215" t="s">
        <v>63</v>
      </c>
      <c r="R1215" t="s">
        <v>75</v>
      </c>
      <c r="S1215">
        <v>99</v>
      </c>
      <c r="T1215" t="str">
        <f t="shared" si="275"/>
        <v>76-100</v>
      </c>
      <c r="U1215">
        <v>3</v>
      </c>
      <c r="V1215" t="s">
        <v>63</v>
      </c>
      <c r="W1215">
        <v>1</v>
      </c>
      <c r="X1215" t="s">
        <v>91</v>
      </c>
      <c r="Y1215">
        <v>4</v>
      </c>
      <c r="Z1215" t="s">
        <v>65</v>
      </c>
      <c r="AA1215" t="s">
        <v>86</v>
      </c>
      <c r="AB1215" s="4">
        <v>2275</v>
      </c>
      <c r="AC1215" s="4" t="str">
        <f t="shared" si="276"/>
        <v>$1,000-$2,500</v>
      </c>
      <c r="AD1215">
        <v>25103</v>
      </c>
      <c r="AE1215" t="str">
        <f t="shared" si="277"/>
        <v>$22,001-$26,999</v>
      </c>
      <c r="AF1215">
        <v>1</v>
      </c>
      <c r="AG1215" t="str">
        <f t="shared" si="278"/>
        <v>0-1</v>
      </c>
      <c r="AH1215" t="s">
        <v>67</v>
      </c>
      <c r="AI1215" t="s">
        <v>56</v>
      </c>
      <c r="AJ1215">
        <v>21</v>
      </c>
      <c r="AK1215" t="str">
        <f t="shared" si="279"/>
        <v>18-19%</v>
      </c>
      <c r="AL1215">
        <v>4</v>
      </c>
      <c r="AM1215" t="s">
        <v>78</v>
      </c>
      <c r="AN1215">
        <v>2</v>
      </c>
      <c r="AO1215" t="s">
        <v>61</v>
      </c>
      <c r="AP1215">
        <v>80</v>
      </c>
      <c r="AQ1215">
        <v>1</v>
      </c>
      <c r="AR1215">
        <v>3</v>
      </c>
      <c r="AS1215" t="str">
        <f t="shared" si="280"/>
        <v>3-5</v>
      </c>
      <c r="AT1215">
        <v>2</v>
      </c>
      <c r="AU1215" t="str">
        <f t="shared" si="281"/>
        <v>0-2</v>
      </c>
      <c r="AV1215">
        <v>3</v>
      </c>
      <c r="AW1215" t="s">
        <v>79</v>
      </c>
      <c r="AX1215">
        <v>3</v>
      </c>
      <c r="AY1215" t="str">
        <f t="shared" si="270"/>
        <v>2-5</v>
      </c>
      <c r="AZ1215">
        <v>2</v>
      </c>
      <c r="BA1215" t="str">
        <f t="shared" si="282"/>
        <v>2-5</v>
      </c>
      <c r="BB1215">
        <v>0</v>
      </c>
      <c r="BC1215" t="str">
        <f t="shared" si="283"/>
        <v>0-1</v>
      </c>
      <c r="BD1215">
        <v>2</v>
      </c>
      <c r="BE1215" t="str">
        <f t="shared" si="284"/>
        <v>2-5</v>
      </c>
    </row>
    <row r="1216" spans="1:57" x14ac:dyDescent="0.3">
      <c r="A1216">
        <v>1703</v>
      </c>
      <c r="B1216">
        <v>44</v>
      </c>
      <c r="C1216" t="str">
        <f t="shared" si="271"/>
        <v>36-45</v>
      </c>
      <c r="D1216" t="s">
        <v>71</v>
      </c>
      <c r="E1216">
        <f t="shared" si="272"/>
        <v>0</v>
      </c>
      <c r="F1216" t="s">
        <v>57</v>
      </c>
      <c r="G1216">
        <v>921</v>
      </c>
      <c r="H1216" t="str">
        <f t="shared" si="273"/>
        <v>501-1000</v>
      </c>
      <c r="I1216" t="s">
        <v>73</v>
      </c>
      <c r="J1216">
        <v>2</v>
      </c>
      <c r="K1216" t="str">
        <f t="shared" si="274"/>
        <v>1-5</v>
      </c>
      <c r="L1216">
        <v>3</v>
      </c>
      <c r="M1216" t="s">
        <v>85</v>
      </c>
      <c r="N1216" t="s">
        <v>60</v>
      </c>
      <c r="O1216">
        <v>1</v>
      </c>
      <c r="P1216">
        <v>3</v>
      </c>
      <c r="Q1216" t="s">
        <v>63</v>
      </c>
      <c r="R1216" t="s">
        <v>62</v>
      </c>
      <c r="S1216">
        <v>96</v>
      </c>
      <c r="T1216" t="str">
        <f t="shared" si="275"/>
        <v>76-100</v>
      </c>
      <c r="U1216">
        <v>4</v>
      </c>
      <c r="V1216" t="s">
        <v>65</v>
      </c>
      <c r="W1216">
        <v>3</v>
      </c>
      <c r="X1216" t="s">
        <v>88</v>
      </c>
      <c r="Y1216">
        <v>4</v>
      </c>
      <c r="Z1216" t="s">
        <v>65</v>
      </c>
      <c r="AA1216" t="s">
        <v>77</v>
      </c>
      <c r="AB1216" s="4">
        <v>7879</v>
      </c>
      <c r="AC1216" s="4" t="str">
        <f t="shared" si="276"/>
        <v>$7,000-$8,500</v>
      </c>
      <c r="AD1216">
        <v>14810</v>
      </c>
      <c r="AE1216" t="str">
        <f t="shared" si="277"/>
        <v>$8,001-$16,000</v>
      </c>
      <c r="AF1216">
        <v>1</v>
      </c>
      <c r="AG1216" t="str">
        <f t="shared" si="278"/>
        <v>0-1</v>
      </c>
      <c r="AH1216" t="s">
        <v>67</v>
      </c>
      <c r="AI1216" t="s">
        <v>56</v>
      </c>
      <c r="AJ1216">
        <v>19</v>
      </c>
      <c r="AK1216" t="str">
        <f t="shared" si="279"/>
        <v>18-19%</v>
      </c>
      <c r="AL1216">
        <v>3</v>
      </c>
      <c r="AM1216" t="s">
        <v>68</v>
      </c>
      <c r="AN1216">
        <v>2</v>
      </c>
      <c r="AO1216" t="s">
        <v>61</v>
      </c>
      <c r="AP1216">
        <v>80</v>
      </c>
      <c r="AQ1216">
        <v>1</v>
      </c>
      <c r="AR1216">
        <v>9</v>
      </c>
      <c r="AS1216" t="str">
        <f t="shared" si="280"/>
        <v>6-10</v>
      </c>
      <c r="AT1216">
        <v>2</v>
      </c>
      <c r="AU1216" t="str">
        <f t="shared" si="281"/>
        <v>0-2</v>
      </c>
      <c r="AV1216">
        <v>3</v>
      </c>
      <c r="AW1216" t="s">
        <v>79</v>
      </c>
      <c r="AX1216">
        <v>8</v>
      </c>
      <c r="AY1216" t="str">
        <f t="shared" si="270"/>
        <v>6-10</v>
      </c>
      <c r="AZ1216">
        <v>7</v>
      </c>
      <c r="BA1216" t="str">
        <f t="shared" si="282"/>
        <v>6-10</v>
      </c>
      <c r="BB1216">
        <v>6</v>
      </c>
      <c r="BC1216" t="str">
        <f t="shared" si="283"/>
        <v>6-10</v>
      </c>
      <c r="BD1216">
        <v>7</v>
      </c>
      <c r="BE1216" t="str">
        <f t="shared" si="284"/>
        <v>6-10</v>
      </c>
    </row>
    <row r="1217" spans="1:57" x14ac:dyDescent="0.3">
      <c r="A1217">
        <v>1704</v>
      </c>
      <c r="B1217">
        <v>35</v>
      </c>
      <c r="C1217" t="str">
        <f t="shared" si="271"/>
        <v>26-35</v>
      </c>
      <c r="D1217" t="s">
        <v>71</v>
      </c>
      <c r="E1217">
        <f t="shared" si="272"/>
        <v>0</v>
      </c>
      <c r="F1217" t="s">
        <v>72</v>
      </c>
      <c r="G1217">
        <v>146</v>
      </c>
      <c r="H1217" t="str">
        <f t="shared" si="273"/>
        <v>102-500</v>
      </c>
      <c r="I1217" t="s">
        <v>73</v>
      </c>
      <c r="J1217">
        <v>2</v>
      </c>
      <c r="K1217" t="str">
        <f t="shared" si="274"/>
        <v>1-5</v>
      </c>
      <c r="L1217">
        <v>4</v>
      </c>
      <c r="M1217" t="s">
        <v>82</v>
      </c>
      <c r="N1217" t="s">
        <v>83</v>
      </c>
      <c r="O1217">
        <v>1</v>
      </c>
      <c r="P1217">
        <v>1</v>
      </c>
      <c r="Q1217" t="s">
        <v>69</v>
      </c>
      <c r="R1217" t="s">
        <v>75</v>
      </c>
      <c r="S1217">
        <v>79</v>
      </c>
      <c r="T1217" t="str">
        <f t="shared" si="275"/>
        <v>76-100</v>
      </c>
      <c r="U1217">
        <v>2</v>
      </c>
      <c r="V1217" t="s">
        <v>61</v>
      </c>
      <c r="W1217">
        <v>1</v>
      </c>
      <c r="X1217" t="s">
        <v>76</v>
      </c>
      <c r="Y1217">
        <v>4</v>
      </c>
      <c r="Z1217" t="s">
        <v>65</v>
      </c>
      <c r="AA1217" t="s">
        <v>66</v>
      </c>
      <c r="AB1217" s="4">
        <v>4930</v>
      </c>
      <c r="AC1217" s="4" t="str">
        <f t="shared" si="276"/>
        <v>$4,000-$5,500</v>
      </c>
      <c r="AD1217">
        <v>13970</v>
      </c>
      <c r="AE1217" t="str">
        <f t="shared" si="277"/>
        <v>$8,001-$16,000</v>
      </c>
      <c r="AF1217">
        <v>0</v>
      </c>
      <c r="AG1217" t="str">
        <f t="shared" si="278"/>
        <v>0-1</v>
      </c>
      <c r="AH1217" t="s">
        <v>67</v>
      </c>
      <c r="AI1217" t="s">
        <v>56</v>
      </c>
      <c r="AJ1217">
        <v>14</v>
      </c>
      <c r="AK1217" t="str">
        <f t="shared" si="279"/>
        <v>13-15%</v>
      </c>
      <c r="AL1217">
        <v>3</v>
      </c>
      <c r="AM1217" t="s">
        <v>68</v>
      </c>
      <c r="AN1217">
        <v>3</v>
      </c>
      <c r="AO1217" t="s">
        <v>63</v>
      </c>
      <c r="AP1217">
        <v>80</v>
      </c>
      <c r="AQ1217">
        <v>0</v>
      </c>
      <c r="AR1217">
        <v>6</v>
      </c>
      <c r="AS1217" t="str">
        <f t="shared" si="280"/>
        <v>6-10</v>
      </c>
      <c r="AT1217">
        <v>2</v>
      </c>
      <c r="AU1217" t="str">
        <f t="shared" si="281"/>
        <v>0-2</v>
      </c>
      <c r="AV1217">
        <v>4</v>
      </c>
      <c r="AW1217" t="s">
        <v>94</v>
      </c>
      <c r="AX1217">
        <v>5</v>
      </c>
      <c r="AY1217" t="str">
        <f t="shared" si="270"/>
        <v>2-5</v>
      </c>
      <c r="AZ1217">
        <v>4</v>
      </c>
      <c r="BA1217" t="str">
        <f t="shared" si="282"/>
        <v>2-5</v>
      </c>
      <c r="BB1217">
        <v>1</v>
      </c>
      <c r="BC1217" t="str">
        <f t="shared" si="283"/>
        <v>0-1</v>
      </c>
      <c r="BD1217">
        <v>4</v>
      </c>
      <c r="BE1217" t="str">
        <f t="shared" si="284"/>
        <v>2-5</v>
      </c>
    </row>
    <row r="1218" spans="1:57" x14ac:dyDescent="0.3">
      <c r="A1218">
        <v>1706</v>
      </c>
      <c r="B1218">
        <v>43</v>
      </c>
      <c r="C1218" t="str">
        <f t="shared" si="271"/>
        <v>36-45</v>
      </c>
      <c r="D1218" t="s">
        <v>71</v>
      </c>
      <c r="E1218">
        <f t="shared" si="272"/>
        <v>0</v>
      </c>
      <c r="F1218" t="s">
        <v>57</v>
      </c>
      <c r="G1218">
        <v>1179</v>
      </c>
      <c r="H1218" t="str">
        <f t="shared" si="273"/>
        <v>1001-1499</v>
      </c>
      <c r="I1218" t="s">
        <v>58</v>
      </c>
      <c r="J1218">
        <v>2</v>
      </c>
      <c r="K1218" t="str">
        <f t="shared" si="274"/>
        <v>1-5</v>
      </c>
      <c r="L1218">
        <v>3</v>
      </c>
      <c r="M1218" t="s">
        <v>85</v>
      </c>
      <c r="N1218" t="s">
        <v>83</v>
      </c>
      <c r="O1218">
        <v>1</v>
      </c>
      <c r="P1218">
        <v>4</v>
      </c>
      <c r="Q1218" t="s">
        <v>65</v>
      </c>
      <c r="R1218" t="s">
        <v>75</v>
      </c>
      <c r="S1218">
        <v>73</v>
      </c>
      <c r="T1218" t="str">
        <f t="shared" si="275"/>
        <v>51-75</v>
      </c>
      <c r="U1218">
        <v>3</v>
      </c>
      <c r="V1218" t="s">
        <v>63</v>
      </c>
      <c r="W1218">
        <v>2</v>
      </c>
      <c r="X1218" t="s">
        <v>64</v>
      </c>
      <c r="Y1218">
        <v>4</v>
      </c>
      <c r="Z1218" t="s">
        <v>65</v>
      </c>
      <c r="AA1218" t="s">
        <v>77</v>
      </c>
      <c r="AB1218" s="4">
        <v>7847</v>
      </c>
      <c r="AC1218" s="4" t="str">
        <f t="shared" si="276"/>
        <v>$7,000-$8,500</v>
      </c>
      <c r="AD1218">
        <v>6069</v>
      </c>
      <c r="AE1218" t="str">
        <f t="shared" si="277"/>
        <v>$2,094-$8,000</v>
      </c>
      <c r="AF1218">
        <v>1</v>
      </c>
      <c r="AG1218" t="str">
        <f t="shared" si="278"/>
        <v>0-1</v>
      </c>
      <c r="AH1218" t="s">
        <v>67</v>
      </c>
      <c r="AI1218" t="s">
        <v>56</v>
      </c>
      <c r="AJ1218">
        <v>17</v>
      </c>
      <c r="AK1218" t="str">
        <f t="shared" si="279"/>
        <v>16-17%</v>
      </c>
      <c r="AL1218">
        <v>3</v>
      </c>
      <c r="AM1218" t="s">
        <v>68</v>
      </c>
      <c r="AN1218">
        <v>1</v>
      </c>
      <c r="AO1218" t="s">
        <v>69</v>
      </c>
      <c r="AP1218">
        <v>80</v>
      </c>
      <c r="AQ1218">
        <v>1</v>
      </c>
      <c r="AR1218">
        <v>10</v>
      </c>
      <c r="AS1218" t="str">
        <f t="shared" si="280"/>
        <v>6-10</v>
      </c>
      <c r="AT1218">
        <v>3</v>
      </c>
      <c r="AU1218" t="str">
        <f t="shared" si="281"/>
        <v>3-4</v>
      </c>
      <c r="AV1218">
        <v>3</v>
      </c>
      <c r="AW1218" t="s">
        <v>79</v>
      </c>
      <c r="AX1218">
        <v>10</v>
      </c>
      <c r="AY1218" t="str">
        <f t="shared" ref="AY1218:AY1281" si="285">IF(AX1218&lt;=1,"0-1",IF(AX1218&lt;=5,"2-5",IF(AX1218&lt;=10,"6-10",IF(AX1218&lt;=20,"11-20","21-40"))))</f>
        <v>6-10</v>
      </c>
      <c r="AZ1218">
        <v>9</v>
      </c>
      <c r="BA1218" t="str">
        <f t="shared" si="282"/>
        <v>6-10</v>
      </c>
      <c r="BB1218">
        <v>8</v>
      </c>
      <c r="BC1218" t="str">
        <f t="shared" si="283"/>
        <v>6-10</v>
      </c>
      <c r="BD1218">
        <v>8</v>
      </c>
      <c r="BE1218" t="str">
        <f t="shared" si="284"/>
        <v>6-10</v>
      </c>
    </row>
    <row r="1219" spans="1:57" x14ac:dyDescent="0.3">
      <c r="A1219">
        <v>1707</v>
      </c>
      <c r="B1219">
        <v>24</v>
      </c>
      <c r="C1219" t="str">
        <f t="shared" ref="C1219:C1282" si="286">IF(B1219&lt;=25, "18-25", IF(B1219&lt;=35, "26-35", IF(B1219&lt;=45, "36-45", IF(B1219&lt;=55, "46-55", "56+"))))</f>
        <v>18-25</v>
      </c>
      <c r="D1219" t="s">
        <v>71</v>
      </c>
      <c r="E1219">
        <f t="shared" ref="E1219:E1282" si="287">IF(D1219="Yes",1,0)</f>
        <v>0</v>
      </c>
      <c r="F1219" t="s">
        <v>57</v>
      </c>
      <c r="G1219">
        <v>581</v>
      </c>
      <c r="H1219" t="str">
        <f t="shared" ref="H1219:H1282" si="288">IF(G1219&lt;=500,"102-500",IF(G1219&lt;=1000,"501-1000","1001-1499"))</f>
        <v>501-1000</v>
      </c>
      <c r="I1219" t="s">
        <v>73</v>
      </c>
      <c r="J1219">
        <v>9</v>
      </c>
      <c r="K1219" t="str">
        <f t="shared" ref="K1219:K1282" si="289">IF(J1219&lt;=5,"1-5",IF(J1219&lt;=10,"6-10",IF(J1219&lt;=20,"11-20","21-29")))</f>
        <v>6-10</v>
      </c>
      <c r="L1219">
        <v>3</v>
      </c>
      <c r="M1219" t="s">
        <v>85</v>
      </c>
      <c r="N1219" t="s">
        <v>83</v>
      </c>
      <c r="O1219">
        <v>1</v>
      </c>
      <c r="P1219">
        <v>3</v>
      </c>
      <c r="Q1219" t="s">
        <v>63</v>
      </c>
      <c r="R1219" t="s">
        <v>75</v>
      </c>
      <c r="S1219">
        <v>62</v>
      </c>
      <c r="T1219" t="str">
        <f t="shared" ref="T1219:T1282" si="290">IF(S1219&lt;=50,"30-50",IF(S1219&lt;=75,"51-75","76-100"))</f>
        <v>51-75</v>
      </c>
      <c r="U1219">
        <v>4</v>
      </c>
      <c r="V1219" t="s">
        <v>65</v>
      </c>
      <c r="W1219">
        <v>1</v>
      </c>
      <c r="X1219" t="s">
        <v>76</v>
      </c>
      <c r="Y1219">
        <v>3</v>
      </c>
      <c r="Z1219" t="s">
        <v>63</v>
      </c>
      <c r="AA1219" t="s">
        <v>77</v>
      </c>
      <c r="AB1219" s="4">
        <v>4401</v>
      </c>
      <c r="AC1219" s="4" t="str">
        <f t="shared" ref="AC1219:AC1282" si="291">IF(AB1219&lt;2500,"$1,000-$2,500",IF(AB1219&lt;4000,"$2,500-$4,000",IF(AB1219&lt;5500,"$4,000-$5,500",IF(AB1219&lt;7000,"$5,500-$7,000",IF(AB1219&lt;8500,"$7,000-$8,500",IF(AB1219&lt;10000,"$8,500-$10,000",IF(AB1219&lt;11500,"$10,000-$11,500",IF(AB1219&lt;13000,"$11,500-$13,000",IF(AB1219&lt;14500,"$13,000-$14,500",IF(AB1219&lt;16000,"$14,500-$16,000",IF(AB1219&lt;17500,"$16,000-$17,500",IF(AB1219&lt;19000,"$17,500-$19,000",IF(AB1219&lt;20500,"$19,000-$20,500",IF(AB1219&lt;22000,"$20,500-$22,000",IF(AB1219&lt;23500,"$22,000-$23,500",IF(AB1219&lt;25000,"$23,500-$25,000",IF(AB1219&lt;26500,"$25,000-$26,500",IF(AB1219&lt;28000,"$26,500-$28,000",IF(AB1219&lt;29500,"$28,000-$29,500","$29,500+")))))))))))))))))))</f>
        <v>$4,000-$5,500</v>
      </c>
      <c r="AD1219">
        <v>17616</v>
      </c>
      <c r="AE1219" t="str">
        <f t="shared" ref="AE1219:AE1282" si="292">IF(AD1219&lt;=8000,"$2,094-$8,000",IF(AD1219&lt;=16000,"$8,001-$16,000",IF(AD1219&lt;=22000,"$16,001-$22,000","$22,001-$26,999")))</f>
        <v>$16,001-$22,000</v>
      </c>
      <c r="AF1219">
        <v>1</v>
      </c>
      <c r="AG1219" t="str">
        <f t="shared" ref="AG1219:AG1282" si="293">IF(AF1219&lt;=1,"0-1",IF(AF1219&lt;=3,"2-3",IF(AF1219&lt;=6,"4-6","7-9")))</f>
        <v>0-1</v>
      </c>
      <c r="AH1219" t="s">
        <v>67</v>
      </c>
      <c r="AI1219" t="s">
        <v>71</v>
      </c>
      <c r="AJ1219">
        <v>16</v>
      </c>
      <c r="AK1219" t="str">
        <f t="shared" ref="AK1219:AK1282" si="294">IF(AJ1219&lt;=12,"11-12%",IF(AJ1219&lt;=15,"13-15%",IF(AJ1219&lt;=17,"16-17%","18-19%")))</f>
        <v>16-17%</v>
      </c>
      <c r="AL1219">
        <v>3</v>
      </c>
      <c r="AM1219" t="s">
        <v>68</v>
      </c>
      <c r="AN1219">
        <v>4</v>
      </c>
      <c r="AO1219" t="s">
        <v>65</v>
      </c>
      <c r="AP1219">
        <v>80</v>
      </c>
      <c r="AQ1219">
        <v>1</v>
      </c>
      <c r="AR1219">
        <v>5</v>
      </c>
      <c r="AS1219" t="str">
        <f t="shared" ref="AS1219:AS1282" si="295">IF(AR1219&lt;=2,"0-2",IF(AR1219&lt;=5,"3-5",IF(AR1219&lt;=10,"6-10",IF(AR1219&lt;=20,"11-20","21-40"))))</f>
        <v>3-5</v>
      </c>
      <c r="AT1219">
        <v>1</v>
      </c>
      <c r="AU1219" t="str">
        <f t="shared" ref="AU1219:AU1282" si="296">IF(AT1219&lt;=2,"0-2",IF(AT1219&lt;=4,"3-4","5-6"))</f>
        <v>0-2</v>
      </c>
      <c r="AV1219">
        <v>3</v>
      </c>
      <c r="AW1219" t="s">
        <v>79</v>
      </c>
      <c r="AX1219">
        <v>5</v>
      </c>
      <c r="AY1219" t="str">
        <f t="shared" si="285"/>
        <v>2-5</v>
      </c>
      <c r="AZ1219">
        <v>3</v>
      </c>
      <c r="BA1219" t="str">
        <f t="shared" ref="BA1219:BA1282" si="297">IF(AZ1219&lt;=1,"0-1",IF(AZ1219&lt;=5,"2-5",IF(AZ1219&lt;=10,"6-10","11-18")))</f>
        <v>2-5</v>
      </c>
      <c r="BB1219">
        <v>0</v>
      </c>
      <c r="BC1219" t="str">
        <f t="shared" ref="BC1219:BC1282" si="298">IF(BB1219&lt;=1,"0-1",IF(BB1219&lt;=5,"2-5",IF(BB1219&lt;=10,"6-10","11-15")))</f>
        <v>0-1</v>
      </c>
      <c r="BD1219">
        <v>4</v>
      </c>
      <c r="BE1219" t="str">
        <f t="shared" ref="BE1219:BE1282" si="299">IF(BD1219&lt;=1,"0-1",IF(BD1219&lt;=5,"2-5",IF(BD1219&lt;=10,"6-10","11-17")))</f>
        <v>2-5</v>
      </c>
    </row>
    <row r="1220" spans="1:57" x14ac:dyDescent="0.3">
      <c r="A1220">
        <v>1708</v>
      </c>
      <c r="B1220">
        <v>41</v>
      </c>
      <c r="C1220" t="str">
        <f t="shared" si="286"/>
        <v>36-45</v>
      </c>
      <c r="D1220" t="s">
        <v>71</v>
      </c>
      <c r="E1220">
        <f t="shared" si="287"/>
        <v>0</v>
      </c>
      <c r="F1220" t="s">
        <v>57</v>
      </c>
      <c r="G1220">
        <v>918</v>
      </c>
      <c r="H1220" t="str">
        <f t="shared" si="288"/>
        <v>501-1000</v>
      </c>
      <c r="I1220" t="s">
        <v>58</v>
      </c>
      <c r="J1220">
        <v>6</v>
      </c>
      <c r="K1220" t="str">
        <f t="shared" si="289"/>
        <v>6-10</v>
      </c>
      <c r="L1220">
        <v>3</v>
      </c>
      <c r="M1220" t="s">
        <v>85</v>
      </c>
      <c r="N1220" t="s">
        <v>93</v>
      </c>
      <c r="O1220">
        <v>1</v>
      </c>
      <c r="P1220">
        <v>4</v>
      </c>
      <c r="Q1220" t="s">
        <v>65</v>
      </c>
      <c r="R1220" t="s">
        <v>75</v>
      </c>
      <c r="S1220">
        <v>35</v>
      </c>
      <c r="T1220" t="str">
        <f t="shared" si="290"/>
        <v>30-50</v>
      </c>
      <c r="U1220">
        <v>3</v>
      </c>
      <c r="V1220" t="s">
        <v>63</v>
      </c>
      <c r="W1220">
        <v>3</v>
      </c>
      <c r="X1220" t="s">
        <v>64</v>
      </c>
      <c r="Y1220">
        <v>3</v>
      </c>
      <c r="Z1220" t="s">
        <v>63</v>
      </c>
      <c r="AA1220" t="s">
        <v>66</v>
      </c>
      <c r="AB1220" s="4">
        <v>9241</v>
      </c>
      <c r="AC1220" s="4" t="str">
        <f t="shared" si="291"/>
        <v>$8,500-$10,000</v>
      </c>
      <c r="AD1220">
        <v>15869</v>
      </c>
      <c r="AE1220" t="str">
        <f t="shared" si="292"/>
        <v>$8,001-$16,000</v>
      </c>
      <c r="AF1220">
        <v>1</v>
      </c>
      <c r="AG1220" t="str">
        <f t="shared" si="293"/>
        <v>0-1</v>
      </c>
      <c r="AH1220" t="s">
        <v>67</v>
      </c>
      <c r="AI1220" t="s">
        <v>71</v>
      </c>
      <c r="AJ1220">
        <v>12</v>
      </c>
      <c r="AK1220" t="str">
        <f t="shared" si="294"/>
        <v>11-12%</v>
      </c>
      <c r="AL1220">
        <v>3</v>
      </c>
      <c r="AM1220" t="s">
        <v>68</v>
      </c>
      <c r="AN1220">
        <v>2</v>
      </c>
      <c r="AO1220" t="s">
        <v>61</v>
      </c>
      <c r="AP1220">
        <v>80</v>
      </c>
      <c r="AQ1220">
        <v>0</v>
      </c>
      <c r="AR1220">
        <v>10</v>
      </c>
      <c r="AS1220" t="str">
        <f t="shared" si="295"/>
        <v>6-10</v>
      </c>
      <c r="AT1220">
        <v>3</v>
      </c>
      <c r="AU1220" t="str">
        <f t="shared" si="296"/>
        <v>3-4</v>
      </c>
      <c r="AV1220">
        <v>3</v>
      </c>
      <c r="AW1220" t="s">
        <v>79</v>
      </c>
      <c r="AX1220">
        <v>10</v>
      </c>
      <c r="AY1220" t="str">
        <f t="shared" si="285"/>
        <v>6-10</v>
      </c>
      <c r="AZ1220">
        <v>8</v>
      </c>
      <c r="BA1220" t="str">
        <f t="shared" si="297"/>
        <v>6-10</v>
      </c>
      <c r="BB1220">
        <v>8</v>
      </c>
      <c r="BC1220" t="str">
        <f t="shared" si="298"/>
        <v>6-10</v>
      </c>
      <c r="BD1220">
        <v>7</v>
      </c>
      <c r="BE1220" t="str">
        <f t="shared" si="299"/>
        <v>6-10</v>
      </c>
    </row>
    <row r="1221" spans="1:57" x14ac:dyDescent="0.3">
      <c r="A1221">
        <v>1709</v>
      </c>
      <c r="B1221">
        <v>29</v>
      </c>
      <c r="C1221" t="str">
        <f t="shared" si="286"/>
        <v>26-35</v>
      </c>
      <c r="D1221" t="s">
        <v>71</v>
      </c>
      <c r="E1221">
        <f t="shared" si="287"/>
        <v>0</v>
      </c>
      <c r="F1221" t="s">
        <v>57</v>
      </c>
      <c r="G1221">
        <v>1082</v>
      </c>
      <c r="H1221" t="str">
        <f t="shared" si="288"/>
        <v>1001-1499</v>
      </c>
      <c r="I1221" t="s">
        <v>73</v>
      </c>
      <c r="J1221">
        <v>9</v>
      </c>
      <c r="K1221" t="str">
        <f t="shared" si="289"/>
        <v>6-10</v>
      </c>
      <c r="L1221">
        <v>4</v>
      </c>
      <c r="M1221" t="s">
        <v>82</v>
      </c>
      <c r="N1221" t="s">
        <v>83</v>
      </c>
      <c r="O1221">
        <v>1</v>
      </c>
      <c r="P1221">
        <v>4</v>
      </c>
      <c r="Q1221" t="s">
        <v>65</v>
      </c>
      <c r="R1221" t="s">
        <v>62</v>
      </c>
      <c r="S1221">
        <v>43</v>
      </c>
      <c r="T1221" t="str">
        <f t="shared" si="290"/>
        <v>30-50</v>
      </c>
      <c r="U1221">
        <v>3</v>
      </c>
      <c r="V1221" t="s">
        <v>63</v>
      </c>
      <c r="W1221">
        <v>1</v>
      </c>
      <c r="X1221" t="s">
        <v>81</v>
      </c>
      <c r="Y1221">
        <v>3</v>
      </c>
      <c r="Z1221" t="s">
        <v>63</v>
      </c>
      <c r="AA1221" t="s">
        <v>77</v>
      </c>
      <c r="AB1221" s="4">
        <v>2974</v>
      </c>
      <c r="AC1221" s="4" t="str">
        <f t="shared" si="291"/>
        <v>$2,500-$4,000</v>
      </c>
      <c r="AD1221">
        <v>25412</v>
      </c>
      <c r="AE1221" t="str">
        <f t="shared" si="292"/>
        <v>$22,001-$26,999</v>
      </c>
      <c r="AF1221">
        <v>9</v>
      </c>
      <c r="AG1221" t="str">
        <f t="shared" si="293"/>
        <v>7-9</v>
      </c>
      <c r="AH1221" t="s">
        <v>67</v>
      </c>
      <c r="AI1221" t="s">
        <v>71</v>
      </c>
      <c r="AJ1221">
        <v>17</v>
      </c>
      <c r="AK1221" t="str">
        <f t="shared" si="294"/>
        <v>16-17%</v>
      </c>
      <c r="AL1221">
        <v>3</v>
      </c>
      <c r="AM1221" t="s">
        <v>68</v>
      </c>
      <c r="AN1221">
        <v>3</v>
      </c>
      <c r="AO1221" t="s">
        <v>63</v>
      </c>
      <c r="AP1221">
        <v>80</v>
      </c>
      <c r="AQ1221">
        <v>1</v>
      </c>
      <c r="AR1221">
        <v>9</v>
      </c>
      <c r="AS1221" t="str">
        <f t="shared" si="295"/>
        <v>6-10</v>
      </c>
      <c r="AT1221">
        <v>2</v>
      </c>
      <c r="AU1221" t="str">
        <f t="shared" si="296"/>
        <v>0-2</v>
      </c>
      <c r="AV1221">
        <v>3</v>
      </c>
      <c r="AW1221" t="s">
        <v>79</v>
      </c>
      <c r="AX1221">
        <v>5</v>
      </c>
      <c r="AY1221" t="str">
        <f t="shared" si="285"/>
        <v>2-5</v>
      </c>
      <c r="AZ1221">
        <v>3</v>
      </c>
      <c r="BA1221" t="str">
        <f t="shared" si="297"/>
        <v>2-5</v>
      </c>
      <c r="BB1221">
        <v>1</v>
      </c>
      <c r="BC1221" t="str">
        <f t="shared" si="298"/>
        <v>0-1</v>
      </c>
      <c r="BD1221">
        <v>2</v>
      </c>
      <c r="BE1221" t="str">
        <f t="shared" si="299"/>
        <v>2-5</v>
      </c>
    </row>
    <row r="1222" spans="1:57" x14ac:dyDescent="0.3">
      <c r="A1222">
        <v>1710</v>
      </c>
      <c r="B1222">
        <v>36</v>
      </c>
      <c r="C1222" t="str">
        <f t="shared" si="286"/>
        <v>36-45</v>
      </c>
      <c r="D1222" t="s">
        <v>71</v>
      </c>
      <c r="E1222">
        <f t="shared" si="287"/>
        <v>0</v>
      </c>
      <c r="F1222" t="s">
        <v>57</v>
      </c>
      <c r="G1222">
        <v>530</v>
      </c>
      <c r="H1222" t="str">
        <f t="shared" si="288"/>
        <v>501-1000</v>
      </c>
      <c r="I1222" t="s">
        <v>58</v>
      </c>
      <c r="J1222">
        <v>2</v>
      </c>
      <c r="K1222" t="str">
        <f t="shared" si="289"/>
        <v>1-5</v>
      </c>
      <c r="L1222">
        <v>4</v>
      </c>
      <c r="M1222" t="s">
        <v>82</v>
      </c>
      <c r="N1222" t="s">
        <v>60</v>
      </c>
      <c r="O1222">
        <v>1</v>
      </c>
      <c r="P1222">
        <v>3</v>
      </c>
      <c r="Q1222" t="s">
        <v>63</v>
      </c>
      <c r="R1222" t="s">
        <v>62</v>
      </c>
      <c r="S1222">
        <v>51</v>
      </c>
      <c r="T1222" t="str">
        <f t="shared" si="290"/>
        <v>51-75</v>
      </c>
      <c r="U1222">
        <v>3</v>
      </c>
      <c r="V1222" t="s">
        <v>63</v>
      </c>
      <c r="W1222">
        <v>2</v>
      </c>
      <c r="X1222" t="s">
        <v>91</v>
      </c>
      <c r="Y1222">
        <v>4</v>
      </c>
      <c r="Z1222" t="s">
        <v>65</v>
      </c>
      <c r="AA1222" t="s">
        <v>66</v>
      </c>
      <c r="AB1222" s="4">
        <v>4502</v>
      </c>
      <c r="AC1222" s="4" t="str">
        <f t="shared" si="291"/>
        <v>$4,000-$5,500</v>
      </c>
      <c r="AD1222">
        <v>7439</v>
      </c>
      <c r="AE1222" t="str">
        <f t="shared" si="292"/>
        <v>$2,094-$8,000</v>
      </c>
      <c r="AF1222">
        <v>3</v>
      </c>
      <c r="AG1222" t="str">
        <f t="shared" si="293"/>
        <v>2-3</v>
      </c>
      <c r="AH1222" t="s">
        <v>67</v>
      </c>
      <c r="AI1222" t="s">
        <v>71</v>
      </c>
      <c r="AJ1222">
        <v>15</v>
      </c>
      <c r="AK1222" t="str">
        <f t="shared" si="294"/>
        <v>13-15%</v>
      </c>
      <c r="AL1222">
        <v>3</v>
      </c>
      <c r="AM1222" t="s">
        <v>68</v>
      </c>
      <c r="AN1222">
        <v>3</v>
      </c>
      <c r="AO1222" t="s">
        <v>63</v>
      </c>
      <c r="AP1222">
        <v>80</v>
      </c>
      <c r="AQ1222">
        <v>0</v>
      </c>
      <c r="AR1222">
        <v>17</v>
      </c>
      <c r="AS1222" t="str">
        <f t="shared" si="295"/>
        <v>11-20</v>
      </c>
      <c r="AT1222">
        <v>2</v>
      </c>
      <c r="AU1222" t="str">
        <f t="shared" si="296"/>
        <v>0-2</v>
      </c>
      <c r="AV1222">
        <v>2</v>
      </c>
      <c r="AW1222" t="s">
        <v>84</v>
      </c>
      <c r="AX1222">
        <v>13</v>
      </c>
      <c r="AY1222" t="str">
        <f t="shared" si="285"/>
        <v>11-20</v>
      </c>
      <c r="AZ1222">
        <v>7</v>
      </c>
      <c r="BA1222" t="str">
        <f t="shared" si="297"/>
        <v>6-10</v>
      </c>
      <c r="BB1222">
        <v>6</v>
      </c>
      <c r="BC1222" t="str">
        <f t="shared" si="298"/>
        <v>6-10</v>
      </c>
      <c r="BD1222">
        <v>7</v>
      </c>
      <c r="BE1222" t="str">
        <f t="shared" si="299"/>
        <v>6-10</v>
      </c>
    </row>
    <row r="1223" spans="1:57" x14ac:dyDescent="0.3">
      <c r="A1223">
        <v>1712</v>
      </c>
      <c r="B1223">
        <v>45</v>
      </c>
      <c r="C1223" t="str">
        <f t="shared" si="286"/>
        <v>36-45</v>
      </c>
      <c r="D1223" t="s">
        <v>71</v>
      </c>
      <c r="E1223">
        <f t="shared" si="287"/>
        <v>0</v>
      </c>
      <c r="F1223" t="s">
        <v>89</v>
      </c>
      <c r="G1223">
        <v>1238</v>
      </c>
      <c r="H1223" t="str">
        <f t="shared" si="288"/>
        <v>1001-1499</v>
      </c>
      <c r="I1223" t="s">
        <v>73</v>
      </c>
      <c r="J1223">
        <v>1</v>
      </c>
      <c r="K1223" t="str">
        <f t="shared" si="289"/>
        <v>1-5</v>
      </c>
      <c r="L1223">
        <v>1</v>
      </c>
      <c r="M1223" t="s">
        <v>74</v>
      </c>
      <c r="N1223" t="s">
        <v>60</v>
      </c>
      <c r="O1223">
        <v>1</v>
      </c>
      <c r="P1223">
        <v>3</v>
      </c>
      <c r="Q1223" t="s">
        <v>63</v>
      </c>
      <c r="R1223" t="s">
        <v>75</v>
      </c>
      <c r="S1223">
        <v>74</v>
      </c>
      <c r="T1223" t="str">
        <f t="shared" si="290"/>
        <v>51-75</v>
      </c>
      <c r="U1223">
        <v>2</v>
      </c>
      <c r="V1223" t="s">
        <v>61</v>
      </c>
      <c r="W1223">
        <v>3</v>
      </c>
      <c r="X1223" t="s">
        <v>88</v>
      </c>
      <c r="Y1223">
        <v>3</v>
      </c>
      <c r="Z1223" t="s">
        <v>63</v>
      </c>
      <c r="AA1223" t="s">
        <v>77</v>
      </c>
      <c r="AB1223" s="4">
        <v>10748</v>
      </c>
      <c r="AC1223" s="4" t="str">
        <f t="shared" si="291"/>
        <v>$10,000-$11,500</v>
      </c>
      <c r="AD1223">
        <v>3395</v>
      </c>
      <c r="AE1223" t="str">
        <f t="shared" si="292"/>
        <v>$2,094-$8,000</v>
      </c>
      <c r="AF1223">
        <v>3</v>
      </c>
      <c r="AG1223" t="str">
        <f t="shared" si="293"/>
        <v>2-3</v>
      </c>
      <c r="AH1223" t="s">
        <v>67</v>
      </c>
      <c r="AI1223" t="s">
        <v>71</v>
      </c>
      <c r="AJ1223">
        <v>23</v>
      </c>
      <c r="AK1223" t="str">
        <f t="shared" si="294"/>
        <v>18-19%</v>
      </c>
      <c r="AL1223">
        <v>4</v>
      </c>
      <c r="AM1223" t="s">
        <v>78</v>
      </c>
      <c r="AN1223">
        <v>4</v>
      </c>
      <c r="AO1223" t="s">
        <v>65</v>
      </c>
      <c r="AP1223">
        <v>80</v>
      </c>
      <c r="AQ1223">
        <v>1</v>
      </c>
      <c r="AR1223">
        <v>25</v>
      </c>
      <c r="AS1223" t="str">
        <f t="shared" si="295"/>
        <v>21-40</v>
      </c>
      <c r="AT1223">
        <v>3</v>
      </c>
      <c r="AU1223" t="str">
        <f t="shared" si="296"/>
        <v>3-4</v>
      </c>
      <c r="AV1223">
        <v>2</v>
      </c>
      <c r="AW1223" t="s">
        <v>84</v>
      </c>
      <c r="AX1223">
        <v>23</v>
      </c>
      <c r="AY1223" t="str">
        <f t="shared" si="285"/>
        <v>21-40</v>
      </c>
      <c r="AZ1223">
        <v>15</v>
      </c>
      <c r="BA1223" t="str">
        <f t="shared" si="297"/>
        <v>11-18</v>
      </c>
      <c r="BB1223">
        <v>14</v>
      </c>
      <c r="BC1223" t="str">
        <f t="shared" si="298"/>
        <v>11-15</v>
      </c>
      <c r="BD1223">
        <v>4</v>
      </c>
      <c r="BE1223" t="str">
        <f t="shared" si="299"/>
        <v>2-5</v>
      </c>
    </row>
    <row r="1224" spans="1:57" x14ac:dyDescent="0.3">
      <c r="A1224">
        <v>1714</v>
      </c>
      <c r="B1224">
        <v>24</v>
      </c>
      <c r="C1224" t="str">
        <f t="shared" si="286"/>
        <v>18-25</v>
      </c>
      <c r="D1224" t="s">
        <v>56</v>
      </c>
      <c r="E1224">
        <f t="shared" si="287"/>
        <v>1</v>
      </c>
      <c r="F1224" t="s">
        <v>57</v>
      </c>
      <c r="G1224">
        <v>240</v>
      </c>
      <c r="H1224" t="str">
        <f t="shared" si="288"/>
        <v>102-500</v>
      </c>
      <c r="I1224" t="s">
        <v>97</v>
      </c>
      <c r="J1224">
        <v>22</v>
      </c>
      <c r="K1224" t="str">
        <f t="shared" si="289"/>
        <v>21-29</v>
      </c>
      <c r="L1224">
        <v>1</v>
      </c>
      <c r="M1224" t="s">
        <v>74</v>
      </c>
      <c r="N1224" t="s">
        <v>97</v>
      </c>
      <c r="O1224">
        <v>1</v>
      </c>
      <c r="P1224">
        <v>4</v>
      </c>
      <c r="Q1224" t="s">
        <v>65</v>
      </c>
      <c r="R1224" t="s">
        <v>75</v>
      </c>
      <c r="S1224">
        <v>58</v>
      </c>
      <c r="T1224" t="str">
        <f t="shared" si="290"/>
        <v>51-75</v>
      </c>
      <c r="U1224">
        <v>1</v>
      </c>
      <c r="V1224" t="s">
        <v>69</v>
      </c>
      <c r="W1224">
        <v>1</v>
      </c>
      <c r="X1224" t="s">
        <v>97</v>
      </c>
      <c r="Y1224">
        <v>3</v>
      </c>
      <c r="Z1224" t="s">
        <v>63</v>
      </c>
      <c r="AA1224" t="s">
        <v>77</v>
      </c>
      <c r="AB1224" s="4">
        <v>1555</v>
      </c>
      <c r="AC1224" s="4" t="str">
        <f t="shared" si="291"/>
        <v>$1,000-$2,500</v>
      </c>
      <c r="AD1224">
        <v>11585</v>
      </c>
      <c r="AE1224" t="str">
        <f t="shared" si="292"/>
        <v>$8,001-$16,000</v>
      </c>
      <c r="AF1224">
        <v>1</v>
      </c>
      <c r="AG1224" t="str">
        <f t="shared" si="293"/>
        <v>0-1</v>
      </c>
      <c r="AH1224" t="s">
        <v>67</v>
      </c>
      <c r="AI1224" t="s">
        <v>71</v>
      </c>
      <c r="AJ1224">
        <v>11</v>
      </c>
      <c r="AK1224" t="str">
        <f t="shared" si="294"/>
        <v>11-12%</v>
      </c>
      <c r="AL1224">
        <v>3</v>
      </c>
      <c r="AM1224" t="s">
        <v>68</v>
      </c>
      <c r="AN1224">
        <v>3</v>
      </c>
      <c r="AO1224" t="s">
        <v>63</v>
      </c>
      <c r="AP1224">
        <v>80</v>
      </c>
      <c r="AQ1224">
        <v>1</v>
      </c>
      <c r="AR1224">
        <v>1</v>
      </c>
      <c r="AS1224" t="str">
        <f t="shared" si="295"/>
        <v>0-2</v>
      </c>
      <c r="AT1224">
        <v>2</v>
      </c>
      <c r="AU1224" t="str">
        <f t="shared" si="296"/>
        <v>0-2</v>
      </c>
      <c r="AV1224">
        <v>3</v>
      </c>
      <c r="AW1224" t="s">
        <v>79</v>
      </c>
      <c r="AX1224">
        <v>1</v>
      </c>
      <c r="AY1224" t="str">
        <f t="shared" si="285"/>
        <v>0-1</v>
      </c>
      <c r="AZ1224">
        <v>0</v>
      </c>
      <c r="BA1224" t="str">
        <f t="shared" si="297"/>
        <v>0-1</v>
      </c>
      <c r="BB1224">
        <v>0</v>
      </c>
      <c r="BC1224" t="str">
        <f t="shared" si="298"/>
        <v>0-1</v>
      </c>
      <c r="BD1224">
        <v>0</v>
      </c>
      <c r="BE1224" t="str">
        <f t="shared" si="299"/>
        <v>0-1</v>
      </c>
    </row>
    <row r="1225" spans="1:57" x14ac:dyDescent="0.3">
      <c r="A1225">
        <v>1716</v>
      </c>
      <c r="B1225">
        <v>47</v>
      </c>
      <c r="C1225" t="str">
        <f t="shared" si="286"/>
        <v>46-55</v>
      </c>
      <c r="D1225" t="s">
        <v>56</v>
      </c>
      <c r="E1225">
        <f t="shared" si="287"/>
        <v>1</v>
      </c>
      <c r="F1225" t="s">
        <v>72</v>
      </c>
      <c r="G1225">
        <v>1093</v>
      </c>
      <c r="H1225" t="str">
        <f t="shared" si="288"/>
        <v>1001-1499</v>
      </c>
      <c r="I1225" t="s">
        <v>58</v>
      </c>
      <c r="J1225">
        <v>9</v>
      </c>
      <c r="K1225" t="str">
        <f t="shared" si="289"/>
        <v>6-10</v>
      </c>
      <c r="L1225">
        <v>3</v>
      </c>
      <c r="M1225" t="s">
        <v>85</v>
      </c>
      <c r="N1225" t="s">
        <v>60</v>
      </c>
      <c r="O1225">
        <v>1</v>
      </c>
      <c r="P1225">
        <v>3</v>
      </c>
      <c r="Q1225" t="s">
        <v>63</v>
      </c>
      <c r="R1225" t="s">
        <v>75</v>
      </c>
      <c r="S1225">
        <v>82</v>
      </c>
      <c r="T1225" t="str">
        <f t="shared" si="290"/>
        <v>76-100</v>
      </c>
      <c r="U1225">
        <v>1</v>
      </c>
      <c r="V1225" t="s">
        <v>69</v>
      </c>
      <c r="W1225">
        <v>4</v>
      </c>
      <c r="X1225" t="s">
        <v>64</v>
      </c>
      <c r="Y1225">
        <v>3</v>
      </c>
      <c r="Z1225" t="s">
        <v>63</v>
      </c>
      <c r="AA1225" t="s">
        <v>77</v>
      </c>
      <c r="AB1225" s="4">
        <v>12936</v>
      </c>
      <c r="AC1225" s="4" t="str">
        <f t="shared" si="291"/>
        <v>$11,500-$13,000</v>
      </c>
      <c r="AD1225">
        <v>24164</v>
      </c>
      <c r="AE1225" t="str">
        <f t="shared" si="292"/>
        <v>$22,001-$26,999</v>
      </c>
      <c r="AF1225">
        <v>7</v>
      </c>
      <c r="AG1225" t="str">
        <f t="shared" si="293"/>
        <v>7-9</v>
      </c>
      <c r="AH1225" t="s">
        <v>67</v>
      </c>
      <c r="AI1225" t="s">
        <v>71</v>
      </c>
      <c r="AJ1225">
        <v>11</v>
      </c>
      <c r="AK1225" t="str">
        <f t="shared" si="294"/>
        <v>11-12%</v>
      </c>
      <c r="AL1225">
        <v>3</v>
      </c>
      <c r="AM1225" t="s">
        <v>68</v>
      </c>
      <c r="AN1225">
        <v>3</v>
      </c>
      <c r="AO1225" t="s">
        <v>63</v>
      </c>
      <c r="AP1225">
        <v>80</v>
      </c>
      <c r="AQ1225">
        <v>0</v>
      </c>
      <c r="AR1225">
        <v>25</v>
      </c>
      <c r="AS1225" t="str">
        <f t="shared" si="295"/>
        <v>21-40</v>
      </c>
      <c r="AT1225">
        <v>3</v>
      </c>
      <c r="AU1225" t="str">
        <f t="shared" si="296"/>
        <v>3-4</v>
      </c>
      <c r="AV1225">
        <v>1</v>
      </c>
      <c r="AW1225" t="s">
        <v>70</v>
      </c>
      <c r="AX1225">
        <v>23</v>
      </c>
      <c r="AY1225" t="str">
        <f t="shared" si="285"/>
        <v>21-40</v>
      </c>
      <c r="AZ1225">
        <v>5</v>
      </c>
      <c r="BA1225" t="str">
        <f t="shared" si="297"/>
        <v>2-5</v>
      </c>
      <c r="BB1225">
        <v>14</v>
      </c>
      <c r="BC1225" t="str">
        <f t="shared" si="298"/>
        <v>11-15</v>
      </c>
      <c r="BD1225">
        <v>10</v>
      </c>
      <c r="BE1225" t="str">
        <f t="shared" si="299"/>
        <v>6-10</v>
      </c>
    </row>
    <row r="1226" spans="1:57" x14ac:dyDescent="0.3">
      <c r="A1226">
        <v>1718</v>
      </c>
      <c r="B1226">
        <v>26</v>
      </c>
      <c r="C1226" t="str">
        <f t="shared" si="286"/>
        <v>26-35</v>
      </c>
      <c r="D1226" t="s">
        <v>71</v>
      </c>
      <c r="E1226">
        <f t="shared" si="287"/>
        <v>0</v>
      </c>
      <c r="F1226" t="s">
        <v>57</v>
      </c>
      <c r="G1226">
        <v>390</v>
      </c>
      <c r="H1226" t="str">
        <f t="shared" si="288"/>
        <v>102-500</v>
      </c>
      <c r="I1226" t="s">
        <v>73</v>
      </c>
      <c r="J1226">
        <v>17</v>
      </c>
      <c r="K1226" t="str">
        <f t="shared" si="289"/>
        <v>11-20</v>
      </c>
      <c r="L1226">
        <v>4</v>
      </c>
      <c r="M1226" t="s">
        <v>82</v>
      </c>
      <c r="N1226" t="s">
        <v>83</v>
      </c>
      <c r="O1226">
        <v>1</v>
      </c>
      <c r="P1226">
        <v>4</v>
      </c>
      <c r="Q1226" t="s">
        <v>65</v>
      </c>
      <c r="R1226" t="s">
        <v>75</v>
      </c>
      <c r="S1226">
        <v>62</v>
      </c>
      <c r="T1226" t="str">
        <f t="shared" si="290"/>
        <v>51-75</v>
      </c>
      <c r="U1226">
        <v>1</v>
      </c>
      <c r="V1226" t="s">
        <v>69</v>
      </c>
      <c r="W1226">
        <v>1</v>
      </c>
      <c r="X1226" t="s">
        <v>81</v>
      </c>
      <c r="Y1226">
        <v>3</v>
      </c>
      <c r="Z1226" t="s">
        <v>63</v>
      </c>
      <c r="AA1226" t="s">
        <v>77</v>
      </c>
      <c r="AB1226" s="4">
        <v>2305</v>
      </c>
      <c r="AC1226" s="4" t="str">
        <f t="shared" si="291"/>
        <v>$1,000-$2,500</v>
      </c>
      <c r="AD1226">
        <v>6217</v>
      </c>
      <c r="AE1226" t="str">
        <f t="shared" si="292"/>
        <v>$2,094-$8,000</v>
      </c>
      <c r="AF1226">
        <v>1</v>
      </c>
      <c r="AG1226" t="str">
        <f t="shared" si="293"/>
        <v>0-1</v>
      </c>
      <c r="AH1226" t="s">
        <v>67</v>
      </c>
      <c r="AI1226" t="s">
        <v>71</v>
      </c>
      <c r="AJ1226">
        <v>15</v>
      </c>
      <c r="AK1226" t="str">
        <f t="shared" si="294"/>
        <v>13-15%</v>
      </c>
      <c r="AL1226">
        <v>3</v>
      </c>
      <c r="AM1226" t="s">
        <v>68</v>
      </c>
      <c r="AN1226">
        <v>3</v>
      </c>
      <c r="AO1226" t="s">
        <v>63</v>
      </c>
      <c r="AP1226">
        <v>80</v>
      </c>
      <c r="AQ1226">
        <v>3</v>
      </c>
      <c r="AR1226">
        <v>3</v>
      </c>
      <c r="AS1226" t="str">
        <f t="shared" si="295"/>
        <v>3-5</v>
      </c>
      <c r="AT1226">
        <v>3</v>
      </c>
      <c r="AU1226" t="str">
        <f t="shared" si="296"/>
        <v>3-4</v>
      </c>
      <c r="AV1226">
        <v>4</v>
      </c>
      <c r="AW1226" t="s">
        <v>94</v>
      </c>
      <c r="AX1226">
        <v>3</v>
      </c>
      <c r="AY1226" t="str">
        <f t="shared" si="285"/>
        <v>2-5</v>
      </c>
      <c r="AZ1226">
        <v>2</v>
      </c>
      <c r="BA1226" t="str">
        <f t="shared" si="297"/>
        <v>2-5</v>
      </c>
      <c r="BB1226">
        <v>0</v>
      </c>
      <c r="BC1226" t="str">
        <f t="shared" si="298"/>
        <v>0-1</v>
      </c>
      <c r="BD1226">
        <v>2</v>
      </c>
      <c r="BE1226" t="str">
        <f t="shared" si="299"/>
        <v>2-5</v>
      </c>
    </row>
    <row r="1227" spans="1:57" x14ac:dyDescent="0.3">
      <c r="A1227">
        <v>1719</v>
      </c>
      <c r="B1227">
        <v>45</v>
      </c>
      <c r="C1227" t="str">
        <f t="shared" si="286"/>
        <v>36-45</v>
      </c>
      <c r="D1227" t="s">
        <v>71</v>
      </c>
      <c r="E1227">
        <f t="shared" si="287"/>
        <v>0</v>
      </c>
      <c r="F1227" t="s">
        <v>57</v>
      </c>
      <c r="G1227">
        <v>1005</v>
      </c>
      <c r="H1227" t="str">
        <f t="shared" si="288"/>
        <v>1001-1499</v>
      </c>
      <c r="I1227" t="s">
        <v>73</v>
      </c>
      <c r="J1227">
        <v>28</v>
      </c>
      <c r="K1227" t="str">
        <f t="shared" si="289"/>
        <v>21-29</v>
      </c>
      <c r="L1227">
        <v>2</v>
      </c>
      <c r="M1227" t="s">
        <v>59</v>
      </c>
      <c r="N1227" t="s">
        <v>95</v>
      </c>
      <c r="O1227">
        <v>1</v>
      </c>
      <c r="P1227">
        <v>4</v>
      </c>
      <c r="Q1227" t="s">
        <v>65</v>
      </c>
      <c r="R1227" t="s">
        <v>62</v>
      </c>
      <c r="S1227">
        <v>48</v>
      </c>
      <c r="T1227" t="str">
        <f t="shared" si="290"/>
        <v>30-50</v>
      </c>
      <c r="U1227">
        <v>2</v>
      </c>
      <c r="V1227" t="s">
        <v>61</v>
      </c>
      <c r="W1227">
        <v>4</v>
      </c>
      <c r="X1227" t="s">
        <v>92</v>
      </c>
      <c r="Y1227">
        <v>2</v>
      </c>
      <c r="Z1227" t="s">
        <v>61</v>
      </c>
      <c r="AA1227" t="s">
        <v>66</v>
      </c>
      <c r="AB1227" s="4">
        <v>16704</v>
      </c>
      <c r="AC1227" s="4" t="str">
        <f t="shared" si="291"/>
        <v>$16,000-$17,500</v>
      </c>
      <c r="AD1227">
        <v>17119</v>
      </c>
      <c r="AE1227" t="str">
        <f t="shared" si="292"/>
        <v>$16,001-$22,000</v>
      </c>
      <c r="AF1227">
        <v>1</v>
      </c>
      <c r="AG1227" t="str">
        <f t="shared" si="293"/>
        <v>0-1</v>
      </c>
      <c r="AH1227" t="s">
        <v>67</v>
      </c>
      <c r="AI1227" t="s">
        <v>71</v>
      </c>
      <c r="AJ1227">
        <v>11</v>
      </c>
      <c r="AK1227" t="str">
        <f t="shared" si="294"/>
        <v>11-12%</v>
      </c>
      <c r="AL1227">
        <v>3</v>
      </c>
      <c r="AM1227" t="s">
        <v>68</v>
      </c>
      <c r="AN1227">
        <v>3</v>
      </c>
      <c r="AO1227" t="s">
        <v>63</v>
      </c>
      <c r="AP1227">
        <v>80</v>
      </c>
      <c r="AQ1227">
        <v>0</v>
      </c>
      <c r="AR1227">
        <v>21</v>
      </c>
      <c r="AS1227" t="str">
        <f t="shared" si="295"/>
        <v>21-40</v>
      </c>
      <c r="AT1227">
        <v>2</v>
      </c>
      <c r="AU1227" t="str">
        <f t="shared" si="296"/>
        <v>0-2</v>
      </c>
      <c r="AV1227">
        <v>3</v>
      </c>
      <c r="AW1227" t="s">
        <v>79</v>
      </c>
      <c r="AX1227">
        <v>21</v>
      </c>
      <c r="AY1227" t="str">
        <f t="shared" si="285"/>
        <v>21-40</v>
      </c>
      <c r="AZ1227">
        <v>6</v>
      </c>
      <c r="BA1227" t="str">
        <f t="shared" si="297"/>
        <v>6-10</v>
      </c>
      <c r="BB1227">
        <v>8</v>
      </c>
      <c r="BC1227" t="str">
        <f t="shared" si="298"/>
        <v>6-10</v>
      </c>
      <c r="BD1227">
        <v>6</v>
      </c>
      <c r="BE1227" t="str">
        <f t="shared" si="299"/>
        <v>6-10</v>
      </c>
    </row>
    <row r="1228" spans="1:57" x14ac:dyDescent="0.3">
      <c r="A1228">
        <v>1720</v>
      </c>
      <c r="B1228">
        <v>32</v>
      </c>
      <c r="C1228" t="str">
        <f t="shared" si="286"/>
        <v>26-35</v>
      </c>
      <c r="D1228" t="s">
        <v>71</v>
      </c>
      <c r="E1228">
        <f t="shared" si="287"/>
        <v>0</v>
      </c>
      <c r="F1228" t="s">
        <v>72</v>
      </c>
      <c r="G1228">
        <v>585</v>
      </c>
      <c r="H1228" t="str">
        <f t="shared" si="288"/>
        <v>501-1000</v>
      </c>
      <c r="I1228" t="s">
        <v>73</v>
      </c>
      <c r="J1228">
        <v>10</v>
      </c>
      <c r="K1228" t="str">
        <f t="shared" si="289"/>
        <v>6-10</v>
      </c>
      <c r="L1228">
        <v>3</v>
      </c>
      <c r="M1228" t="s">
        <v>85</v>
      </c>
      <c r="N1228" t="s">
        <v>60</v>
      </c>
      <c r="O1228">
        <v>1</v>
      </c>
      <c r="P1228">
        <v>1</v>
      </c>
      <c r="Q1228" t="s">
        <v>69</v>
      </c>
      <c r="R1228" t="s">
        <v>75</v>
      </c>
      <c r="S1228">
        <v>56</v>
      </c>
      <c r="T1228" t="str">
        <f t="shared" si="290"/>
        <v>51-75</v>
      </c>
      <c r="U1228">
        <v>3</v>
      </c>
      <c r="V1228" t="s">
        <v>63</v>
      </c>
      <c r="W1228">
        <v>1</v>
      </c>
      <c r="X1228" t="s">
        <v>76</v>
      </c>
      <c r="Y1228">
        <v>3</v>
      </c>
      <c r="Z1228" t="s">
        <v>63</v>
      </c>
      <c r="AA1228" t="s">
        <v>77</v>
      </c>
      <c r="AB1228" s="4">
        <v>3433</v>
      </c>
      <c r="AC1228" s="4" t="str">
        <f t="shared" si="291"/>
        <v>$2,500-$4,000</v>
      </c>
      <c r="AD1228">
        <v>17360</v>
      </c>
      <c r="AE1228" t="str">
        <f t="shared" si="292"/>
        <v>$16,001-$22,000</v>
      </c>
      <c r="AF1228">
        <v>6</v>
      </c>
      <c r="AG1228" t="str">
        <f t="shared" si="293"/>
        <v>4-6</v>
      </c>
      <c r="AH1228" t="s">
        <v>67</v>
      </c>
      <c r="AI1228" t="s">
        <v>71</v>
      </c>
      <c r="AJ1228">
        <v>13</v>
      </c>
      <c r="AK1228" t="str">
        <f t="shared" si="294"/>
        <v>13-15%</v>
      </c>
      <c r="AL1228">
        <v>3</v>
      </c>
      <c r="AM1228" t="s">
        <v>68</v>
      </c>
      <c r="AN1228">
        <v>1</v>
      </c>
      <c r="AO1228" t="s">
        <v>69</v>
      </c>
      <c r="AP1228">
        <v>80</v>
      </c>
      <c r="AQ1228">
        <v>1</v>
      </c>
      <c r="AR1228">
        <v>10</v>
      </c>
      <c r="AS1228" t="str">
        <f t="shared" si="295"/>
        <v>6-10</v>
      </c>
      <c r="AT1228">
        <v>3</v>
      </c>
      <c r="AU1228" t="str">
        <f t="shared" si="296"/>
        <v>3-4</v>
      </c>
      <c r="AV1228">
        <v>2</v>
      </c>
      <c r="AW1228" t="s">
        <v>84</v>
      </c>
      <c r="AX1228">
        <v>5</v>
      </c>
      <c r="AY1228" t="str">
        <f t="shared" si="285"/>
        <v>2-5</v>
      </c>
      <c r="AZ1228">
        <v>2</v>
      </c>
      <c r="BA1228" t="str">
        <f t="shared" si="297"/>
        <v>2-5</v>
      </c>
      <c r="BB1228">
        <v>1</v>
      </c>
      <c r="BC1228" t="str">
        <f t="shared" si="298"/>
        <v>0-1</v>
      </c>
      <c r="BD1228">
        <v>3</v>
      </c>
      <c r="BE1228" t="str">
        <f t="shared" si="299"/>
        <v>2-5</v>
      </c>
    </row>
    <row r="1229" spans="1:57" x14ac:dyDescent="0.3">
      <c r="A1229">
        <v>1721</v>
      </c>
      <c r="B1229">
        <v>31</v>
      </c>
      <c r="C1229" t="str">
        <f t="shared" si="286"/>
        <v>26-35</v>
      </c>
      <c r="D1229" t="s">
        <v>71</v>
      </c>
      <c r="E1229">
        <f t="shared" si="287"/>
        <v>0</v>
      </c>
      <c r="F1229" t="s">
        <v>57</v>
      </c>
      <c r="G1229">
        <v>741</v>
      </c>
      <c r="H1229" t="str">
        <f t="shared" si="288"/>
        <v>501-1000</v>
      </c>
      <c r="I1229" t="s">
        <v>73</v>
      </c>
      <c r="J1229">
        <v>2</v>
      </c>
      <c r="K1229" t="str">
        <f t="shared" si="289"/>
        <v>1-5</v>
      </c>
      <c r="L1229">
        <v>4</v>
      </c>
      <c r="M1229" t="s">
        <v>82</v>
      </c>
      <c r="N1229" t="s">
        <v>60</v>
      </c>
      <c r="O1229">
        <v>1</v>
      </c>
      <c r="P1229">
        <v>2</v>
      </c>
      <c r="Q1229" t="s">
        <v>61</v>
      </c>
      <c r="R1229" t="s">
        <v>75</v>
      </c>
      <c r="S1229">
        <v>69</v>
      </c>
      <c r="T1229" t="str">
        <f t="shared" si="290"/>
        <v>51-75</v>
      </c>
      <c r="U1229">
        <v>3</v>
      </c>
      <c r="V1229" t="s">
        <v>63</v>
      </c>
      <c r="W1229">
        <v>1</v>
      </c>
      <c r="X1229" t="s">
        <v>81</v>
      </c>
      <c r="Y1229">
        <v>3</v>
      </c>
      <c r="Z1229" t="s">
        <v>63</v>
      </c>
      <c r="AA1229" t="s">
        <v>77</v>
      </c>
      <c r="AB1229" s="4">
        <v>3477</v>
      </c>
      <c r="AC1229" s="4" t="str">
        <f t="shared" si="291"/>
        <v>$2,500-$4,000</v>
      </c>
      <c r="AD1229">
        <v>18103</v>
      </c>
      <c r="AE1229" t="str">
        <f t="shared" si="292"/>
        <v>$16,001-$22,000</v>
      </c>
      <c r="AF1229">
        <v>1</v>
      </c>
      <c r="AG1229" t="str">
        <f t="shared" si="293"/>
        <v>0-1</v>
      </c>
      <c r="AH1229" t="s">
        <v>67</v>
      </c>
      <c r="AI1229" t="s">
        <v>71</v>
      </c>
      <c r="AJ1229">
        <v>14</v>
      </c>
      <c r="AK1229" t="str">
        <f t="shared" si="294"/>
        <v>13-15%</v>
      </c>
      <c r="AL1229">
        <v>3</v>
      </c>
      <c r="AM1229" t="s">
        <v>68</v>
      </c>
      <c r="AN1229">
        <v>4</v>
      </c>
      <c r="AO1229" t="s">
        <v>65</v>
      </c>
      <c r="AP1229">
        <v>80</v>
      </c>
      <c r="AQ1229">
        <v>1</v>
      </c>
      <c r="AR1229">
        <v>6</v>
      </c>
      <c r="AS1229" t="str">
        <f t="shared" si="295"/>
        <v>6-10</v>
      </c>
      <c r="AT1229">
        <v>2</v>
      </c>
      <c r="AU1229" t="str">
        <f t="shared" si="296"/>
        <v>0-2</v>
      </c>
      <c r="AV1229">
        <v>4</v>
      </c>
      <c r="AW1229" t="s">
        <v>94</v>
      </c>
      <c r="AX1229">
        <v>5</v>
      </c>
      <c r="AY1229" t="str">
        <f t="shared" si="285"/>
        <v>2-5</v>
      </c>
      <c r="AZ1229">
        <v>2</v>
      </c>
      <c r="BA1229" t="str">
        <f t="shared" si="297"/>
        <v>2-5</v>
      </c>
      <c r="BB1229">
        <v>0</v>
      </c>
      <c r="BC1229" t="str">
        <f t="shared" si="298"/>
        <v>0-1</v>
      </c>
      <c r="BD1229">
        <v>3</v>
      </c>
      <c r="BE1229" t="str">
        <f t="shared" si="299"/>
        <v>2-5</v>
      </c>
    </row>
    <row r="1230" spans="1:57" x14ac:dyDescent="0.3">
      <c r="A1230">
        <v>1722</v>
      </c>
      <c r="B1230">
        <v>41</v>
      </c>
      <c r="C1230" t="str">
        <f t="shared" si="286"/>
        <v>36-45</v>
      </c>
      <c r="D1230" t="s">
        <v>71</v>
      </c>
      <c r="E1230">
        <f t="shared" si="287"/>
        <v>0</v>
      </c>
      <c r="F1230" t="s">
        <v>89</v>
      </c>
      <c r="G1230">
        <v>552</v>
      </c>
      <c r="H1230" t="str">
        <f t="shared" si="288"/>
        <v>501-1000</v>
      </c>
      <c r="I1230" t="s">
        <v>97</v>
      </c>
      <c r="J1230">
        <v>4</v>
      </c>
      <c r="K1230" t="str">
        <f t="shared" si="289"/>
        <v>1-5</v>
      </c>
      <c r="L1230">
        <v>3</v>
      </c>
      <c r="M1230" t="s">
        <v>85</v>
      </c>
      <c r="N1230" t="s">
        <v>97</v>
      </c>
      <c r="O1230">
        <v>1</v>
      </c>
      <c r="P1230">
        <v>3</v>
      </c>
      <c r="Q1230" t="s">
        <v>63</v>
      </c>
      <c r="R1230" t="s">
        <v>75</v>
      </c>
      <c r="S1230">
        <v>60</v>
      </c>
      <c r="T1230" t="str">
        <f t="shared" si="290"/>
        <v>51-75</v>
      </c>
      <c r="U1230">
        <v>1</v>
      </c>
      <c r="V1230" t="s">
        <v>69</v>
      </c>
      <c r="W1230">
        <v>2</v>
      </c>
      <c r="X1230" t="s">
        <v>97</v>
      </c>
      <c r="Y1230">
        <v>2</v>
      </c>
      <c r="Z1230" t="s">
        <v>61</v>
      </c>
      <c r="AA1230" t="s">
        <v>77</v>
      </c>
      <c r="AB1230" s="4">
        <v>6430</v>
      </c>
      <c r="AC1230" s="4" t="str">
        <f t="shared" si="291"/>
        <v>$5,500-$7,000</v>
      </c>
      <c r="AD1230">
        <v>20794</v>
      </c>
      <c r="AE1230" t="str">
        <f t="shared" si="292"/>
        <v>$16,001-$22,000</v>
      </c>
      <c r="AF1230">
        <v>6</v>
      </c>
      <c r="AG1230" t="str">
        <f t="shared" si="293"/>
        <v>4-6</v>
      </c>
      <c r="AH1230" t="s">
        <v>67</v>
      </c>
      <c r="AI1230" t="s">
        <v>71</v>
      </c>
      <c r="AJ1230">
        <v>19</v>
      </c>
      <c r="AK1230" t="str">
        <f t="shared" si="294"/>
        <v>18-19%</v>
      </c>
      <c r="AL1230">
        <v>3</v>
      </c>
      <c r="AM1230" t="s">
        <v>68</v>
      </c>
      <c r="AN1230">
        <v>2</v>
      </c>
      <c r="AO1230" t="s">
        <v>61</v>
      </c>
      <c r="AP1230">
        <v>80</v>
      </c>
      <c r="AQ1230">
        <v>1</v>
      </c>
      <c r="AR1230">
        <v>10</v>
      </c>
      <c r="AS1230" t="str">
        <f t="shared" si="295"/>
        <v>6-10</v>
      </c>
      <c r="AT1230">
        <v>4</v>
      </c>
      <c r="AU1230" t="str">
        <f t="shared" si="296"/>
        <v>3-4</v>
      </c>
      <c r="AV1230">
        <v>3</v>
      </c>
      <c r="AW1230" t="s">
        <v>79</v>
      </c>
      <c r="AX1230">
        <v>3</v>
      </c>
      <c r="AY1230" t="str">
        <f t="shared" si="285"/>
        <v>2-5</v>
      </c>
      <c r="AZ1230">
        <v>2</v>
      </c>
      <c r="BA1230" t="str">
        <f t="shared" si="297"/>
        <v>2-5</v>
      </c>
      <c r="BB1230">
        <v>1</v>
      </c>
      <c r="BC1230" t="str">
        <f t="shared" si="298"/>
        <v>0-1</v>
      </c>
      <c r="BD1230">
        <v>2</v>
      </c>
      <c r="BE1230" t="str">
        <f t="shared" si="299"/>
        <v>2-5</v>
      </c>
    </row>
    <row r="1231" spans="1:57" x14ac:dyDescent="0.3">
      <c r="A1231">
        <v>1724</v>
      </c>
      <c r="B1231">
        <v>40</v>
      </c>
      <c r="C1231" t="str">
        <f t="shared" si="286"/>
        <v>36-45</v>
      </c>
      <c r="D1231" t="s">
        <v>71</v>
      </c>
      <c r="E1231">
        <f t="shared" si="287"/>
        <v>0</v>
      </c>
      <c r="F1231" t="s">
        <v>57</v>
      </c>
      <c r="G1231">
        <v>369</v>
      </c>
      <c r="H1231" t="str">
        <f t="shared" si="288"/>
        <v>102-500</v>
      </c>
      <c r="I1231" t="s">
        <v>73</v>
      </c>
      <c r="J1231">
        <v>8</v>
      </c>
      <c r="K1231" t="str">
        <f t="shared" si="289"/>
        <v>6-10</v>
      </c>
      <c r="L1231">
        <v>2</v>
      </c>
      <c r="M1231" t="s">
        <v>59</v>
      </c>
      <c r="N1231" t="s">
        <v>60</v>
      </c>
      <c r="O1231">
        <v>1</v>
      </c>
      <c r="P1231">
        <v>2</v>
      </c>
      <c r="Q1231" t="s">
        <v>61</v>
      </c>
      <c r="R1231" t="s">
        <v>62</v>
      </c>
      <c r="S1231">
        <v>92</v>
      </c>
      <c r="T1231" t="str">
        <f t="shared" si="290"/>
        <v>76-100</v>
      </c>
      <c r="U1231">
        <v>3</v>
      </c>
      <c r="V1231" t="s">
        <v>63</v>
      </c>
      <c r="W1231">
        <v>2</v>
      </c>
      <c r="X1231" t="s">
        <v>87</v>
      </c>
      <c r="Y1231">
        <v>1</v>
      </c>
      <c r="Z1231" t="s">
        <v>69</v>
      </c>
      <c r="AA1231" t="s">
        <v>77</v>
      </c>
      <c r="AB1231" s="4">
        <v>6516</v>
      </c>
      <c r="AC1231" s="4" t="str">
        <f t="shared" si="291"/>
        <v>$5,500-$7,000</v>
      </c>
      <c r="AD1231">
        <v>5041</v>
      </c>
      <c r="AE1231" t="str">
        <f t="shared" si="292"/>
        <v>$2,094-$8,000</v>
      </c>
      <c r="AF1231">
        <v>2</v>
      </c>
      <c r="AG1231" t="str">
        <f t="shared" si="293"/>
        <v>2-3</v>
      </c>
      <c r="AH1231" t="s">
        <v>67</v>
      </c>
      <c r="AI1231" t="s">
        <v>56</v>
      </c>
      <c r="AJ1231">
        <v>16</v>
      </c>
      <c r="AK1231" t="str">
        <f t="shared" si="294"/>
        <v>16-17%</v>
      </c>
      <c r="AL1231">
        <v>3</v>
      </c>
      <c r="AM1231" t="s">
        <v>68</v>
      </c>
      <c r="AN1231">
        <v>2</v>
      </c>
      <c r="AO1231" t="s">
        <v>61</v>
      </c>
      <c r="AP1231">
        <v>80</v>
      </c>
      <c r="AQ1231">
        <v>1</v>
      </c>
      <c r="AR1231">
        <v>18</v>
      </c>
      <c r="AS1231" t="str">
        <f t="shared" si="295"/>
        <v>11-20</v>
      </c>
      <c r="AT1231">
        <v>3</v>
      </c>
      <c r="AU1231" t="str">
        <f t="shared" si="296"/>
        <v>3-4</v>
      </c>
      <c r="AV1231">
        <v>3</v>
      </c>
      <c r="AW1231" t="s">
        <v>79</v>
      </c>
      <c r="AX1231">
        <v>1</v>
      </c>
      <c r="AY1231" t="str">
        <f t="shared" si="285"/>
        <v>0-1</v>
      </c>
      <c r="AZ1231">
        <v>0</v>
      </c>
      <c r="BA1231" t="str">
        <f t="shared" si="297"/>
        <v>0-1</v>
      </c>
      <c r="BB1231">
        <v>0</v>
      </c>
      <c r="BC1231" t="str">
        <f t="shared" si="298"/>
        <v>0-1</v>
      </c>
      <c r="BD1231">
        <v>0</v>
      </c>
      <c r="BE1231" t="str">
        <f t="shared" si="299"/>
        <v>0-1</v>
      </c>
    </row>
    <row r="1232" spans="1:57" x14ac:dyDescent="0.3">
      <c r="A1232">
        <v>1725</v>
      </c>
      <c r="B1232">
        <v>24</v>
      </c>
      <c r="C1232" t="str">
        <f t="shared" si="286"/>
        <v>18-25</v>
      </c>
      <c r="D1232" t="s">
        <v>71</v>
      </c>
      <c r="E1232">
        <f t="shared" si="287"/>
        <v>0</v>
      </c>
      <c r="F1232" t="s">
        <v>57</v>
      </c>
      <c r="G1232">
        <v>506</v>
      </c>
      <c r="H1232" t="str">
        <f t="shared" si="288"/>
        <v>501-1000</v>
      </c>
      <c r="I1232" t="s">
        <v>73</v>
      </c>
      <c r="J1232">
        <v>29</v>
      </c>
      <c r="K1232" t="str">
        <f t="shared" si="289"/>
        <v>21-29</v>
      </c>
      <c r="L1232">
        <v>1</v>
      </c>
      <c r="M1232" t="s">
        <v>74</v>
      </c>
      <c r="N1232" t="s">
        <v>83</v>
      </c>
      <c r="O1232">
        <v>1</v>
      </c>
      <c r="P1232">
        <v>2</v>
      </c>
      <c r="Q1232" t="s">
        <v>61</v>
      </c>
      <c r="R1232" t="s">
        <v>75</v>
      </c>
      <c r="S1232">
        <v>91</v>
      </c>
      <c r="T1232" t="str">
        <f t="shared" si="290"/>
        <v>76-100</v>
      </c>
      <c r="U1232">
        <v>3</v>
      </c>
      <c r="V1232" t="s">
        <v>63</v>
      </c>
      <c r="W1232">
        <v>1</v>
      </c>
      <c r="X1232" t="s">
        <v>81</v>
      </c>
      <c r="Y1232">
        <v>1</v>
      </c>
      <c r="Z1232" t="s">
        <v>69</v>
      </c>
      <c r="AA1232" t="s">
        <v>86</v>
      </c>
      <c r="AB1232" s="4">
        <v>3907</v>
      </c>
      <c r="AC1232" s="4" t="str">
        <f t="shared" si="291"/>
        <v>$2,500-$4,000</v>
      </c>
      <c r="AD1232">
        <v>3622</v>
      </c>
      <c r="AE1232" t="str">
        <f t="shared" si="292"/>
        <v>$2,094-$8,000</v>
      </c>
      <c r="AF1232">
        <v>1</v>
      </c>
      <c r="AG1232" t="str">
        <f t="shared" si="293"/>
        <v>0-1</v>
      </c>
      <c r="AH1232" t="s">
        <v>67</v>
      </c>
      <c r="AI1232" t="s">
        <v>71</v>
      </c>
      <c r="AJ1232">
        <v>13</v>
      </c>
      <c r="AK1232" t="str">
        <f t="shared" si="294"/>
        <v>13-15%</v>
      </c>
      <c r="AL1232">
        <v>3</v>
      </c>
      <c r="AM1232" t="s">
        <v>68</v>
      </c>
      <c r="AN1232">
        <v>2</v>
      </c>
      <c r="AO1232" t="s">
        <v>61</v>
      </c>
      <c r="AP1232">
        <v>80</v>
      </c>
      <c r="AQ1232">
        <v>3</v>
      </c>
      <c r="AR1232">
        <v>6</v>
      </c>
      <c r="AS1232" t="str">
        <f t="shared" si="295"/>
        <v>6-10</v>
      </c>
      <c r="AT1232">
        <v>2</v>
      </c>
      <c r="AU1232" t="str">
        <f t="shared" si="296"/>
        <v>0-2</v>
      </c>
      <c r="AV1232">
        <v>4</v>
      </c>
      <c r="AW1232" t="s">
        <v>94</v>
      </c>
      <c r="AX1232">
        <v>6</v>
      </c>
      <c r="AY1232" t="str">
        <f t="shared" si="285"/>
        <v>6-10</v>
      </c>
      <c r="AZ1232">
        <v>2</v>
      </c>
      <c r="BA1232" t="str">
        <f t="shared" si="297"/>
        <v>2-5</v>
      </c>
      <c r="BB1232">
        <v>1</v>
      </c>
      <c r="BC1232" t="str">
        <f t="shared" si="298"/>
        <v>0-1</v>
      </c>
      <c r="BD1232">
        <v>2</v>
      </c>
      <c r="BE1232" t="str">
        <f t="shared" si="299"/>
        <v>2-5</v>
      </c>
    </row>
    <row r="1233" spans="1:57" x14ac:dyDescent="0.3">
      <c r="A1233">
        <v>1727</v>
      </c>
      <c r="B1233">
        <v>46</v>
      </c>
      <c r="C1233" t="str">
        <f t="shared" si="286"/>
        <v>46-55</v>
      </c>
      <c r="D1233" t="s">
        <v>71</v>
      </c>
      <c r="E1233">
        <f t="shared" si="287"/>
        <v>0</v>
      </c>
      <c r="F1233" t="s">
        <v>57</v>
      </c>
      <c r="G1233">
        <v>717</v>
      </c>
      <c r="H1233" t="str">
        <f t="shared" si="288"/>
        <v>501-1000</v>
      </c>
      <c r="I1233" t="s">
        <v>73</v>
      </c>
      <c r="J1233">
        <v>13</v>
      </c>
      <c r="K1233" t="str">
        <f t="shared" si="289"/>
        <v>11-20</v>
      </c>
      <c r="L1233">
        <v>4</v>
      </c>
      <c r="M1233" t="s">
        <v>82</v>
      </c>
      <c r="N1233" t="s">
        <v>60</v>
      </c>
      <c r="O1233">
        <v>1</v>
      </c>
      <c r="P1233">
        <v>3</v>
      </c>
      <c r="Q1233" t="s">
        <v>63</v>
      </c>
      <c r="R1233" t="s">
        <v>75</v>
      </c>
      <c r="S1233">
        <v>34</v>
      </c>
      <c r="T1233" t="str">
        <f t="shared" si="290"/>
        <v>30-50</v>
      </c>
      <c r="U1233">
        <v>3</v>
      </c>
      <c r="V1233" t="s">
        <v>63</v>
      </c>
      <c r="W1233">
        <v>2</v>
      </c>
      <c r="X1233" t="s">
        <v>88</v>
      </c>
      <c r="Y1233">
        <v>2</v>
      </c>
      <c r="Z1233" t="s">
        <v>61</v>
      </c>
      <c r="AA1233" t="s">
        <v>66</v>
      </c>
      <c r="AB1233" s="4">
        <v>5562</v>
      </c>
      <c r="AC1233" s="4" t="str">
        <f t="shared" si="291"/>
        <v>$5,500-$7,000</v>
      </c>
      <c r="AD1233">
        <v>9697</v>
      </c>
      <c r="AE1233" t="str">
        <f t="shared" si="292"/>
        <v>$8,001-$16,000</v>
      </c>
      <c r="AF1233">
        <v>6</v>
      </c>
      <c r="AG1233" t="str">
        <f t="shared" si="293"/>
        <v>4-6</v>
      </c>
      <c r="AH1233" t="s">
        <v>67</v>
      </c>
      <c r="AI1233" t="s">
        <v>71</v>
      </c>
      <c r="AJ1233">
        <v>14</v>
      </c>
      <c r="AK1233" t="str">
        <f t="shared" si="294"/>
        <v>13-15%</v>
      </c>
      <c r="AL1233">
        <v>3</v>
      </c>
      <c r="AM1233" t="s">
        <v>68</v>
      </c>
      <c r="AN1233">
        <v>4</v>
      </c>
      <c r="AO1233" t="s">
        <v>65</v>
      </c>
      <c r="AP1233">
        <v>80</v>
      </c>
      <c r="AQ1233">
        <v>0</v>
      </c>
      <c r="AR1233">
        <v>19</v>
      </c>
      <c r="AS1233" t="str">
        <f t="shared" si="295"/>
        <v>11-20</v>
      </c>
      <c r="AT1233">
        <v>3</v>
      </c>
      <c r="AU1233" t="str">
        <f t="shared" si="296"/>
        <v>3-4</v>
      </c>
      <c r="AV1233">
        <v>3</v>
      </c>
      <c r="AW1233" t="s">
        <v>79</v>
      </c>
      <c r="AX1233">
        <v>10</v>
      </c>
      <c r="AY1233" t="str">
        <f t="shared" si="285"/>
        <v>6-10</v>
      </c>
      <c r="AZ1233">
        <v>7</v>
      </c>
      <c r="BA1233" t="str">
        <f t="shared" si="297"/>
        <v>6-10</v>
      </c>
      <c r="BB1233">
        <v>0</v>
      </c>
      <c r="BC1233" t="str">
        <f t="shared" si="298"/>
        <v>0-1</v>
      </c>
      <c r="BD1233">
        <v>9</v>
      </c>
      <c r="BE1233" t="str">
        <f t="shared" si="299"/>
        <v>6-10</v>
      </c>
    </row>
    <row r="1234" spans="1:57" x14ac:dyDescent="0.3">
      <c r="A1234">
        <v>1728</v>
      </c>
      <c r="B1234">
        <v>35</v>
      </c>
      <c r="C1234" t="str">
        <f t="shared" si="286"/>
        <v>26-35</v>
      </c>
      <c r="D1234" t="s">
        <v>71</v>
      </c>
      <c r="E1234">
        <f t="shared" si="287"/>
        <v>0</v>
      </c>
      <c r="F1234" t="s">
        <v>57</v>
      </c>
      <c r="G1234">
        <v>1370</v>
      </c>
      <c r="H1234" t="str">
        <f t="shared" si="288"/>
        <v>1001-1499</v>
      </c>
      <c r="I1234" t="s">
        <v>73</v>
      </c>
      <c r="J1234">
        <v>27</v>
      </c>
      <c r="K1234" t="str">
        <f t="shared" si="289"/>
        <v>21-29</v>
      </c>
      <c r="L1234">
        <v>4</v>
      </c>
      <c r="M1234" t="s">
        <v>82</v>
      </c>
      <c r="N1234" t="s">
        <v>60</v>
      </c>
      <c r="O1234">
        <v>1</v>
      </c>
      <c r="P1234">
        <v>4</v>
      </c>
      <c r="Q1234" t="s">
        <v>65</v>
      </c>
      <c r="R1234" t="s">
        <v>75</v>
      </c>
      <c r="S1234">
        <v>49</v>
      </c>
      <c r="T1234" t="str">
        <f t="shared" si="290"/>
        <v>30-50</v>
      </c>
      <c r="U1234">
        <v>3</v>
      </c>
      <c r="V1234" t="s">
        <v>63</v>
      </c>
      <c r="W1234">
        <v>2</v>
      </c>
      <c r="X1234" t="s">
        <v>87</v>
      </c>
      <c r="Y1234">
        <v>3</v>
      </c>
      <c r="Z1234" t="s">
        <v>63</v>
      </c>
      <c r="AA1234" t="s">
        <v>77</v>
      </c>
      <c r="AB1234" s="4">
        <v>6883</v>
      </c>
      <c r="AC1234" s="4" t="str">
        <f t="shared" si="291"/>
        <v>$5,500-$7,000</v>
      </c>
      <c r="AD1234">
        <v>5151</v>
      </c>
      <c r="AE1234" t="str">
        <f t="shared" si="292"/>
        <v>$2,094-$8,000</v>
      </c>
      <c r="AF1234">
        <v>2</v>
      </c>
      <c r="AG1234" t="str">
        <f t="shared" si="293"/>
        <v>2-3</v>
      </c>
      <c r="AH1234" t="s">
        <v>67</v>
      </c>
      <c r="AI1234" t="s">
        <v>71</v>
      </c>
      <c r="AJ1234">
        <v>16</v>
      </c>
      <c r="AK1234" t="str">
        <f t="shared" si="294"/>
        <v>16-17%</v>
      </c>
      <c r="AL1234">
        <v>3</v>
      </c>
      <c r="AM1234" t="s">
        <v>68</v>
      </c>
      <c r="AN1234">
        <v>2</v>
      </c>
      <c r="AO1234" t="s">
        <v>61</v>
      </c>
      <c r="AP1234">
        <v>80</v>
      </c>
      <c r="AQ1234">
        <v>1</v>
      </c>
      <c r="AR1234">
        <v>17</v>
      </c>
      <c r="AS1234" t="str">
        <f t="shared" si="295"/>
        <v>11-20</v>
      </c>
      <c r="AT1234">
        <v>3</v>
      </c>
      <c r="AU1234" t="str">
        <f t="shared" si="296"/>
        <v>3-4</v>
      </c>
      <c r="AV1234">
        <v>3</v>
      </c>
      <c r="AW1234" t="s">
        <v>79</v>
      </c>
      <c r="AX1234">
        <v>7</v>
      </c>
      <c r="AY1234" t="str">
        <f t="shared" si="285"/>
        <v>6-10</v>
      </c>
      <c r="AZ1234">
        <v>7</v>
      </c>
      <c r="BA1234" t="str">
        <f t="shared" si="297"/>
        <v>6-10</v>
      </c>
      <c r="BB1234">
        <v>0</v>
      </c>
      <c r="BC1234" t="str">
        <f t="shared" si="298"/>
        <v>0-1</v>
      </c>
      <c r="BD1234">
        <v>7</v>
      </c>
      <c r="BE1234" t="str">
        <f t="shared" si="299"/>
        <v>6-10</v>
      </c>
    </row>
    <row r="1235" spans="1:57" x14ac:dyDescent="0.3">
      <c r="A1235">
        <v>1729</v>
      </c>
      <c r="B1235">
        <v>30</v>
      </c>
      <c r="C1235" t="str">
        <f t="shared" si="286"/>
        <v>26-35</v>
      </c>
      <c r="D1235" t="s">
        <v>71</v>
      </c>
      <c r="E1235">
        <f t="shared" si="287"/>
        <v>0</v>
      </c>
      <c r="F1235" t="s">
        <v>57</v>
      </c>
      <c r="G1235">
        <v>793</v>
      </c>
      <c r="H1235" t="str">
        <f t="shared" si="288"/>
        <v>501-1000</v>
      </c>
      <c r="I1235" t="s">
        <v>73</v>
      </c>
      <c r="J1235">
        <v>16</v>
      </c>
      <c r="K1235" t="str">
        <f t="shared" si="289"/>
        <v>11-20</v>
      </c>
      <c r="L1235">
        <v>1</v>
      </c>
      <c r="M1235" t="s">
        <v>74</v>
      </c>
      <c r="N1235" t="s">
        <v>60</v>
      </c>
      <c r="O1235">
        <v>1</v>
      </c>
      <c r="P1235">
        <v>2</v>
      </c>
      <c r="Q1235" t="s">
        <v>61</v>
      </c>
      <c r="R1235" t="s">
        <v>75</v>
      </c>
      <c r="S1235">
        <v>33</v>
      </c>
      <c r="T1235" t="str">
        <f t="shared" si="290"/>
        <v>30-50</v>
      </c>
      <c r="U1235">
        <v>3</v>
      </c>
      <c r="V1235" t="s">
        <v>63</v>
      </c>
      <c r="W1235">
        <v>1</v>
      </c>
      <c r="X1235" t="s">
        <v>76</v>
      </c>
      <c r="Y1235">
        <v>4</v>
      </c>
      <c r="Z1235" t="s">
        <v>65</v>
      </c>
      <c r="AA1235" t="s">
        <v>77</v>
      </c>
      <c r="AB1235" s="4">
        <v>2862</v>
      </c>
      <c r="AC1235" s="4" t="str">
        <f t="shared" si="291"/>
        <v>$2,500-$4,000</v>
      </c>
      <c r="AD1235">
        <v>3811</v>
      </c>
      <c r="AE1235" t="str">
        <f t="shared" si="292"/>
        <v>$2,094-$8,000</v>
      </c>
      <c r="AF1235">
        <v>1</v>
      </c>
      <c r="AG1235" t="str">
        <f t="shared" si="293"/>
        <v>0-1</v>
      </c>
      <c r="AH1235" t="s">
        <v>67</v>
      </c>
      <c r="AI1235" t="s">
        <v>71</v>
      </c>
      <c r="AJ1235">
        <v>12</v>
      </c>
      <c r="AK1235" t="str">
        <f t="shared" si="294"/>
        <v>11-12%</v>
      </c>
      <c r="AL1235">
        <v>3</v>
      </c>
      <c r="AM1235" t="s">
        <v>68</v>
      </c>
      <c r="AN1235">
        <v>2</v>
      </c>
      <c r="AO1235" t="s">
        <v>61</v>
      </c>
      <c r="AP1235">
        <v>80</v>
      </c>
      <c r="AQ1235">
        <v>1</v>
      </c>
      <c r="AR1235">
        <v>10</v>
      </c>
      <c r="AS1235" t="str">
        <f t="shared" si="295"/>
        <v>6-10</v>
      </c>
      <c r="AT1235">
        <v>2</v>
      </c>
      <c r="AU1235" t="str">
        <f t="shared" si="296"/>
        <v>0-2</v>
      </c>
      <c r="AV1235">
        <v>2</v>
      </c>
      <c r="AW1235" t="s">
        <v>84</v>
      </c>
      <c r="AX1235">
        <v>10</v>
      </c>
      <c r="AY1235" t="str">
        <f t="shared" si="285"/>
        <v>6-10</v>
      </c>
      <c r="AZ1235">
        <v>0</v>
      </c>
      <c r="BA1235" t="str">
        <f t="shared" si="297"/>
        <v>0-1</v>
      </c>
      <c r="BB1235">
        <v>0</v>
      </c>
      <c r="BC1235" t="str">
        <f t="shared" si="298"/>
        <v>0-1</v>
      </c>
      <c r="BD1235">
        <v>8</v>
      </c>
      <c r="BE1235" t="str">
        <f t="shared" si="299"/>
        <v>6-10</v>
      </c>
    </row>
    <row r="1236" spans="1:57" x14ac:dyDescent="0.3">
      <c r="A1236">
        <v>1731</v>
      </c>
      <c r="B1236">
        <v>47</v>
      </c>
      <c r="C1236" t="str">
        <f t="shared" si="286"/>
        <v>46-55</v>
      </c>
      <c r="D1236" t="s">
        <v>71</v>
      </c>
      <c r="E1236">
        <f t="shared" si="287"/>
        <v>0</v>
      </c>
      <c r="F1236" t="s">
        <v>89</v>
      </c>
      <c r="G1236">
        <v>543</v>
      </c>
      <c r="H1236" t="str">
        <f t="shared" si="288"/>
        <v>501-1000</v>
      </c>
      <c r="I1236" t="s">
        <v>58</v>
      </c>
      <c r="J1236">
        <v>2</v>
      </c>
      <c r="K1236" t="str">
        <f t="shared" si="289"/>
        <v>1-5</v>
      </c>
      <c r="L1236">
        <v>4</v>
      </c>
      <c r="M1236" t="s">
        <v>82</v>
      </c>
      <c r="N1236" t="s">
        <v>93</v>
      </c>
      <c r="O1236">
        <v>1</v>
      </c>
      <c r="P1236">
        <v>3</v>
      </c>
      <c r="Q1236" t="s">
        <v>63</v>
      </c>
      <c r="R1236" t="s">
        <v>75</v>
      </c>
      <c r="S1236">
        <v>87</v>
      </c>
      <c r="T1236" t="str">
        <f t="shared" si="290"/>
        <v>76-100</v>
      </c>
      <c r="U1236">
        <v>3</v>
      </c>
      <c r="V1236" t="s">
        <v>63</v>
      </c>
      <c r="W1236">
        <v>2</v>
      </c>
      <c r="X1236" t="s">
        <v>64</v>
      </c>
      <c r="Y1236">
        <v>2</v>
      </c>
      <c r="Z1236" t="s">
        <v>61</v>
      </c>
      <c r="AA1236" t="s">
        <v>77</v>
      </c>
      <c r="AB1236" s="4">
        <v>4978</v>
      </c>
      <c r="AC1236" s="4" t="str">
        <f t="shared" si="291"/>
        <v>$4,000-$5,500</v>
      </c>
      <c r="AD1236">
        <v>3536</v>
      </c>
      <c r="AE1236" t="str">
        <f t="shared" si="292"/>
        <v>$2,094-$8,000</v>
      </c>
      <c r="AF1236">
        <v>7</v>
      </c>
      <c r="AG1236" t="str">
        <f t="shared" si="293"/>
        <v>7-9</v>
      </c>
      <c r="AH1236" t="s">
        <v>67</v>
      </c>
      <c r="AI1236" t="s">
        <v>71</v>
      </c>
      <c r="AJ1236">
        <v>11</v>
      </c>
      <c r="AK1236" t="str">
        <f t="shared" si="294"/>
        <v>11-12%</v>
      </c>
      <c r="AL1236">
        <v>3</v>
      </c>
      <c r="AM1236" t="s">
        <v>68</v>
      </c>
      <c r="AN1236">
        <v>4</v>
      </c>
      <c r="AO1236" t="s">
        <v>65</v>
      </c>
      <c r="AP1236">
        <v>80</v>
      </c>
      <c r="AQ1236">
        <v>1</v>
      </c>
      <c r="AR1236">
        <v>4</v>
      </c>
      <c r="AS1236" t="str">
        <f t="shared" si="295"/>
        <v>3-5</v>
      </c>
      <c r="AT1236">
        <v>3</v>
      </c>
      <c r="AU1236" t="str">
        <f t="shared" si="296"/>
        <v>3-4</v>
      </c>
      <c r="AV1236">
        <v>1</v>
      </c>
      <c r="AW1236" t="s">
        <v>70</v>
      </c>
      <c r="AX1236">
        <v>1</v>
      </c>
      <c r="AY1236" t="str">
        <f t="shared" si="285"/>
        <v>0-1</v>
      </c>
      <c r="AZ1236">
        <v>0</v>
      </c>
      <c r="BA1236" t="str">
        <f t="shared" si="297"/>
        <v>0-1</v>
      </c>
      <c r="BB1236">
        <v>0</v>
      </c>
      <c r="BC1236" t="str">
        <f t="shared" si="298"/>
        <v>0-1</v>
      </c>
      <c r="BD1236">
        <v>0</v>
      </c>
      <c r="BE1236" t="str">
        <f t="shared" si="299"/>
        <v>0-1</v>
      </c>
    </row>
    <row r="1237" spans="1:57" x14ac:dyDescent="0.3">
      <c r="A1237">
        <v>1732</v>
      </c>
      <c r="B1237">
        <v>46</v>
      </c>
      <c r="C1237" t="str">
        <f t="shared" si="286"/>
        <v>46-55</v>
      </c>
      <c r="D1237" t="s">
        <v>71</v>
      </c>
      <c r="E1237">
        <f t="shared" si="287"/>
        <v>0</v>
      </c>
      <c r="F1237" t="s">
        <v>57</v>
      </c>
      <c r="G1237">
        <v>1277</v>
      </c>
      <c r="H1237" t="str">
        <f t="shared" si="288"/>
        <v>1001-1499</v>
      </c>
      <c r="I1237" t="s">
        <v>58</v>
      </c>
      <c r="J1237">
        <v>2</v>
      </c>
      <c r="K1237" t="str">
        <f t="shared" si="289"/>
        <v>1-5</v>
      </c>
      <c r="L1237">
        <v>3</v>
      </c>
      <c r="M1237" t="s">
        <v>85</v>
      </c>
      <c r="N1237" t="s">
        <v>60</v>
      </c>
      <c r="O1237">
        <v>1</v>
      </c>
      <c r="P1237">
        <v>3</v>
      </c>
      <c r="Q1237" t="s">
        <v>63</v>
      </c>
      <c r="R1237" t="s">
        <v>75</v>
      </c>
      <c r="S1237">
        <v>74</v>
      </c>
      <c r="T1237" t="str">
        <f t="shared" si="290"/>
        <v>51-75</v>
      </c>
      <c r="U1237">
        <v>3</v>
      </c>
      <c r="V1237" t="s">
        <v>63</v>
      </c>
      <c r="W1237">
        <v>3</v>
      </c>
      <c r="X1237" t="s">
        <v>64</v>
      </c>
      <c r="Y1237">
        <v>4</v>
      </c>
      <c r="Z1237" t="s">
        <v>65</v>
      </c>
      <c r="AA1237" t="s">
        <v>86</v>
      </c>
      <c r="AB1237" s="4">
        <v>10368</v>
      </c>
      <c r="AC1237" s="4" t="str">
        <f t="shared" si="291"/>
        <v>$10,000-$11,500</v>
      </c>
      <c r="AD1237">
        <v>5596</v>
      </c>
      <c r="AE1237" t="str">
        <f t="shared" si="292"/>
        <v>$2,094-$8,000</v>
      </c>
      <c r="AF1237">
        <v>4</v>
      </c>
      <c r="AG1237" t="str">
        <f t="shared" si="293"/>
        <v>4-6</v>
      </c>
      <c r="AH1237" t="s">
        <v>67</v>
      </c>
      <c r="AI1237" t="s">
        <v>56</v>
      </c>
      <c r="AJ1237">
        <v>12</v>
      </c>
      <c r="AK1237" t="str">
        <f t="shared" si="294"/>
        <v>11-12%</v>
      </c>
      <c r="AL1237">
        <v>3</v>
      </c>
      <c r="AM1237" t="s">
        <v>68</v>
      </c>
      <c r="AN1237">
        <v>2</v>
      </c>
      <c r="AO1237" t="s">
        <v>61</v>
      </c>
      <c r="AP1237">
        <v>80</v>
      </c>
      <c r="AQ1237">
        <v>1</v>
      </c>
      <c r="AR1237">
        <v>13</v>
      </c>
      <c r="AS1237" t="str">
        <f t="shared" si="295"/>
        <v>11-20</v>
      </c>
      <c r="AT1237">
        <v>5</v>
      </c>
      <c r="AU1237" t="str">
        <f t="shared" si="296"/>
        <v>5-6</v>
      </c>
      <c r="AV1237">
        <v>2</v>
      </c>
      <c r="AW1237" t="s">
        <v>84</v>
      </c>
      <c r="AX1237">
        <v>10</v>
      </c>
      <c r="AY1237" t="str">
        <f t="shared" si="285"/>
        <v>6-10</v>
      </c>
      <c r="AZ1237">
        <v>6</v>
      </c>
      <c r="BA1237" t="str">
        <f t="shared" si="297"/>
        <v>6-10</v>
      </c>
      <c r="BB1237">
        <v>0</v>
      </c>
      <c r="BC1237" t="str">
        <f t="shared" si="298"/>
        <v>0-1</v>
      </c>
      <c r="BD1237">
        <v>3</v>
      </c>
      <c r="BE1237" t="str">
        <f t="shared" si="299"/>
        <v>2-5</v>
      </c>
    </row>
    <row r="1238" spans="1:57" x14ac:dyDescent="0.3">
      <c r="A1238">
        <v>1733</v>
      </c>
      <c r="B1238">
        <v>36</v>
      </c>
      <c r="C1238" t="str">
        <f t="shared" si="286"/>
        <v>36-45</v>
      </c>
      <c r="D1238" t="s">
        <v>56</v>
      </c>
      <c r="E1238">
        <f t="shared" si="287"/>
        <v>1</v>
      </c>
      <c r="F1238" t="s">
        <v>57</v>
      </c>
      <c r="G1238">
        <v>1456</v>
      </c>
      <c r="H1238" t="str">
        <f t="shared" si="288"/>
        <v>1001-1499</v>
      </c>
      <c r="I1238" t="s">
        <v>58</v>
      </c>
      <c r="J1238">
        <v>13</v>
      </c>
      <c r="K1238" t="str">
        <f t="shared" si="289"/>
        <v>11-20</v>
      </c>
      <c r="L1238">
        <v>5</v>
      </c>
      <c r="M1238" t="s">
        <v>96</v>
      </c>
      <c r="N1238" t="s">
        <v>93</v>
      </c>
      <c r="O1238">
        <v>1</v>
      </c>
      <c r="P1238">
        <v>2</v>
      </c>
      <c r="Q1238" t="s">
        <v>61</v>
      </c>
      <c r="R1238" t="s">
        <v>75</v>
      </c>
      <c r="S1238">
        <v>96</v>
      </c>
      <c r="T1238" t="str">
        <f t="shared" si="290"/>
        <v>76-100</v>
      </c>
      <c r="U1238">
        <v>2</v>
      </c>
      <c r="V1238" t="s">
        <v>61</v>
      </c>
      <c r="W1238">
        <v>2</v>
      </c>
      <c r="X1238" t="s">
        <v>64</v>
      </c>
      <c r="Y1238">
        <v>1</v>
      </c>
      <c r="Z1238" t="s">
        <v>69</v>
      </c>
      <c r="AA1238" t="s">
        <v>86</v>
      </c>
      <c r="AB1238" s="4">
        <v>6134</v>
      </c>
      <c r="AC1238" s="4" t="str">
        <f t="shared" si="291"/>
        <v>$5,500-$7,000</v>
      </c>
      <c r="AD1238">
        <v>8658</v>
      </c>
      <c r="AE1238" t="str">
        <f t="shared" si="292"/>
        <v>$8,001-$16,000</v>
      </c>
      <c r="AF1238">
        <v>5</v>
      </c>
      <c r="AG1238" t="str">
        <f t="shared" si="293"/>
        <v>4-6</v>
      </c>
      <c r="AH1238" t="s">
        <v>67</v>
      </c>
      <c r="AI1238" t="s">
        <v>56</v>
      </c>
      <c r="AJ1238">
        <v>13</v>
      </c>
      <c r="AK1238" t="str">
        <f t="shared" si="294"/>
        <v>13-15%</v>
      </c>
      <c r="AL1238">
        <v>3</v>
      </c>
      <c r="AM1238" t="s">
        <v>68</v>
      </c>
      <c r="AN1238">
        <v>2</v>
      </c>
      <c r="AO1238" t="s">
        <v>61</v>
      </c>
      <c r="AP1238">
        <v>80</v>
      </c>
      <c r="AQ1238">
        <v>3</v>
      </c>
      <c r="AR1238">
        <v>16</v>
      </c>
      <c r="AS1238" t="str">
        <f t="shared" si="295"/>
        <v>11-20</v>
      </c>
      <c r="AT1238">
        <v>3</v>
      </c>
      <c r="AU1238" t="str">
        <f t="shared" si="296"/>
        <v>3-4</v>
      </c>
      <c r="AV1238">
        <v>3</v>
      </c>
      <c r="AW1238" t="s">
        <v>79</v>
      </c>
      <c r="AX1238">
        <v>2</v>
      </c>
      <c r="AY1238" t="str">
        <f t="shared" si="285"/>
        <v>2-5</v>
      </c>
      <c r="AZ1238">
        <v>2</v>
      </c>
      <c r="BA1238" t="str">
        <f t="shared" si="297"/>
        <v>2-5</v>
      </c>
      <c r="BB1238">
        <v>2</v>
      </c>
      <c r="BC1238" t="str">
        <f t="shared" si="298"/>
        <v>2-5</v>
      </c>
      <c r="BD1238">
        <v>2</v>
      </c>
      <c r="BE1238" t="str">
        <f t="shared" si="299"/>
        <v>2-5</v>
      </c>
    </row>
    <row r="1239" spans="1:57" x14ac:dyDescent="0.3">
      <c r="A1239">
        <v>1734</v>
      </c>
      <c r="B1239">
        <v>32</v>
      </c>
      <c r="C1239" t="str">
        <f t="shared" si="286"/>
        <v>26-35</v>
      </c>
      <c r="D1239" t="s">
        <v>56</v>
      </c>
      <c r="E1239">
        <f t="shared" si="287"/>
        <v>1</v>
      </c>
      <c r="F1239" t="s">
        <v>57</v>
      </c>
      <c r="G1239">
        <v>964</v>
      </c>
      <c r="H1239" t="str">
        <f t="shared" si="288"/>
        <v>501-1000</v>
      </c>
      <c r="I1239" t="s">
        <v>58</v>
      </c>
      <c r="J1239">
        <v>1</v>
      </c>
      <c r="K1239" t="str">
        <f t="shared" si="289"/>
        <v>1-5</v>
      </c>
      <c r="L1239">
        <v>2</v>
      </c>
      <c r="M1239" t="s">
        <v>59</v>
      </c>
      <c r="N1239" t="s">
        <v>60</v>
      </c>
      <c r="O1239">
        <v>1</v>
      </c>
      <c r="P1239">
        <v>1</v>
      </c>
      <c r="Q1239" t="s">
        <v>69</v>
      </c>
      <c r="R1239" t="s">
        <v>75</v>
      </c>
      <c r="S1239">
        <v>34</v>
      </c>
      <c r="T1239" t="str">
        <f t="shared" si="290"/>
        <v>30-50</v>
      </c>
      <c r="U1239">
        <v>1</v>
      </c>
      <c r="V1239" t="s">
        <v>69</v>
      </c>
      <c r="W1239">
        <v>2</v>
      </c>
      <c r="X1239" t="s">
        <v>64</v>
      </c>
      <c r="Y1239">
        <v>2</v>
      </c>
      <c r="Z1239" t="s">
        <v>61</v>
      </c>
      <c r="AA1239" t="s">
        <v>66</v>
      </c>
      <c r="AB1239" s="4">
        <v>6735</v>
      </c>
      <c r="AC1239" s="4" t="str">
        <f t="shared" si="291"/>
        <v>$5,500-$7,000</v>
      </c>
      <c r="AD1239">
        <v>12147</v>
      </c>
      <c r="AE1239" t="str">
        <f t="shared" si="292"/>
        <v>$8,001-$16,000</v>
      </c>
      <c r="AF1239">
        <v>6</v>
      </c>
      <c r="AG1239" t="str">
        <f t="shared" si="293"/>
        <v>4-6</v>
      </c>
      <c r="AH1239" t="s">
        <v>67</v>
      </c>
      <c r="AI1239" t="s">
        <v>71</v>
      </c>
      <c r="AJ1239">
        <v>15</v>
      </c>
      <c r="AK1239" t="str">
        <f t="shared" si="294"/>
        <v>13-15%</v>
      </c>
      <c r="AL1239">
        <v>3</v>
      </c>
      <c r="AM1239" t="s">
        <v>68</v>
      </c>
      <c r="AN1239">
        <v>2</v>
      </c>
      <c r="AO1239" t="s">
        <v>61</v>
      </c>
      <c r="AP1239">
        <v>80</v>
      </c>
      <c r="AQ1239">
        <v>0</v>
      </c>
      <c r="AR1239">
        <v>10</v>
      </c>
      <c r="AS1239" t="str">
        <f t="shared" si="295"/>
        <v>6-10</v>
      </c>
      <c r="AT1239">
        <v>2</v>
      </c>
      <c r="AU1239" t="str">
        <f t="shared" si="296"/>
        <v>0-2</v>
      </c>
      <c r="AV1239">
        <v>3</v>
      </c>
      <c r="AW1239" t="s">
        <v>79</v>
      </c>
      <c r="AX1239">
        <v>0</v>
      </c>
      <c r="AY1239" t="str">
        <f t="shared" si="285"/>
        <v>0-1</v>
      </c>
      <c r="AZ1239">
        <v>0</v>
      </c>
      <c r="BA1239" t="str">
        <f t="shared" si="297"/>
        <v>0-1</v>
      </c>
      <c r="BB1239">
        <v>0</v>
      </c>
      <c r="BC1239" t="str">
        <f t="shared" si="298"/>
        <v>0-1</v>
      </c>
      <c r="BD1239">
        <v>0</v>
      </c>
      <c r="BE1239" t="str">
        <f t="shared" si="299"/>
        <v>0-1</v>
      </c>
    </row>
    <row r="1240" spans="1:57" x14ac:dyDescent="0.3">
      <c r="A1240">
        <v>1735</v>
      </c>
      <c r="B1240">
        <v>23</v>
      </c>
      <c r="C1240" t="str">
        <f t="shared" si="286"/>
        <v>18-25</v>
      </c>
      <c r="D1240" t="s">
        <v>71</v>
      </c>
      <c r="E1240">
        <f t="shared" si="287"/>
        <v>0</v>
      </c>
      <c r="F1240" t="s">
        <v>57</v>
      </c>
      <c r="G1240">
        <v>160</v>
      </c>
      <c r="H1240" t="str">
        <f t="shared" si="288"/>
        <v>102-500</v>
      </c>
      <c r="I1240" t="s">
        <v>73</v>
      </c>
      <c r="J1240">
        <v>4</v>
      </c>
      <c r="K1240" t="str">
        <f t="shared" si="289"/>
        <v>1-5</v>
      </c>
      <c r="L1240">
        <v>1</v>
      </c>
      <c r="M1240" t="s">
        <v>74</v>
      </c>
      <c r="N1240" t="s">
        <v>83</v>
      </c>
      <c r="O1240">
        <v>1</v>
      </c>
      <c r="P1240">
        <v>3</v>
      </c>
      <c r="Q1240" t="s">
        <v>63</v>
      </c>
      <c r="R1240" t="s">
        <v>62</v>
      </c>
      <c r="S1240">
        <v>51</v>
      </c>
      <c r="T1240" t="str">
        <f t="shared" si="290"/>
        <v>51-75</v>
      </c>
      <c r="U1240">
        <v>3</v>
      </c>
      <c r="V1240" t="s">
        <v>63</v>
      </c>
      <c r="W1240">
        <v>1</v>
      </c>
      <c r="X1240" t="s">
        <v>81</v>
      </c>
      <c r="Y1240">
        <v>2</v>
      </c>
      <c r="Z1240" t="s">
        <v>61</v>
      </c>
      <c r="AA1240" t="s">
        <v>66</v>
      </c>
      <c r="AB1240" s="4">
        <v>3295</v>
      </c>
      <c r="AC1240" s="4" t="str">
        <f t="shared" si="291"/>
        <v>$2,500-$4,000</v>
      </c>
      <c r="AD1240">
        <v>12862</v>
      </c>
      <c r="AE1240" t="str">
        <f t="shared" si="292"/>
        <v>$8,001-$16,000</v>
      </c>
      <c r="AF1240">
        <v>1</v>
      </c>
      <c r="AG1240" t="str">
        <f t="shared" si="293"/>
        <v>0-1</v>
      </c>
      <c r="AH1240" t="s">
        <v>67</v>
      </c>
      <c r="AI1240" t="s">
        <v>71</v>
      </c>
      <c r="AJ1240">
        <v>13</v>
      </c>
      <c r="AK1240" t="str">
        <f t="shared" si="294"/>
        <v>13-15%</v>
      </c>
      <c r="AL1240">
        <v>3</v>
      </c>
      <c r="AM1240" t="s">
        <v>68</v>
      </c>
      <c r="AN1240">
        <v>3</v>
      </c>
      <c r="AO1240" t="s">
        <v>63</v>
      </c>
      <c r="AP1240">
        <v>80</v>
      </c>
      <c r="AQ1240">
        <v>0</v>
      </c>
      <c r="AR1240">
        <v>3</v>
      </c>
      <c r="AS1240" t="str">
        <f t="shared" si="295"/>
        <v>3-5</v>
      </c>
      <c r="AT1240">
        <v>3</v>
      </c>
      <c r="AU1240" t="str">
        <f t="shared" si="296"/>
        <v>3-4</v>
      </c>
      <c r="AV1240">
        <v>1</v>
      </c>
      <c r="AW1240" t="s">
        <v>70</v>
      </c>
      <c r="AX1240">
        <v>3</v>
      </c>
      <c r="AY1240" t="str">
        <f t="shared" si="285"/>
        <v>2-5</v>
      </c>
      <c r="AZ1240">
        <v>2</v>
      </c>
      <c r="BA1240" t="str">
        <f t="shared" si="297"/>
        <v>2-5</v>
      </c>
      <c r="BB1240">
        <v>1</v>
      </c>
      <c r="BC1240" t="str">
        <f t="shared" si="298"/>
        <v>0-1</v>
      </c>
      <c r="BD1240">
        <v>2</v>
      </c>
      <c r="BE1240" t="str">
        <f t="shared" si="299"/>
        <v>2-5</v>
      </c>
    </row>
    <row r="1241" spans="1:57" x14ac:dyDescent="0.3">
      <c r="A1241">
        <v>1736</v>
      </c>
      <c r="B1241">
        <v>31</v>
      </c>
      <c r="C1241" t="str">
        <f t="shared" si="286"/>
        <v>26-35</v>
      </c>
      <c r="D1241" t="s">
        <v>71</v>
      </c>
      <c r="E1241">
        <f t="shared" si="287"/>
        <v>0</v>
      </c>
      <c r="F1241" t="s">
        <v>72</v>
      </c>
      <c r="G1241">
        <v>163</v>
      </c>
      <c r="H1241" t="str">
        <f t="shared" si="288"/>
        <v>102-500</v>
      </c>
      <c r="I1241" t="s">
        <v>73</v>
      </c>
      <c r="J1241">
        <v>24</v>
      </c>
      <c r="K1241" t="str">
        <f t="shared" si="289"/>
        <v>21-29</v>
      </c>
      <c r="L1241">
        <v>1</v>
      </c>
      <c r="M1241" t="s">
        <v>74</v>
      </c>
      <c r="N1241" t="s">
        <v>95</v>
      </c>
      <c r="O1241">
        <v>1</v>
      </c>
      <c r="P1241">
        <v>4</v>
      </c>
      <c r="Q1241" t="s">
        <v>65</v>
      </c>
      <c r="R1241" t="s">
        <v>62</v>
      </c>
      <c r="S1241">
        <v>30</v>
      </c>
      <c r="T1241" t="str">
        <f t="shared" si="290"/>
        <v>30-50</v>
      </c>
      <c r="U1241">
        <v>3</v>
      </c>
      <c r="V1241" t="s">
        <v>63</v>
      </c>
      <c r="W1241">
        <v>2</v>
      </c>
      <c r="X1241" t="s">
        <v>87</v>
      </c>
      <c r="Y1241">
        <v>4</v>
      </c>
      <c r="Z1241" t="s">
        <v>65</v>
      </c>
      <c r="AA1241" t="s">
        <v>66</v>
      </c>
      <c r="AB1241" s="4">
        <v>5238</v>
      </c>
      <c r="AC1241" s="4" t="str">
        <f t="shared" si="291"/>
        <v>$4,000-$5,500</v>
      </c>
      <c r="AD1241">
        <v>6670</v>
      </c>
      <c r="AE1241" t="str">
        <f t="shared" si="292"/>
        <v>$2,094-$8,000</v>
      </c>
      <c r="AF1241">
        <v>2</v>
      </c>
      <c r="AG1241" t="str">
        <f t="shared" si="293"/>
        <v>2-3</v>
      </c>
      <c r="AH1241" t="s">
        <v>67</v>
      </c>
      <c r="AI1241" t="s">
        <v>71</v>
      </c>
      <c r="AJ1241">
        <v>20</v>
      </c>
      <c r="AK1241" t="str">
        <f t="shared" si="294"/>
        <v>18-19%</v>
      </c>
      <c r="AL1241">
        <v>4</v>
      </c>
      <c r="AM1241" t="s">
        <v>78</v>
      </c>
      <c r="AN1241">
        <v>4</v>
      </c>
      <c r="AO1241" t="s">
        <v>65</v>
      </c>
      <c r="AP1241">
        <v>80</v>
      </c>
      <c r="AQ1241">
        <v>0</v>
      </c>
      <c r="AR1241">
        <v>9</v>
      </c>
      <c r="AS1241" t="str">
        <f t="shared" si="295"/>
        <v>6-10</v>
      </c>
      <c r="AT1241">
        <v>3</v>
      </c>
      <c r="AU1241" t="str">
        <f t="shared" si="296"/>
        <v>3-4</v>
      </c>
      <c r="AV1241">
        <v>2</v>
      </c>
      <c r="AW1241" t="s">
        <v>84</v>
      </c>
      <c r="AX1241">
        <v>5</v>
      </c>
      <c r="AY1241" t="str">
        <f t="shared" si="285"/>
        <v>2-5</v>
      </c>
      <c r="AZ1241">
        <v>4</v>
      </c>
      <c r="BA1241" t="str">
        <f t="shared" si="297"/>
        <v>2-5</v>
      </c>
      <c r="BB1241">
        <v>1</v>
      </c>
      <c r="BC1241" t="str">
        <f t="shared" si="298"/>
        <v>0-1</v>
      </c>
      <c r="BD1241">
        <v>4</v>
      </c>
      <c r="BE1241" t="str">
        <f t="shared" si="299"/>
        <v>2-5</v>
      </c>
    </row>
    <row r="1242" spans="1:57" x14ac:dyDescent="0.3">
      <c r="A1242">
        <v>1737</v>
      </c>
      <c r="B1242">
        <v>39</v>
      </c>
      <c r="C1242" t="str">
        <f t="shared" si="286"/>
        <v>36-45</v>
      </c>
      <c r="D1242" t="s">
        <v>71</v>
      </c>
      <c r="E1242">
        <f t="shared" si="287"/>
        <v>0</v>
      </c>
      <c r="F1242" t="s">
        <v>89</v>
      </c>
      <c r="G1242">
        <v>792</v>
      </c>
      <c r="H1242" t="str">
        <f t="shared" si="288"/>
        <v>501-1000</v>
      </c>
      <c r="I1242" t="s">
        <v>73</v>
      </c>
      <c r="J1242">
        <v>1</v>
      </c>
      <c r="K1242" t="str">
        <f t="shared" si="289"/>
        <v>1-5</v>
      </c>
      <c r="L1242">
        <v>3</v>
      </c>
      <c r="M1242" t="s">
        <v>85</v>
      </c>
      <c r="N1242" t="s">
        <v>60</v>
      </c>
      <c r="O1242">
        <v>1</v>
      </c>
      <c r="P1242">
        <v>4</v>
      </c>
      <c r="Q1242" t="s">
        <v>65</v>
      </c>
      <c r="R1242" t="s">
        <v>75</v>
      </c>
      <c r="S1242">
        <v>77</v>
      </c>
      <c r="T1242" t="str">
        <f t="shared" si="290"/>
        <v>76-100</v>
      </c>
      <c r="U1242">
        <v>3</v>
      </c>
      <c r="V1242" t="s">
        <v>63</v>
      </c>
      <c r="W1242">
        <v>2</v>
      </c>
      <c r="X1242" t="s">
        <v>81</v>
      </c>
      <c r="Y1242">
        <v>4</v>
      </c>
      <c r="Z1242" t="s">
        <v>65</v>
      </c>
      <c r="AA1242" t="s">
        <v>77</v>
      </c>
      <c r="AB1242" s="4">
        <v>6472</v>
      </c>
      <c r="AC1242" s="4" t="str">
        <f t="shared" si="291"/>
        <v>$5,500-$7,000</v>
      </c>
      <c r="AD1242">
        <v>8989</v>
      </c>
      <c r="AE1242" t="str">
        <f t="shared" si="292"/>
        <v>$8,001-$16,000</v>
      </c>
      <c r="AF1242">
        <v>1</v>
      </c>
      <c r="AG1242" t="str">
        <f t="shared" si="293"/>
        <v>0-1</v>
      </c>
      <c r="AH1242" t="s">
        <v>67</v>
      </c>
      <c r="AI1242" t="s">
        <v>56</v>
      </c>
      <c r="AJ1242">
        <v>15</v>
      </c>
      <c r="AK1242" t="str">
        <f t="shared" si="294"/>
        <v>13-15%</v>
      </c>
      <c r="AL1242">
        <v>3</v>
      </c>
      <c r="AM1242" t="s">
        <v>68</v>
      </c>
      <c r="AN1242">
        <v>4</v>
      </c>
      <c r="AO1242" t="s">
        <v>65</v>
      </c>
      <c r="AP1242">
        <v>80</v>
      </c>
      <c r="AQ1242">
        <v>1</v>
      </c>
      <c r="AR1242">
        <v>9</v>
      </c>
      <c r="AS1242" t="str">
        <f t="shared" si="295"/>
        <v>6-10</v>
      </c>
      <c r="AT1242">
        <v>2</v>
      </c>
      <c r="AU1242" t="str">
        <f t="shared" si="296"/>
        <v>0-2</v>
      </c>
      <c r="AV1242">
        <v>3</v>
      </c>
      <c r="AW1242" t="s">
        <v>79</v>
      </c>
      <c r="AX1242">
        <v>9</v>
      </c>
      <c r="AY1242" t="str">
        <f t="shared" si="285"/>
        <v>6-10</v>
      </c>
      <c r="AZ1242">
        <v>8</v>
      </c>
      <c r="BA1242" t="str">
        <f t="shared" si="297"/>
        <v>6-10</v>
      </c>
      <c r="BB1242">
        <v>5</v>
      </c>
      <c r="BC1242" t="str">
        <f t="shared" si="298"/>
        <v>2-5</v>
      </c>
      <c r="BD1242">
        <v>8</v>
      </c>
      <c r="BE1242" t="str">
        <f t="shared" si="299"/>
        <v>6-10</v>
      </c>
    </row>
    <row r="1243" spans="1:57" x14ac:dyDescent="0.3">
      <c r="A1243">
        <v>1739</v>
      </c>
      <c r="B1243">
        <v>32</v>
      </c>
      <c r="C1243" t="str">
        <f t="shared" si="286"/>
        <v>26-35</v>
      </c>
      <c r="D1243" t="s">
        <v>71</v>
      </c>
      <c r="E1243">
        <f t="shared" si="287"/>
        <v>0</v>
      </c>
      <c r="F1243" t="s">
        <v>57</v>
      </c>
      <c r="G1243">
        <v>371</v>
      </c>
      <c r="H1243" t="str">
        <f t="shared" si="288"/>
        <v>102-500</v>
      </c>
      <c r="I1243" t="s">
        <v>58</v>
      </c>
      <c r="J1243">
        <v>19</v>
      </c>
      <c r="K1243" t="str">
        <f t="shared" si="289"/>
        <v>11-20</v>
      </c>
      <c r="L1243">
        <v>3</v>
      </c>
      <c r="M1243" t="s">
        <v>85</v>
      </c>
      <c r="N1243" t="s">
        <v>60</v>
      </c>
      <c r="O1243">
        <v>1</v>
      </c>
      <c r="P1243">
        <v>4</v>
      </c>
      <c r="Q1243" t="s">
        <v>65</v>
      </c>
      <c r="R1243" t="s">
        <v>75</v>
      </c>
      <c r="S1243">
        <v>80</v>
      </c>
      <c r="T1243" t="str">
        <f t="shared" si="290"/>
        <v>76-100</v>
      </c>
      <c r="U1243">
        <v>1</v>
      </c>
      <c r="V1243" t="s">
        <v>69</v>
      </c>
      <c r="W1243">
        <v>3</v>
      </c>
      <c r="X1243" t="s">
        <v>64</v>
      </c>
      <c r="Y1243">
        <v>3</v>
      </c>
      <c r="Z1243" t="s">
        <v>63</v>
      </c>
      <c r="AA1243" t="s">
        <v>77</v>
      </c>
      <c r="AB1243" s="4">
        <v>9610</v>
      </c>
      <c r="AC1243" s="4" t="str">
        <f t="shared" si="291"/>
        <v>$8,500-$10,000</v>
      </c>
      <c r="AD1243">
        <v>3840</v>
      </c>
      <c r="AE1243" t="str">
        <f t="shared" si="292"/>
        <v>$2,094-$8,000</v>
      </c>
      <c r="AF1243">
        <v>3</v>
      </c>
      <c r="AG1243" t="str">
        <f t="shared" si="293"/>
        <v>2-3</v>
      </c>
      <c r="AH1243" t="s">
        <v>67</v>
      </c>
      <c r="AI1243" t="s">
        <v>71</v>
      </c>
      <c r="AJ1243">
        <v>13</v>
      </c>
      <c r="AK1243" t="str">
        <f t="shared" si="294"/>
        <v>13-15%</v>
      </c>
      <c r="AL1243">
        <v>3</v>
      </c>
      <c r="AM1243" t="s">
        <v>68</v>
      </c>
      <c r="AN1243">
        <v>3</v>
      </c>
      <c r="AO1243" t="s">
        <v>63</v>
      </c>
      <c r="AP1243">
        <v>80</v>
      </c>
      <c r="AQ1243">
        <v>1</v>
      </c>
      <c r="AR1243">
        <v>10</v>
      </c>
      <c r="AS1243" t="str">
        <f t="shared" si="295"/>
        <v>6-10</v>
      </c>
      <c r="AT1243">
        <v>2</v>
      </c>
      <c r="AU1243" t="str">
        <f t="shared" si="296"/>
        <v>0-2</v>
      </c>
      <c r="AV1243">
        <v>1</v>
      </c>
      <c r="AW1243" t="s">
        <v>70</v>
      </c>
      <c r="AX1243">
        <v>4</v>
      </c>
      <c r="AY1243" t="str">
        <f t="shared" si="285"/>
        <v>2-5</v>
      </c>
      <c r="AZ1243">
        <v>3</v>
      </c>
      <c r="BA1243" t="str">
        <f t="shared" si="297"/>
        <v>2-5</v>
      </c>
      <c r="BB1243">
        <v>0</v>
      </c>
      <c r="BC1243" t="str">
        <f t="shared" si="298"/>
        <v>0-1</v>
      </c>
      <c r="BD1243">
        <v>2</v>
      </c>
      <c r="BE1243" t="str">
        <f t="shared" si="299"/>
        <v>2-5</v>
      </c>
    </row>
    <row r="1244" spans="1:57" x14ac:dyDescent="0.3">
      <c r="A1244">
        <v>1740</v>
      </c>
      <c r="B1244">
        <v>40</v>
      </c>
      <c r="C1244" t="str">
        <f t="shared" si="286"/>
        <v>36-45</v>
      </c>
      <c r="D1244" t="s">
        <v>71</v>
      </c>
      <c r="E1244">
        <f t="shared" si="287"/>
        <v>0</v>
      </c>
      <c r="F1244" t="s">
        <v>57</v>
      </c>
      <c r="G1244">
        <v>611</v>
      </c>
      <c r="H1244" t="str">
        <f t="shared" si="288"/>
        <v>501-1000</v>
      </c>
      <c r="I1244" t="s">
        <v>58</v>
      </c>
      <c r="J1244">
        <v>7</v>
      </c>
      <c r="K1244" t="str">
        <f t="shared" si="289"/>
        <v>6-10</v>
      </c>
      <c r="L1244">
        <v>4</v>
      </c>
      <c r="M1244" t="s">
        <v>82</v>
      </c>
      <c r="N1244" t="s">
        <v>83</v>
      </c>
      <c r="O1244">
        <v>1</v>
      </c>
      <c r="P1244">
        <v>2</v>
      </c>
      <c r="Q1244" t="s">
        <v>61</v>
      </c>
      <c r="R1244" t="s">
        <v>75</v>
      </c>
      <c r="S1244">
        <v>88</v>
      </c>
      <c r="T1244" t="str">
        <f t="shared" si="290"/>
        <v>76-100</v>
      </c>
      <c r="U1244">
        <v>3</v>
      </c>
      <c r="V1244" t="s">
        <v>63</v>
      </c>
      <c r="W1244">
        <v>5</v>
      </c>
      <c r="X1244" t="s">
        <v>90</v>
      </c>
      <c r="Y1244">
        <v>2</v>
      </c>
      <c r="Z1244" t="s">
        <v>61</v>
      </c>
      <c r="AA1244" t="s">
        <v>66</v>
      </c>
      <c r="AB1244" s="4">
        <v>19833</v>
      </c>
      <c r="AC1244" s="4" t="str">
        <f t="shared" si="291"/>
        <v>$19,000-$20,500</v>
      </c>
      <c r="AD1244">
        <v>4349</v>
      </c>
      <c r="AE1244" t="str">
        <f t="shared" si="292"/>
        <v>$2,094-$8,000</v>
      </c>
      <c r="AF1244">
        <v>1</v>
      </c>
      <c r="AG1244" t="str">
        <f t="shared" si="293"/>
        <v>0-1</v>
      </c>
      <c r="AH1244" t="s">
        <v>67</v>
      </c>
      <c r="AI1244" t="s">
        <v>71</v>
      </c>
      <c r="AJ1244">
        <v>14</v>
      </c>
      <c r="AK1244" t="str">
        <f t="shared" si="294"/>
        <v>13-15%</v>
      </c>
      <c r="AL1244">
        <v>3</v>
      </c>
      <c r="AM1244" t="s">
        <v>68</v>
      </c>
      <c r="AN1244">
        <v>2</v>
      </c>
      <c r="AO1244" t="s">
        <v>61</v>
      </c>
      <c r="AP1244">
        <v>80</v>
      </c>
      <c r="AQ1244">
        <v>0</v>
      </c>
      <c r="AR1244">
        <v>21</v>
      </c>
      <c r="AS1244" t="str">
        <f t="shared" si="295"/>
        <v>21-40</v>
      </c>
      <c r="AT1244">
        <v>3</v>
      </c>
      <c r="AU1244" t="str">
        <f t="shared" si="296"/>
        <v>3-4</v>
      </c>
      <c r="AV1244">
        <v>2</v>
      </c>
      <c r="AW1244" t="s">
        <v>84</v>
      </c>
      <c r="AX1244">
        <v>21</v>
      </c>
      <c r="AY1244" t="str">
        <f t="shared" si="285"/>
        <v>21-40</v>
      </c>
      <c r="AZ1244">
        <v>8</v>
      </c>
      <c r="BA1244" t="str">
        <f t="shared" si="297"/>
        <v>6-10</v>
      </c>
      <c r="BB1244">
        <v>12</v>
      </c>
      <c r="BC1244" t="str">
        <f t="shared" si="298"/>
        <v>11-15</v>
      </c>
      <c r="BD1244">
        <v>8</v>
      </c>
      <c r="BE1244" t="str">
        <f t="shared" si="299"/>
        <v>6-10</v>
      </c>
    </row>
    <row r="1245" spans="1:57" x14ac:dyDescent="0.3">
      <c r="A1245">
        <v>1744</v>
      </c>
      <c r="B1245">
        <v>45</v>
      </c>
      <c r="C1245" t="str">
        <f t="shared" si="286"/>
        <v>36-45</v>
      </c>
      <c r="D1245" t="s">
        <v>71</v>
      </c>
      <c r="E1245">
        <f t="shared" si="287"/>
        <v>0</v>
      </c>
      <c r="F1245" t="s">
        <v>57</v>
      </c>
      <c r="G1245">
        <v>176</v>
      </c>
      <c r="H1245" t="str">
        <f t="shared" si="288"/>
        <v>102-500</v>
      </c>
      <c r="I1245" t="s">
        <v>97</v>
      </c>
      <c r="J1245">
        <v>4</v>
      </c>
      <c r="K1245" t="str">
        <f t="shared" si="289"/>
        <v>1-5</v>
      </c>
      <c r="L1245">
        <v>3</v>
      </c>
      <c r="M1245" t="s">
        <v>85</v>
      </c>
      <c r="N1245" t="s">
        <v>60</v>
      </c>
      <c r="O1245">
        <v>1</v>
      </c>
      <c r="P1245">
        <v>3</v>
      </c>
      <c r="Q1245" t="s">
        <v>63</v>
      </c>
      <c r="R1245" t="s">
        <v>62</v>
      </c>
      <c r="S1245">
        <v>56</v>
      </c>
      <c r="T1245" t="str">
        <f t="shared" si="290"/>
        <v>51-75</v>
      </c>
      <c r="U1245">
        <v>1</v>
      </c>
      <c r="V1245" t="s">
        <v>69</v>
      </c>
      <c r="W1245">
        <v>3</v>
      </c>
      <c r="X1245" t="s">
        <v>97</v>
      </c>
      <c r="Y1245">
        <v>3</v>
      </c>
      <c r="Z1245" t="s">
        <v>63</v>
      </c>
      <c r="AA1245" t="s">
        <v>77</v>
      </c>
      <c r="AB1245" s="4">
        <v>9756</v>
      </c>
      <c r="AC1245" s="4" t="str">
        <f t="shared" si="291"/>
        <v>$8,500-$10,000</v>
      </c>
      <c r="AD1245">
        <v>6595</v>
      </c>
      <c r="AE1245" t="str">
        <f t="shared" si="292"/>
        <v>$2,094-$8,000</v>
      </c>
      <c r="AF1245">
        <v>4</v>
      </c>
      <c r="AG1245" t="str">
        <f t="shared" si="293"/>
        <v>4-6</v>
      </c>
      <c r="AH1245" t="s">
        <v>67</v>
      </c>
      <c r="AI1245" t="s">
        <v>71</v>
      </c>
      <c r="AJ1245">
        <v>21</v>
      </c>
      <c r="AK1245" t="str">
        <f t="shared" si="294"/>
        <v>18-19%</v>
      </c>
      <c r="AL1245">
        <v>4</v>
      </c>
      <c r="AM1245" t="s">
        <v>78</v>
      </c>
      <c r="AN1245">
        <v>3</v>
      </c>
      <c r="AO1245" t="s">
        <v>63</v>
      </c>
      <c r="AP1245">
        <v>80</v>
      </c>
      <c r="AQ1245">
        <v>2</v>
      </c>
      <c r="AR1245">
        <v>9</v>
      </c>
      <c r="AS1245" t="str">
        <f t="shared" si="295"/>
        <v>6-10</v>
      </c>
      <c r="AT1245">
        <v>2</v>
      </c>
      <c r="AU1245" t="str">
        <f t="shared" si="296"/>
        <v>0-2</v>
      </c>
      <c r="AV1245">
        <v>4</v>
      </c>
      <c r="AW1245" t="s">
        <v>94</v>
      </c>
      <c r="AX1245">
        <v>5</v>
      </c>
      <c r="AY1245" t="str">
        <f t="shared" si="285"/>
        <v>2-5</v>
      </c>
      <c r="AZ1245">
        <v>0</v>
      </c>
      <c r="BA1245" t="str">
        <f t="shared" si="297"/>
        <v>0-1</v>
      </c>
      <c r="BB1245">
        <v>0</v>
      </c>
      <c r="BC1245" t="str">
        <f t="shared" si="298"/>
        <v>0-1</v>
      </c>
      <c r="BD1245">
        <v>3</v>
      </c>
      <c r="BE1245" t="str">
        <f t="shared" si="299"/>
        <v>2-5</v>
      </c>
    </row>
    <row r="1246" spans="1:57" x14ac:dyDescent="0.3">
      <c r="A1246">
        <v>1745</v>
      </c>
      <c r="B1246">
        <v>30</v>
      </c>
      <c r="C1246" t="str">
        <f t="shared" si="286"/>
        <v>26-35</v>
      </c>
      <c r="D1246" t="s">
        <v>71</v>
      </c>
      <c r="E1246">
        <f t="shared" si="287"/>
        <v>0</v>
      </c>
      <c r="F1246" t="s">
        <v>72</v>
      </c>
      <c r="G1246">
        <v>1312</v>
      </c>
      <c r="H1246" t="str">
        <f t="shared" si="288"/>
        <v>1001-1499</v>
      </c>
      <c r="I1246" t="s">
        <v>73</v>
      </c>
      <c r="J1246">
        <v>2</v>
      </c>
      <c r="K1246" t="str">
        <f t="shared" si="289"/>
        <v>1-5</v>
      </c>
      <c r="L1246">
        <v>4</v>
      </c>
      <c r="M1246" t="s">
        <v>82</v>
      </c>
      <c r="N1246" t="s">
        <v>95</v>
      </c>
      <c r="O1246">
        <v>1</v>
      </c>
      <c r="P1246">
        <v>4</v>
      </c>
      <c r="Q1246" t="s">
        <v>65</v>
      </c>
      <c r="R1246" t="s">
        <v>62</v>
      </c>
      <c r="S1246">
        <v>78</v>
      </c>
      <c r="T1246" t="str">
        <f t="shared" si="290"/>
        <v>76-100</v>
      </c>
      <c r="U1246">
        <v>2</v>
      </c>
      <c r="V1246" t="s">
        <v>61</v>
      </c>
      <c r="W1246">
        <v>1</v>
      </c>
      <c r="X1246" t="s">
        <v>76</v>
      </c>
      <c r="Y1246">
        <v>1</v>
      </c>
      <c r="Z1246" t="s">
        <v>69</v>
      </c>
      <c r="AA1246" t="s">
        <v>66</v>
      </c>
      <c r="AB1246" s="4">
        <v>4968</v>
      </c>
      <c r="AC1246" s="4" t="str">
        <f t="shared" si="291"/>
        <v>$4,000-$5,500</v>
      </c>
      <c r="AD1246">
        <v>26427</v>
      </c>
      <c r="AE1246" t="str">
        <f t="shared" si="292"/>
        <v>$22,001-$26,999</v>
      </c>
      <c r="AF1246">
        <v>0</v>
      </c>
      <c r="AG1246" t="str">
        <f t="shared" si="293"/>
        <v>0-1</v>
      </c>
      <c r="AH1246" t="s">
        <v>67</v>
      </c>
      <c r="AI1246" t="s">
        <v>71</v>
      </c>
      <c r="AJ1246">
        <v>16</v>
      </c>
      <c r="AK1246" t="str">
        <f t="shared" si="294"/>
        <v>16-17%</v>
      </c>
      <c r="AL1246">
        <v>3</v>
      </c>
      <c r="AM1246" t="s">
        <v>68</v>
      </c>
      <c r="AN1246">
        <v>4</v>
      </c>
      <c r="AO1246" t="s">
        <v>65</v>
      </c>
      <c r="AP1246">
        <v>80</v>
      </c>
      <c r="AQ1246">
        <v>0</v>
      </c>
      <c r="AR1246">
        <v>10</v>
      </c>
      <c r="AS1246" t="str">
        <f t="shared" si="295"/>
        <v>6-10</v>
      </c>
      <c r="AT1246">
        <v>2</v>
      </c>
      <c r="AU1246" t="str">
        <f t="shared" si="296"/>
        <v>0-2</v>
      </c>
      <c r="AV1246">
        <v>3</v>
      </c>
      <c r="AW1246" t="s">
        <v>79</v>
      </c>
      <c r="AX1246">
        <v>9</v>
      </c>
      <c r="AY1246" t="str">
        <f t="shared" si="285"/>
        <v>6-10</v>
      </c>
      <c r="AZ1246">
        <v>7</v>
      </c>
      <c r="BA1246" t="str">
        <f t="shared" si="297"/>
        <v>6-10</v>
      </c>
      <c r="BB1246">
        <v>0</v>
      </c>
      <c r="BC1246" t="str">
        <f t="shared" si="298"/>
        <v>0-1</v>
      </c>
      <c r="BD1246">
        <v>7</v>
      </c>
      <c r="BE1246" t="str">
        <f t="shared" si="299"/>
        <v>6-10</v>
      </c>
    </row>
    <row r="1247" spans="1:57" x14ac:dyDescent="0.3">
      <c r="A1247">
        <v>1746</v>
      </c>
      <c r="B1247">
        <v>24</v>
      </c>
      <c r="C1247" t="str">
        <f t="shared" si="286"/>
        <v>18-25</v>
      </c>
      <c r="D1247" t="s">
        <v>71</v>
      </c>
      <c r="E1247">
        <f t="shared" si="287"/>
        <v>0</v>
      </c>
      <c r="F1247" t="s">
        <v>72</v>
      </c>
      <c r="G1247">
        <v>897</v>
      </c>
      <c r="H1247" t="str">
        <f t="shared" si="288"/>
        <v>501-1000</v>
      </c>
      <c r="I1247" t="s">
        <v>97</v>
      </c>
      <c r="J1247">
        <v>10</v>
      </c>
      <c r="K1247" t="str">
        <f t="shared" si="289"/>
        <v>6-10</v>
      </c>
      <c r="L1247">
        <v>3</v>
      </c>
      <c r="M1247" t="s">
        <v>85</v>
      </c>
      <c r="N1247" t="s">
        <v>83</v>
      </c>
      <c r="O1247">
        <v>1</v>
      </c>
      <c r="P1247">
        <v>1</v>
      </c>
      <c r="Q1247" t="s">
        <v>69</v>
      </c>
      <c r="R1247" t="s">
        <v>75</v>
      </c>
      <c r="S1247">
        <v>59</v>
      </c>
      <c r="T1247" t="str">
        <f t="shared" si="290"/>
        <v>51-75</v>
      </c>
      <c r="U1247">
        <v>3</v>
      </c>
      <c r="V1247" t="s">
        <v>63</v>
      </c>
      <c r="W1247">
        <v>1</v>
      </c>
      <c r="X1247" t="s">
        <v>97</v>
      </c>
      <c r="Y1247">
        <v>4</v>
      </c>
      <c r="Z1247" t="s">
        <v>65</v>
      </c>
      <c r="AA1247" t="s">
        <v>77</v>
      </c>
      <c r="AB1247" s="4">
        <v>2145</v>
      </c>
      <c r="AC1247" s="4" t="str">
        <f t="shared" si="291"/>
        <v>$1,000-$2,500</v>
      </c>
      <c r="AD1247">
        <v>2097</v>
      </c>
      <c r="AE1247" t="str">
        <f t="shared" si="292"/>
        <v>$2,094-$8,000</v>
      </c>
      <c r="AF1247">
        <v>0</v>
      </c>
      <c r="AG1247" t="str">
        <f t="shared" si="293"/>
        <v>0-1</v>
      </c>
      <c r="AH1247" t="s">
        <v>67</v>
      </c>
      <c r="AI1247" t="s">
        <v>71</v>
      </c>
      <c r="AJ1247">
        <v>14</v>
      </c>
      <c r="AK1247" t="str">
        <f t="shared" si="294"/>
        <v>13-15%</v>
      </c>
      <c r="AL1247">
        <v>3</v>
      </c>
      <c r="AM1247" t="s">
        <v>68</v>
      </c>
      <c r="AN1247">
        <v>4</v>
      </c>
      <c r="AO1247" t="s">
        <v>65</v>
      </c>
      <c r="AP1247">
        <v>80</v>
      </c>
      <c r="AQ1247">
        <v>1</v>
      </c>
      <c r="AR1247">
        <v>3</v>
      </c>
      <c r="AS1247" t="str">
        <f t="shared" si="295"/>
        <v>3-5</v>
      </c>
      <c r="AT1247">
        <v>2</v>
      </c>
      <c r="AU1247" t="str">
        <f t="shared" si="296"/>
        <v>0-2</v>
      </c>
      <c r="AV1247">
        <v>3</v>
      </c>
      <c r="AW1247" t="s">
        <v>79</v>
      </c>
      <c r="AX1247">
        <v>2</v>
      </c>
      <c r="AY1247" t="str">
        <f t="shared" si="285"/>
        <v>2-5</v>
      </c>
      <c r="AZ1247">
        <v>2</v>
      </c>
      <c r="BA1247" t="str">
        <f t="shared" si="297"/>
        <v>2-5</v>
      </c>
      <c r="BB1247">
        <v>2</v>
      </c>
      <c r="BC1247" t="str">
        <f t="shared" si="298"/>
        <v>2-5</v>
      </c>
      <c r="BD1247">
        <v>1</v>
      </c>
      <c r="BE1247" t="str">
        <f t="shared" si="299"/>
        <v>0-1</v>
      </c>
    </row>
    <row r="1248" spans="1:57" x14ac:dyDescent="0.3">
      <c r="A1248">
        <v>1747</v>
      </c>
      <c r="B1248">
        <v>30</v>
      </c>
      <c r="C1248" t="str">
        <f t="shared" si="286"/>
        <v>26-35</v>
      </c>
      <c r="D1248" t="s">
        <v>56</v>
      </c>
      <c r="E1248">
        <f t="shared" si="287"/>
        <v>1</v>
      </c>
      <c r="F1248" t="s">
        <v>72</v>
      </c>
      <c r="G1248">
        <v>600</v>
      </c>
      <c r="H1248" t="str">
        <f t="shared" si="288"/>
        <v>501-1000</v>
      </c>
      <c r="I1248" t="s">
        <v>97</v>
      </c>
      <c r="J1248">
        <v>8</v>
      </c>
      <c r="K1248" t="str">
        <f t="shared" si="289"/>
        <v>6-10</v>
      </c>
      <c r="L1248">
        <v>3</v>
      </c>
      <c r="M1248" t="s">
        <v>85</v>
      </c>
      <c r="N1248" t="s">
        <v>97</v>
      </c>
      <c r="O1248">
        <v>1</v>
      </c>
      <c r="P1248">
        <v>3</v>
      </c>
      <c r="Q1248" t="s">
        <v>63</v>
      </c>
      <c r="R1248" t="s">
        <v>62</v>
      </c>
      <c r="S1248">
        <v>66</v>
      </c>
      <c r="T1248" t="str">
        <f t="shared" si="290"/>
        <v>51-75</v>
      </c>
      <c r="U1248">
        <v>2</v>
      </c>
      <c r="V1248" t="s">
        <v>61</v>
      </c>
      <c r="W1248">
        <v>1</v>
      </c>
      <c r="X1248" t="s">
        <v>97</v>
      </c>
      <c r="Y1248">
        <v>4</v>
      </c>
      <c r="Z1248" t="s">
        <v>65</v>
      </c>
      <c r="AA1248" t="s">
        <v>86</v>
      </c>
      <c r="AB1248" s="4">
        <v>2180</v>
      </c>
      <c r="AC1248" s="4" t="str">
        <f t="shared" si="291"/>
        <v>$1,000-$2,500</v>
      </c>
      <c r="AD1248">
        <v>9732</v>
      </c>
      <c r="AE1248" t="str">
        <f t="shared" si="292"/>
        <v>$8,001-$16,000</v>
      </c>
      <c r="AF1248">
        <v>6</v>
      </c>
      <c r="AG1248" t="str">
        <f t="shared" si="293"/>
        <v>4-6</v>
      </c>
      <c r="AH1248" t="s">
        <v>67</v>
      </c>
      <c r="AI1248" t="s">
        <v>71</v>
      </c>
      <c r="AJ1248">
        <v>11</v>
      </c>
      <c r="AK1248" t="str">
        <f t="shared" si="294"/>
        <v>11-12%</v>
      </c>
      <c r="AL1248">
        <v>3</v>
      </c>
      <c r="AM1248" t="s">
        <v>68</v>
      </c>
      <c r="AN1248">
        <v>3</v>
      </c>
      <c r="AO1248" t="s">
        <v>63</v>
      </c>
      <c r="AP1248">
        <v>80</v>
      </c>
      <c r="AQ1248">
        <v>1</v>
      </c>
      <c r="AR1248">
        <v>6</v>
      </c>
      <c r="AS1248" t="str">
        <f t="shared" si="295"/>
        <v>6-10</v>
      </c>
      <c r="AT1248">
        <v>0</v>
      </c>
      <c r="AU1248" t="str">
        <f t="shared" si="296"/>
        <v>0-2</v>
      </c>
      <c r="AV1248">
        <v>2</v>
      </c>
      <c r="AW1248" t="s">
        <v>84</v>
      </c>
      <c r="AX1248">
        <v>4</v>
      </c>
      <c r="AY1248" t="str">
        <f t="shared" si="285"/>
        <v>2-5</v>
      </c>
      <c r="AZ1248">
        <v>2</v>
      </c>
      <c r="BA1248" t="str">
        <f t="shared" si="297"/>
        <v>2-5</v>
      </c>
      <c r="BB1248">
        <v>1</v>
      </c>
      <c r="BC1248" t="str">
        <f t="shared" si="298"/>
        <v>0-1</v>
      </c>
      <c r="BD1248">
        <v>2</v>
      </c>
      <c r="BE1248" t="str">
        <f t="shared" si="299"/>
        <v>2-5</v>
      </c>
    </row>
    <row r="1249" spans="1:57" x14ac:dyDescent="0.3">
      <c r="A1249">
        <v>1749</v>
      </c>
      <c r="B1249">
        <v>31</v>
      </c>
      <c r="C1249" t="str">
        <f t="shared" si="286"/>
        <v>26-35</v>
      </c>
      <c r="D1249" t="s">
        <v>71</v>
      </c>
      <c r="E1249">
        <f t="shared" si="287"/>
        <v>0</v>
      </c>
      <c r="F1249" t="s">
        <v>57</v>
      </c>
      <c r="G1249">
        <v>1003</v>
      </c>
      <c r="H1249" t="str">
        <f t="shared" si="288"/>
        <v>1001-1499</v>
      </c>
      <c r="I1249" t="s">
        <v>58</v>
      </c>
      <c r="J1249">
        <v>5</v>
      </c>
      <c r="K1249" t="str">
        <f t="shared" si="289"/>
        <v>1-5</v>
      </c>
      <c r="L1249">
        <v>3</v>
      </c>
      <c r="M1249" t="s">
        <v>85</v>
      </c>
      <c r="N1249" t="s">
        <v>95</v>
      </c>
      <c r="O1249">
        <v>1</v>
      </c>
      <c r="P1249">
        <v>1</v>
      </c>
      <c r="Q1249" t="s">
        <v>69</v>
      </c>
      <c r="R1249" t="s">
        <v>75</v>
      </c>
      <c r="S1249">
        <v>51</v>
      </c>
      <c r="T1249" t="str">
        <f t="shared" si="290"/>
        <v>51-75</v>
      </c>
      <c r="U1249">
        <v>3</v>
      </c>
      <c r="V1249" t="s">
        <v>63</v>
      </c>
      <c r="W1249">
        <v>2</v>
      </c>
      <c r="X1249" t="s">
        <v>64</v>
      </c>
      <c r="Y1249">
        <v>3</v>
      </c>
      <c r="Z1249" t="s">
        <v>63</v>
      </c>
      <c r="AA1249" t="s">
        <v>77</v>
      </c>
      <c r="AB1249" s="4">
        <v>8346</v>
      </c>
      <c r="AC1249" s="4" t="str">
        <f t="shared" si="291"/>
        <v>$7,000-$8,500</v>
      </c>
      <c r="AD1249">
        <v>20943</v>
      </c>
      <c r="AE1249" t="str">
        <f t="shared" si="292"/>
        <v>$16,001-$22,000</v>
      </c>
      <c r="AF1249">
        <v>1</v>
      </c>
      <c r="AG1249" t="str">
        <f t="shared" si="293"/>
        <v>0-1</v>
      </c>
      <c r="AH1249" t="s">
        <v>67</v>
      </c>
      <c r="AI1249" t="s">
        <v>71</v>
      </c>
      <c r="AJ1249">
        <v>19</v>
      </c>
      <c r="AK1249" t="str">
        <f t="shared" si="294"/>
        <v>18-19%</v>
      </c>
      <c r="AL1249">
        <v>3</v>
      </c>
      <c r="AM1249" t="s">
        <v>68</v>
      </c>
      <c r="AN1249">
        <v>3</v>
      </c>
      <c r="AO1249" t="s">
        <v>63</v>
      </c>
      <c r="AP1249">
        <v>80</v>
      </c>
      <c r="AQ1249">
        <v>1</v>
      </c>
      <c r="AR1249">
        <v>6</v>
      </c>
      <c r="AS1249" t="str">
        <f t="shared" si="295"/>
        <v>6-10</v>
      </c>
      <c r="AT1249">
        <v>3</v>
      </c>
      <c r="AU1249" t="str">
        <f t="shared" si="296"/>
        <v>3-4</v>
      </c>
      <c r="AV1249">
        <v>3</v>
      </c>
      <c r="AW1249" t="s">
        <v>79</v>
      </c>
      <c r="AX1249">
        <v>5</v>
      </c>
      <c r="AY1249" t="str">
        <f t="shared" si="285"/>
        <v>2-5</v>
      </c>
      <c r="AZ1249">
        <v>2</v>
      </c>
      <c r="BA1249" t="str">
        <f t="shared" si="297"/>
        <v>2-5</v>
      </c>
      <c r="BB1249">
        <v>0</v>
      </c>
      <c r="BC1249" t="str">
        <f t="shared" si="298"/>
        <v>0-1</v>
      </c>
      <c r="BD1249">
        <v>2</v>
      </c>
      <c r="BE1249" t="str">
        <f t="shared" si="299"/>
        <v>2-5</v>
      </c>
    </row>
    <row r="1250" spans="1:57" x14ac:dyDescent="0.3">
      <c r="A1250">
        <v>1751</v>
      </c>
      <c r="B1250">
        <v>27</v>
      </c>
      <c r="C1250" t="str">
        <f t="shared" si="286"/>
        <v>26-35</v>
      </c>
      <c r="D1250" t="s">
        <v>71</v>
      </c>
      <c r="E1250">
        <f t="shared" si="287"/>
        <v>0</v>
      </c>
      <c r="F1250" t="s">
        <v>57</v>
      </c>
      <c r="G1250">
        <v>1054</v>
      </c>
      <c r="H1250" t="str">
        <f t="shared" si="288"/>
        <v>1001-1499</v>
      </c>
      <c r="I1250" t="s">
        <v>73</v>
      </c>
      <c r="J1250">
        <v>8</v>
      </c>
      <c r="K1250" t="str">
        <f t="shared" si="289"/>
        <v>6-10</v>
      </c>
      <c r="L1250">
        <v>3</v>
      </c>
      <c r="M1250" t="s">
        <v>85</v>
      </c>
      <c r="N1250" t="s">
        <v>83</v>
      </c>
      <c r="O1250">
        <v>1</v>
      </c>
      <c r="P1250">
        <v>3</v>
      </c>
      <c r="Q1250" t="s">
        <v>63</v>
      </c>
      <c r="R1250" t="s">
        <v>62</v>
      </c>
      <c r="S1250">
        <v>67</v>
      </c>
      <c r="T1250" t="str">
        <f t="shared" si="290"/>
        <v>51-75</v>
      </c>
      <c r="U1250">
        <v>3</v>
      </c>
      <c r="V1250" t="s">
        <v>63</v>
      </c>
      <c r="W1250">
        <v>1</v>
      </c>
      <c r="X1250" t="s">
        <v>76</v>
      </c>
      <c r="Y1250">
        <v>4</v>
      </c>
      <c r="Z1250" t="s">
        <v>65</v>
      </c>
      <c r="AA1250" t="s">
        <v>66</v>
      </c>
      <c r="AB1250" s="4">
        <v>3445</v>
      </c>
      <c r="AC1250" s="4" t="str">
        <f t="shared" si="291"/>
        <v>$2,500-$4,000</v>
      </c>
      <c r="AD1250">
        <v>6152</v>
      </c>
      <c r="AE1250" t="str">
        <f t="shared" si="292"/>
        <v>$2,094-$8,000</v>
      </c>
      <c r="AF1250">
        <v>1</v>
      </c>
      <c r="AG1250" t="str">
        <f t="shared" si="293"/>
        <v>0-1</v>
      </c>
      <c r="AH1250" t="s">
        <v>67</v>
      </c>
      <c r="AI1250" t="s">
        <v>71</v>
      </c>
      <c r="AJ1250">
        <v>11</v>
      </c>
      <c r="AK1250" t="str">
        <f t="shared" si="294"/>
        <v>11-12%</v>
      </c>
      <c r="AL1250">
        <v>3</v>
      </c>
      <c r="AM1250" t="s">
        <v>68</v>
      </c>
      <c r="AN1250">
        <v>3</v>
      </c>
      <c r="AO1250" t="s">
        <v>63</v>
      </c>
      <c r="AP1250">
        <v>80</v>
      </c>
      <c r="AQ1250">
        <v>0</v>
      </c>
      <c r="AR1250">
        <v>6</v>
      </c>
      <c r="AS1250" t="str">
        <f t="shared" si="295"/>
        <v>6-10</v>
      </c>
      <c r="AT1250">
        <v>5</v>
      </c>
      <c r="AU1250" t="str">
        <f t="shared" si="296"/>
        <v>5-6</v>
      </c>
      <c r="AV1250">
        <v>2</v>
      </c>
      <c r="AW1250" t="s">
        <v>84</v>
      </c>
      <c r="AX1250">
        <v>6</v>
      </c>
      <c r="AY1250" t="str">
        <f t="shared" si="285"/>
        <v>6-10</v>
      </c>
      <c r="AZ1250">
        <v>2</v>
      </c>
      <c r="BA1250" t="str">
        <f t="shared" si="297"/>
        <v>2-5</v>
      </c>
      <c r="BB1250">
        <v>1</v>
      </c>
      <c r="BC1250" t="str">
        <f t="shared" si="298"/>
        <v>0-1</v>
      </c>
      <c r="BD1250">
        <v>4</v>
      </c>
      <c r="BE1250" t="str">
        <f t="shared" si="299"/>
        <v>2-5</v>
      </c>
    </row>
    <row r="1251" spans="1:57" x14ac:dyDescent="0.3">
      <c r="A1251">
        <v>1752</v>
      </c>
      <c r="B1251">
        <v>29</v>
      </c>
      <c r="C1251" t="str">
        <f t="shared" si="286"/>
        <v>26-35</v>
      </c>
      <c r="D1251" t="s">
        <v>56</v>
      </c>
      <c r="E1251">
        <f t="shared" si="287"/>
        <v>1</v>
      </c>
      <c r="F1251" t="s">
        <v>57</v>
      </c>
      <c r="G1251">
        <v>428</v>
      </c>
      <c r="H1251" t="str">
        <f t="shared" si="288"/>
        <v>102-500</v>
      </c>
      <c r="I1251" t="s">
        <v>58</v>
      </c>
      <c r="J1251">
        <v>9</v>
      </c>
      <c r="K1251" t="str">
        <f t="shared" si="289"/>
        <v>6-10</v>
      </c>
      <c r="L1251">
        <v>3</v>
      </c>
      <c r="M1251" t="s">
        <v>85</v>
      </c>
      <c r="N1251" t="s">
        <v>93</v>
      </c>
      <c r="O1251">
        <v>1</v>
      </c>
      <c r="P1251">
        <v>2</v>
      </c>
      <c r="Q1251" t="s">
        <v>61</v>
      </c>
      <c r="R1251" t="s">
        <v>62</v>
      </c>
      <c r="S1251">
        <v>52</v>
      </c>
      <c r="T1251" t="str">
        <f t="shared" si="290"/>
        <v>51-75</v>
      </c>
      <c r="U1251">
        <v>1</v>
      </c>
      <c r="V1251" t="s">
        <v>69</v>
      </c>
      <c r="W1251">
        <v>1</v>
      </c>
      <c r="X1251" t="s">
        <v>91</v>
      </c>
      <c r="Y1251">
        <v>2</v>
      </c>
      <c r="Z1251" t="s">
        <v>61</v>
      </c>
      <c r="AA1251" t="s">
        <v>66</v>
      </c>
      <c r="AB1251" s="4">
        <v>2760</v>
      </c>
      <c r="AC1251" s="4" t="str">
        <f t="shared" si="291"/>
        <v>$2,500-$4,000</v>
      </c>
      <c r="AD1251">
        <v>14630</v>
      </c>
      <c r="AE1251" t="str">
        <f t="shared" si="292"/>
        <v>$8,001-$16,000</v>
      </c>
      <c r="AF1251">
        <v>1</v>
      </c>
      <c r="AG1251" t="str">
        <f t="shared" si="293"/>
        <v>0-1</v>
      </c>
      <c r="AH1251" t="s">
        <v>67</v>
      </c>
      <c r="AI1251" t="s">
        <v>71</v>
      </c>
      <c r="AJ1251">
        <v>13</v>
      </c>
      <c r="AK1251" t="str">
        <f t="shared" si="294"/>
        <v>13-15%</v>
      </c>
      <c r="AL1251">
        <v>3</v>
      </c>
      <c r="AM1251" t="s">
        <v>68</v>
      </c>
      <c r="AN1251">
        <v>3</v>
      </c>
      <c r="AO1251" t="s">
        <v>63</v>
      </c>
      <c r="AP1251">
        <v>80</v>
      </c>
      <c r="AQ1251">
        <v>0</v>
      </c>
      <c r="AR1251">
        <v>2</v>
      </c>
      <c r="AS1251" t="str">
        <f t="shared" si="295"/>
        <v>0-2</v>
      </c>
      <c r="AT1251">
        <v>3</v>
      </c>
      <c r="AU1251" t="str">
        <f t="shared" si="296"/>
        <v>3-4</v>
      </c>
      <c r="AV1251">
        <v>3</v>
      </c>
      <c r="AW1251" t="s">
        <v>79</v>
      </c>
      <c r="AX1251">
        <v>2</v>
      </c>
      <c r="AY1251" t="str">
        <f t="shared" si="285"/>
        <v>2-5</v>
      </c>
      <c r="AZ1251">
        <v>2</v>
      </c>
      <c r="BA1251" t="str">
        <f t="shared" si="297"/>
        <v>2-5</v>
      </c>
      <c r="BB1251">
        <v>2</v>
      </c>
      <c r="BC1251" t="str">
        <f t="shared" si="298"/>
        <v>2-5</v>
      </c>
      <c r="BD1251">
        <v>2</v>
      </c>
      <c r="BE1251" t="str">
        <f t="shared" si="299"/>
        <v>2-5</v>
      </c>
    </row>
    <row r="1252" spans="1:57" x14ac:dyDescent="0.3">
      <c r="A1252">
        <v>1753</v>
      </c>
      <c r="B1252">
        <v>29</v>
      </c>
      <c r="C1252" t="str">
        <f t="shared" si="286"/>
        <v>26-35</v>
      </c>
      <c r="D1252" t="s">
        <v>71</v>
      </c>
      <c r="E1252">
        <f t="shared" si="287"/>
        <v>0</v>
      </c>
      <c r="F1252" t="s">
        <v>72</v>
      </c>
      <c r="G1252">
        <v>461</v>
      </c>
      <c r="H1252" t="str">
        <f t="shared" si="288"/>
        <v>102-500</v>
      </c>
      <c r="I1252" t="s">
        <v>73</v>
      </c>
      <c r="J1252">
        <v>1</v>
      </c>
      <c r="K1252" t="str">
        <f t="shared" si="289"/>
        <v>1-5</v>
      </c>
      <c r="L1252">
        <v>3</v>
      </c>
      <c r="M1252" t="s">
        <v>85</v>
      </c>
      <c r="N1252" t="s">
        <v>60</v>
      </c>
      <c r="O1252">
        <v>1</v>
      </c>
      <c r="P1252">
        <v>4</v>
      </c>
      <c r="Q1252" t="s">
        <v>65</v>
      </c>
      <c r="R1252" t="s">
        <v>75</v>
      </c>
      <c r="S1252">
        <v>70</v>
      </c>
      <c r="T1252" t="str">
        <f t="shared" si="290"/>
        <v>51-75</v>
      </c>
      <c r="U1252">
        <v>4</v>
      </c>
      <c r="V1252" t="s">
        <v>65</v>
      </c>
      <c r="W1252">
        <v>2</v>
      </c>
      <c r="X1252" t="s">
        <v>88</v>
      </c>
      <c r="Y1252">
        <v>3</v>
      </c>
      <c r="Z1252" t="s">
        <v>63</v>
      </c>
      <c r="AA1252" t="s">
        <v>66</v>
      </c>
      <c r="AB1252" s="4">
        <v>6294</v>
      </c>
      <c r="AC1252" s="4" t="str">
        <f t="shared" si="291"/>
        <v>$5,500-$7,000</v>
      </c>
      <c r="AD1252">
        <v>23060</v>
      </c>
      <c r="AE1252" t="str">
        <f t="shared" si="292"/>
        <v>$22,001-$26,999</v>
      </c>
      <c r="AF1252">
        <v>8</v>
      </c>
      <c r="AG1252" t="str">
        <f t="shared" si="293"/>
        <v>7-9</v>
      </c>
      <c r="AH1252" t="s">
        <v>67</v>
      </c>
      <c r="AI1252" t="s">
        <v>56</v>
      </c>
      <c r="AJ1252">
        <v>12</v>
      </c>
      <c r="AK1252" t="str">
        <f t="shared" si="294"/>
        <v>11-12%</v>
      </c>
      <c r="AL1252">
        <v>3</v>
      </c>
      <c r="AM1252" t="s">
        <v>68</v>
      </c>
      <c r="AN1252">
        <v>4</v>
      </c>
      <c r="AO1252" t="s">
        <v>65</v>
      </c>
      <c r="AP1252">
        <v>80</v>
      </c>
      <c r="AQ1252">
        <v>0</v>
      </c>
      <c r="AR1252">
        <v>10</v>
      </c>
      <c r="AS1252" t="str">
        <f t="shared" si="295"/>
        <v>6-10</v>
      </c>
      <c r="AT1252">
        <v>5</v>
      </c>
      <c r="AU1252" t="str">
        <f t="shared" si="296"/>
        <v>5-6</v>
      </c>
      <c r="AV1252">
        <v>4</v>
      </c>
      <c r="AW1252" t="s">
        <v>94</v>
      </c>
      <c r="AX1252">
        <v>3</v>
      </c>
      <c r="AY1252" t="str">
        <f t="shared" si="285"/>
        <v>2-5</v>
      </c>
      <c r="AZ1252">
        <v>2</v>
      </c>
      <c r="BA1252" t="str">
        <f t="shared" si="297"/>
        <v>2-5</v>
      </c>
      <c r="BB1252">
        <v>0</v>
      </c>
      <c r="BC1252" t="str">
        <f t="shared" si="298"/>
        <v>0-1</v>
      </c>
      <c r="BD1252">
        <v>2</v>
      </c>
      <c r="BE1252" t="str">
        <f t="shared" si="299"/>
        <v>2-5</v>
      </c>
    </row>
    <row r="1253" spans="1:57" x14ac:dyDescent="0.3">
      <c r="A1253">
        <v>1754</v>
      </c>
      <c r="B1253">
        <v>30</v>
      </c>
      <c r="C1253" t="str">
        <f t="shared" si="286"/>
        <v>26-35</v>
      </c>
      <c r="D1253" t="s">
        <v>71</v>
      </c>
      <c r="E1253">
        <f t="shared" si="287"/>
        <v>0</v>
      </c>
      <c r="F1253" t="s">
        <v>57</v>
      </c>
      <c r="G1253">
        <v>979</v>
      </c>
      <c r="H1253" t="str">
        <f t="shared" si="288"/>
        <v>501-1000</v>
      </c>
      <c r="I1253" t="s">
        <v>58</v>
      </c>
      <c r="J1253">
        <v>15</v>
      </c>
      <c r="K1253" t="str">
        <f t="shared" si="289"/>
        <v>11-20</v>
      </c>
      <c r="L1253">
        <v>2</v>
      </c>
      <c r="M1253" t="s">
        <v>59</v>
      </c>
      <c r="N1253" t="s">
        <v>93</v>
      </c>
      <c r="O1253">
        <v>1</v>
      </c>
      <c r="P1253">
        <v>3</v>
      </c>
      <c r="Q1253" t="s">
        <v>63</v>
      </c>
      <c r="R1253" t="s">
        <v>75</v>
      </c>
      <c r="S1253">
        <v>94</v>
      </c>
      <c r="T1253" t="str">
        <f t="shared" si="290"/>
        <v>76-100</v>
      </c>
      <c r="U1253">
        <v>2</v>
      </c>
      <c r="V1253" t="s">
        <v>61</v>
      </c>
      <c r="W1253">
        <v>3</v>
      </c>
      <c r="X1253" t="s">
        <v>64</v>
      </c>
      <c r="Y1253">
        <v>1</v>
      </c>
      <c r="Z1253" t="s">
        <v>69</v>
      </c>
      <c r="AA1253" t="s">
        <v>86</v>
      </c>
      <c r="AB1253" s="4">
        <v>7140</v>
      </c>
      <c r="AC1253" s="4" t="str">
        <f t="shared" si="291"/>
        <v>$7,000-$8,500</v>
      </c>
      <c r="AD1253">
        <v>3088</v>
      </c>
      <c r="AE1253" t="str">
        <f t="shared" si="292"/>
        <v>$2,094-$8,000</v>
      </c>
      <c r="AF1253">
        <v>2</v>
      </c>
      <c r="AG1253" t="str">
        <f t="shared" si="293"/>
        <v>2-3</v>
      </c>
      <c r="AH1253" t="s">
        <v>67</v>
      </c>
      <c r="AI1253" t="s">
        <v>71</v>
      </c>
      <c r="AJ1253">
        <v>11</v>
      </c>
      <c r="AK1253" t="str">
        <f t="shared" si="294"/>
        <v>11-12%</v>
      </c>
      <c r="AL1253">
        <v>3</v>
      </c>
      <c r="AM1253" t="s">
        <v>68</v>
      </c>
      <c r="AN1253">
        <v>1</v>
      </c>
      <c r="AO1253" t="s">
        <v>69</v>
      </c>
      <c r="AP1253">
        <v>80</v>
      </c>
      <c r="AQ1253">
        <v>1</v>
      </c>
      <c r="AR1253">
        <v>12</v>
      </c>
      <c r="AS1253" t="str">
        <f t="shared" si="295"/>
        <v>11-20</v>
      </c>
      <c r="AT1253">
        <v>2</v>
      </c>
      <c r="AU1253" t="str">
        <f t="shared" si="296"/>
        <v>0-2</v>
      </c>
      <c r="AV1253">
        <v>3</v>
      </c>
      <c r="AW1253" t="s">
        <v>79</v>
      </c>
      <c r="AX1253">
        <v>7</v>
      </c>
      <c r="AY1253" t="str">
        <f t="shared" si="285"/>
        <v>6-10</v>
      </c>
      <c r="AZ1253">
        <v>7</v>
      </c>
      <c r="BA1253" t="str">
        <f t="shared" si="297"/>
        <v>6-10</v>
      </c>
      <c r="BB1253">
        <v>1</v>
      </c>
      <c r="BC1253" t="str">
        <f t="shared" si="298"/>
        <v>0-1</v>
      </c>
      <c r="BD1253">
        <v>7</v>
      </c>
      <c r="BE1253" t="str">
        <f t="shared" si="299"/>
        <v>6-10</v>
      </c>
    </row>
    <row r="1254" spans="1:57" x14ac:dyDescent="0.3">
      <c r="A1254">
        <v>1755</v>
      </c>
      <c r="B1254">
        <v>34</v>
      </c>
      <c r="C1254" t="str">
        <f t="shared" si="286"/>
        <v>26-35</v>
      </c>
      <c r="D1254" t="s">
        <v>71</v>
      </c>
      <c r="E1254">
        <f t="shared" si="287"/>
        <v>0</v>
      </c>
      <c r="F1254" t="s">
        <v>57</v>
      </c>
      <c r="G1254">
        <v>181</v>
      </c>
      <c r="H1254" t="str">
        <f t="shared" si="288"/>
        <v>102-500</v>
      </c>
      <c r="I1254" t="s">
        <v>73</v>
      </c>
      <c r="J1254">
        <v>2</v>
      </c>
      <c r="K1254" t="str">
        <f t="shared" si="289"/>
        <v>1-5</v>
      </c>
      <c r="L1254">
        <v>4</v>
      </c>
      <c r="M1254" t="s">
        <v>82</v>
      </c>
      <c r="N1254" t="s">
        <v>83</v>
      </c>
      <c r="O1254">
        <v>1</v>
      </c>
      <c r="P1254">
        <v>4</v>
      </c>
      <c r="Q1254" t="s">
        <v>65</v>
      </c>
      <c r="R1254" t="s">
        <v>75</v>
      </c>
      <c r="S1254">
        <v>97</v>
      </c>
      <c r="T1254" t="str">
        <f t="shared" si="290"/>
        <v>76-100</v>
      </c>
      <c r="U1254">
        <v>4</v>
      </c>
      <c r="V1254" t="s">
        <v>65</v>
      </c>
      <c r="W1254">
        <v>1</v>
      </c>
      <c r="X1254" t="s">
        <v>76</v>
      </c>
      <c r="Y1254">
        <v>4</v>
      </c>
      <c r="Z1254" t="s">
        <v>65</v>
      </c>
      <c r="AA1254" t="s">
        <v>77</v>
      </c>
      <c r="AB1254" s="4">
        <v>2932</v>
      </c>
      <c r="AC1254" s="4" t="str">
        <f t="shared" si="291"/>
        <v>$2,500-$4,000</v>
      </c>
      <c r="AD1254">
        <v>5586</v>
      </c>
      <c r="AE1254" t="str">
        <f t="shared" si="292"/>
        <v>$2,094-$8,000</v>
      </c>
      <c r="AF1254">
        <v>0</v>
      </c>
      <c r="AG1254" t="str">
        <f t="shared" si="293"/>
        <v>0-1</v>
      </c>
      <c r="AH1254" t="s">
        <v>67</v>
      </c>
      <c r="AI1254" t="s">
        <v>56</v>
      </c>
      <c r="AJ1254">
        <v>14</v>
      </c>
      <c r="AK1254" t="str">
        <f t="shared" si="294"/>
        <v>13-15%</v>
      </c>
      <c r="AL1254">
        <v>3</v>
      </c>
      <c r="AM1254" t="s">
        <v>68</v>
      </c>
      <c r="AN1254">
        <v>1</v>
      </c>
      <c r="AO1254" t="s">
        <v>69</v>
      </c>
      <c r="AP1254">
        <v>80</v>
      </c>
      <c r="AQ1254">
        <v>3</v>
      </c>
      <c r="AR1254">
        <v>6</v>
      </c>
      <c r="AS1254" t="str">
        <f t="shared" si="295"/>
        <v>6-10</v>
      </c>
      <c r="AT1254">
        <v>3</v>
      </c>
      <c r="AU1254" t="str">
        <f t="shared" si="296"/>
        <v>3-4</v>
      </c>
      <c r="AV1254">
        <v>3</v>
      </c>
      <c r="AW1254" t="s">
        <v>79</v>
      </c>
      <c r="AX1254">
        <v>5</v>
      </c>
      <c r="AY1254" t="str">
        <f t="shared" si="285"/>
        <v>2-5</v>
      </c>
      <c r="AZ1254">
        <v>0</v>
      </c>
      <c r="BA1254" t="str">
        <f t="shared" si="297"/>
        <v>0-1</v>
      </c>
      <c r="BB1254">
        <v>1</v>
      </c>
      <c r="BC1254" t="str">
        <f t="shared" si="298"/>
        <v>0-1</v>
      </c>
      <c r="BD1254">
        <v>2</v>
      </c>
      <c r="BE1254" t="str">
        <f t="shared" si="299"/>
        <v>2-5</v>
      </c>
    </row>
    <row r="1255" spans="1:57" x14ac:dyDescent="0.3">
      <c r="A1255">
        <v>1756</v>
      </c>
      <c r="B1255">
        <v>33</v>
      </c>
      <c r="C1255" t="str">
        <f t="shared" si="286"/>
        <v>26-35</v>
      </c>
      <c r="D1255" t="s">
        <v>71</v>
      </c>
      <c r="E1255">
        <f t="shared" si="287"/>
        <v>0</v>
      </c>
      <c r="F1255" t="s">
        <v>89</v>
      </c>
      <c r="G1255">
        <v>1283</v>
      </c>
      <c r="H1255" t="str">
        <f t="shared" si="288"/>
        <v>1001-1499</v>
      </c>
      <c r="I1255" t="s">
        <v>58</v>
      </c>
      <c r="J1255">
        <v>2</v>
      </c>
      <c r="K1255" t="str">
        <f t="shared" si="289"/>
        <v>1-5</v>
      </c>
      <c r="L1255">
        <v>3</v>
      </c>
      <c r="M1255" t="s">
        <v>85</v>
      </c>
      <c r="N1255" t="s">
        <v>93</v>
      </c>
      <c r="O1255">
        <v>1</v>
      </c>
      <c r="P1255">
        <v>4</v>
      </c>
      <c r="Q1255" t="s">
        <v>65</v>
      </c>
      <c r="R1255" t="s">
        <v>62</v>
      </c>
      <c r="S1255">
        <v>62</v>
      </c>
      <c r="T1255" t="str">
        <f t="shared" si="290"/>
        <v>51-75</v>
      </c>
      <c r="U1255">
        <v>3</v>
      </c>
      <c r="V1255" t="s">
        <v>63</v>
      </c>
      <c r="W1255">
        <v>2</v>
      </c>
      <c r="X1255" t="s">
        <v>64</v>
      </c>
      <c r="Y1255">
        <v>2</v>
      </c>
      <c r="Z1255" t="s">
        <v>61</v>
      </c>
      <c r="AA1255" t="s">
        <v>66</v>
      </c>
      <c r="AB1255" s="4">
        <v>5147</v>
      </c>
      <c r="AC1255" s="4" t="str">
        <f t="shared" si="291"/>
        <v>$4,000-$5,500</v>
      </c>
      <c r="AD1255">
        <v>10697</v>
      </c>
      <c r="AE1255" t="str">
        <f t="shared" si="292"/>
        <v>$8,001-$16,000</v>
      </c>
      <c r="AF1255">
        <v>8</v>
      </c>
      <c r="AG1255" t="str">
        <f t="shared" si="293"/>
        <v>7-9</v>
      </c>
      <c r="AH1255" t="s">
        <v>67</v>
      </c>
      <c r="AI1255" t="s">
        <v>71</v>
      </c>
      <c r="AJ1255">
        <v>15</v>
      </c>
      <c r="AK1255" t="str">
        <f t="shared" si="294"/>
        <v>13-15%</v>
      </c>
      <c r="AL1255">
        <v>3</v>
      </c>
      <c r="AM1255" t="s">
        <v>68</v>
      </c>
      <c r="AN1255">
        <v>4</v>
      </c>
      <c r="AO1255" t="s">
        <v>65</v>
      </c>
      <c r="AP1255">
        <v>80</v>
      </c>
      <c r="AQ1255">
        <v>0</v>
      </c>
      <c r="AR1255">
        <v>13</v>
      </c>
      <c r="AS1255" t="str">
        <f t="shared" si="295"/>
        <v>11-20</v>
      </c>
      <c r="AT1255">
        <v>2</v>
      </c>
      <c r="AU1255" t="str">
        <f t="shared" si="296"/>
        <v>0-2</v>
      </c>
      <c r="AV1255">
        <v>2</v>
      </c>
      <c r="AW1255" t="s">
        <v>84</v>
      </c>
      <c r="AX1255">
        <v>11</v>
      </c>
      <c r="AY1255" t="str">
        <f t="shared" si="285"/>
        <v>11-20</v>
      </c>
      <c r="AZ1255">
        <v>7</v>
      </c>
      <c r="BA1255" t="str">
        <f t="shared" si="297"/>
        <v>6-10</v>
      </c>
      <c r="BB1255">
        <v>1</v>
      </c>
      <c r="BC1255" t="str">
        <f t="shared" si="298"/>
        <v>0-1</v>
      </c>
      <c r="BD1255">
        <v>7</v>
      </c>
      <c r="BE1255" t="str">
        <f t="shared" si="299"/>
        <v>6-10</v>
      </c>
    </row>
    <row r="1256" spans="1:57" x14ac:dyDescent="0.3">
      <c r="A1256">
        <v>1757</v>
      </c>
      <c r="B1256">
        <v>49</v>
      </c>
      <c r="C1256" t="str">
        <f t="shared" si="286"/>
        <v>46-55</v>
      </c>
      <c r="D1256" t="s">
        <v>71</v>
      </c>
      <c r="E1256">
        <f t="shared" si="287"/>
        <v>0</v>
      </c>
      <c r="F1256" t="s">
        <v>57</v>
      </c>
      <c r="G1256">
        <v>1313</v>
      </c>
      <c r="H1256" t="str">
        <f t="shared" si="288"/>
        <v>1001-1499</v>
      </c>
      <c r="I1256" t="s">
        <v>58</v>
      </c>
      <c r="J1256">
        <v>11</v>
      </c>
      <c r="K1256" t="str">
        <f t="shared" si="289"/>
        <v>11-20</v>
      </c>
      <c r="L1256">
        <v>4</v>
      </c>
      <c r="M1256" t="s">
        <v>82</v>
      </c>
      <c r="N1256" t="s">
        <v>93</v>
      </c>
      <c r="O1256">
        <v>1</v>
      </c>
      <c r="P1256">
        <v>4</v>
      </c>
      <c r="Q1256" t="s">
        <v>65</v>
      </c>
      <c r="R1256" t="s">
        <v>62</v>
      </c>
      <c r="S1256">
        <v>80</v>
      </c>
      <c r="T1256" t="str">
        <f t="shared" si="290"/>
        <v>76-100</v>
      </c>
      <c r="U1256">
        <v>3</v>
      </c>
      <c r="V1256" t="s">
        <v>63</v>
      </c>
      <c r="W1256">
        <v>2</v>
      </c>
      <c r="X1256" t="s">
        <v>64</v>
      </c>
      <c r="Y1256">
        <v>4</v>
      </c>
      <c r="Z1256" t="s">
        <v>65</v>
      </c>
      <c r="AA1256" t="s">
        <v>66</v>
      </c>
      <c r="AB1256" s="4">
        <v>4507</v>
      </c>
      <c r="AC1256" s="4" t="str">
        <f t="shared" si="291"/>
        <v>$4,000-$5,500</v>
      </c>
      <c r="AD1256">
        <v>8191</v>
      </c>
      <c r="AE1256" t="str">
        <f t="shared" si="292"/>
        <v>$8,001-$16,000</v>
      </c>
      <c r="AF1256">
        <v>3</v>
      </c>
      <c r="AG1256" t="str">
        <f t="shared" si="293"/>
        <v>2-3</v>
      </c>
      <c r="AH1256" t="s">
        <v>67</v>
      </c>
      <c r="AI1256" t="s">
        <v>71</v>
      </c>
      <c r="AJ1256">
        <v>12</v>
      </c>
      <c r="AK1256" t="str">
        <f t="shared" si="294"/>
        <v>11-12%</v>
      </c>
      <c r="AL1256">
        <v>3</v>
      </c>
      <c r="AM1256" t="s">
        <v>68</v>
      </c>
      <c r="AN1256">
        <v>3</v>
      </c>
      <c r="AO1256" t="s">
        <v>63</v>
      </c>
      <c r="AP1256">
        <v>80</v>
      </c>
      <c r="AQ1256">
        <v>0</v>
      </c>
      <c r="AR1256">
        <v>8</v>
      </c>
      <c r="AS1256" t="str">
        <f t="shared" si="295"/>
        <v>6-10</v>
      </c>
      <c r="AT1256">
        <v>1</v>
      </c>
      <c r="AU1256" t="str">
        <f t="shared" si="296"/>
        <v>0-2</v>
      </c>
      <c r="AV1256">
        <v>4</v>
      </c>
      <c r="AW1256" t="s">
        <v>94</v>
      </c>
      <c r="AX1256">
        <v>5</v>
      </c>
      <c r="AY1256" t="str">
        <f t="shared" si="285"/>
        <v>2-5</v>
      </c>
      <c r="AZ1256">
        <v>1</v>
      </c>
      <c r="BA1256" t="str">
        <f t="shared" si="297"/>
        <v>0-1</v>
      </c>
      <c r="BB1256">
        <v>0</v>
      </c>
      <c r="BC1256" t="str">
        <f t="shared" si="298"/>
        <v>0-1</v>
      </c>
      <c r="BD1256">
        <v>4</v>
      </c>
      <c r="BE1256" t="str">
        <f t="shared" si="299"/>
        <v>2-5</v>
      </c>
    </row>
    <row r="1257" spans="1:57" x14ac:dyDescent="0.3">
      <c r="A1257">
        <v>1758</v>
      </c>
      <c r="B1257">
        <v>33</v>
      </c>
      <c r="C1257" t="str">
        <f t="shared" si="286"/>
        <v>26-35</v>
      </c>
      <c r="D1257" t="s">
        <v>56</v>
      </c>
      <c r="E1257">
        <f t="shared" si="287"/>
        <v>1</v>
      </c>
      <c r="F1257" t="s">
        <v>57</v>
      </c>
      <c r="G1257">
        <v>211</v>
      </c>
      <c r="H1257" t="str">
        <f t="shared" si="288"/>
        <v>102-500</v>
      </c>
      <c r="I1257" t="s">
        <v>58</v>
      </c>
      <c r="J1257">
        <v>16</v>
      </c>
      <c r="K1257" t="str">
        <f t="shared" si="289"/>
        <v>11-20</v>
      </c>
      <c r="L1257">
        <v>3</v>
      </c>
      <c r="M1257" t="s">
        <v>85</v>
      </c>
      <c r="N1257" t="s">
        <v>60</v>
      </c>
      <c r="O1257">
        <v>1</v>
      </c>
      <c r="P1257">
        <v>1</v>
      </c>
      <c r="Q1257" t="s">
        <v>69</v>
      </c>
      <c r="R1257" t="s">
        <v>62</v>
      </c>
      <c r="S1257">
        <v>74</v>
      </c>
      <c r="T1257" t="str">
        <f t="shared" si="290"/>
        <v>51-75</v>
      </c>
      <c r="U1257">
        <v>3</v>
      </c>
      <c r="V1257" t="s">
        <v>63</v>
      </c>
      <c r="W1257">
        <v>3</v>
      </c>
      <c r="X1257" t="s">
        <v>64</v>
      </c>
      <c r="Y1257">
        <v>1</v>
      </c>
      <c r="Z1257" t="s">
        <v>69</v>
      </c>
      <c r="AA1257" t="s">
        <v>66</v>
      </c>
      <c r="AB1257" s="4">
        <v>8564</v>
      </c>
      <c r="AC1257" s="4" t="str">
        <f t="shared" si="291"/>
        <v>$8,500-$10,000</v>
      </c>
      <c r="AD1257">
        <v>10092</v>
      </c>
      <c r="AE1257" t="str">
        <f t="shared" si="292"/>
        <v>$8,001-$16,000</v>
      </c>
      <c r="AF1257">
        <v>2</v>
      </c>
      <c r="AG1257" t="str">
        <f t="shared" si="293"/>
        <v>2-3</v>
      </c>
      <c r="AH1257" t="s">
        <v>67</v>
      </c>
      <c r="AI1257" t="s">
        <v>56</v>
      </c>
      <c r="AJ1257">
        <v>20</v>
      </c>
      <c r="AK1257" t="str">
        <f t="shared" si="294"/>
        <v>18-19%</v>
      </c>
      <c r="AL1257">
        <v>4</v>
      </c>
      <c r="AM1257" t="s">
        <v>78</v>
      </c>
      <c r="AN1257">
        <v>3</v>
      </c>
      <c r="AO1257" t="s">
        <v>63</v>
      </c>
      <c r="AP1257">
        <v>80</v>
      </c>
      <c r="AQ1257">
        <v>0</v>
      </c>
      <c r="AR1257">
        <v>11</v>
      </c>
      <c r="AS1257" t="str">
        <f t="shared" si="295"/>
        <v>11-20</v>
      </c>
      <c r="AT1257">
        <v>2</v>
      </c>
      <c r="AU1257" t="str">
        <f t="shared" si="296"/>
        <v>0-2</v>
      </c>
      <c r="AV1257">
        <v>2</v>
      </c>
      <c r="AW1257" t="s">
        <v>84</v>
      </c>
      <c r="AX1257">
        <v>0</v>
      </c>
      <c r="AY1257" t="str">
        <f t="shared" si="285"/>
        <v>0-1</v>
      </c>
      <c r="AZ1257">
        <v>0</v>
      </c>
      <c r="BA1257" t="str">
        <f t="shared" si="297"/>
        <v>0-1</v>
      </c>
      <c r="BB1257">
        <v>0</v>
      </c>
      <c r="BC1257" t="str">
        <f t="shared" si="298"/>
        <v>0-1</v>
      </c>
      <c r="BD1257">
        <v>0</v>
      </c>
      <c r="BE1257" t="str">
        <f t="shared" si="299"/>
        <v>0-1</v>
      </c>
    </row>
    <row r="1258" spans="1:57" x14ac:dyDescent="0.3">
      <c r="A1258">
        <v>1760</v>
      </c>
      <c r="B1258">
        <v>38</v>
      </c>
      <c r="C1258" t="str">
        <f t="shared" si="286"/>
        <v>36-45</v>
      </c>
      <c r="D1258" t="s">
        <v>71</v>
      </c>
      <c r="E1258">
        <f t="shared" si="287"/>
        <v>0</v>
      </c>
      <c r="F1258" t="s">
        <v>72</v>
      </c>
      <c r="G1258">
        <v>594</v>
      </c>
      <c r="H1258" t="str">
        <f t="shared" si="288"/>
        <v>501-1000</v>
      </c>
      <c r="I1258" t="s">
        <v>73</v>
      </c>
      <c r="J1258">
        <v>2</v>
      </c>
      <c r="K1258" t="str">
        <f t="shared" si="289"/>
        <v>1-5</v>
      </c>
      <c r="L1258">
        <v>2</v>
      </c>
      <c r="M1258" t="s">
        <v>59</v>
      </c>
      <c r="N1258" t="s">
        <v>83</v>
      </c>
      <c r="O1258">
        <v>1</v>
      </c>
      <c r="P1258">
        <v>3</v>
      </c>
      <c r="Q1258" t="s">
        <v>63</v>
      </c>
      <c r="R1258" t="s">
        <v>62</v>
      </c>
      <c r="S1258">
        <v>75</v>
      </c>
      <c r="T1258" t="str">
        <f t="shared" si="290"/>
        <v>51-75</v>
      </c>
      <c r="U1258">
        <v>2</v>
      </c>
      <c r="V1258" t="s">
        <v>61</v>
      </c>
      <c r="W1258">
        <v>1</v>
      </c>
      <c r="X1258" t="s">
        <v>81</v>
      </c>
      <c r="Y1258">
        <v>2</v>
      </c>
      <c r="Z1258" t="s">
        <v>61</v>
      </c>
      <c r="AA1258" t="s">
        <v>77</v>
      </c>
      <c r="AB1258" s="4">
        <v>2468</v>
      </c>
      <c r="AC1258" s="4" t="str">
        <f t="shared" si="291"/>
        <v>$1,000-$2,500</v>
      </c>
      <c r="AD1258">
        <v>15963</v>
      </c>
      <c r="AE1258" t="str">
        <f t="shared" si="292"/>
        <v>$8,001-$16,000</v>
      </c>
      <c r="AF1258">
        <v>4</v>
      </c>
      <c r="AG1258" t="str">
        <f t="shared" si="293"/>
        <v>4-6</v>
      </c>
      <c r="AH1258" t="s">
        <v>67</v>
      </c>
      <c r="AI1258" t="s">
        <v>71</v>
      </c>
      <c r="AJ1258">
        <v>14</v>
      </c>
      <c r="AK1258" t="str">
        <f t="shared" si="294"/>
        <v>13-15%</v>
      </c>
      <c r="AL1258">
        <v>3</v>
      </c>
      <c r="AM1258" t="s">
        <v>68</v>
      </c>
      <c r="AN1258">
        <v>2</v>
      </c>
      <c r="AO1258" t="s">
        <v>61</v>
      </c>
      <c r="AP1258">
        <v>80</v>
      </c>
      <c r="AQ1258">
        <v>1</v>
      </c>
      <c r="AR1258">
        <v>9</v>
      </c>
      <c r="AS1258" t="str">
        <f t="shared" si="295"/>
        <v>6-10</v>
      </c>
      <c r="AT1258">
        <v>4</v>
      </c>
      <c r="AU1258" t="str">
        <f t="shared" si="296"/>
        <v>3-4</v>
      </c>
      <c r="AV1258">
        <v>2</v>
      </c>
      <c r="AW1258" t="s">
        <v>84</v>
      </c>
      <c r="AX1258">
        <v>6</v>
      </c>
      <c r="AY1258" t="str">
        <f t="shared" si="285"/>
        <v>6-10</v>
      </c>
      <c r="AZ1258">
        <v>1</v>
      </c>
      <c r="BA1258" t="str">
        <f t="shared" si="297"/>
        <v>0-1</v>
      </c>
      <c r="BB1258">
        <v>0</v>
      </c>
      <c r="BC1258" t="str">
        <f t="shared" si="298"/>
        <v>0-1</v>
      </c>
      <c r="BD1258">
        <v>5</v>
      </c>
      <c r="BE1258" t="str">
        <f t="shared" si="299"/>
        <v>2-5</v>
      </c>
    </row>
    <row r="1259" spans="1:57" x14ac:dyDescent="0.3">
      <c r="A1259">
        <v>1761</v>
      </c>
      <c r="B1259">
        <v>31</v>
      </c>
      <c r="C1259" t="str">
        <f t="shared" si="286"/>
        <v>26-35</v>
      </c>
      <c r="D1259" t="s">
        <v>56</v>
      </c>
      <c r="E1259">
        <f t="shared" si="287"/>
        <v>1</v>
      </c>
      <c r="F1259" t="s">
        <v>57</v>
      </c>
      <c r="G1259">
        <v>1079</v>
      </c>
      <c r="H1259" t="str">
        <f t="shared" si="288"/>
        <v>1001-1499</v>
      </c>
      <c r="I1259" t="s">
        <v>58</v>
      </c>
      <c r="J1259">
        <v>16</v>
      </c>
      <c r="K1259" t="str">
        <f t="shared" si="289"/>
        <v>11-20</v>
      </c>
      <c r="L1259">
        <v>4</v>
      </c>
      <c r="M1259" t="s">
        <v>82</v>
      </c>
      <c r="N1259" t="s">
        <v>93</v>
      </c>
      <c r="O1259">
        <v>1</v>
      </c>
      <c r="P1259">
        <v>1</v>
      </c>
      <c r="Q1259" t="s">
        <v>69</v>
      </c>
      <c r="R1259" t="s">
        <v>75</v>
      </c>
      <c r="S1259">
        <v>70</v>
      </c>
      <c r="T1259" t="str">
        <f t="shared" si="290"/>
        <v>51-75</v>
      </c>
      <c r="U1259">
        <v>3</v>
      </c>
      <c r="V1259" t="s">
        <v>63</v>
      </c>
      <c r="W1259">
        <v>3</v>
      </c>
      <c r="X1259" t="s">
        <v>64</v>
      </c>
      <c r="Y1259">
        <v>3</v>
      </c>
      <c r="Z1259" t="s">
        <v>63</v>
      </c>
      <c r="AA1259" t="s">
        <v>77</v>
      </c>
      <c r="AB1259" s="4">
        <v>8161</v>
      </c>
      <c r="AC1259" s="4" t="str">
        <f t="shared" si="291"/>
        <v>$7,000-$8,500</v>
      </c>
      <c r="AD1259">
        <v>19002</v>
      </c>
      <c r="AE1259" t="str">
        <f t="shared" si="292"/>
        <v>$16,001-$22,000</v>
      </c>
      <c r="AF1259">
        <v>2</v>
      </c>
      <c r="AG1259" t="str">
        <f t="shared" si="293"/>
        <v>2-3</v>
      </c>
      <c r="AH1259" t="s">
        <v>67</v>
      </c>
      <c r="AI1259" t="s">
        <v>71</v>
      </c>
      <c r="AJ1259">
        <v>13</v>
      </c>
      <c r="AK1259" t="str">
        <f t="shared" si="294"/>
        <v>13-15%</v>
      </c>
      <c r="AL1259">
        <v>3</v>
      </c>
      <c r="AM1259" t="s">
        <v>68</v>
      </c>
      <c r="AN1259">
        <v>1</v>
      </c>
      <c r="AO1259" t="s">
        <v>69</v>
      </c>
      <c r="AP1259">
        <v>80</v>
      </c>
      <c r="AQ1259">
        <v>3</v>
      </c>
      <c r="AR1259">
        <v>10</v>
      </c>
      <c r="AS1259" t="str">
        <f t="shared" si="295"/>
        <v>6-10</v>
      </c>
      <c r="AT1259">
        <v>2</v>
      </c>
      <c r="AU1259" t="str">
        <f t="shared" si="296"/>
        <v>0-2</v>
      </c>
      <c r="AV1259">
        <v>3</v>
      </c>
      <c r="AW1259" t="s">
        <v>79</v>
      </c>
      <c r="AX1259">
        <v>1</v>
      </c>
      <c r="AY1259" t="str">
        <f t="shared" si="285"/>
        <v>0-1</v>
      </c>
      <c r="AZ1259">
        <v>0</v>
      </c>
      <c r="BA1259" t="str">
        <f t="shared" si="297"/>
        <v>0-1</v>
      </c>
      <c r="BB1259">
        <v>0</v>
      </c>
      <c r="BC1259" t="str">
        <f t="shared" si="298"/>
        <v>0-1</v>
      </c>
      <c r="BD1259">
        <v>0</v>
      </c>
      <c r="BE1259" t="str">
        <f t="shared" si="299"/>
        <v>0-1</v>
      </c>
    </row>
    <row r="1260" spans="1:57" x14ac:dyDescent="0.3">
      <c r="A1260">
        <v>1762</v>
      </c>
      <c r="B1260">
        <v>29</v>
      </c>
      <c r="C1260" t="str">
        <f t="shared" si="286"/>
        <v>26-35</v>
      </c>
      <c r="D1260" t="s">
        <v>71</v>
      </c>
      <c r="E1260">
        <f t="shared" si="287"/>
        <v>0</v>
      </c>
      <c r="F1260" t="s">
        <v>57</v>
      </c>
      <c r="G1260">
        <v>590</v>
      </c>
      <c r="H1260" t="str">
        <f t="shared" si="288"/>
        <v>501-1000</v>
      </c>
      <c r="I1260" t="s">
        <v>73</v>
      </c>
      <c r="J1260">
        <v>4</v>
      </c>
      <c r="K1260" t="str">
        <f t="shared" si="289"/>
        <v>1-5</v>
      </c>
      <c r="L1260">
        <v>3</v>
      </c>
      <c r="M1260" t="s">
        <v>85</v>
      </c>
      <c r="N1260" t="s">
        <v>95</v>
      </c>
      <c r="O1260">
        <v>1</v>
      </c>
      <c r="P1260">
        <v>4</v>
      </c>
      <c r="Q1260" t="s">
        <v>65</v>
      </c>
      <c r="R1260" t="s">
        <v>62</v>
      </c>
      <c r="S1260">
        <v>91</v>
      </c>
      <c r="T1260" t="str">
        <f t="shared" si="290"/>
        <v>76-100</v>
      </c>
      <c r="U1260">
        <v>2</v>
      </c>
      <c r="V1260" t="s">
        <v>61</v>
      </c>
      <c r="W1260">
        <v>1</v>
      </c>
      <c r="X1260" t="s">
        <v>76</v>
      </c>
      <c r="Y1260">
        <v>1</v>
      </c>
      <c r="Z1260" t="s">
        <v>69</v>
      </c>
      <c r="AA1260" t="s">
        <v>86</v>
      </c>
      <c r="AB1260" s="4">
        <v>2109</v>
      </c>
      <c r="AC1260" s="4" t="str">
        <f t="shared" si="291"/>
        <v>$1,000-$2,500</v>
      </c>
      <c r="AD1260">
        <v>10007</v>
      </c>
      <c r="AE1260" t="str">
        <f t="shared" si="292"/>
        <v>$8,001-$16,000</v>
      </c>
      <c r="AF1260">
        <v>1</v>
      </c>
      <c r="AG1260" t="str">
        <f t="shared" si="293"/>
        <v>0-1</v>
      </c>
      <c r="AH1260" t="s">
        <v>67</v>
      </c>
      <c r="AI1260" t="s">
        <v>71</v>
      </c>
      <c r="AJ1260">
        <v>13</v>
      </c>
      <c r="AK1260" t="str">
        <f t="shared" si="294"/>
        <v>13-15%</v>
      </c>
      <c r="AL1260">
        <v>3</v>
      </c>
      <c r="AM1260" t="s">
        <v>68</v>
      </c>
      <c r="AN1260">
        <v>3</v>
      </c>
      <c r="AO1260" t="s">
        <v>63</v>
      </c>
      <c r="AP1260">
        <v>80</v>
      </c>
      <c r="AQ1260">
        <v>1</v>
      </c>
      <c r="AR1260">
        <v>1</v>
      </c>
      <c r="AS1260" t="str">
        <f t="shared" si="295"/>
        <v>0-2</v>
      </c>
      <c r="AT1260">
        <v>2</v>
      </c>
      <c r="AU1260" t="str">
        <f t="shared" si="296"/>
        <v>0-2</v>
      </c>
      <c r="AV1260">
        <v>3</v>
      </c>
      <c r="AW1260" t="s">
        <v>79</v>
      </c>
      <c r="AX1260">
        <v>1</v>
      </c>
      <c r="AY1260" t="str">
        <f t="shared" si="285"/>
        <v>0-1</v>
      </c>
      <c r="AZ1260">
        <v>0</v>
      </c>
      <c r="BA1260" t="str">
        <f t="shared" si="297"/>
        <v>0-1</v>
      </c>
      <c r="BB1260">
        <v>0</v>
      </c>
      <c r="BC1260" t="str">
        <f t="shared" si="298"/>
        <v>0-1</v>
      </c>
      <c r="BD1260">
        <v>0</v>
      </c>
      <c r="BE1260" t="str">
        <f t="shared" si="299"/>
        <v>0-1</v>
      </c>
    </row>
    <row r="1261" spans="1:57" x14ac:dyDescent="0.3">
      <c r="A1261">
        <v>1763</v>
      </c>
      <c r="B1261">
        <v>30</v>
      </c>
      <c r="C1261" t="str">
        <f t="shared" si="286"/>
        <v>26-35</v>
      </c>
      <c r="D1261" t="s">
        <v>71</v>
      </c>
      <c r="E1261">
        <f t="shared" si="287"/>
        <v>0</v>
      </c>
      <c r="F1261" t="s">
        <v>57</v>
      </c>
      <c r="G1261">
        <v>305</v>
      </c>
      <c r="H1261" t="str">
        <f t="shared" si="288"/>
        <v>102-500</v>
      </c>
      <c r="I1261" t="s">
        <v>73</v>
      </c>
      <c r="J1261">
        <v>16</v>
      </c>
      <c r="K1261" t="str">
        <f t="shared" si="289"/>
        <v>11-20</v>
      </c>
      <c r="L1261">
        <v>3</v>
      </c>
      <c r="M1261" t="s">
        <v>85</v>
      </c>
      <c r="N1261" t="s">
        <v>60</v>
      </c>
      <c r="O1261">
        <v>1</v>
      </c>
      <c r="P1261">
        <v>3</v>
      </c>
      <c r="Q1261" t="s">
        <v>63</v>
      </c>
      <c r="R1261" t="s">
        <v>75</v>
      </c>
      <c r="S1261">
        <v>58</v>
      </c>
      <c r="T1261" t="str">
        <f t="shared" si="290"/>
        <v>51-75</v>
      </c>
      <c r="U1261">
        <v>4</v>
      </c>
      <c r="V1261" t="s">
        <v>65</v>
      </c>
      <c r="W1261">
        <v>2</v>
      </c>
      <c r="X1261" t="s">
        <v>88</v>
      </c>
      <c r="Y1261">
        <v>3</v>
      </c>
      <c r="Z1261" t="s">
        <v>63</v>
      </c>
      <c r="AA1261" t="s">
        <v>77</v>
      </c>
      <c r="AB1261" s="4">
        <v>5294</v>
      </c>
      <c r="AC1261" s="4" t="str">
        <f t="shared" si="291"/>
        <v>$4,000-$5,500</v>
      </c>
      <c r="AD1261">
        <v>9128</v>
      </c>
      <c r="AE1261" t="str">
        <f t="shared" si="292"/>
        <v>$8,001-$16,000</v>
      </c>
      <c r="AF1261">
        <v>3</v>
      </c>
      <c r="AG1261" t="str">
        <f t="shared" si="293"/>
        <v>2-3</v>
      </c>
      <c r="AH1261" t="s">
        <v>67</v>
      </c>
      <c r="AI1261" t="s">
        <v>71</v>
      </c>
      <c r="AJ1261">
        <v>16</v>
      </c>
      <c r="AK1261" t="str">
        <f t="shared" si="294"/>
        <v>16-17%</v>
      </c>
      <c r="AL1261">
        <v>3</v>
      </c>
      <c r="AM1261" t="s">
        <v>68</v>
      </c>
      <c r="AN1261">
        <v>3</v>
      </c>
      <c r="AO1261" t="s">
        <v>63</v>
      </c>
      <c r="AP1261">
        <v>80</v>
      </c>
      <c r="AQ1261">
        <v>1</v>
      </c>
      <c r="AR1261">
        <v>10</v>
      </c>
      <c r="AS1261" t="str">
        <f t="shared" si="295"/>
        <v>6-10</v>
      </c>
      <c r="AT1261">
        <v>3</v>
      </c>
      <c r="AU1261" t="str">
        <f t="shared" si="296"/>
        <v>3-4</v>
      </c>
      <c r="AV1261">
        <v>3</v>
      </c>
      <c r="AW1261" t="s">
        <v>79</v>
      </c>
      <c r="AX1261">
        <v>7</v>
      </c>
      <c r="AY1261" t="str">
        <f t="shared" si="285"/>
        <v>6-10</v>
      </c>
      <c r="AZ1261">
        <v>0</v>
      </c>
      <c r="BA1261" t="str">
        <f t="shared" si="297"/>
        <v>0-1</v>
      </c>
      <c r="BB1261">
        <v>1</v>
      </c>
      <c r="BC1261" t="str">
        <f t="shared" si="298"/>
        <v>0-1</v>
      </c>
      <c r="BD1261">
        <v>7</v>
      </c>
      <c r="BE1261" t="str">
        <f t="shared" si="299"/>
        <v>6-10</v>
      </c>
    </row>
    <row r="1262" spans="1:57" x14ac:dyDescent="0.3">
      <c r="A1262">
        <v>1764</v>
      </c>
      <c r="B1262">
        <v>32</v>
      </c>
      <c r="C1262" t="str">
        <f t="shared" si="286"/>
        <v>26-35</v>
      </c>
      <c r="D1262" t="s">
        <v>71</v>
      </c>
      <c r="E1262">
        <f t="shared" si="287"/>
        <v>0</v>
      </c>
      <c r="F1262" t="s">
        <v>89</v>
      </c>
      <c r="G1262">
        <v>953</v>
      </c>
      <c r="H1262" t="str">
        <f t="shared" si="288"/>
        <v>501-1000</v>
      </c>
      <c r="I1262" t="s">
        <v>73</v>
      </c>
      <c r="J1262">
        <v>5</v>
      </c>
      <c r="K1262" t="str">
        <f t="shared" si="289"/>
        <v>1-5</v>
      </c>
      <c r="L1262">
        <v>4</v>
      </c>
      <c r="M1262" t="s">
        <v>82</v>
      </c>
      <c r="N1262" t="s">
        <v>95</v>
      </c>
      <c r="O1262">
        <v>1</v>
      </c>
      <c r="P1262">
        <v>2</v>
      </c>
      <c r="Q1262" t="s">
        <v>61</v>
      </c>
      <c r="R1262" t="s">
        <v>75</v>
      </c>
      <c r="S1262">
        <v>65</v>
      </c>
      <c r="T1262" t="str">
        <f t="shared" si="290"/>
        <v>51-75</v>
      </c>
      <c r="U1262">
        <v>3</v>
      </c>
      <c r="V1262" t="s">
        <v>63</v>
      </c>
      <c r="W1262">
        <v>1</v>
      </c>
      <c r="X1262" t="s">
        <v>76</v>
      </c>
      <c r="Y1262">
        <v>2</v>
      </c>
      <c r="Z1262" t="s">
        <v>61</v>
      </c>
      <c r="AA1262" t="s">
        <v>66</v>
      </c>
      <c r="AB1262" s="4">
        <v>2718</v>
      </c>
      <c r="AC1262" s="4" t="str">
        <f t="shared" si="291"/>
        <v>$2,500-$4,000</v>
      </c>
      <c r="AD1262">
        <v>17674</v>
      </c>
      <c r="AE1262" t="str">
        <f t="shared" si="292"/>
        <v>$16,001-$22,000</v>
      </c>
      <c r="AF1262">
        <v>2</v>
      </c>
      <c r="AG1262" t="str">
        <f t="shared" si="293"/>
        <v>2-3</v>
      </c>
      <c r="AH1262" t="s">
        <v>67</v>
      </c>
      <c r="AI1262" t="s">
        <v>71</v>
      </c>
      <c r="AJ1262">
        <v>14</v>
      </c>
      <c r="AK1262" t="str">
        <f t="shared" si="294"/>
        <v>13-15%</v>
      </c>
      <c r="AL1262">
        <v>3</v>
      </c>
      <c r="AM1262" t="s">
        <v>68</v>
      </c>
      <c r="AN1262">
        <v>2</v>
      </c>
      <c r="AO1262" t="s">
        <v>61</v>
      </c>
      <c r="AP1262">
        <v>80</v>
      </c>
      <c r="AQ1262">
        <v>0</v>
      </c>
      <c r="AR1262">
        <v>12</v>
      </c>
      <c r="AS1262" t="str">
        <f t="shared" si="295"/>
        <v>11-20</v>
      </c>
      <c r="AT1262">
        <v>3</v>
      </c>
      <c r="AU1262" t="str">
        <f t="shared" si="296"/>
        <v>3-4</v>
      </c>
      <c r="AV1262">
        <v>3</v>
      </c>
      <c r="AW1262" t="s">
        <v>79</v>
      </c>
      <c r="AX1262">
        <v>7</v>
      </c>
      <c r="AY1262" t="str">
        <f t="shared" si="285"/>
        <v>6-10</v>
      </c>
      <c r="AZ1262">
        <v>7</v>
      </c>
      <c r="BA1262" t="str">
        <f t="shared" si="297"/>
        <v>6-10</v>
      </c>
      <c r="BB1262">
        <v>0</v>
      </c>
      <c r="BC1262" t="str">
        <f t="shared" si="298"/>
        <v>0-1</v>
      </c>
      <c r="BD1262">
        <v>7</v>
      </c>
      <c r="BE1262" t="str">
        <f t="shared" si="299"/>
        <v>6-10</v>
      </c>
    </row>
    <row r="1263" spans="1:57" x14ac:dyDescent="0.3">
      <c r="A1263">
        <v>1766</v>
      </c>
      <c r="B1263">
        <v>38</v>
      </c>
      <c r="C1263" t="str">
        <f t="shared" si="286"/>
        <v>36-45</v>
      </c>
      <c r="D1263" t="s">
        <v>71</v>
      </c>
      <c r="E1263">
        <f t="shared" si="287"/>
        <v>0</v>
      </c>
      <c r="F1263" t="s">
        <v>57</v>
      </c>
      <c r="G1263">
        <v>833</v>
      </c>
      <c r="H1263" t="str">
        <f t="shared" si="288"/>
        <v>501-1000</v>
      </c>
      <c r="I1263" t="s">
        <v>73</v>
      </c>
      <c r="J1263">
        <v>18</v>
      </c>
      <c r="K1263" t="str">
        <f t="shared" si="289"/>
        <v>11-20</v>
      </c>
      <c r="L1263">
        <v>3</v>
      </c>
      <c r="M1263" t="s">
        <v>85</v>
      </c>
      <c r="N1263" t="s">
        <v>83</v>
      </c>
      <c r="O1263">
        <v>1</v>
      </c>
      <c r="P1263">
        <v>2</v>
      </c>
      <c r="Q1263" t="s">
        <v>61</v>
      </c>
      <c r="R1263" t="s">
        <v>75</v>
      </c>
      <c r="S1263">
        <v>60</v>
      </c>
      <c r="T1263" t="str">
        <f t="shared" si="290"/>
        <v>51-75</v>
      </c>
      <c r="U1263">
        <v>1</v>
      </c>
      <c r="V1263" t="s">
        <v>69</v>
      </c>
      <c r="W1263">
        <v>2</v>
      </c>
      <c r="X1263" t="s">
        <v>88</v>
      </c>
      <c r="Y1263">
        <v>4</v>
      </c>
      <c r="Z1263" t="s">
        <v>65</v>
      </c>
      <c r="AA1263" t="s">
        <v>77</v>
      </c>
      <c r="AB1263" s="4">
        <v>5811</v>
      </c>
      <c r="AC1263" s="4" t="str">
        <f t="shared" si="291"/>
        <v>$5,500-$7,000</v>
      </c>
      <c r="AD1263">
        <v>24539</v>
      </c>
      <c r="AE1263" t="str">
        <f t="shared" si="292"/>
        <v>$22,001-$26,999</v>
      </c>
      <c r="AF1263">
        <v>3</v>
      </c>
      <c r="AG1263" t="str">
        <f t="shared" si="293"/>
        <v>2-3</v>
      </c>
      <c r="AH1263" t="s">
        <v>67</v>
      </c>
      <c r="AI1263" t="s">
        <v>56</v>
      </c>
      <c r="AJ1263">
        <v>16</v>
      </c>
      <c r="AK1263" t="str">
        <f t="shared" si="294"/>
        <v>16-17%</v>
      </c>
      <c r="AL1263">
        <v>3</v>
      </c>
      <c r="AM1263" t="s">
        <v>68</v>
      </c>
      <c r="AN1263">
        <v>3</v>
      </c>
      <c r="AO1263" t="s">
        <v>63</v>
      </c>
      <c r="AP1263">
        <v>80</v>
      </c>
      <c r="AQ1263">
        <v>1</v>
      </c>
      <c r="AR1263">
        <v>15</v>
      </c>
      <c r="AS1263" t="str">
        <f t="shared" si="295"/>
        <v>11-20</v>
      </c>
      <c r="AT1263">
        <v>2</v>
      </c>
      <c r="AU1263" t="str">
        <f t="shared" si="296"/>
        <v>0-2</v>
      </c>
      <c r="AV1263">
        <v>3</v>
      </c>
      <c r="AW1263" t="s">
        <v>79</v>
      </c>
      <c r="AX1263">
        <v>1</v>
      </c>
      <c r="AY1263" t="str">
        <f t="shared" si="285"/>
        <v>0-1</v>
      </c>
      <c r="AZ1263">
        <v>0</v>
      </c>
      <c r="BA1263" t="str">
        <f t="shared" si="297"/>
        <v>0-1</v>
      </c>
      <c r="BB1263">
        <v>1</v>
      </c>
      <c r="BC1263" t="str">
        <f t="shared" si="298"/>
        <v>0-1</v>
      </c>
      <c r="BD1263">
        <v>0</v>
      </c>
      <c r="BE1263" t="str">
        <f t="shared" si="299"/>
        <v>0-1</v>
      </c>
    </row>
    <row r="1264" spans="1:57" x14ac:dyDescent="0.3">
      <c r="A1264">
        <v>1767</v>
      </c>
      <c r="B1264">
        <v>43</v>
      </c>
      <c r="C1264" t="str">
        <f t="shared" si="286"/>
        <v>36-45</v>
      </c>
      <c r="D1264" t="s">
        <v>56</v>
      </c>
      <c r="E1264">
        <f t="shared" si="287"/>
        <v>1</v>
      </c>
      <c r="F1264" t="s">
        <v>72</v>
      </c>
      <c r="G1264">
        <v>807</v>
      </c>
      <c r="H1264" t="str">
        <f t="shared" si="288"/>
        <v>501-1000</v>
      </c>
      <c r="I1264" t="s">
        <v>73</v>
      </c>
      <c r="J1264">
        <v>17</v>
      </c>
      <c r="K1264" t="str">
        <f t="shared" si="289"/>
        <v>11-20</v>
      </c>
      <c r="L1264">
        <v>3</v>
      </c>
      <c r="M1264" t="s">
        <v>85</v>
      </c>
      <c r="N1264" t="s">
        <v>95</v>
      </c>
      <c r="O1264">
        <v>1</v>
      </c>
      <c r="P1264">
        <v>3</v>
      </c>
      <c r="Q1264" t="s">
        <v>63</v>
      </c>
      <c r="R1264" t="s">
        <v>75</v>
      </c>
      <c r="S1264">
        <v>38</v>
      </c>
      <c r="T1264" t="str">
        <f t="shared" si="290"/>
        <v>30-50</v>
      </c>
      <c r="U1264">
        <v>2</v>
      </c>
      <c r="V1264" t="s">
        <v>61</v>
      </c>
      <c r="W1264">
        <v>1</v>
      </c>
      <c r="X1264" t="s">
        <v>76</v>
      </c>
      <c r="Y1264">
        <v>3</v>
      </c>
      <c r="Z1264" t="s">
        <v>63</v>
      </c>
      <c r="AA1264" t="s">
        <v>77</v>
      </c>
      <c r="AB1264" s="4">
        <v>2437</v>
      </c>
      <c r="AC1264" s="4" t="str">
        <f t="shared" si="291"/>
        <v>$1,000-$2,500</v>
      </c>
      <c r="AD1264">
        <v>15587</v>
      </c>
      <c r="AE1264" t="str">
        <f t="shared" si="292"/>
        <v>$8,001-$16,000</v>
      </c>
      <c r="AF1264">
        <v>9</v>
      </c>
      <c r="AG1264" t="str">
        <f t="shared" si="293"/>
        <v>7-9</v>
      </c>
      <c r="AH1264" t="s">
        <v>67</v>
      </c>
      <c r="AI1264" t="s">
        <v>56</v>
      </c>
      <c r="AJ1264">
        <v>16</v>
      </c>
      <c r="AK1264" t="str">
        <f t="shared" si="294"/>
        <v>16-17%</v>
      </c>
      <c r="AL1264">
        <v>3</v>
      </c>
      <c r="AM1264" t="s">
        <v>68</v>
      </c>
      <c r="AN1264">
        <v>4</v>
      </c>
      <c r="AO1264" t="s">
        <v>65</v>
      </c>
      <c r="AP1264">
        <v>80</v>
      </c>
      <c r="AQ1264">
        <v>1</v>
      </c>
      <c r="AR1264">
        <v>6</v>
      </c>
      <c r="AS1264" t="str">
        <f t="shared" si="295"/>
        <v>6-10</v>
      </c>
      <c r="AT1264">
        <v>4</v>
      </c>
      <c r="AU1264" t="str">
        <f t="shared" si="296"/>
        <v>3-4</v>
      </c>
      <c r="AV1264">
        <v>3</v>
      </c>
      <c r="AW1264" t="s">
        <v>79</v>
      </c>
      <c r="AX1264">
        <v>1</v>
      </c>
      <c r="AY1264" t="str">
        <f t="shared" si="285"/>
        <v>0-1</v>
      </c>
      <c r="AZ1264">
        <v>0</v>
      </c>
      <c r="BA1264" t="str">
        <f t="shared" si="297"/>
        <v>0-1</v>
      </c>
      <c r="BB1264">
        <v>0</v>
      </c>
      <c r="BC1264" t="str">
        <f t="shared" si="298"/>
        <v>0-1</v>
      </c>
      <c r="BD1264">
        <v>0</v>
      </c>
      <c r="BE1264" t="str">
        <f t="shared" si="299"/>
        <v>0-1</v>
      </c>
    </row>
    <row r="1265" spans="1:57" x14ac:dyDescent="0.3">
      <c r="A1265">
        <v>1768</v>
      </c>
      <c r="B1265">
        <v>42</v>
      </c>
      <c r="C1265" t="str">
        <f t="shared" si="286"/>
        <v>36-45</v>
      </c>
      <c r="D1265" t="s">
        <v>71</v>
      </c>
      <c r="E1265">
        <f t="shared" si="287"/>
        <v>0</v>
      </c>
      <c r="F1265" t="s">
        <v>57</v>
      </c>
      <c r="G1265">
        <v>855</v>
      </c>
      <c r="H1265" t="str">
        <f t="shared" si="288"/>
        <v>501-1000</v>
      </c>
      <c r="I1265" t="s">
        <v>73</v>
      </c>
      <c r="J1265">
        <v>12</v>
      </c>
      <c r="K1265" t="str">
        <f t="shared" si="289"/>
        <v>11-20</v>
      </c>
      <c r="L1265">
        <v>3</v>
      </c>
      <c r="M1265" t="s">
        <v>85</v>
      </c>
      <c r="N1265" t="s">
        <v>83</v>
      </c>
      <c r="O1265">
        <v>1</v>
      </c>
      <c r="P1265">
        <v>2</v>
      </c>
      <c r="Q1265" t="s">
        <v>61</v>
      </c>
      <c r="R1265" t="s">
        <v>75</v>
      </c>
      <c r="S1265">
        <v>57</v>
      </c>
      <c r="T1265" t="str">
        <f t="shared" si="290"/>
        <v>51-75</v>
      </c>
      <c r="U1265">
        <v>3</v>
      </c>
      <c r="V1265" t="s">
        <v>63</v>
      </c>
      <c r="W1265">
        <v>1</v>
      </c>
      <c r="X1265" t="s">
        <v>81</v>
      </c>
      <c r="Y1265">
        <v>2</v>
      </c>
      <c r="Z1265" t="s">
        <v>61</v>
      </c>
      <c r="AA1265" t="s">
        <v>86</v>
      </c>
      <c r="AB1265" s="4">
        <v>2766</v>
      </c>
      <c r="AC1265" s="4" t="str">
        <f t="shared" si="291"/>
        <v>$2,500-$4,000</v>
      </c>
      <c r="AD1265">
        <v>8952</v>
      </c>
      <c r="AE1265" t="str">
        <f t="shared" si="292"/>
        <v>$8,001-$16,000</v>
      </c>
      <c r="AF1265">
        <v>8</v>
      </c>
      <c r="AG1265" t="str">
        <f t="shared" si="293"/>
        <v>7-9</v>
      </c>
      <c r="AH1265" t="s">
        <v>67</v>
      </c>
      <c r="AI1265" t="s">
        <v>71</v>
      </c>
      <c r="AJ1265">
        <v>22</v>
      </c>
      <c r="AK1265" t="str">
        <f t="shared" si="294"/>
        <v>18-19%</v>
      </c>
      <c r="AL1265">
        <v>4</v>
      </c>
      <c r="AM1265" t="s">
        <v>78</v>
      </c>
      <c r="AN1265">
        <v>2</v>
      </c>
      <c r="AO1265" t="s">
        <v>61</v>
      </c>
      <c r="AP1265">
        <v>80</v>
      </c>
      <c r="AQ1265">
        <v>3</v>
      </c>
      <c r="AR1265">
        <v>7</v>
      </c>
      <c r="AS1265" t="str">
        <f t="shared" si="295"/>
        <v>6-10</v>
      </c>
      <c r="AT1265">
        <v>6</v>
      </c>
      <c r="AU1265" t="str">
        <f t="shared" si="296"/>
        <v>5-6</v>
      </c>
      <c r="AV1265">
        <v>2</v>
      </c>
      <c r="AW1265" t="s">
        <v>84</v>
      </c>
      <c r="AX1265">
        <v>5</v>
      </c>
      <c r="AY1265" t="str">
        <f t="shared" si="285"/>
        <v>2-5</v>
      </c>
      <c r="AZ1265">
        <v>3</v>
      </c>
      <c r="BA1265" t="str">
        <f t="shared" si="297"/>
        <v>2-5</v>
      </c>
      <c r="BB1265">
        <v>0</v>
      </c>
      <c r="BC1265" t="str">
        <f t="shared" si="298"/>
        <v>0-1</v>
      </c>
      <c r="BD1265">
        <v>4</v>
      </c>
      <c r="BE1265" t="str">
        <f t="shared" si="299"/>
        <v>2-5</v>
      </c>
    </row>
    <row r="1266" spans="1:57" x14ac:dyDescent="0.3">
      <c r="A1266">
        <v>1770</v>
      </c>
      <c r="B1266">
        <v>55</v>
      </c>
      <c r="C1266" t="str">
        <f t="shared" si="286"/>
        <v>46-55</v>
      </c>
      <c r="D1266" t="s">
        <v>71</v>
      </c>
      <c r="E1266">
        <f t="shared" si="287"/>
        <v>0</v>
      </c>
      <c r="F1266" t="s">
        <v>57</v>
      </c>
      <c r="G1266">
        <v>478</v>
      </c>
      <c r="H1266" t="str">
        <f t="shared" si="288"/>
        <v>102-500</v>
      </c>
      <c r="I1266" t="s">
        <v>73</v>
      </c>
      <c r="J1266">
        <v>2</v>
      </c>
      <c r="K1266" t="str">
        <f t="shared" si="289"/>
        <v>1-5</v>
      </c>
      <c r="L1266">
        <v>3</v>
      </c>
      <c r="M1266" t="s">
        <v>85</v>
      </c>
      <c r="N1266" t="s">
        <v>83</v>
      </c>
      <c r="O1266">
        <v>1</v>
      </c>
      <c r="P1266">
        <v>3</v>
      </c>
      <c r="Q1266" t="s">
        <v>63</v>
      </c>
      <c r="R1266" t="s">
        <v>75</v>
      </c>
      <c r="S1266">
        <v>60</v>
      </c>
      <c r="T1266" t="str">
        <f t="shared" si="290"/>
        <v>51-75</v>
      </c>
      <c r="U1266">
        <v>2</v>
      </c>
      <c r="V1266" t="s">
        <v>61</v>
      </c>
      <c r="W1266">
        <v>5</v>
      </c>
      <c r="X1266" t="s">
        <v>92</v>
      </c>
      <c r="Y1266">
        <v>1</v>
      </c>
      <c r="Z1266" t="s">
        <v>69</v>
      </c>
      <c r="AA1266" t="s">
        <v>77</v>
      </c>
      <c r="AB1266" s="4">
        <v>19038</v>
      </c>
      <c r="AC1266" s="4" t="str">
        <f t="shared" si="291"/>
        <v>$19,000-$20,500</v>
      </c>
      <c r="AD1266">
        <v>19805</v>
      </c>
      <c r="AE1266" t="str">
        <f t="shared" si="292"/>
        <v>$16,001-$22,000</v>
      </c>
      <c r="AF1266">
        <v>8</v>
      </c>
      <c r="AG1266" t="str">
        <f t="shared" si="293"/>
        <v>7-9</v>
      </c>
      <c r="AH1266" t="s">
        <v>67</v>
      </c>
      <c r="AI1266" t="s">
        <v>71</v>
      </c>
      <c r="AJ1266">
        <v>12</v>
      </c>
      <c r="AK1266" t="str">
        <f t="shared" si="294"/>
        <v>11-12%</v>
      </c>
      <c r="AL1266">
        <v>3</v>
      </c>
      <c r="AM1266" t="s">
        <v>68</v>
      </c>
      <c r="AN1266">
        <v>2</v>
      </c>
      <c r="AO1266" t="s">
        <v>61</v>
      </c>
      <c r="AP1266">
        <v>80</v>
      </c>
      <c r="AQ1266">
        <v>3</v>
      </c>
      <c r="AR1266">
        <v>34</v>
      </c>
      <c r="AS1266" t="str">
        <f t="shared" si="295"/>
        <v>21-40</v>
      </c>
      <c r="AT1266">
        <v>2</v>
      </c>
      <c r="AU1266" t="str">
        <f t="shared" si="296"/>
        <v>0-2</v>
      </c>
      <c r="AV1266">
        <v>3</v>
      </c>
      <c r="AW1266" t="s">
        <v>79</v>
      </c>
      <c r="AX1266">
        <v>1</v>
      </c>
      <c r="AY1266" t="str">
        <f t="shared" si="285"/>
        <v>0-1</v>
      </c>
      <c r="AZ1266">
        <v>0</v>
      </c>
      <c r="BA1266" t="str">
        <f t="shared" si="297"/>
        <v>0-1</v>
      </c>
      <c r="BB1266">
        <v>0</v>
      </c>
      <c r="BC1266" t="str">
        <f t="shared" si="298"/>
        <v>0-1</v>
      </c>
      <c r="BD1266">
        <v>0</v>
      </c>
      <c r="BE1266" t="str">
        <f t="shared" si="299"/>
        <v>0-1</v>
      </c>
    </row>
    <row r="1267" spans="1:57" x14ac:dyDescent="0.3">
      <c r="A1267">
        <v>1771</v>
      </c>
      <c r="B1267">
        <v>33</v>
      </c>
      <c r="C1267" t="str">
        <f t="shared" si="286"/>
        <v>26-35</v>
      </c>
      <c r="D1267" t="s">
        <v>71</v>
      </c>
      <c r="E1267">
        <f t="shared" si="287"/>
        <v>0</v>
      </c>
      <c r="F1267" t="s">
        <v>89</v>
      </c>
      <c r="G1267">
        <v>775</v>
      </c>
      <c r="H1267" t="str">
        <f t="shared" si="288"/>
        <v>501-1000</v>
      </c>
      <c r="I1267" t="s">
        <v>73</v>
      </c>
      <c r="J1267">
        <v>4</v>
      </c>
      <c r="K1267" t="str">
        <f t="shared" si="289"/>
        <v>1-5</v>
      </c>
      <c r="L1267">
        <v>3</v>
      </c>
      <c r="M1267" t="s">
        <v>85</v>
      </c>
      <c r="N1267" t="s">
        <v>95</v>
      </c>
      <c r="O1267">
        <v>1</v>
      </c>
      <c r="P1267">
        <v>4</v>
      </c>
      <c r="Q1267" t="s">
        <v>65</v>
      </c>
      <c r="R1267" t="s">
        <v>75</v>
      </c>
      <c r="S1267">
        <v>90</v>
      </c>
      <c r="T1267" t="str">
        <f t="shared" si="290"/>
        <v>76-100</v>
      </c>
      <c r="U1267">
        <v>3</v>
      </c>
      <c r="V1267" t="s">
        <v>63</v>
      </c>
      <c r="W1267">
        <v>2</v>
      </c>
      <c r="X1267" t="s">
        <v>76</v>
      </c>
      <c r="Y1267">
        <v>2</v>
      </c>
      <c r="Z1267" t="s">
        <v>61</v>
      </c>
      <c r="AA1267" t="s">
        <v>86</v>
      </c>
      <c r="AB1267" s="4">
        <v>3055</v>
      </c>
      <c r="AC1267" s="4" t="str">
        <f t="shared" si="291"/>
        <v>$2,500-$4,000</v>
      </c>
      <c r="AD1267">
        <v>6194</v>
      </c>
      <c r="AE1267" t="str">
        <f t="shared" si="292"/>
        <v>$2,094-$8,000</v>
      </c>
      <c r="AF1267">
        <v>5</v>
      </c>
      <c r="AG1267" t="str">
        <f t="shared" si="293"/>
        <v>4-6</v>
      </c>
      <c r="AH1267" t="s">
        <v>67</v>
      </c>
      <c r="AI1267" t="s">
        <v>71</v>
      </c>
      <c r="AJ1267">
        <v>15</v>
      </c>
      <c r="AK1267" t="str">
        <f t="shared" si="294"/>
        <v>13-15%</v>
      </c>
      <c r="AL1267">
        <v>3</v>
      </c>
      <c r="AM1267" t="s">
        <v>68</v>
      </c>
      <c r="AN1267">
        <v>4</v>
      </c>
      <c r="AO1267" t="s">
        <v>65</v>
      </c>
      <c r="AP1267">
        <v>80</v>
      </c>
      <c r="AQ1267">
        <v>2</v>
      </c>
      <c r="AR1267">
        <v>11</v>
      </c>
      <c r="AS1267" t="str">
        <f t="shared" si="295"/>
        <v>11-20</v>
      </c>
      <c r="AT1267">
        <v>2</v>
      </c>
      <c r="AU1267" t="str">
        <f t="shared" si="296"/>
        <v>0-2</v>
      </c>
      <c r="AV1267">
        <v>2</v>
      </c>
      <c r="AW1267" t="s">
        <v>84</v>
      </c>
      <c r="AX1267">
        <v>9</v>
      </c>
      <c r="AY1267" t="str">
        <f t="shared" si="285"/>
        <v>6-10</v>
      </c>
      <c r="AZ1267">
        <v>8</v>
      </c>
      <c r="BA1267" t="str">
        <f t="shared" si="297"/>
        <v>6-10</v>
      </c>
      <c r="BB1267">
        <v>1</v>
      </c>
      <c r="BC1267" t="str">
        <f t="shared" si="298"/>
        <v>0-1</v>
      </c>
      <c r="BD1267">
        <v>7</v>
      </c>
      <c r="BE1267" t="str">
        <f t="shared" si="299"/>
        <v>6-10</v>
      </c>
    </row>
    <row r="1268" spans="1:57" x14ac:dyDescent="0.3">
      <c r="A1268">
        <v>1772</v>
      </c>
      <c r="B1268">
        <v>41</v>
      </c>
      <c r="C1268" t="str">
        <f t="shared" si="286"/>
        <v>36-45</v>
      </c>
      <c r="D1268" t="s">
        <v>71</v>
      </c>
      <c r="E1268">
        <f t="shared" si="287"/>
        <v>0</v>
      </c>
      <c r="F1268" t="s">
        <v>57</v>
      </c>
      <c r="G1268">
        <v>548</v>
      </c>
      <c r="H1268" t="str">
        <f t="shared" si="288"/>
        <v>501-1000</v>
      </c>
      <c r="I1268" t="s">
        <v>73</v>
      </c>
      <c r="J1268">
        <v>9</v>
      </c>
      <c r="K1268" t="str">
        <f t="shared" si="289"/>
        <v>6-10</v>
      </c>
      <c r="L1268">
        <v>4</v>
      </c>
      <c r="M1268" t="s">
        <v>82</v>
      </c>
      <c r="N1268" t="s">
        <v>60</v>
      </c>
      <c r="O1268">
        <v>1</v>
      </c>
      <c r="P1268">
        <v>3</v>
      </c>
      <c r="Q1268" t="s">
        <v>63</v>
      </c>
      <c r="R1268" t="s">
        <v>75</v>
      </c>
      <c r="S1268">
        <v>94</v>
      </c>
      <c r="T1268" t="str">
        <f t="shared" si="290"/>
        <v>76-100</v>
      </c>
      <c r="U1268">
        <v>3</v>
      </c>
      <c r="V1268" t="s">
        <v>63</v>
      </c>
      <c r="W1268">
        <v>1</v>
      </c>
      <c r="X1268" t="s">
        <v>81</v>
      </c>
      <c r="Y1268">
        <v>1</v>
      </c>
      <c r="Z1268" t="s">
        <v>69</v>
      </c>
      <c r="AA1268" t="s">
        <v>86</v>
      </c>
      <c r="AB1268" s="4">
        <v>2289</v>
      </c>
      <c r="AC1268" s="4" t="str">
        <f t="shared" si="291"/>
        <v>$1,000-$2,500</v>
      </c>
      <c r="AD1268">
        <v>20520</v>
      </c>
      <c r="AE1268" t="str">
        <f t="shared" si="292"/>
        <v>$16,001-$22,000</v>
      </c>
      <c r="AF1268">
        <v>1</v>
      </c>
      <c r="AG1268" t="str">
        <f t="shared" si="293"/>
        <v>0-1</v>
      </c>
      <c r="AH1268" t="s">
        <v>67</v>
      </c>
      <c r="AI1268" t="s">
        <v>71</v>
      </c>
      <c r="AJ1268">
        <v>20</v>
      </c>
      <c r="AK1268" t="str">
        <f t="shared" si="294"/>
        <v>18-19%</v>
      </c>
      <c r="AL1268">
        <v>4</v>
      </c>
      <c r="AM1268" t="s">
        <v>78</v>
      </c>
      <c r="AN1268">
        <v>2</v>
      </c>
      <c r="AO1268" t="s">
        <v>61</v>
      </c>
      <c r="AP1268">
        <v>80</v>
      </c>
      <c r="AQ1268">
        <v>2</v>
      </c>
      <c r="AR1268">
        <v>5</v>
      </c>
      <c r="AS1268" t="str">
        <f t="shared" si="295"/>
        <v>3-5</v>
      </c>
      <c r="AT1268">
        <v>2</v>
      </c>
      <c r="AU1268" t="str">
        <f t="shared" si="296"/>
        <v>0-2</v>
      </c>
      <c r="AV1268">
        <v>3</v>
      </c>
      <c r="AW1268" t="s">
        <v>79</v>
      </c>
      <c r="AX1268">
        <v>5</v>
      </c>
      <c r="AY1268" t="str">
        <f t="shared" si="285"/>
        <v>2-5</v>
      </c>
      <c r="AZ1268">
        <v>3</v>
      </c>
      <c r="BA1268" t="str">
        <f t="shared" si="297"/>
        <v>2-5</v>
      </c>
      <c r="BB1268">
        <v>0</v>
      </c>
      <c r="BC1268" t="str">
        <f t="shared" si="298"/>
        <v>0-1</v>
      </c>
      <c r="BD1268">
        <v>4</v>
      </c>
      <c r="BE1268" t="str">
        <f t="shared" si="299"/>
        <v>2-5</v>
      </c>
    </row>
    <row r="1269" spans="1:57" x14ac:dyDescent="0.3">
      <c r="A1269">
        <v>1774</v>
      </c>
      <c r="B1269">
        <v>34</v>
      </c>
      <c r="C1269" t="str">
        <f t="shared" si="286"/>
        <v>26-35</v>
      </c>
      <c r="D1269" t="s">
        <v>71</v>
      </c>
      <c r="E1269">
        <f t="shared" si="287"/>
        <v>0</v>
      </c>
      <c r="F1269" t="s">
        <v>89</v>
      </c>
      <c r="G1269">
        <v>1375</v>
      </c>
      <c r="H1269" t="str">
        <f t="shared" si="288"/>
        <v>1001-1499</v>
      </c>
      <c r="I1269" t="s">
        <v>58</v>
      </c>
      <c r="J1269">
        <v>10</v>
      </c>
      <c r="K1269" t="str">
        <f t="shared" si="289"/>
        <v>6-10</v>
      </c>
      <c r="L1269">
        <v>3</v>
      </c>
      <c r="M1269" t="s">
        <v>85</v>
      </c>
      <c r="N1269" t="s">
        <v>60</v>
      </c>
      <c r="O1269">
        <v>1</v>
      </c>
      <c r="P1269">
        <v>4</v>
      </c>
      <c r="Q1269" t="s">
        <v>65</v>
      </c>
      <c r="R1269" t="s">
        <v>75</v>
      </c>
      <c r="S1269">
        <v>87</v>
      </c>
      <c r="T1269" t="str">
        <f t="shared" si="290"/>
        <v>76-100</v>
      </c>
      <c r="U1269">
        <v>3</v>
      </c>
      <c r="V1269" t="s">
        <v>63</v>
      </c>
      <c r="W1269">
        <v>2</v>
      </c>
      <c r="X1269" t="s">
        <v>64</v>
      </c>
      <c r="Y1269">
        <v>3</v>
      </c>
      <c r="Z1269" t="s">
        <v>63</v>
      </c>
      <c r="AA1269" t="s">
        <v>86</v>
      </c>
      <c r="AB1269" s="4">
        <v>4001</v>
      </c>
      <c r="AC1269" s="4" t="str">
        <f t="shared" si="291"/>
        <v>$4,000-$5,500</v>
      </c>
      <c r="AD1269">
        <v>12313</v>
      </c>
      <c r="AE1269" t="str">
        <f t="shared" si="292"/>
        <v>$8,001-$16,000</v>
      </c>
      <c r="AF1269">
        <v>1</v>
      </c>
      <c r="AG1269" t="str">
        <f t="shared" si="293"/>
        <v>0-1</v>
      </c>
      <c r="AH1269" t="s">
        <v>67</v>
      </c>
      <c r="AI1269" t="s">
        <v>56</v>
      </c>
      <c r="AJ1269">
        <v>14</v>
      </c>
      <c r="AK1269" t="str">
        <f t="shared" si="294"/>
        <v>13-15%</v>
      </c>
      <c r="AL1269">
        <v>3</v>
      </c>
      <c r="AM1269" t="s">
        <v>68</v>
      </c>
      <c r="AN1269">
        <v>3</v>
      </c>
      <c r="AO1269" t="s">
        <v>63</v>
      </c>
      <c r="AP1269">
        <v>80</v>
      </c>
      <c r="AQ1269">
        <v>1</v>
      </c>
      <c r="AR1269">
        <v>15</v>
      </c>
      <c r="AS1269" t="str">
        <f t="shared" si="295"/>
        <v>11-20</v>
      </c>
      <c r="AT1269">
        <v>3</v>
      </c>
      <c r="AU1269" t="str">
        <f t="shared" si="296"/>
        <v>3-4</v>
      </c>
      <c r="AV1269">
        <v>3</v>
      </c>
      <c r="AW1269" t="s">
        <v>79</v>
      </c>
      <c r="AX1269">
        <v>15</v>
      </c>
      <c r="AY1269" t="str">
        <f t="shared" si="285"/>
        <v>11-20</v>
      </c>
      <c r="AZ1269">
        <v>14</v>
      </c>
      <c r="BA1269" t="str">
        <f t="shared" si="297"/>
        <v>11-18</v>
      </c>
      <c r="BB1269">
        <v>0</v>
      </c>
      <c r="BC1269" t="str">
        <f t="shared" si="298"/>
        <v>0-1</v>
      </c>
      <c r="BD1269">
        <v>7</v>
      </c>
      <c r="BE1269" t="str">
        <f t="shared" si="299"/>
        <v>6-10</v>
      </c>
    </row>
    <row r="1270" spans="1:57" x14ac:dyDescent="0.3">
      <c r="A1270">
        <v>1775</v>
      </c>
      <c r="B1270">
        <v>53</v>
      </c>
      <c r="C1270" t="str">
        <f t="shared" si="286"/>
        <v>46-55</v>
      </c>
      <c r="D1270" t="s">
        <v>71</v>
      </c>
      <c r="E1270">
        <f t="shared" si="287"/>
        <v>0</v>
      </c>
      <c r="F1270" t="s">
        <v>89</v>
      </c>
      <c r="G1270">
        <v>661</v>
      </c>
      <c r="H1270" t="str">
        <f t="shared" si="288"/>
        <v>501-1000</v>
      </c>
      <c r="I1270" t="s">
        <v>73</v>
      </c>
      <c r="J1270">
        <v>1</v>
      </c>
      <c r="K1270" t="str">
        <f t="shared" si="289"/>
        <v>1-5</v>
      </c>
      <c r="L1270">
        <v>4</v>
      </c>
      <c r="M1270" t="s">
        <v>82</v>
      </c>
      <c r="N1270" t="s">
        <v>83</v>
      </c>
      <c r="O1270">
        <v>1</v>
      </c>
      <c r="P1270">
        <v>1</v>
      </c>
      <c r="Q1270" t="s">
        <v>69</v>
      </c>
      <c r="R1270" t="s">
        <v>62</v>
      </c>
      <c r="S1270">
        <v>60</v>
      </c>
      <c r="T1270" t="str">
        <f t="shared" si="290"/>
        <v>51-75</v>
      </c>
      <c r="U1270">
        <v>2</v>
      </c>
      <c r="V1270" t="s">
        <v>61</v>
      </c>
      <c r="W1270">
        <v>4</v>
      </c>
      <c r="X1270" t="s">
        <v>87</v>
      </c>
      <c r="Y1270">
        <v>3</v>
      </c>
      <c r="Z1270" t="s">
        <v>63</v>
      </c>
      <c r="AA1270" t="s">
        <v>77</v>
      </c>
      <c r="AB1270" s="4">
        <v>12965</v>
      </c>
      <c r="AC1270" s="4" t="str">
        <f t="shared" si="291"/>
        <v>$11,500-$13,000</v>
      </c>
      <c r="AD1270">
        <v>22308</v>
      </c>
      <c r="AE1270" t="str">
        <f t="shared" si="292"/>
        <v>$22,001-$26,999</v>
      </c>
      <c r="AF1270">
        <v>4</v>
      </c>
      <c r="AG1270" t="str">
        <f t="shared" si="293"/>
        <v>4-6</v>
      </c>
      <c r="AH1270" t="s">
        <v>67</v>
      </c>
      <c r="AI1270" t="s">
        <v>56</v>
      </c>
      <c r="AJ1270">
        <v>20</v>
      </c>
      <c r="AK1270" t="str">
        <f t="shared" si="294"/>
        <v>18-19%</v>
      </c>
      <c r="AL1270">
        <v>4</v>
      </c>
      <c r="AM1270" t="s">
        <v>78</v>
      </c>
      <c r="AN1270">
        <v>4</v>
      </c>
      <c r="AO1270" t="s">
        <v>65</v>
      </c>
      <c r="AP1270">
        <v>80</v>
      </c>
      <c r="AQ1270">
        <v>3</v>
      </c>
      <c r="AR1270">
        <v>27</v>
      </c>
      <c r="AS1270" t="str">
        <f t="shared" si="295"/>
        <v>21-40</v>
      </c>
      <c r="AT1270">
        <v>2</v>
      </c>
      <c r="AU1270" t="str">
        <f t="shared" si="296"/>
        <v>0-2</v>
      </c>
      <c r="AV1270">
        <v>2</v>
      </c>
      <c r="AW1270" t="s">
        <v>84</v>
      </c>
      <c r="AX1270">
        <v>3</v>
      </c>
      <c r="AY1270" t="str">
        <f t="shared" si="285"/>
        <v>2-5</v>
      </c>
      <c r="AZ1270">
        <v>2</v>
      </c>
      <c r="BA1270" t="str">
        <f t="shared" si="297"/>
        <v>2-5</v>
      </c>
      <c r="BB1270">
        <v>0</v>
      </c>
      <c r="BC1270" t="str">
        <f t="shared" si="298"/>
        <v>0-1</v>
      </c>
      <c r="BD1270">
        <v>2</v>
      </c>
      <c r="BE1270" t="str">
        <f t="shared" si="299"/>
        <v>2-5</v>
      </c>
    </row>
    <row r="1271" spans="1:57" x14ac:dyDescent="0.3">
      <c r="A1271">
        <v>1778</v>
      </c>
      <c r="B1271">
        <v>43</v>
      </c>
      <c r="C1271" t="str">
        <f t="shared" si="286"/>
        <v>36-45</v>
      </c>
      <c r="D1271" t="s">
        <v>71</v>
      </c>
      <c r="E1271">
        <f t="shared" si="287"/>
        <v>0</v>
      </c>
      <c r="F1271" t="s">
        <v>57</v>
      </c>
      <c r="G1271">
        <v>244</v>
      </c>
      <c r="H1271" t="str">
        <f t="shared" si="288"/>
        <v>102-500</v>
      </c>
      <c r="I1271" t="s">
        <v>97</v>
      </c>
      <c r="J1271">
        <v>2</v>
      </c>
      <c r="K1271" t="str">
        <f t="shared" si="289"/>
        <v>1-5</v>
      </c>
      <c r="L1271">
        <v>3</v>
      </c>
      <c r="M1271" t="s">
        <v>85</v>
      </c>
      <c r="N1271" t="s">
        <v>60</v>
      </c>
      <c r="O1271">
        <v>1</v>
      </c>
      <c r="P1271">
        <v>2</v>
      </c>
      <c r="Q1271" t="s">
        <v>61</v>
      </c>
      <c r="R1271" t="s">
        <v>75</v>
      </c>
      <c r="S1271">
        <v>97</v>
      </c>
      <c r="T1271" t="str">
        <f t="shared" si="290"/>
        <v>76-100</v>
      </c>
      <c r="U1271">
        <v>3</v>
      </c>
      <c r="V1271" t="s">
        <v>63</v>
      </c>
      <c r="W1271">
        <v>1</v>
      </c>
      <c r="X1271" t="s">
        <v>97</v>
      </c>
      <c r="Y1271">
        <v>4</v>
      </c>
      <c r="Z1271" t="s">
        <v>65</v>
      </c>
      <c r="AA1271" t="s">
        <v>66</v>
      </c>
      <c r="AB1271" s="4">
        <v>3539</v>
      </c>
      <c r="AC1271" s="4" t="str">
        <f t="shared" si="291"/>
        <v>$2,500-$4,000</v>
      </c>
      <c r="AD1271">
        <v>5033</v>
      </c>
      <c r="AE1271" t="str">
        <f t="shared" si="292"/>
        <v>$2,094-$8,000</v>
      </c>
      <c r="AF1271">
        <v>0</v>
      </c>
      <c r="AG1271" t="str">
        <f t="shared" si="293"/>
        <v>0-1</v>
      </c>
      <c r="AH1271" t="s">
        <v>67</v>
      </c>
      <c r="AI1271" t="s">
        <v>71</v>
      </c>
      <c r="AJ1271">
        <v>13</v>
      </c>
      <c r="AK1271" t="str">
        <f t="shared" si="294"/>
        <v>13-15%</v>
      </c>
      <c r="AL1271">
        <v>3</v>
      </c>
      <c r="AM1271" t="s">
        <v>68</v>
      </c>
      <c r="AN1271">
        <v>2</v>
      </c>
      <c r="AO1271" t="s">
        <v>61</v>
      </c>
      <c r="AP1271">
        <v>80</v>
      </c>
      <c r="AQ1271">
        <v>0</v>
      </c>
      <c r="AR1271">
        <v>10</v>
      </c>
      <c r="AS1271" t="str">
        <f t="shared" si="295"/>
        <v>6-10</v>
      </c>
      <c r="AT1271">
        <v>5</v>
      </c>
      <c r="AU1271" t="str">
        <f t="shared" si="296"/>
        <v>5-6</v>
      </c>
      <c r="AV1271">
        <v>3</v>
      </c>
      <c r="AW1271" t="s">
        <v>79</v>
      </c>
      <c r="AX1271">
        <v>9</v>
      </c>
      <c r="AY1271" t="str">
        <f t="shared" si="285"/>
        <v>6-10</v>
      </c>
      <c r="AZ1271">
        <v>7</v>
      </c>
      <c r="BA1271" t="str">
        <f t="shared" si="297"/>
        <v>6-10</v>
      </c>
      <c r="BB1271">
        <v>1</v>
      </c>
      <c r="BC1271" t="str">
        <f t="shared" si="298"/>
        <v>0-1</v>
      </c>
      <c r="BD1271">
        <v>8</v>
      </c>
      <c r="BE1271" t="str">
        <f t="shared" si="299"/>
        <v>6-10</v>
      </c>
    </row>
    <row r="1272" spans="1:57" x14ac:dyDescent="0.3">
      <c r="A1272">
        <v>1779</v>
      </c>
      <c r="B1272">
        <v>34</v>
      </c>
      <c r="C1272" t="str">
        <f t="shared" si="286"/>
        <v>26-35</v>
      </c>
      <c r="D1272" t="s">
        <v>71</v>
      </c>
      <c r="E1272">
        <f t="shared" si="287"/>
        <v>0</v>
      </c>
      <c r="F1272" t="s">
        <v>57</v>
      </c>
      <c r="G1272">
        <v>511</v>
      </c>
      <c r="H1272" t="str">
        <f t="shared" si="288"/>
        <v>501-1000</v>
      </c>
      <c r="I1272" t="s">
        <v>58</v>
      </c>
      <c r="J1272">
        <v>3</v>
      </c>
      <c r="K1272" t="str">
        <f t="shared" si="289"/>
        <v>1-5</v>
      </c>
      <c r="L1272">
        <v>2</v>
      </c>
      <c r="M1272" t="s">
        <v>59</v>
      </c>
      <c r="N1272" t="s">
        <v>60</v>
      </c>
      <c r="O1272">
        <v>1</v>
      </c>
      <c r="P1272">
        <v>4</v>
      </c>
      <c r="Q1272" t="s">
        <v>65</v>
      </c>
      <c r="R1272" t="s">
        <v>62</v>
      </c>
      <c r="S1272">
        <v>32</v>
      </c>
      <c r="T1272" t="str">
        <f t="shared" si="290"/>
        <v>30-50</v>
      </c>
      <c r="U1272">
        <v>1</v>
      </c>
      <c r="V1272" t="s">
        <v>69</v>
      </c>
      <c r="W1272">
        <v>2</v>
      </c>
      <c r="X1272" t="s">
        <v>64</v>
      </c>
      <c r="Y1272">
        <v>4</v>
      </c>
      <c r="Z1272" t="s">
        <v>65</v>
      </c>
      <c r="AA1272" t="s">
        <v>66</v>
      </c>
      <c r="AB1272" s="4">
        <v>6029</v>
      </c>
      <c r="AC1272" s="4" t="str">
        <f t="shared" si="291"/>
        <v>$5,500-$7,000</v>
      </c>
      <c r="AD1272">
        <v>25353</v>
      </c>
      <c r="AE1272" t="str">
        <f t="shared" si="292"/>
        <v>$22,001-$26,999</v>
      </c>
      <c r="AF1272">
        <v>5</v>
      </c>
      <c r="AG1272" t="str">
        <f t="shared" si="293"/>
        <v>4-6</v>
      </c>
      <c r="AH1272" t="s">
        <v>67</v>
      </c>
      <c r="AI1272" t="s">
        <v>71</v>
      </c>
      <c r="AJ1272">
        <v>12</v>
      </c>
      <c r="AK1272" t="str">
        <f t="shared" si="294"/>
        <v>11-12%</v>
      </c>
      <c r="AL1272">
        <v>3</v>
      </c>
      <c r="AM1272" t="s">
        <v>68</v>
      </c>
      <c r="AN1272">
        <v>1</v>
      </c>
      <c r="AO1272" t="s">
        <v>69</v>
      </c>
      <c r="AP1272">
        <v>80</v>
      </c>
      <c r="AQ1272">
        <v>0</v>
      </c>
      <c r="AR1272">
        <v>6</v>
      </c>
      <c r="AS1272" t="str">
        <f t="shared" si="295"/>
        <v>6-10</v>
      </c>
      <c r="AT1272">
        <v>3</v>
      </c>
      <c r="AU1272" t="str">
        <f t="shared" si="296"/>
        <v>3-4</v>
      </c>
      <c r="AV1272">
        <v>3</v>
      </c>
      <c r="AW1272" t="s">
        <v>79</v>
      </c>
      <c r="AX1272">
        <v>2</v>
      </c>
      <c r="AY1272" t="str">
        <f t="shared" si="285"/>
        <v>2-5</v>
      </c>
      <c r="AZ1272">
        <v>2</v>
      </c>
      <c r="BA1272" t="str">
        <f t="shared" si="297"/>
        <v>2-5</v>
      </c>
      <c r="BB1272">
        <v>2</v>
      </c>
      <c r="BC1272" t="str">
        <f t="shared" si="298"/>
        <v>2-5</v>
      </c>
      <c r="BD1272">
        <v>2</v>
      </c>
      <c r="BE1272" t="str">
        <f t="shared" si="299"/>
        <v>2-5</v>
      </c>
    </row>
    <row r="1273" spans="1:57" x14ac:dyDescent="0.3">
      <c r="A1273">
        <v>1780</v>
      </c>
      <c r="B1273">
        <v>21</v>
      </c>
      <c r="C1273" t="str">
        <f t="shared" si="286"/>
        <v>18-25</v>
      </c>
      <c r="D1273" t="s">
        <v>56</v>
      </c>
      <c r="E1273">
        <f t="shared" si="287"/>
        <v>1</v>
      </c>
      <c r="F1273" t="s">
        <v>57</v>
      </c>
      <c r="G1273">
        <v>337</v>
      </c>
      <c r="H1273" t="str">
        <f t="shared" si="288"/>
        <v>102-500</v>
      </c>
      <c r="I1273" t="s">
        <v>58</v>
      </c>
      <c r="J1273">
        <v>7</v>
      </c>
      <c r="K1273" t="str">
        <f t="shared" si="289"/>
        <v>6-10</v>
      </c>
      <c r="L1273">
        <v>1</v>
      </c>
      <c r="M1273" t="s">
        <v>74</v>
      </c>
      <c r="N1273" t="s">
        <v>93</v>
      </c>
      <c r="O1273">
        <v>1</v>
      </c>
      <c r="P1273">
        <v>2</v>
      </c>
      <c r="Q1273" t="s">
        <v>61</v>
      </c>
      <c r="R1273" t="s">
        <v>75</v>
      </c>
      <c r="S1273">
        <v>31</v>
      </c>
      <c r="T1273" t="str">
        <f t="shared" si="290"/>
        <v>30-50</v>
      </c>
      <c r="U1273">
        <v>3</v>
      </c>
      <c r="V1273" t="s">
        <v>63</v>
      </c>
      <c r="W1273">
        <v>1</v>
      </c>
      <c r="X1273" t="s">
        <v>91</v>
      </c>
      <c r="Y1273">
        <v>2</v>
      </c>
      <c r="Z1273" t="s">
        <v>61</v>
      </c>
      <c r="AA1273" t="s">
        <v>66</v>
      </c>
      <c r="AB1273" s="4">
        <v>2679</v>
      </c>
      <c r="AC1273" s="4" t="str">
        <f t="shared" si="291"/>
        <v>$2,500-$4,000</v>
      </c>
      <c r="AD1273">
        <v>4567</v>
      </c>
      <c r="AE1273" t="str">
        <f t="shared" si="292"/>
        <v>$2,094-$8,000</v>
      </c>
      <c r="AF1273">
        <v>1</v>
      </c>
      <c r="AG1273" t="str">
        <f t="shared" si="293"/>
        <v>0-1</v>
      </c>
      <c r="AH1273" t="s">
        <v>67</v>
      </c>
      <c r="AI1273" t="s">
        <v>71</v>
      </c>
      <c r="AJ1273">
        <v>13</v>
      </c>
      <c r="AK1273" t="str">
        <f t="shared" si="294"/>
        <v>13-15%</v>
      </c>
      <c r="AL1273">
        <v>3</v>
      </c>
      <c r="AM1273" t="s">
        <v>68</v>
      </c>
      <c r="AN1273">
        <v>2</v>
      </c>
      <c r="AO1273" t="s">
        <v>61</v>
      </c>
      <c r="AP1273">
        <v>80</v>
      </c>
      <c r="AQ1273">
        <v>0</v>
      </c>
      <c r="AR1273">
        <v>1</v>
      </c>
      <c r="AS1273" t="str">
        <f t="shared" si="295"/>
        <v>0-2</v>
      </c>
      <c r="AT1273">
        <v>3</v>
      </c>
      <c r="AU1273" t="str">
        <f t="shared" si="296"/>
        <v>3-4</v>
      </c>
      <c r="AV1273">
        <v>3</v>
      </c>
      <c r="AW1273" t="s">
        <v>79</v>
      </c>
      <c r="AX1273">
        <v>1</v>
      </c>
      <c r="AY1273" t="str">
        <f t="shared" si="285"/>
        <v>0-1</v>
      </c>
      <c r="AZ1273">
        <v>0</v>
      </c>
      <c r="BA1273" t="str">
        <f t="shared" si="297"/>
        <v>0-1</v>
      </c>
      <c r="BB1273">
        <v>1</v>
      </c>
      <c r="BC1273" t="str">
        <f t="shared" si="298"/>
        <v>0-1</v>
      </c>
      <c r="BD1273">
        <v>0</v>
      </c>
      <c r="BE1273" t="str">
        <f t="shared" si="299"/>
        <v>0-1</v>
      </c>
    </row>
    <row r="1274" spans="1:57" x14ac:dyDescent="0.3">
      <c r="A1274">
        <v>1782</v>
      </c>
      <c r="B1274">
        <v>38</v>
      </c>
      <c r="C1274" t="str">
        <f t="shared" si="286"/>
        <v>36-45</v>
      </c>
      <c r="D1274" t="s">
        <v>71</v>
      </c>
      <c r="E1274">
        <f t="shared" si="287"/>
        <v>0</v>
      </c>
      <c r="F1274" t="s">
        <v>57</v>
      </c>
      <c r="G1274">
        <v>1153</v>
      </c>
      <c r="H1274" t="str">
        <f t="shared" si="288"/>
        <v>1001-1499</v>
      </c>
      <c r="I1274" t="s">
        <v>73</v>
      </c>
      <c r="J1274">
        <v>6</v>
      </c>
      <c r="K1274" t="str">
        <f t="shared" si="289"/>
        <v>6-10</v>
      </c>
      <c r="L1274">
        <v>2</v>
      </c>
      <c r="M1274" t="s">
        <v>59</v>
      </c>
      <c r="N1274" t="s">
        <v>80</v>
      </c>
      <c r="O1274">
        <v>1</v>
      </c>
      <c r="P1274">
        <v>4</v>
      </c>
      <c r="Q1274" t="s">
        <v>65</v>
      </c>
      <c r="R1274" t="s">
        <v>62</v>
      </c>
      <c r="S1274">
        <v>40</v>
      </c>
      <c r="T1274" t="str">
        <f t="shared" si="290"/>
        <v>30-50</v>
      </c>
      <c r="U1274">
        <v>2</v>
      </c>
      <c r="V1274" t="s">
        <v>61</v>
      </c>
      <c r="W1274">
        <v>1</v>
      </c>
      <c r="X1274" t="s">
        <v>81</v>
      </c>
      <c r="Y1274">
        <v>3</v>
      </c>
      <c r="Z1274" t="s">
        <v>63</v>
      </c>
      <c r="AA1274" t="s">
        <v>77</v>
      </c>
      <c r="AB1274" s="4">
        <v>3702</v>
      </c>
      <c r="AC1274" s="4" t="str">
        <f t="shared" si="291"/>
        <v>$2,500-$4,000</v>
      </c>
      <c r="AD1274">
        <v>16376</v>
      </c>
      <c r="AE1274" t="str">
        <f t="shared" si="292"/>
        <v>$16,001-$22,000</v>
      </c>
      <c r="AF1274">
        <v>1</v>
      </c>
      <c r="AG1274" t="str">
        <f t="shared" si="293"/>
        <v>0-1</v>
      </c>
      <c r="AH1274" t="s">
        <v>67</v>
      </c>
      <c r="AI1274" t="s">
        <v>71</v>
      </c>
      <c r="AJ1274">
        <v>11</v>
      </c>
      <c r="AK1274" t="str">
        <f t="shared" si="294"/>
        <v>11-12%</v>
      </c>
      <c r="AL1274">
        <v>3</v>
      </c>
      <c r="AM1274" t="s">
        <v>68</v>
      </c>
      <c r="AN1274">
        <v>2</v>
      </c>
      <c r="AO1274" t="s">
        <v>61</v>
      </c>
      <c r="AP1274">
        <v>80</v>
      </c>
      <c r="AQ1274">
        <v>1</v>
      </c>
      <c r="AR1274">
        <v>5</v>
      </c>
      <c r="AS1274" t="str">
        <f t="shared" si="295"/>
        <v>3-5</v>
      </c>
      <c r="AT1274">
        <v>3</v>
      </c>
      <c r="AU1274" t="str">
        <f t="shared" si="296"/>
        <v>3-4</v>
      </c>
      <c r="AV1274">
        <v>3</v>
      </c>
      <c r="AW1274" t="s">
        <v>79</v>
      </c>
      <c r="AX1274">
        <v>5</v>
      </c>
      <c r="AY1274" t="str">
        <f t="shared" si="285"/>
        <v>2-5</v>
      </c>
      <c r="AZ1274">
        <v>4</v>
      </c>
      <c r="BA1274" t="str">
        <f t="shared" si="297"/>
        <v>2-5</v>
      </c>
      <c r="BB1274">
        <v>0</v>
      </c>
      <c r="BC1274" t="str">
        <f t="shared" si="298"/>
        <v>0-1</v>
      </c>
      <c r="BD1274">
        <v>4</v>
      </c>
      <c r="BE1274" t="str">
        <f t="shared" si="299"/>
        <v>2-5</v>
      </c>
    </row>
    <row r="1275" spans="1:57" x14ac:dyDescent="0.3">
      <c r="A1275">
        <v>1783</v>
      </c>
      <c r="B1275">
        <v>22</v>
      </c>
      <c r="C1275" t="str">
        <f t="shared" si="286"/>
        <v>18-25</v>
      </c>
      <c r="D1275" t="s">
        <v>56</v>
      </c>
      <c r="E1275">
        <f t="shared" si="287"/>
        <v>1</v>
      </c>
      <c r="F1275" t="s">
        <v>57</v>
      </c>
      <c r="G1275">
        <v>1294</v>
      </c>
      <c r="H1275" t="str">
        <f t="shared" si="288"/>
        <v>1001-1499</v>
      </c>
      <c r="I1275" t="s">
        <v>73</v>
      </c>
      <c r="J1275">
        <v>8</v>
      </c>
      <c r="K1275" t="str">
        <f t="shared" si="289"/>
        <v>6-10</v>
      </c>
      <c r="L1275">
        <v>1</v>
      </c>
      <c r="M1275" t="s">
        <v>74</v>
      </c>
      <c r="N1275" t="s">
        <v>83</v>
      </c>
      <c r="O1275">
        <v>1</v>
      </c>
      <c r="P1275">
        <v>3</v>
      </c>
      <c r="Q1275" t="s">
        <v>63</v>
      </c>
      <c r="R1275" t="s">
        <v>62</v>
      </c>
      <c r="S1275">
        <v>79</v>
      </c>
      <c r="T1275" t="str">
        <f t="shared" si="290"/>
        <v>76-100</v>
      </c>
      <c r="U1275">
        <v>3</v>
      </c>
      <c r="V1275" t="s">
        <v>63</v>
      </c>
      <c r="W1275">
        <v>1</v>
      </c>
      <c r="X1275" t="s">
        <v>81</v>
      </c>
      <c r="Y1275">
        <v>1</v>
      </c>
      <c r="Z1275" t="s">
        <v>69</v>
      </c>
      <c r="AA1275" t="s">
        <v>77</v>
      </c>
      <c r="AB1275" s="4">
        <v>2398</v>
      </c>
      <c r="AC1275" s="4" t="str">
        <f t="shared" si="291"/>
        <v>$1,000-$2,500</v>
      </c>
      <c r="AD1275">
        <v>15999</v>
      </c>
      <c r="AE1275" t="str">
        <f t="shared" si="292"/>
        <v>$8,001-$16,000</v>
      </c>
      <c r="AF1275">
        <v>1</v>
      </c>
      <c r="AG1275" t="str">
        <f t="shared" si="293"/>
        <v>0-1</v>
      </c>
      <c r="AH1275" t="s">
        <v>67</v>
      </c>
      <c r="AI1275" t="s">
        <v>56</v>
      </c>
      <c r="AJ1275">
        <v>17</v>
      </c>
      <c r="AK1275" t="str">
        <f t="shared" si="294"/>
        <v>16-17%</v>
      </c>
      <c r="AL1275">
        <v>3</v>
      </c>
      <c r="AM1275" t="s">
        <v>68</v>
      </c>
      <c r="AN1275">
        <v>3</v>
      </c>
      <c r="AO1275" t="s">
        <v>63</v>
      </c>
      <c r="AP1275">
        <v>80</v>
      </c>
      <c r="AQ1275">
        <v>0</v>
      </c>
      <c r="AR1275">
        <v>1</v>
      </c>
      <c r="AS1275" t="str">
        <f t="shared" si="295"/>
        <v>0-2</v>
      </c>
      <c r="AT1275">
        <v>6</v>
      </c>
      <c r="AU1275" t="str">
        <f t="shared" si="296"/>
        <v>5-6</v>
      </c>
      <c r="AV1275">
        <v>3</v>
      </c>
      <c r="AW1275" t="s">
        <v>79</v>
      </c>
      <c r="AX1275">
        <v>1</v>
      </c>
      <c r="AY1275" t="str">
        <f t="shared" si="285"/>
        <v>0-1</v>
      </c>
      <c r="AZ1275">
        <v>0</v>
      </c>
      <c r="BA1275" t="str">
        <f t="shared" si="297"/>
        <v>0-1</v>
      </c>
      <c r="BB1275">
        <v>0</v>
      </c>
      <c r="BC1275" t="str">
        <f t="shared" si="298"/>
        <v>0-1</v>
      </c>
      <c r="BD1275">
        <v>0</v>
      </c>
      <c r="BE1275" t="str">
        <f t="shared" si="299"/>
        <v>0-1</v>
      </c>
    </row>
    <row r="1276" spans="1:57" x14ac:dyDescent="0.3">
      <c r="A1276">
        <v>1784</v>
      </c>
      <c r="B1276">
        <v>31</v>
      </c>
      <c r="C1276" t="str">
        <f t="shared" si="286"/>
        <v>26-35</v>
      </c>
      <c r="D1276" t="s">
        <v>71</v>
      </c>
      <c r="E1276">
        <f t="shared" si="287"/>
        <v>0</v>
      </c>
      <c r="F1276" t="s">
        <v>57</v>
      </c>
      <c r="G1276">
        <v>196</v>
      </c>
      <c r="H1276" t="str">
        <f t="shared" si="288"/>
        <v>102-500</v>
      </c>
      <c r="I1276" t="s">
        <v>58</v>
      </c>
      <c r="J1276">
        <v>29</v>
      </c>
      <c r="K1276" t="str">
        <f t="shared" si="289"/>
        <v>21-29</v>
      </c>
      <c r="L1276">
        <v>4</v>
      </c>
      <c r="M1276" t="s">
        <v>82</v>
      </c>
      <c r="N1276" t="s">
        <v>93</v>
      </c>
      <c r="O1276">
        <v>1</v>
      </c>
      <c r="P1276">
        <v>1</v>
      </c>
      <c r="Q1276" t="s">
        <v>69</v>
      </c>
      <c r="R1276" t="s">
        <v>62</v>
      </c>
      <c r="S1276">
        <v>91</v>
      </c>
      <c r="T1276" t="str">
        <f t="shared" si="290"/>
        <v>76-100</v>
      </c>
      <c r="U1276">
        <v>2</v>
      </c>
      <c r="V1276" t="s">
        <v>61</v>
      </c>
      <c r="W1276">
        <v>2</v>
      </c>
      <c r="X1276" t="s">
        <v>64</v>
      </c>
      <c r="Y1276">
        <v>4</v>
      </c>
      <c r="Z1276" t="s">
        <v>65</v>
      </c>
      <c r="AA1276" t="s">
        <v>77</v>
      </c>
      <c r="AB1276" s="4">
        <v>5468</v>
      </c>
      <c r="AC1276" s="4" t="str">
        <f t="shared" si="291"/>
        <v>$4,000-$5,500</v>
      </c>
      <c r="AD1276">
        <v>13402</v>
      </c>
      <c r="AE1276" t="str">
        <f t="shared" si="292"/>
        <v>$8,001-$16,000</v>
      </c>
      <c r="AF1276">
        <v>1</v>
      </c>
      <c r="AG1276" t="str">
        <f t="shared" si="293"/>
        <v>0-1</v>
      </c>
      <c r="AH1276" t="s">
        <v>67</v>
      </c>
      <c r="AI1276" t="s">
        <v>71</v>
      </c>
      <c r="AJ1276">
        <v>14</v>
      </c>
      <c r="AK1276" t="str">
        <f t="shared" si="294"/>
        <v>13-15%</v>
      </c>
      <c r="AL1276">
        <v>3</v>
      </c>
      <c r="AM1276" t="s">
        <v>68</v>
      </c>
      <c r="AN1276">
        <v>1</v>
      </c>
      <c r="AO1276" t="s">
        <v>69</v>
      </c>
      <c r="AP1276">
        <v>80</v>
      </c>
      <c r="AQ1276">
        <v>2</v>
      </c>
      <c r="AR1276">
        <v>13</v>
      </c>
      <c r="AS1276" t="str">
        <f t="shared" si="295"/>
        <v>11-20</v>
      </c>
      <c r="AT1276">
        <v>3</v>
      </c>
      <c r="AU1276" t="str">
        <f t="shared" si="296"/>
        <v>3-4</v>
      </c>
      <c r="AV1276">
        <v>3</v>
      </c>
      <c r="AW1276" t="s">
        <v>79</v>
      </c>
      <c r="AX1276">
        <v>12</v>
      </c>
      <c r="AY1276" t="str">
        <f t="shared" si="285"/>
        <v>11-20</v>
      </c>
      <c r="AZ1276">
        <v>7</v>
      </c>
      <c r="BA1276" t="str">
        <f t="shared" si="297"/>
        <v>6-10</v>
      </c>
      <c r="BB1276">
        <v>5</v>
      </c>
      <c r="BC1276" t="str">
        <f t="shared" si="298"/>
        <v>2-5</v>
      </c>
      <c r="BD1276">
        <v>7</v>
      </c>
      <c r="BE1276" t="str">
        <f t="shared" si="299"/>
        <v>6-10</v>
      </c>
    </row>
    <row r="1277" spans="1:57" x14ac:dyDescent="0.3">
      <c r="A1277">
        <v>1786</v>
      </c>
      <c r="B1277">
        <v>51</v>
      </c>
      <c r="C1277" t="str">
        <f t="shared" si="286"/>
        <v>46-55</v>
      </c>
      <c r="D1277" t="s">
        <v>71</v>
      </c>
      <c r="E1277">
        <f t="shared" si="287"/>
        <v>0</v>
      </c>
      <c r="F1277" t="s">
        <v>57</v>
      </c>
      <c r="G1277">
        <v>942</v>
      </c>
      <c r="H1277" t="str">
        <f t="shared" si="288"/>
        <v>501-1000</v>
      </c>
      <c r="I1277" t="s">
        <v>73</v>
      </c>
      <c r="J1277">
        <v>3</v>
      </c>
      <c r="K1277" t="str">
        <f t="shared" si="289"/>
        <v>1-5</v>
      </c>
      <c r="L1277">
        <v>3</v>
      </c>
      <c r="M1277" t="s">
        <v>85</v>
      </c>
      <c r="N1277" t="s">
        <v>95</v>
      </c>
      <c r="O1277">
        <v>1</v>
      </c>
      <c r="P1277">
        <v>1</v>
      </c>
      <c r="Q1277" t="s">
        <v>69</v>
      </c>
      <c r="R1277" t="s">
        <v>62</v>
      </c>
      <c r="S1277">
        <v>53</v>
      </c>
      <c r="T1277" t="str">
        <f t="shared" si="290"/>
        <v>51-75</v>
      </c>
      <c r="U1277">
        <v>3</v>
      </c>
      <c r="V1277" t="s">
        <v>63</v>
      </c>
      <c r="W1277">
        <v>3</v>
      </c>
      <c r="X1277" t="s">
        <v>90</v>
      </c>
      <c r="Y1277">
        <v>3</v>
      </c>
      <c r="Z1277" t="s">
        <v>63</v>
      </c>
      <c r="AA1277" t="s">
        <v>77</v>
      </c>
      <c r="AB1277" s="4">
        <v>13116</v>
      </c>
      <c r="AC1277" s="4" t="str">
        <f t="shared" si="291"/>
        <v>$13,000-$14,500</v>
      </c>
      <c r="AD1277">
        <v>22984</v>
      </c>
      <c r="AE1277" t="str">
        <f t="shared" si="292"/>
        <v>$22,001-$26,999</v>
      </c>
      <c r="AF1277">
        <v>2</v>
      </c>
      <c r="AG1277" t="str">
        <f t="shared" si="293"/>
        <v>2-3</v>
      </c>
      <c r="AH1277" t="s">
        <v>67</v>
      </c>
      <c r="AI1277" t="s">
        <v>71</v>
      </c>
      <c r="AJ1277">
        <v>11</v>
      </c>
      <c r="AK1277" t="str">
        <f t="shared" si="294"/>
        <v>11-12%</v>
      </c>
      <c r="AL1277">
        <v>3</v>
      </c>
      <c r="AM1277" t="s">
        <v>68</v>
      </c>
      <c r="AN1277">
        <v>4</v>
      </c>
      <c r="AO1277" t="s">
        <v>65</v>
      </c>
      <c r="AP1277">
        <v>80</v>
      </c>
      <c r="AQ1277">
        <v>0</v>
      </c>
      <c r="AR1277">
        <v>15</v>
      </c>
      <c r="AS1277" t="str">
        <f t="shared" si="295"/>
        <v>11-20</v>
      </c>
      <c r="AT1277">
        <v>2</v>
      </c>
      <c r="AU1277" t="str">
        <f t="shared" si="296"/>
        <v>0-2</v>
      </c>
      <c r="AV1277">
        <v>3</v>
      </c>
      <c r="AW1277" t="s">
        <v>79</v>
      </c>
      <c r="AX1277">
        <v>2</v>
      </c>
      <c r="AY1277" t="str">
        <f t="shared" si="285"/>
        <v>2-5</v>
      </c>
      <c r="AZ1277">
        <v>2</v>
      </c>
      <c r="BA1277" t="str">
        <f t="shared" si="297"/>
        <v>2-5</v>
      </c>
      <c r="BB1277">
        <v>2</v>
      </c>
      <c r="BC1277" t="str">
        <f t="shared" si="298"/>
        <v>2-5</v>
      </c>
      <c r="BD1277">
        <v>2</v>
      </c>
      <c r="BE1277" t="str">
        <f t="shared" si="299"/>
        <v>2-5</v>
      </c>
    </row>
    <row r="1278" spans="1:57" x14ac:dyDescent="0.3">
      <c r="A1278">
        <v>1787</v>
      </c>
      <c r="B1278">
        <v>37</v>
      </c>
      <c r="C1278" t="str">
        <f t="shared" si="286"/>
        <v>36-45</v>
      </c>
      <c r="D1278" t="s">
        <v>71</v>
      </c>
      <c r="E1278">
        <f t="shared" si="287"/>
        <v>0</v>
      </c>
      <c r="F1278" t="s">
        <v>57</v>
      </c>
      <c r="G1278">
        <v>589</v>
      </c>
      <c r="H1278" t="str">
        <f t="shared" si="288"/>
        <v>501-1000</v>
      </c>
      <c r="I1278" t="s">
        <v>58</v>
      </c>
      <c r="J1278">
        <v>9</v>
      </c>
      <c r="K1278" t="str">
        <f t="shared" si="289"/>
        <v>6-10</v>
      </c>
      <c r="L1278">
        <v>2</v>
      </c>
      <c r="M1278" t="s">
        <v>59</v>
      </c>
      <c r="N1278" t="s">
        <v>93</v>
      </c>
      <c r="O1278">
        <v>1</v>
      </c>
      <c r="P1278">
        <v>2</v>
      </c>
      <c r="Q1278" t="s">
        <v>61</v>
      </c>
      <c r="R1278" t="s">
        <v>75</v>
      </c>
      <c r="S1278">
        <v>46</v>
      </c>
      <c r="T1278" t="str">
        <f t="shared" si="290"/>
        <v>30-50</v>
      </c>
      <c r="U1278">
        <v>2</v>
      </c>
      <c r="V1278" t="s">
        <v>61</v>
      </c>
      <c r="W1278">
        <v>2</v>
      </c>
      <c r="X1278" t="s">
        <v>64</v>
      </c>
      <c r="Y1278">
        <v>2</v>
      </c>
      <c r="Z1278" t="s">
        <v>61</v>
      </c>
      <c r="AA1278" t="s">
        <v>77</v>
      </c>
      <c r="AB1278" s="4">
        <v>4189</v>
      </c>
      <c r="AC1278" s="4" t="str">
        <f t="shared" si="291"/>
        <v>$4,000-$5,500</v>
      </c>
      <c r="AD1278">
        <v>8800</v>
      </c>
      <c r="AE1278" t="str">
        <f t="shared" si="292"/>
        <v>$8,001-$16,000</v>
      </c>
      <c r="AF1278">
        <v>1</v>
      </c>
      <c r="AG1278" t="str">
        <f t="shared" si="293"/>
        <v>0-1</v>
      </c>
      <c r="AH1278" t="s">
        <v>67</v>
      </c>
      <c r="AI1278" t="s">
        <v>71</v>
      </c>
      <c r="AJ1278">
        <v>14</v>
      </c>
      <c r="AK1278" t="str">
        <f t="shared" si="294"/>
        <v>13-15%</v>
      </c>
      <c r="AL1278">
        <v>3</v>
      </c>
      <c r="AM1278" t="s">
        <v>68</v>
      </c>
      <c r="AN1278">
        <v>1</v>
      </c>
      <c r="AO1278" t="s">
        <v>69</v>
      </c>
      <c r="AP1278">
        <v>80</v>
      </c>
      <c r="AQ1278">
        <v>2</v>
      </c>
      <c r="AR1278">
        <v>5</v>
      </c>
      <c r="AS1278" t="str">
        <f t="shared" si="295"/>
        <v>3-5</v>
      </c>
      <c r="AT1278">
        <v>2</v>
      </c>
      <c r="AU1278" t="str">
        <f t="shared" si="296"/>
        <v>0-2</v>
      </c>
      <c r="AV1278">
        <v>3</v>
      </c>
      <c r="AW1278" t="s">
        <v>79</v>
      </c>
      <c r="AX1278">
        <v>5</v>
      </c>
      <c r="AY1278" t="str">
        <f t="shared" si="285"/>
        <v>2-5</v>
      </c>
      <c r="AZ1278">
        <v>2</v>
      </c>
      <c r="BA1278" t="str">
        <f t="shared" si="297"/>
        <v>2-5</v>
      </c>
      <c r="BB1278">
        <v>0</v>
      </c>
      <c r="BC1278" t="str">
        <f t="shared" si="298"/>
        <v>0-1</v>
      </c>
      <c r="BD1278">
        <v>3</v>
      </c>
      <c r="BE1278" t="str">
        <f t="shared" si="299"/>
        <v>2-5</v>
      </c>
    </row>
    <row r="1279" spans="1:57" x14ac:dyDescent="0.3">
      <c r="A1279">
        <v>1789</v>
      </c>
      <c r="B1279">
        <v>46</v>
      </c>
      <c r="C1279" t="str">
        <f t="shared" si="286"/>
        <v>46-55</v>
      </c>
      <c r="D1279" t="s">
        <v>71</v>
      </c>
      <c r="E1279">
        <f t="shared" si="287"/>
        <v>0</v>
      </c>
      <c r="F1279" t="s">
        <v>57</v>
      </c>
      <c r="G1279">
        <v>734</v>
      </c>
      <c r="H1279" t="str">
        <f t="shared" si="288"/>
        <v>501-1000</v>
      </c>
      <c r="I1279" t="s">
        <v>73</v>
      </c>
      <c r="J1279">
        <v>2</v>
      </c>
      <c r="K1279" t="str">
        <f t="shared" si="289"/>
        <v>1-5</v>
      </c>
      <c r="L1279">
        <v>4</v>
      </c>
      <c r="M1279" t="s">
        <v>82</v>
      </c>
      <c r="N1279" t="s">
        <v>83</v>
      </c>
      <c r="O1279">
        <v>1</v>
      </c>
      <c r="P1279">
        <v>3</v>
      </c>
      <c r="Q1279" t="s">
        <v>63</v>
      </c>
      <c r="R1279" t="s">
        <v>75</v>
      </c>
      <c r="S1279">
        <v>46</v>
      </c>
      <c r="T1279" t="str">
        <f t="shared" si="290"/>
        <v>30-50</v>
      </c>
      <c r="U1279">
        <v>3</v>
      </c>
      <c r="V1279" t="s">
        <v>63</v>
      </c>
      <c r="W1279">
        <v>5</v>
      </c>
      <c r="X1279" t="s">
        <v>92</v>
      </c>
      <c r="Y1279">
        <v>4</v>
      </c>
      <c r="Z1279" t="s">
        <v>65</v>
      </c>
      <c r="AA1279" t="s">
        <v>86</v>
      </c>
      <c r="AB1279" s="4">
        <v>19328</v>
      </c>
      <c r="AC1279" s="4" t="str">
        <f t="shared" si="291"/>
        <v>$19,000-$20,500</v>
      </c>
      <c r="AD1279">
        <v>14218</v>
      </c>
      <c r="AE1279" t="str">
        <f t="shared" si="292"/>
        <v>$8,001-$16,000</v>
      </c>
      <c r="AF1279">
        <v>7</v>
      </c>
      <c r="AG1279" t="str">
        <f t="shared" si="293"/>
        <v>7-9</v>
      </c>
      <c r="AH1279" t="s">
        <v>67</v>
      </c>
      <c r="AI1279" t="s">
        <v>56</v>
      </c>
      <c r="AJ1279">
        <v>17</v>
      </c>
      <c r="AK1279" t="str">
        <f t="shared" si="294"/>
        <v>16-17%</v>
      </c>
      <c r="AL1279">
        <v>3</v>
      </c>
      <c r="AM1279" t="s">
        <v>68</v>
      </c>
      <c r="AN1279">
        <v>3</v>
      </c>
      <c r="AO1279" t="s">
        <v>63</v>
      </c>
      <c r="AP1279">
        <v>80</v>
      </c>
      <c r="AQ1279">
        <v>1</v>
      </c>
      <c r="AR1279">
        <v>24</v>
      </c>
      <c r="AS1279" t="str">
        <f t="shared" si="295"/>
        <v>21-40</v>
      </c>
      <c r="AT1279">
        <v>3</v>
      </c>
      <c r="AU1279" t="str">
        <f t="shared" si="296"/>
        <v>3-4</v>
      </c>
      <c r="AV1279">
        <v>3</v>
      </c>
      <c r="AW1279" t="s">
        <v>79</v>
      </c>
      <c r="AX1279">
        <v>2</v>
      </c>
      <c r="AY1279" t="str">
        <f t="shared" si="285"/>
        <v>2-5</v>
      </c>
      <c r="AZ1279">
        <v>1</v>
      </c>
      <c r="BA1279" t="str">
        <f t="shared" si="297"/>
        <v>0-1</v>
      </c>
      <c r="BB1279">
        <v>2</v>
      </c>
      <c r="BC1279" t="str">
        <f t="shared" si="298"/>
        <v>2-5</v>
      </c>
      <c r="BD1279">
        <v>2</v>
      </c>
      <c r="BE1279" t="str">
        <f t="shared" si="299"/>
        <v>2-5</v>
      </c>
    </row>
    <row r="1280" spans="1:57" x14ac:dyDescent="0.3">
      <c r="A1280">
        <v>1790</v>
      </c>
      <c r="B1280">
        <v>36</v>
      </c>
      <c r="C1280" t="str">
        <f t="shared" si="286"/>
        <v>36-45</v>
      </c>
      <c r="D1280" t="s">
        <v>71</v>
      </c>
      <c r="E1280">
        <f t="shared" si="287"/>
        <v>0</v>
      </c>
      <c r="F1280" t="s">
        <v>57</v>
      </c>
      <c r="G1280">
        <v>1383</v>
      </c>
      <c r="H1280" t="str">
        <f t="shared" si="288"/>
        <v>1001-1499</v>
      </c>
      <c r="I1280" t="s">
        <v>73</v>
      </c>
      <c r="J1280">
        <v>10</v>
      </c>
      <c r="K1280" t="str">
        <f t="shared" si="289"/>
        <v>6-10</v>
      </c>
      <c r="L1280">
        <v>3</v>
      </c>
      <c r="M1280" t="s">
        <v>85</v>
      </c>
      <c r="N1280" t="s">
        <v>60</v>
      </c>
      <c r="O1280">
        <v>1</v>
      </c>
      <c r="P1280">
        <v>4</v>
      </c>
      <c r="Q1280" t="s">
        <v>65</v>
      </c>
      <c r="R1280" t="s">
        <v>75</v>
      </c>
      <c r="S1280">
        <v>90</v>
      </c>
      <c r="T1280" t="str">
        <f t="shared" si="290"/>
        <v>76-100</v>
      </c>
      <c r="U1280">
        <v>3</v>
      </c>
      <c r="V1280" t="s">
        <v>63</v>
      </c>
      <c r="W1280">
        <v>3</v>
      </c>
      <c r="X1280" t="s">
        <v>88</v>
      </c>
      <c r="Y1280">
        <v>1</v>
      </c>
      <c r="Z1280" t="s">
        <v>69</v>
      </c>
      <c r="AA1280" t="s">
        <v>77</v>
      </c>
      <c r="AB1280" s="4">
        <v>8321</v>
      </c>
      <c r="AC1280" s="4" t="str">
        <f t="shared" si="291"/>
        <v>$7,000-$8,500</v>
      </c>
      <c r="AD1280">
        <v>25949</v>
      </c>
      <c r="AE1280" t="str">
        <f t="shared" si="292"/>
        <v>$22,001-$26,999</v>
      </c>
      <c r="AF1280">
        <v>7</v>
      </c>
      <c r="AG1280" t="str">
        <f t="shared" si="293"/>
        <v>7-9</v>
      </c>
      <c r="AH1280" t="s">
        <v>67</v>
      </c>
      <c r="AI1280" t="s">
        <v>56</v>
      </c>
      <c r="AJ1280">
        <v>13</v>
      </c>
      <c r="AK1280" t="str">
        <f t="shared" si="294"/>
        <v>13-15%</v>
      </c>
      <c r="AL1280">
        <v>3</v>
      </c>
      <c r="AM1280" t="s">
        <v>68</v>
      </c>
      <c r="AN1280">
        <v>4</v>
      </c>
      <c r="AO1280" t="s">
        <v>65</v>
      </c>
      <c r="AP1280">
        <v>80</v>
      </c>
      <c r="AQ1280">
        <v>1</v>
      </c>
      <c r="AR1280">
        <v>15</v>
      </c>
      <c r="AS1280" t="str">
        <f t="shared" si="295"/>
        <v>11-20</v>
      </c>
      <c r="AT1280">
        <v>1</v>
      </c>
      <c r="AU1280" t="str">
        <f t="shared" si="296"/>
        <v>0-2</v>
      </c>
      <c r="AV1280">
        <v>3</v>
      </c>
      <c r="AW1280" t="s">
        <v>79</v>
      </c>
      <c r="AX1280">
        <v>12</v>
      </c>
      <c r="AY1280" t="str">
        <f t="shared" si="285"/>
        <v>11-20</v>
      </c>
      <c r="AZ1280">
        <v>8</v>
      </c>
      <c r="BA1280" t="str">
        <f t="shared" si="297"/>
        <v>6-10</v>
      </c>
      <c r="BB1280">
        <v>5</v>
      </c>
      <c r="BC1280" t="str">
        <f t="shared" si="298"/>
        <v>2-5</v>
      </c>
      <c r="BD1280">
        <v>7</v>
      </c>
      <c r="BE1280" t="str">
        <f t="shared" si="299"/>
        <v>6-10</v>
      </c>
    </row>
    <row r="1281" spans="1:57" x14ac:dyDescent="0.3">
      <c r="A1281">
        <v>1792</v>
      </c>
      <c r="B1281">
        <v>44</v>
      </c>
      <c r="C1281" t="str">
        <f t="shared" si="286"/>
        <v>36-45</v>
      </c>
      <c r="D1281" t="s">
        <v>56</v>
      </c>
      <c r="E1281">
        <f t="shared" si="287"/>
        <v>1</v>
      </c>
      <c r="F1281" t="s">
        <v>72</v>
      </c>
      <c r="G1281">
        <v>429</v>
      </c>
      <c r="H1281" t="str">
        <f t="shared" si="288"/>
        <v>102-500</v>
      </c>
      <c r="I1281" t="s">
        <v>73</v>
      </c>
      <c r="J1281">
        <v>1</v>
      </c>
      <c r="K1281" t="str">
        <f t="shared" si="289"/>
        <v>1-5</v>
      </c>
      <c r="L1281">
        <v>2</v>
      </c>
      <c r="M1281" t="s">
        <v>59</v>
      </c>
      <c r="N1281" t="s">
        <v>83</v>
      </c>
      <c r="O1281">
        <v>1</v>
      </c>
      <c r="P1281">
        <v>3</v>
      </c>
      <c r="Q1281" t="s">
        <v>63</v>
      </c>
      <c r="R1281" t="s">
        <v>75</v>
      </c>
      <c r="S1281">
        <v>99</v>
      </c>
      <c r="T1281" t="str">
        <f t="shared" si="290"/>
        <v>76-100</v>
      </c>
      <c r="U1281">
        <v>3</v>
      </c>
      <c r="V1281" t="s">
        <v>63</v>
      </c>
      <c r="W1281">
        <v>1</v>
      </c>
      <c r="X1281" t="s">
        <v>76</v>
      </c>
      <c r="Y1281">
        <v>2</v>
      </c>
      <c r="Z1281" t="s">
        <v>61</v>
      </c>
      <c r="AA1281" t="s">
        <v>86</v>
      </c>
      <c r="AB1281" s="4">
        <v>2342</v>
      </c>
      <c r="AC1281" s="4" t="str">
        <f t="shared" si="291"/>
        <v>$1,000-$2,500</v>
      </c>
      <c r="AD1281">
        <v>11092</v>
      </c>
      <c r="AE1281" t="str">
        <f t="shared" si="292"/>
        <v>$8,001-$16,000</v>
      </c>
      <c r="AF1281">
        <v>1</v>
      </c>
      <c r="AG1281" t="str">
        <f t="shared" si="293"/>
        <v>0-1</v>
      </c>
      <c r="AH1281" t="s">
        <v>67</v>
      </c>
      <c r="AI1281" t="s">
        <v>56</v>
      </c>
      <c r="AJ1281">
        <v>12</v>
      </c>
      <c r="AK1281" t="str">
        <f t="shared" si="294"/>
        <v>11-12%</v>
      </c>
      <c r="AL1281">
        <v>3</v>
      </c>
      <c r="AM1281" t="s">
        <v>68</v>
      </c>
      <c r="AN1281">
        <v>3</v>
      </c>
      <c r="AO1281" t="s">
        <v>63</v>
      </c>
      <c r="AP1281">
        <v>80</v>
      </c>
      <c r="AQ1281">
        <v>3</v>
      </c>
      <c r="AR1281">
        <v>6</v>
      </c>
      <c r="AS1281" t="str">
        <f t="shared" si="295"/>
        <v>6-10</v>
      </c>
      <c r="AT1281">
        <v>2</v>
      </c>
      <c r="AU1281" t="str">
        <f t="shared" si="296"/>
        <v>0-2</v>
      </c>
      <c r="AV1281">
        <v>2</v>
      </c>
      <c r="AW1281" t="s">
        <v>84</v>
      </c>
      <c r="AX1281">
        <v>5</v>
      </c>
      <c r="AY1281" t="str">
        <f t="shared" si="285"/>
        <v>2-5</v>
      </c>
      <c r="AZ1281">
        <v>3</v>
      </c>
      <c r="BA1281" t="str">
        <f t="shared" si="297"/>
        <v>2-5</v>
      </c>
      <c r="BB1281">
        <v>2</v>
      </c>
      <c r="BC1281" t="str">
        <f t="shared" si="298"/>
        <v>2-5</v>
      </c>
      <c r="BD1281">
        <v>3</v>
      </c>
      <c r="BE1281" t="str">
        <f t="shared" si="299"/>
        <v>2-5</v>
      </c>
    </row>
    <row r="1282" spans="1:57" x14ac:dyDescent="0.3">
      <c r="A1282">
        <v>1794</v>
      </c>
      <c r="B1282">
        <v>37</v>
      </c>
      <c r="C1282" t="str">
        <f t="shared" si="286"/>
        <v>36-45</v>
      </c>
      <c r="D1282" t="s">
        <v>71</v>
      </c>
      <c r="E1282">
        <f t="shared" si="287"/>
        <v>0</v>
      </c>
      <c r="F1282" t="s">
        <v>57</v>
      </c>
      <c r="G1282">
        <v>1239</v>
      </c>
      <c r="H1282" t="str">
        <f t="shared" si="288"/>
        <v>1001-1499</v>
      </c>
      <c r="I1282" t="s">
        <v>97</v>
      </c>
      <c r="J1282">
        <v>8</v>
      </c>
      <c r="K1282" t="str">
        <f t="shared" si="289"/>
        <v>6-10</v>
      </c>
      <c r="L1282">
        <v>2</v>
      </c>
      <c r="M1282" t="s">
        <v>59</v>
      </c>
      <c r="N1282" t="s">
        <v>80</v>
      </c>
      <c r="O1282">
        <v>1</v>
      </c>
      <c r="P1282">
        <v>3</v>
      </c>
      <c r="Q1282" t="s">
        <v>63</v>
      </c>
      <c r="R1282" t="s">
        <v>75</v>
      </c>
      <c r="S1282">
        <v>89</v>
      </c>
      <c r="T1282" t="str">
        <f t="shared" si="290"/>
        <v>76-100</v>
      </c>
      <c r="U1282">
        <v>3</v>
      </c>
      <c r="V1282" t="s">
        <v>63</v>
      </c>
      <c r="W1282">
        <v>2</v>
      </c>
      <c r="X1282" t="s">
        <v>97</v>
      </c>
      <c r="Y1282">
        <v>2</v>
      </c>
      <c r="Z1282" t="s">
        <v>61</v>
      </c>
      <c r="AA1282" t="s">
        <v>86</v>
      </c>
      <c r="AB1282" s="4">
        <v>4071</v>
      </c>
      <c r="AC1282" s="4" t="str">
        <f t="shared" si="291"/>
        <v>$4,000-$5,500</v>
      </c>
      <c r="AD1282">
        <v>12832</v>
      </c>
      <c r="AE1282" t="str">
        <f t="shared" si="292"/>
        <v>$8,001-$16,000</v>
      </c>
      <c r="AF1282">
        <v>2</v>
      </c>
      <c r="AG1282" t="str">
        <f t="shared" si="293"/>
        <v>2-3</v>
      </c>
      <c r="AH1282" t="s">
        <v>67</v>
      </c>
      <c r="AI1282" t="s">
        <v>71</v>
      </c>
      <c r="AJ1282">
        <v>13</v>
      </c>
      <c r="AK1282" t="str">
        <f t="shared" si="294"/>
        <v>13-15%</v>
      </c>
      <c r="AL1282">
        <v>3</v>
      </c>
      <c r="AM1282" t="s">
        <v>68</v>
      </c>
      <c r="AN1282">
        <v>3</v>
      </c>
      <c r="AO1282" t="s">
        <v>63</v>
      </c>
      <c r="AP1282">
        <v>80</v>
      </c>
      <c r="AQ1282">
        <v>0</v>
      </c>
      <c r="AR1282">
        <v>19</v>
      </c>
      <c r="AS1282" t="str">
        <f t="shared" si="295"/>
        <v>11-20</v>
      </c>
      <c r="AT1282">
        <v>4</v>
      </c>
      <c r="AU1282" t="str">
        <f t="shared" si="296"/>
        <v>3-4</v>
      </c>
      <c r="AV1282">
        <v>2</v>
      </c>
      <c r="AW1282" t="s">
        <v>84</v>
      </c>
      <c r="AX1282">
        <v>10</v>
      </c>
      <c r="AY1282" t="str">
        <f t="shared" ref="AY1282:AY1345" si="300">IF(AX1282&lt;=1,"0-1",IF(AX1282&lt;=5,"2-5",IF(AX1282&lt;=10,"6-10",IF(AX1282&lt;=20,"11-20","21-40"))))</f>
        <v>6-10</v>
      </c>
      <c r="AZ1282">
        <v>0</v>
      </c>
      <c r="BA1282" t="str">
        <f t="shared" si="297"/>
        <v>0-1</v>
      </c>
      <c r="BB1282">
        <v>4</v>
      </c>
      <c r="BC1282" t="str">
        <f t="shared" si="298"/>
        <v>2-5</v>
      </c>
      <c r="BD1282">
        <v>7</v>
      </c>
      <c r="BE1282" t="str">
        <f t="shared" si="299"/>
        <v>6-10</v>
      </c>
    </row>
    <row r="1283" spans="1:57" x14ac:dyDescent="0.3">
      <c r="A1283">
        <v>1797</v>
      </c>
      <c r="B1283">
        <v>35</v>
      </c>
      <c r="C1283" t="str">
        <f t="shared" ref="C1283:C1346" si="301">IF(B1283&lt;=25, "18-25", IF(B1283&lt;=35, "26-35", IF(B1283&lt;=45, "36-45", IF(B1283&lt;=55, "46-55", "56+"))))</f>
        <v>26-35</v>
      </c>
      <c r="D1283" t="s">
        <v>56</v>
      </c>
      <c r="E1283">
        <f t="shared" ref="E1283:E1346" si="302">IF(D1283="Yes",1,0)</f>
        <v>1</v>
      </c>
      <c r="F1283" t="s">
        <v>57</v>
      </c>
      <c r="G1283">
        <v>303</v>
      </c>
      <c r="H1283" t="str">
        <f t="shared" ref="H1283:H1346" si="303">IF(G1283&lt;=500,"102-500",IF(G1283&lt;=1000,"501-1000","1001-1499"))</f>
        <v>102-500</v>
      </c>
      <c r="I1283" t="s">
        <v>58</v>
      </c>
      <c r="J1283">
        <v>27</v>
      </c>
      <c r="K1283" t="str">
        <f t="shared" ref="K1283:K1346" si="304">IF(J1283&lt;=5,"1-5",IF(J1283&lt;=10,"6-10",IF(J1283&lt;=20,"11-20","21-29")))</f>
        <v>21-29</v>
      </c>
      <c r="L1283">
        <v>3</v>
      </c>
      <c r="M1283" t="s">
        <v>85</v>
      </c>
      <c r="N1283" t="s">
        <v>60</v>
      </c>
      <c r="O1283">
        <v>1</v>
      </c>
      <c r="P1283">
        <v>3</v>
      </c>
      <c r="Q1283" t="s">
        <v>63</v>
      </c>
      <c r="R1283" t="s">
        <v>75</v>
      </c>
      <c r="S1283">
        <v>84</v>
      </c>
      <c r="T1283" t="str">
        <f t="shared" ref="T1283:T1346" si="305">IF(S1283&lt;=50,"30-50",IF(S1283&lt;=75,"51-75","76-100"))</f>
        <v>76-100</v>
      </c>
      <c r="U1283">
        <v>3</v>
      </c>
      <c r="V1283" t="s">
        <v>63</v>
      </c>
      <c r="W1283">
        <v>2</v>
      </c>
      <c r="X1283" t="s">
        <v>64</v>
      </c>
      <c r="Y1283">
        <v>4</v>
      </c>
      <c r="Z1283" t="s">
        <v>65</v>
      </c>
      <c r="AA1283" t="s">
        <v>66</v>
      </c>
      <c r="AB1283" s="4">
        <v>5813</v>
      </c>
      <c r="AC1283" s="4" t="str">
        <f t="shared" ref="AC1283:AC1346" si="306">IF(AB1283&lt;2500,"$1,000-$2,500",IF(AB1283&lt;4000,"$2,500-$4,000",IF(AB1283&lt;5500,"$4,000-$5,500",IF(AB1283&lt;7000,"$5,500-$7,000",IF(AB1283&lt;8500,"$7,000-$8,500",IF(AB1283&lt;10000,"$8,500-$10,000",IF(AB1283&lt;11500,"$10,000-$11,500",IF(AB1283&lt;13000,"$11,500-$13,000",IF(AB1283&lt;14500,"$13,000-$14,500",IF(AB1283&lt;16000,"$14,500-$16,000",IF(AB1283&lt;17500,"$16,000-$17,500",IF(AB1283&lt;19000,"$17,500-$19,000",IF(AB1283&lt;20500,"$19,000-$20,500",IF(AB1283&lt;22000,"$20,500-$22,000",IF(AB1283&lt;23500,"$22,000-$23,500",IF(AB1283&lt;25000,"$23,500-$25,000",IF(AB1283&lt;26500,"$25,000-$26,500",IF(AB1283&lt;28000,"$26,500-$28,000",IF(AB1283&lt;29500,"$28,000-$29,500","$29,500+")))))))))))))))))))</f>
        <v>$5,500-$7,000</v>
      </c>
      <c r="AD1283">
        <v>13492</v>
      </c>
      <c r="AE1283" t="str">
        <f t="shared" ref="AE1283:AE1346" si="307">IF(AD1283&lt;=8000,"$2,094-$8,000",IF(AD1283&lt;=16000,"$8,001-$16,000",IF(AD1283&lt;=22000,"$16,001-$22,000","$22,001-$26,999")))</f>
        <v>$8,001-$16,000</v>
      </c>
      <c r="AF1283">
        <v>1</v>
      </c>
      <c r="AG1283" t="str">
        <f t="shared" ref="AG1283:AG1346" si="308">IF(AF1283&lt;=1,"0-1",IF(AF1283&lt;=3,"2-3",IF(AF1283&lt;=6,"4-6","7-9")))</f>
        <v>0-1</v>
      </c>
      <c r="AH1283" t="s">
        <v>67</v>
      </c>
      <c r="AI1283" t="s">
        <v>56</v>
      </c>
      <c r="AJ1283">
        <v>18</v>
      </c>
      <c r="AK1283" t="str">
        <f t="shared" ref="AK1283:AK1346" si="309">IF(AJ1283&lt;=12,"11-12%",IF(AJ1283&lt;=15,"13-15%",IF(AJ1283&lt;=17,"16-17%","18-19%")))</f>
        <v>18-19%</v>
      </c>
      <c r="AL1283">
        <v>3</v>
      </c>
      <c r="AM1283" t="s">
        <v>68</v>
      </c>
      <c r="AN1283">
        <v>4</v>
      </c>
      <c r="AO1283" t="s">
        <v>65</v>
      </c>
      <c r="AP1283">
        <v>80</v>
      </c>
      <c r="AQ1283">
        <v>0</v>
      </c>
      <c r="AR1283">
        <v>10</v>
      </c>
      <c r="AS1283" t="str">
        <f t="shared" ref="AS1283:AS1346" si="310">IF(AR1283&lt;=2,"0-2",IF(AR1283&lt;=5,"3-5",IF(AR1283&lt;=10,"6-10",IF(AR1283&lt;=20,"11-20","21-40"))))</f>
        <v>6-10</v>
      </c>
      <c r="AT1283">
        <v>2</v>
      </c>
      <c r="AU1283" t="str">
        <f t="shared" ref="AU1283:AU1346" si="311">IF(AT1283&lt;=2,"0-2",IF(AT1283&lt;=4,"3-4","5-6"))</f>
        <v>0-2</v>
      </c>
      <c r="AV1283">
        <v>3</v>
      </c>
      <c r="AW1283" t="s">
        <v>79</v>
      </c>
      <c r="AX1283">
        <v>10</v>
      </c>
      <c r="AY1283" t="str">
        <f t="shared" si="300"/>
        <v>6-10</v>
      </c>
      <c r="AZ1283">
        <v>7</v>
      </c>
      <c r="BA1283" t="str">
        <f t="shared" ref="BA1283:BA1346" si="312">IF(AZ1283&lt;=1,"0-1",IF(AZ1283&lt;=5,"2-5",IF(AZ1283&lt;=10,"6-10","11-18")))</f>
        <v>6-10</v>
      </c>
      <c r="BB1283">
        <v>7</v>
      </c>
      <c r="BC1283" t="str">
        <f t="shared" ref="BC1283:BC1346" si="313">IF(BB1283&lt;=1,"0-1",IF(BB1283&lt;=5,"2-5",IF(BB1283&lt;=10,"6-10","11-15")))</f>
        <v>6-10</v>
      </c>
      <c r="BD1283">
        <v>7</v>
      </c>
      <c r="BE1283" t="str">
        <f t="shared" ref="BE1283:BE1346" si="314">IF(BD1283&lt;=1,"0-1",IF(BD1283&lt;=5,"2-5",IF(BD1283&lt;=10,"6-10","11-17")))</f>
        <v>6-10</v>
      </c>
    </row>
    <row r="1284" spans="1:57" x14ac:dyDescent="0.3">
      <c r="A1284">
        <v>1798</v>
      </c>
      <c r="B1284">
        <v>33</v>
      </c>
      <c r="C1284" t="str">
        <f t="shared" si="301"/>
        <v>26-35</v>
      </c>
      <c r="D1284" t="s">
        <v>71</v>
      </c>
      <c r="E1284">
        <f t="shared" si="302"/>
        <v>0</v>
      </c>
      <c r="F1284" t="s">
        <v>57</v>
      </c>
      <c r="G1284">
        <v>867</v>
      </c>
      <c r="H1284" t="str">
        <f t="shared" si="303"/>
        <v>501-1000</v>
      </c>
      <c r="I1284" t="s">
        <v>73</v>
      </c>
      <c r="J1284">
        <v>8</v>
      </c>
      <c r="K1284" t="str">
        <f t="shared" si="304"/>
        <v>6-10</v>
      </c>
      <c r="L1284">
        <v>4</v>
      </c>
      <c r="M1284" t="s">
        <v>82</v>
      </c>
      <c r="N1284" t="s">
        <v>60</v>
      </c>
      <c r="O1284">
        <v>1</v>
      </c>
      <c r="P1284">
        <v>4</v>
      </c>
      <c r="Q1284" t="s">
        <v>65</v>
      </c>
      <c r="R1284" t="s">
        <v>75</v>
      </c>
      <c r="S1284">
        <v>90</v>
      </c>
      <c r="T1284" t="str">
        <f t="shared" si="305"/>
        <v>76-100</v>
      </c>
      <c r="U1284">
        <v>4</v>
      </c>
      <c r="V1284" t="s">
        <v>65</v>
      </c>
      <c r="W1284">
        <v>1</v>
      </c>
      <c r="X1284" t="s">
        <v>76</v>
      </c>
      <c r="Y1284">
        <v>1</v>
      </c>
      <c r="Z1284" t="s">
        <v>69</v>
      </c>
      <c r="AA1284" t="s">
        <v>77</v>
      </c>
      <c r="AB1284" s="4">
        <v>3143</v>
      </c>
      <c r="AC1284" s="4" t="str">
        <f t="shared" si="306"/>
        <v>$2,500-$4,000</v>
      </c>
      <c r="AD1284">
        <v>6076</v>
      </c>
      <c r="AE1284" t="str">
        <f t="shared" si="307"/>
        <v>$2,094-$8,000</v>
      </c>
      <c r="AF1284">
        <v>6</v>
      </c>
      <c r="AG1284" t="str">
        <f t="shared" si="308"/>
        <v>4-6</v>
      </c>
      <c r="AH1284" t="s">
        <v>67</v>
      </c>
      <c r="AI1284" t="s">
        <v>71</v>
      </c>
      <c r="AJ1284">
        <v>19</v>
      </c>
      <c r="AK1284" t="str">
        <f t="shared" si="309"/>
        <v>18-19%</v>
      </c>
      <c r="AL1284">
        <v>3</v>
      </c>
      <c r="AM1284" t="s">
        <v>68</v>
      </c>
      <c r="AN1284">
        <v>2</v>
      </c>
      <c r="AO1284" t="s">
        <v>61</v>
      </c>
      <c r="AP1284">
        <v>80</v>
      </c>
      <c r="AQ1284">
        <v>1</v>
      </c>
      <c r="AR1284">
        <v>14</v>
      </c>
      <c r="AS1284" t="str">
        <f t="shared" si="310"/>
        <v>11-20</v>
      </c>
      <c r="AT1284">
        <v>1</v>
      </c>
      <c r="AU1284" t="str">
        <f t="shared" si="311"/>
        <v>0-2</v>
      </c>
      <c r="AV1284">
        <v>3</v>
      </c>
      <c r="AW1284" t="s">
        <v>79</v>
      </c>
      <c r="AX1284">
        <v>10</v>
      </c>
      <c r="AY1284" t="str">
        <f t="shared" si="300"/>
        <v>6-10</v>
      </c>
      <c r="AZ1284">
        <v>8</v>
      </c>
      <c r="BA1284" t="str">
        <f t="shared" si="312"/>
        <v>6-10</v>
      </c>
      <c r="BB1284">
        <v>7</v>
      </c>
      <c r="BC1284" t="str">
        <f t="shared" si="313"/>
        <v>6-10</v>
      </c>
      <c r="BD1284">
        <v>6</v>
      </c>
      <c r="BE1284" t="str">
        <f t="shared" si="314"/>
        <v>6-10</v>
      </c>
    </row>
    <row r="1285" spans="1:57" x14ac:dyDescent="0.3">
      <c r="A1285">
        <v>1799</v>
      </c>
      <c r="B1285">
        <v>28</v>
      </c>
      <c r="C1285" t="str">
        <f t="shared" si="301"/>
        <v>26-35</v>
      </c>
      <c r="D1285" t="s">
        <v>71</v>
      </c>
      <c r="E1285">
        <f t="shared" si="302"/>
        <v>0</v>
      </c>
      <c r="F1285" t="s">
        <v>57</v>
      </c>
      <c r="G1285">
        <v>1181</v>
      </c>
      <c r="H1285" t="str">
        <f t="shared" si="303"/>
        <v>1001-1499</v>
      </c>
      <c r="I1285" t="s">
        <v>73</v>
      </c>
      <c r="J1285">
        <v>1</v>
      </c>
      <c r="K1285" t="str">
        <f t="shared" si="304"/>
        <v>1-5</v>
      </c>
      <c r="L1285">
        <v>3</v>
      </c>
      <c r="M1285" t="s">
        <v>85</v>
      </c>
      <c r="N1285" t="s">
        <v>60</v>
      </c>
      <c r="O1285">
        <v>1</v>
      </c>
      <c r="P1285">
        <v>3</v>
      </c>
      <c r="Q1285" t="s">
        <v>63</v>
      </c>
      <c r="R1285" t="s">
        <v>75</v>
      </c>
      <c r="S1285">
        <v>82</v>
      </c>
      <c r="T1285" t="str">
        <f t="shared" si="305"/>
        <v>76-100</v>
      </c>
      <c r="U1285">
        <v>3</v>
      </c>
      <c r="V1285" t="s">
        <v>63</v>
      </c>
      <c r="W1285">
        <v>1</v>
      </c>
      <c r="X1285" t="s">
        <v>76</v>
      </c>
      <c r="Y1285">
        <v>4</v>
      </c>
      <c r="Z1285" t="s">
        <v>65</v>
      </c>
      <c r="AA1285" t="s">
        <v>77</v>
      </c>
      <c r="AB1285" s="4">
        <v>2044</v>
      </c>
      <c r="AC1285" s="4" t="str">
        <f t="shared" si="306"/>
        <v>$1,000-$2,500</v>
      </c>
      <c r="AD1285">
        <v>5531</v>
      </c>
      <c r="AE1285" t="str">
        <f t="shared" si="307"/>
        <v>$2,094-$8,000</v>
      </c>
      <c r="AF1285">
        <v>1</v>
      </c>
      <c r="AG1285" t="str">
        <f t="shared" si="308"/>
        <v>0-1</v>
      </c>
      <c r="AH1285" t="s">
        <v>67</v>
      </c>
      <c r="AI1285" t="s">
        <v>71</v>
      </c>
      <c r="AJ1285">
        <v>11</v>
      </c>
      <c r="AK1285" t="str">
        <f t="shared" si="309"/>
        <v>11-12%</v>
      </c>
      <c r="AL1285">
        <v>3</v>
      </c>
      <c r="AM1285" t="s">
        <v>68</v>
      </c>
      <c r="AN1285">
        <v>3</v>
      </c>
      <c r="AO1285" t="s">
        <v>63</v>
      </c>
      <c r="AP1285">
        <v>80</v>
      </c>
      <c r="AQ1285">
        <v>1</v>
      </c>
      <c r="AR1285">
        <v>5</v>
      </c>
      <c r="AS1285" t="str">
        <f t="shared" si="310"/>
        <v>3-5</v>
      </c>
      <c r="AT1285">
        <v>6</v>
      </c>
      <c r="AU1285" t="str">
        <f t="shared" si="311"/>
        <v>5-6</v>
      </c>
      <c r="AV1285">
        <v>4</v>
      </c>
      <c r="AW1285" t="s">
        <v>94</v>
      </c>
      <c r="AX1285">
        <v>5</v>
      </c>
      <c r="AY1285" t="str">
        <f t="shared" si="300"/>
        <v>2-5</v>
      </c>
      <c r="AZ1285">
        <v>3</v>
      </c>
      <c r="BA1285" t="str">
        <f t="shared" si="312"/>
        <v>2-5</v>
      </c>
      <c r="BB1285">
        <v>0</v>
      </c>
      <c r="BC1285" t="str">
        <f t="shared" si="313"/>
        <v>0-1</v>
      </c>
      <c r="BD1285">
        <v>3</v>
      </c>
      <c r="BE1285" t="str">
        <f t="shared" si="314"/>
        <v>2-5</v>
      </c>
    </row>
    <row r="1286" spans="1:57" x14ac:dyDescent="0.3">
      <c r="A1286">
        <v>1800</v>
      </c>
      <c r="B1286">
        <v>39</v>
      </c>
      <c r="C1286" t="str">
        <f t="shared" si="301"/>
        <v>36-45</v>
      </c>
      <c r="D1286" t="s">
        <v>71</v>
      </c>
      <c r="E1286">
        <f t="shared" si="302"/>
        <v>0</v>
      </c>
      <c r="F1286" t="s">
        <v>57</v>
      </c>
      <c r="G1286">
        <v>1253</v>
      </c>
      <c r="H1286" t="str">
        <f t="shared" si="303"/>
        <v>1001-1499</v>
      </c>
      <c r="I1286" t="s">
        <v>73</v>
      </c>
      <c r="J1286">
        <v>10</v>
      </c>
      <c r="K1286" t="str">
        <f t="shared" si="304"/>
        <v>6-10</v>
      </c>
      <c r="L1286">
        <v>1</v>
      </c>
      <c r="M1286" t="s">
        <v>74</v>
      </c>
      <c r="N1286" t="s">
        <v>83</v>
      </c>
      <c r="O1286">
        <v>1</v>
      </c>
      <c r="P1286">
        <v>3</v>
      </c>
      <c r="Q1286" t="s">
        <v>63</v>
      </c>
      <c r="R1286" t="s">
        <v>75</v>
      </c>
      <c r="S1286">
        <v>65</v>
      </c>
      <c r="T1286" t="str">
        <f t="shared" si="305"/>
        <v>51-75</v>
      </c>
      <c r="U1286">
        <v>3</v>
      </c>
      <c r="V1286" t="s">
        <v>63</v>
      </c>
      <c r="W1286">
        <v>3</v>
      </c>
      <c r="X1286" t="s">
        <v>92</v>
      </c>
      <c r="Y1286">
        <v>3</v>
      </c>
      <c r="Z1286" t="s">
        <v>63</v>
      </c>
      <c r="AA1286" t="s">
        <v>66</v>
      </c>
      <c r="AB1286" s="4">
        <v>13464</v>
      </c>
      <c r="AC1286" s="4" t="str">
        <f t="shared" si="306"/>
        <v>$13,000-$14,500</v>
      </c>
      <c r="AD1286">
        <v>7914</v>
      </c>
      <c r="AE1286" t="str">
        <f t="shared" si="307"/>
        <v>$2,094-$8,000</v>
      </c>
      <c r="AF1286">
        <v>7</v>
      </c>
      <c r="AG1286" t="str">
        <f t="shared" si="308"/>
        <v>7-9</v>
      </c>
      <c r="AH1286" t="s">
        <v>67</v>
      </c>
      <c r="AI1286" t="s">
        <v>71</v>
      </c>
      <c r="AJ1286">
        <v>21</v>
      </c>
      <c r="AK1286" t="str">
        <f t="shared" si="309"/>
        <v>18-19%</v>
      </c>
      <c r="AL1286">
        <v>4</v>
      </c>
      <c r="AM1286" t="s">
        <v>78</v>
      </c>
      <c r="AN1286">
        <v>3</v>
      </c>
      <c r="AO1286" t="s">
        <v>63</v>
      </c>
      <c r="AP1286">
        <v>80</v>
      </c>
      <c r="AQ1286">
        <v>0</v>
      </c>
      <c r="AR1286">
        <v>9</v>
      </c>
      <c r="AS1286" t="str">
        <f t="shared" si="310"/>
        <v>6-10</v>
      </c>
      <c r="AT1286">
        <v>3</v>
      </c>
      <c r="AU1286" t="str">
        <f t="shared" si="311"/>
        <v>3-4</v>
      </c>
      <c r="AV1286">
        <v>3</v>
      </c>
      <c r="AW1286" t="s">
        <v>79</v>
      </c>
      <c r="AX1286">
        <v>4</v>
      </c>
      <c r="AY1286" t="str">
        <f t="shared" si="300"/>
        <v>2-5</v>
      </c>
      <c r="AZ1286">
        <v>3</v>
      </c>
      <c r="BA1286" t="str">
        <f t="shared" si="312"/>
        <v>2-5</v>
      </c>
      <c r="BB1286">
        <v>2</v>
      </c>
      <c r="BC1286" t="str">
        <f t="shared" si="313"/>
        <v>2-5</v>
      </c>
      <c r="BD1286">
        <v>2</v>
      </c>
      <c r="BE1286" t="str">
        <f t="shared" si="314"/>
        <v>2-5</v>
      </c>
    </row>
    <row r="1287" spans="1:57" x14ac:dyDescent="0.3">
      <c r="A1287">
        <v>1801</v>
      </c>
      <c r="B1287">
        <v>46</v>
      </c>
      <c r="C1287" t="str">
        <f t="shared" si="301"/>
        <v>46-55</v>
      </c>
      <c r="D1287" t="s">
        <v>71</v>
      </c>
      <c r="E1287">
        <f t="shared" si="302"/>
        <v>0</v>
      </c>
      <c r="F1287" t="s">
        <v>89</v>
      </c>
      <c r="G1287">
        <v>849</v>
      </c>
      <c r="H1287" t="str">
        <f t="shared" si="303"/>
        <v>501-1000</v>
      </c>
      <c r="I1287" t="s">
        <v>58</v>
      </c>
      <c r="J1287">
        <v>26</v>
      </c>
      <c r="K1287" t="str">
        <f t="shared" si="304"/>
        <v>21-29</v>
      </c>
      <c r="L1287">
        <v>2</v>
      </c>
      <c r="M1287" t="s">
        <v>59</v>
      </c>
      <c r="N1287" t="s">
        <v>60</v>
      </c>
      <c r="O1287">
        <v>1</v>
      </c>
      <c r="P1287">
        <v>2</v>
      </c>
      <c r="Q1287" t="s">
        <v>61</v>
      </c>
      <c r="R1287" t="s">
        <v>75</v>
      </c>
      <c r="S1287">
        <v>98</v>
      </c>
      <c r="T1287" t="str">
        <f t="shared" si="305"/>
        <v>76-100</v>
      </c>
      <c r="U1287">
        <v>2</v>
      </c>
      <c r="V1287" t="s">
        <v>61</v>
      </c>
      <c r="W1287">
        <v>2</v>
      </c>
      <c r="X1287" t="s">
        <v>64</v>
      </c>
      <c r="Y1287">
        <v>2</v>
      </c>
      <c r="Z1287" t="s">
        <v>61</v>
      </c>
      <c r="AA1287" t="s">
        <v>66</v>
      </c>
      <c r="AB1287" s="4">
        <v>7991</v>
      </c>
      <c r="AC1287" s="4" t="str">
        <f t="shared" si="306"/>
        <v>$7,000-$8,500</v>
      </c>
      <c r="AD1287">
        <v>25166</v>
      </c>
      <c r="AE1287" t="str">
        <f t="shared" si="307"/>
        <v>$22,001-$26,999</v>
      </c>
      <c r="AF1287">
        <v>8</v>
      </c>
      <c r="AG1287" t="str">
        <f t="shared" si="308"/>
        <v>7-9</v>
      </c>
      <c r="AH1287" t="s">
        <v>67</v>
      </c>
      <c r="AI1287" t="s">
        <v>71</v>
      </c>
      <c r="AJ1287">
        <v>15</v>
      </c>
      <c r="AK1287" t="str">
        <f t="shared" si="309"/>
        <v>13-15%</v>
      </c>
      <c r="AL1287">
        <v>3</v>
      </c>
      <c r="AM1287" t="s">
        <v>68</v>
      </c>
      <c r="AN1287">
        <v>3</v>
      </c>
      <c r="AO1287" t="s">
        <v>63</v>
      </c>
      <c r="AP1287">
        <v>80</v>
      </c>
      <c r="AQ1287">
        <v>0</v>
      </c>
      <c r="AR1287">
        <v>6</v>
      </c>
      <c r="AS1287" t="str">
        <f t="shared" si="310"/>
        <v>6-10</v>
      </c>
      <c r="AT1287">
        <v>3</v>
      </c>
      <c r="AU1287" t="str">
        <f t="shared" si="311"/>
        <v>3-4</v>
      </c>
      <c r="AV1287">
        <v>3</v>
      </c>
      <c r="AW1287" t="s">
        <v>79</v>
      </c>
      <c r="AX1287">
        <v>2</v>
      </c>
      <c r="AY1287" t="str">
        <f t="shared" si="300"/>
        <v>2-5</v>
      </c>
      <c r="AZ1287">
        <v>2</v>
      </c>
      <c r="BA1287" t="str">
        <f t="shared" si="312"/>
        <v>2-5</v>
      </c>
      <c r="BB1287">
        <v>2</v>
      </c>
      <c r="BC1287" t="str">
        <f t="shared" si="313"/>
        <v>2-5</v>
      </c>
      <c r="BD1287">
        <v>2</v>
      </c>
      <c r="BE1287" t="str">
        <f t="shared" si="314"/>
        <v>2-5</v>
      </c>
    </row>
    <row r="1288" spans="1:57" x14ac:dyDescent="0.3">
      <c r="A1288">
        <v>1802</v>
      </c>
      <c r="B1288">
        <v>40</v>
      </c>
      <c r="C1288" t="str">
        <f t="shared" si="301"/>
        <v>36-45</v>
      </c>
      <c r="D1288" t="s">
        <v>71</v>
      </c>
      <c r="E1288">
        <f t="shared" si="302"/>
        <v>0</v>
      </c>
      <c r="F1288" t="s">
        <v>57</v>
      </c>
      <c r="G1288">
        <v>616</v>
      </c>
      <c r="H1288" t="str">
        <f t="shared" si="303"/>
        <v>501-1000</v>
      </c>
      <c r="I1288" t="s">
        <v>73</v>
      </c>
      <c r="J1288">
        <v>2</v>
      </c>
      <c r="K1288" t="str">
        <f t="shared" si="304"/>
        <v>1-5</v>
      </c>
      <c r="L1288">
        <v>2</v>
      </c>
      <c r="M1288" t="s">
        <v>59</v>
      </c>
      <c r="N1288" t="s">
        <v>60</v>
      </c>
      <c r="O1288">
        <v>1</v>
      </c>
      <c r="P1288">
        <v>3</v>
      </c>
      <c r="Q1288" t="s">
        <v>63</v>
      </c>
      <c r="R1288" t="s">
        <v>62</v>
      </c>
      <c r="S1288">
        <v>99</v>
      </c>
      <c r="T1288" t="str">
        <f t="shared" si="305"/>
        <v>76-100</v>
      </c>
      <c r="U1288">
        <v>3</v>
      </c>
      <c r="V1288" t="s">
        <v>63</v>
      </c>
      <c r="W1288">
        <v>1</v>
      </c>
      <c r="X1288" t="s">
        <v>81</v>
      </c>
      <c r="Y1288">
        <v>1</v>
      </c>
      <c r="Z1288" t="s">
        <v>69</v>
      </c>
      <c r="AA1288" t="s">
        <v>77</v>
      </c>
      <c r="AB1288" s="4">
        <v>3377</v>
      </c>
      <c r="AC1288" s="4" t="str">
        <f t="shared" si="306"/>
        <v>$2,500-$4,000</v>
      </c>
      <c r="AD1288">
        <v>25605</v>
      </c>
      <c r="AE1288" t="str">
        <f t="shared" si="307"/>
        <v>$22,001-$26,999</v>
      </c>
      <c r="AF1288">
        <v>4</v>
      </c>
      <c r="AG1288" t="str">
        <f t="shared" si="308"/>
        <v>4-6</v>
      </c>
      <c r="AH1288" t="s">
        <v>67</v>
      </c>
      <c r="AI1288" t="s">
        <v>71</v>
      </c>
      <c r="AJ1288">
        <v>17</v>
      </c>
      <c r="AK1288" t="str">
        <f t="shared" si="309"/>
        <v>16-17%</v>
      </c>
      <c r="AL1288">
        <v>3</v>
      </c>
      <c r="AM1288" t="s">
        <v>68</v>
      </c>
      <c r="AN1288">
        <v>4</v>
      </c>
      <c r="AO1288" t="s">
        <v>65</v>
      </c>
      <c r="AP1288">
        <v>80</v>
      </c>
      <c r="AQ1288">
        <v>1</v>
      </c>
      <c r="AR1288">
        <v>7</v>
      </c>
      <c r="AS1288" t="str">
        <f t="shared" si="310"/>
        <v>6-10</v>
      </c>
      <c r="AT1288">
        <v>5</v>
      </c>
      <c r="AU1288" t="str">
        <f t="shared" si="311"/>
        <v>5-6</v>
      </c>
      <c r="AV1288">
        <v>2</v>
      </c>
      <c r="AW1288" t="s">
        <v>84</v>
      </c>
      <c r="AX1288">
        <v>4</v>
      </c>
      <c r="AY1288" t="str">
        <f t="shared" si="300"/>
        <v>2-5</v>
      </c>
      <c r="AZ1288">
        <v>3</v>
      </c>
      <c r="BA1288" t="str">
        <f t="shared" si="312"/>
        <v>2-5</v>
      </c>
      <c r="BB1288">
        <v>0</v>
      </c>
      <c r="BC1288" t="str">
        <f t="shared" si="313"/>
        <v>0-1</v>
      </c>
      <c r="BD1288">
        <v>2</v>
      </c>
      <c r="BE1288" t="str">
        <f t="shared" si="314"/>
        <v>2-5</v>
      </c>
    </row>
    <row r="1289" spans="1:57" x14ac:dyDescent="0.3">
      <c r="A1289">
        <v>1803</v>
      </c>
      <c r="B1289">
        <v>42</v>
      </c>
      <c r="C1289" t="str">
        <f t="shared" si="301"/>
        <v>36-45</v>
      </c>
      <c r="D1289" t="s">
        <v>71</v>
      </c>
      <c r="E1289">
        <f t="shared" si="302"/>
        <v>0</v>
      </c>
      <c r="F1289" t="s">
        <v>57</v>
      </c>
      <c r="G1289">
        <v>1128</v>
      </c>
      <c r="H1289" t="str">
        <f t="shared" si="303"/>
        <v>1001-1499</v>
      </c>
      <c r="I1289" t="s">
        <v>73</v>
      </c>
      <c r="J1289">
        <v>13</v>
      </c>
      <c r="K1289" t="str">
        <f t="shared" si="304"/>
        <v>11-20</v>
      </c>
      <c r="L1289">
        <v>3</v>
      </c>
      <c r="M1289" t="s">
        <v>85</v>
      </c>
      <c r="N1289" t="s">
        <v>83</v>
      </c>
      <c r="O1289">
        <v>1</v>
      </c>
      <c r="P1289">
        <v>2</v>
      </c>
      <c r="Q1289" t="s">
        <v>61</v>
      </c>
      <c r="R1289" t="s">
        <v>75</v>
      </c>
      <c r="S1289">
        <v>95</v>
      </c>
      <c r="T1289" t="str">
        <f t="shared" si="305"/>
        <v>76-100</v>
      </c>
      <c r="U1289">
        <v>4</v>
      </c>
      <c r="V1289" t="s">
        <v>65</v>
      </c>
      <c r="W1289">
        <v>2</v>
      </c>
      <c r="X1289" t="s">
        <v>88</v>
      </c>
      <c r="Y1289">
        <v>1</v>
      </c>
      <c r="Z1289" t="s">
        <v>69</v>
      </c>
      <c r="AA1289" t="s">
        <v>77</v>
      </c>
      <c r="AB1289" s="4">
        <v>5538</v>
      </c>
      <c r="AC1289" s="4" t="str">
        <f t="shared" si="306"/>
        <v>$5,500-$7,000</v>
      </c>
      <c r="AD1289">
        <v>5696</v>
      </c>
      <c r="AE1289" t="str">
        <f t="shared" si="307"/>
        <v>$2,094-$8,000</v>
      </c>
      <c r="AF1289">
        <v>5</v>
      </c>
      <c r="AG1289" t="str">
        <f t="shared" si="308"/>
        <v>4-6</v>
      </c>
      <c r="AH1289" t="s">
        <v>67</v>
      </c>
      <c r="AI1289" t="s">
        <v>71</v>
      </c>
      <c r="AJ1289">
        <v>18</v>
      </c>
      <c r="AK1289" t="str">
        <f t="shared" si="309"/>
        <v>18-19%</v>
      </c>
      <c r="AL1289">
        <v>3</v>
      </c>
      <c r="AM1289" t="s">
        <v>68</v>
      </c>
      <c r="AN1289">
        <v>3</v>
      </c>
      <c r="AO1289" t="s">
        <v>63</v>
      </c>
      <c r="AP1289">
        <v>80</v>
      </c>
      <c r="AQ1289">
        <v>2</v>
      </c>
      <c r="AR1289">
        <v>10</v>
      </c>
      <c r="AS1289" t="str">
        <f t="shared" si="310"/>
        <v>6-10</v>
      </c>
      <c r="AT1289">
        <v>2</v>
      </c>
      <c r="AU1289" t="str">
        <f t="shared" si="311"/>
        <v>0-2</v>
      </c>
      <c r="AV1289">
        <v>2</v>
      </c>
      <c r="AW1289" t="s">
        <v>84</v>
      </c>
      <c r="AX1289">
        <v>0</v>
      </c>
      <c r="AY1289" t="str">
        <f t="shared" si="300"/>
        <v>0-1</v>
      </c>
      <c r="AZ1289">
        <v>0</v>
      </c>
      <c r="BA1289" t="str">
        <f t="shared" si="312"/>
        <v>0-1</v>
      </c>
      <c r="BB1289">
        <v>0</v>
      </c>
      <c r="BC1289" t="str">
        <f t="shared" si="313"/>
        <v>0-1</v>
      </c>
      <c r="BD1289">
        <v>0</v>
      </c>
      <c r="BE1289" t="str">
        <f t="shared" si="314"/>
        <v>0-1</v>
      </c>
    </row>
    <row r="1290" spans="1:57" x14ac:dyDescent="0.3">
      <c r="A1290">
        <v>1804</v>
      </c>
      <c r="B1290">
        <v>35</v>
      </c>
      <c r="C1290" t="str">
        <f t="shared" si="301"/>
        <v>26-35</v>
      </c>
      <c r="D1290" t="s">
        <v>71</v>
      </c>
      <c r="E1290">
        <f t="shared" si="302"/>
        <v>0</v>
      </c>
      <c r="F1290" t="s">
        <v>89</v>
      </c>
      <c r="G1290">
        <v>1180</v>
      </c>
      <c r="H1290" t="str">
        <f t="shared" si="303"/>
        <v>1001-1499</v>
      </c>
      <c r="I1290" t="s">
        <v>73</v>
      </c>
      <c r="J1290">
        <v>2</v>
      </c>
      <c r="K1290" t="str">
        <f t="shared" si="304"/>
        <v>1-5</v>
      </c>
      <c r="L1290">
        <v>2</v>
      </c>
      <c r="M1290" t="s">
        <v>59</v>
      </c>
      <c r="N1290" t="s">
        <v>83</v>
      </c>
      <c r="O1290">
        <v>1</v>
      </c>
      <c r="P1290">
        <v>2</v>
      </c>
      <c r="Q1290" t="s">
        <v>61</v>
      </c>
      <c r="R1290" t="s">
        <v>75</v>
      </c>
      <c r="S1290">
        <v>90</v>
      </c>
      <c r="T1290" t="str">
        <f t="shared" si="305"/>
        <v>76-100</v>
      </c>
      <c r="U1290">
        <v>3</v>
      </c>
      <c r="V1290" t="s">
        <v>63</v>
      </c>
      <c r="W1290">
        <v>2</v>
      </c>
      <c r="X1290" t="s">
        <v>87</v>
      </c>
      <c r="Y1290">
        <v>4</v>
      </c>
      <c r="Z1290" t="s">
        <v>65</v>
      </c>
      <c r="AA1290" t="s">
        <v>86</v>
      </c>
      <c r="AB1290" s="4">
        <v>5762</v>
      </c>
      <c r="AC1290" s="4" t="str">
        <f t="shared" si="306"/>
        <v>$5,500-$7,000</v>
      </c>
      <c r="AD1290">
        <v>24442</v>
      </c>
      <c r="AE1290" t="str">
        <f t="shared" si="307"/>
        <v>$22,001-$26,999</v>
      </c>
      <c r="AF1290">
        <v>2</v>
      </c>
      <c r="AG1290" t="str">
        <f t="shared" si="308"/>
        <v>2-3</v>
      </c>
      <c r="AH1290" t="s">
        <v>67</v>
      </c>
      <c r="AI1290" t="s">
        <v>71</v>
      </c>
      <c r="AJ1290">
        <v>14</v>
      </c>
      <c r="AK1290" t="str">
        <f t="shared" si="309"/>
        <v>13-15%</v>
      </c>
      <c r="AL1290">
        <v>3</v>
      </c>
      <c r="AM1290" t="s">
        <v>68</v>
      </c>
      <c r="AN1290">
        <v>3</v>
      </c>
      <c r="AO1290" t="s">
        <v>63</v>
      </c>
      <c r="AP1290">
        <v>80</v>
      </c>
      <c r="AQ1290">
        <v>1</v>
      </c>
      <c r="AR1290">
        <v>15</v>
      </c>
      <c r="AS1290" t="str">
        <f t="shared" si="310"/>
        <v>11-20</v>
      </c>
      <c r="AT1290">
        <v>6</v>
      </c>
      <c r="AU1290" t="str">
        <f t="shared" si="311"/>
        <v>5-6</v>
      </c>
      <c r="AV1290">
        <v>3</v>
      </c>
      <c r="AW1290" t="s">
        <v>79</v>
      </c>
      <c r="AX1290">
        <v>7</v>
      </c>
      <c r="AY1290" t="str">
        <f t="shared" si="300"/>
        <v>6-10</v>
      </c>
      <c r="AZ1290">
        <v>7</v>
      </c>
      <c r="BA1290" t="str">
        <f t="shared" si="312"/>
        <v>6-10</v>
      </c>
      <c r="BB1290">
        <v>1</v>
      </c>
      <c r="BC1290" t="str">
        <f t="shared" si="313"/>
        <v>0-1</v>
      </c>
      <c r="BD1290">
        <v>7</v>
      </c>
      <c r="BE1290" t="str">
        <f t="shared" si="314"/>
        <v>6-10</v>
      </c>
    </row>
    <row r="1291" spans="1:57" x14ac:dyDescent="0.3">
      <c r="A1291">
        <v>1805</v>
      </c>
      <c r="B1291">
        <v>38</v>
      </c>
      <c r="C1291" t="str">
        <f t="shared" si="301"/>
        <v>36-45</v>
      </c>
      <c r="D1291" t="s">
        <v>71</v>
      </c>
      <c r="E1291">
        <f t="shared" si="302"/>
        <v>0</v>
      </c>
      <c r="F1291" t="s">
        <v>89</v>
      </c>
      <c r="G1291">
        <v>1336</v>
      </c>
      <c r="H1291" t="str">
        <f t="shared" si="303"/>
        <v>1001-1499</v>
      </c>
      <c r="I1291" t="s">
        <v>97</v>
      </c>
      <c r="J1291">
        <v>2</v>
      </c>
      <c r="K1291" t="str">
        <f t="shared" si="304"/>
        <v>1-5</v>
      </c>
      <c r="L1291">
        <v>3</v>
      </c>
      <c r="M1291" t="s">
        <v>85</v>
      </c>
      <c r="N1291" t="s">
        <v>97</v>
      </c>
      <c r="O1291">
        <v>1</v>
      </c>
      <c r="P1291">
        <v>1</v>
      </c>
      <c r="Q1291" t="s">
        <v>69</v>
      </c>
      <c r="R1291" t="s">
        <v>75</v>
      </c>
      <c r="S1291">
        <v>100</v>
      </c>
      <c r="T1291" t="str">
        <f t="shared" si="305"/>
        <v>76-100</v>
      </c>
      <c r="U1291">
        <v>3</v>
      </c>
      <c r="V1291" t="s">
        <v>63</v>
      </c>
      <c r="W1291">
        <v>1</v>
      </c>
      <c r="X1291" t="s">
        <v>97</v>
      </c>
      <c r="Y1291">
        <v>2</v>
      </c>
      <c r="Z1291" t="s">
        <v>61</v>
      </c>
      <c r="AA1291" t="s">
        <v>86</v>
      </c>
      <c r="AB1291" s="4">
        <v>2592</v>
      </c>
      <c r="AC1291" s="4" t="str">
        <f t="shared" si="306"/>
        <v>$2,500-$4,000</v>
      </c>
      <c r="AD1291">
        <v>7129</v>
      </c>
      <c r="AE1291" t="str">
        <f t="shared" si="307"/>
        <v>$2,094-$8,000</v>
      </c>
      <c r="AF1291">
        <v>5</v>
      </c>
      <c r="AG1291" t="str">
        <f t="shared" si="308"/>
        <v>4-6</v>
      </c>
      <c r="AH1291" t="s">
        <v>67</v>
      </c>
      <c r="AI1291" t="s">
        <v>71</v>
      </c>
      <c r="AJ1291">
        <v>13</v>
      </c>
      <c r="AK1291" t="str">
        <f t="shared" si="309"/>
        <v>13-15%</v>
      </c>
      <c r="AL1291">
        <v>3</v>
      </c>
      <c r="AM1291" t="s">
        <v>68</v>
      </c>
      <c r="AN1291">
        <v>4</v>
      </c>
      <c r="AO1291" t="s">
        <v>65</v>
      </c>
      <c r="AP1291">
        <v>80</v>
      </c>
      <c r="AQ1291">
        <v>3</v>
      </c>
      <c r="AR1291">
        <v>13</v>
      </c>
      <c r="AS1291" t="str">
        <f t="shared" si="310"/>
        <v>11-20</v>
      </c>
      <c r="AT1291">
        <v>3</v>
      </c>
      <c r="AU1291" t="str">
        <f t="shared" si="311"/>
        <v>3-4</v>
      </c>
      <c r="AV1291">
        <v>3</v>
      </c>
      <c r="AW1291" t="s">
        <v>79</v>
      </c>
      <c r="AX1291">
        <v>11</v>
      </c>
      <c r="AY1291" t="str">
        <f t="shared" si="300"/>
        <v>11-20</v>
      </c>
      <c r="AZ1291">
        <v>10</v>
      </c>
      <c r="BA1291" t="str">
        <f t="shared" si="312"/>
        <v>6-10</v>
      </c>
      <c r="BB1291">
        <v>3</v>
      </c>
      <c r="BC1291" t="str">
        <f t="shared" si="313"/>
        <v>2-5</v>
      </c>
      <c r="BD1291">
        <v>8</v>
      </c>
      <c r="BE1291" t="str">
        <f t="shared" si="314"/>
        <v>6-10</v>
      </c>
    </row>
    <row r="1292" spans="1:57" x14ac:dyDescent="0.3">
      <c r="A1292">
        <v>1807</v>
      </c>
      <c r="B1292">
        <v>34</v>
      </c>
      <c r="C1292" t="str">
        <f t="shared" si="301"/>
        <v>26-35</v>
      </c>
      <c r="D1292" t="s">
        <v>56</v>
      </c>
      <c r="E1292">
        <f t="shared" si="302"/>
        <v>1</v>
      </c>
      <c r="F1292" t="s">
        <v>72</v>
      </c>
      <c r="G1292">
        <v>234</v>
      </c>
      <c r="H1292" t="str">
        <f t="shared" si="303"/>
        <v>102-500</v>
      </c>
      <c r="I1292" t="s">
        <v>73</v>
      </c>
      <c r="J1292">
        <v>9</v>
      </c>
      <c r="K1292" t="str">
        <f t="shared" si="304"/>
        <v>6-10</v>
      </c>
      <c r="L1292">
        <v>4</v>
      </c>
      <c r="M1292" t="s">
        <v>82</v>
      </c>
      <c r="N1292" t="s">
        <v>60</v>
      </c>
      <c r="O1292">
        <v>1</v>
      </c>
      <c r="P1292">
        <v>4</v>
      </c>
      <c r="Q1292" t="s">
        <v>65</v>
      </c>
      <c r="R1292" t="s">
        <v>75</v>
      </c>
      <c r="S1292">
        <v>93</v>
      </c>
      <c r="T1292" t="str">
        <f t="shared" si="305"/>
        <v>76-100</v>
      </c>
      <c r="U1292">
        <v>3</v>
      </c>
      <c r="V1292" t="s">
        <v>63</v>
      </c>
      <c r="W1292">
        <v>2</v>
      </c>
      <c r="X1292" t="s">
        <v>81</v>
      </c>
      <c r="Y1292">
        <v>1</v>
      </c>
      <c r="Z1292" t="s">
        <v>69</v>
      </c>
      <c r="AA1292" t="s">
        <v>77</v>
      </c>
      <c r="AB1292" s="4">
        <v>5346</v>
      </c>
      <c r="AC1292" s="4" t="str">
        <f t="shared" si="306"/>
        <v>$4,000-$5,500</v>
      </c>
      <c r="AD1292">
        <v>6208</v>
      </c>
      <c r="AE1292" t="str">
        <f t="shared" si="307"/>
        <v>$2,094-$8,000</v>
      </c>
      <c r="AF1292">
        <v>4</v>
      </c>
      <c r="AG1292" t="str">
        <f t="shared" si="308"/>
        <v>4-6</v>
      </c>
      <c r="AH1292" t="s">
        <v>67</v>
      </c>
      <c r="AI1292" t="s">
        <v>71</v>
      </c>
      <c r="AJ1292">
        <v>17</v>
      </c>
      <c r="AK1292" t="str">
        <f t="shared" si="309"/>
        <v>16-17%</v>
      </c>
      <c r="AL1292">
        <v>3</v>
      </c>
      <c r="AM1292" t="s">
        <v>68</v>
      </c>
      <c r="AN1292">
        <v>3</v>
      </c>
      <c r="AO1292" t="s">
        <v>63</v>
      </c>
      <c r="AP1292">
        <v>80</v>
      </c>
      <c r="AQ1292">
        <v>1</v>
      </c>
      <c r="AR1292">
        <v>11</v>
      </c>
      <c r="AS1292" t="str">
        <f t="shared" si="310"/>
        <v>11-20</v>
      </c>
      <c r="AT1292">
        <v>3</v>
      </c>
      <c r="AU1292" t="str">
        <f t="shared" si="311"/>
        <v>3-4</v>
      </c>
      <c r="AV1292">
        <v>2</v>
      </c>
      <c r="AW1292" t="s">
        <v>84</v>
      </c>
      <c r="AX1292">
        <v>7</v>
      </c>
      <c r="AY1292" t="str">
        <f t="shared" si="300"/>
        <v>6-10</v>
      </c>
      <c r="AZ1292">
        <v>1</v>
      </c>
      <c r="BA1292" t="str">
        <f t="shared" si="312"/>
        <v>0-1</v>
      </c>
      <c r="BB1292">
        <v>0</v>
      </c>
      <c r="BC1292" t="str">
        <f t="shared" si="313"/>
        <v>0-1</v>
      </c>
      <c r="BD1292">
        <v>7</v>
      </c>
      <c r="BE1292" t="str">
        <f t="shared" si="314"/>
        <v>6-10</v>
      </c>
    </row>
    <row r="1293" spans="1:57" x14ac:dyDescent="0.3">
      <c r="A1293">
        <v>1809</v>
      </c>
      <c r="B1293">
        <v>37</v>
      </c>
      <c r="C1293" t="str">
        <f t="shared" si="301"/>
        <v>36-45</v>
      </c>
      <c r="D1293" t="s">
        <v>56</v>
      </c>
      <c r="E1293">
        <f t="shared" si="302"/>
        <v>1</v>
      </c>
      <c r="F1293" t="s">
        <v>57</v>
      </c>
      <c r="G1293">
        <v>370</v>
      </c>
      <c r="H1293" t="str">
        <f t="shared" si="303"/>
        <v>102-500</v>
      </c>
      <c r="I1293" t="s">
        <v>73</v>
      </c>
      <c r="J1293">
        <v>10</v>
      </c>
      <c r="K1293" t="str">
        <f t="shared" si="304"/>
        <v>6-10</v>
      </c>
      <c r="L1293">
        <v>4</v>
      </c>
      <c r="M1293" t="s">
        <v>82</v>
      </c>
      <c r="N1293" t="s">
        <v>83</v>
      </c>
      <c r="O1293">
        <v>1</v>
      </c>
      <c r="P1293">
        <v>4</v>
      </c>
      <c r="Q1293" t="s">
        <v>65</v>
      </c>
      <c r="R1293" t="s">
        <v>75</v>
      </c>
      <c r="S1293">
        <v>58</v>
      </c>
      <c r="T1293" t="str">
        <f t="shared" si="305"/>
        <v>51-75</v>
      </c>
      <c r="U1293">
        <v>3</v>
      </c>
      <c r="V1293" t="s">
        <v>63</v>
      </c>
      <c r="W1293">
        <v>2</v>
      </c>
      <c r="X1293" t="s">
        <v>87</v>
      </c>
      <c r="Y1293">
        <v>1</v>
      </c>
      <c r="Z1293" t="s">
        <v>69</v>
      </c>
      <c r="AA1293" t="s">
        <v>66</v>
      </c>
      <c r="AB1293" s="4">
        <v>4213</v>
      </c>
      <c r="AC1293" s="4" t="str">
        <f t="shared" si="306"/>
        <v>$4,000-$5,500</v>
      </c>
      <c r="AD1293">
        <v>4992</v>
      </c>
      <c r="AE1293" t="str">
        <f t="shared" si="307"/>
        <v>$2,094-$8,000</v>
      </c>
      <c r="AF1293">
        <v>1</v>
      </c>
      <c r="AG1293" t="str">
        <f t="shared" si="308"/>
        <v>0-1</v>
      </c>
      <c r="AH1293" t="s">
        <v>67</v>
      </c>
      <c r="AI1293" t="s">
        <v>71</v>
      </c>
      <c r="AJ1293">
        <v>15</v>
      </c>
      <c r="AK1293" t="str">
        <f t="shared" si="309"/>
        <v>13-15%</v>
      </c>
      <c r="AL1293">
        <v>3</v>
      </c>
      <c r="AM1293" t="s">
        <v>68</v>
      </c>
      <c r="AN1293">
        <v>2</v>
      </c>
      <c r="AO1293" t="s">
        <v>61</v>
      </c>
      <c r="AP1293">
        <v>80</v>
      </c>
      <c r="AQ1293">
        <v>0</v>
      </c>
      <c r="AR1293">
        <v>10</v>
      </c>
      <c r="AS1293" t="str">
        <f t="shared" si="310"/>
        <v>6-10</v>
      </c>
      <c r="AT1293">
        <v>4</v>
      </c>
      <c r="AU1293" t="str">
        <f t="shared" si="311"/>
        <v>3-4</v>
      </c>
      <c r="AV1293">
        <v>1</v>
      </c>
      <c r="AW1293" t="s">
        <v>70</v>
      </c>
      <c r="AX1293">
        <v>10</v>
      </c>
      <c r="AY1293" t="str">
        <f t="shared" si="300"/>
        <v>6-10</v>
      </c>
      <c r="AZ1293">
        <v>3</v>
      </c>
      <c r="BA1293" t="str">
        <f t="shared" si="312"/>
        <v>2-5</v>
      </c>
      <c r="BB1293">
        <v>0</v>
      </c>
      <c r="BC1293" t="str">
        <f t="shared" si="313"/>
        <v>0-1</v>
      </c>
      <c r="BD1293">
        <v>8</v>
      </c>
      <c r="BE1293" t="str">
        <f t="shared" si="314"/>
        <v>6-10</v>
      </c>
    </row>
    <row r="1294" spans="1:57" x14ac:dyDescent="0.3">
      <c r="A1294">
        <v>1812</v>
      </c>
      <c r="B1294">
        <v>39</v>
      </c>
      <c r="C1294" t="str">
        <f t="shared" si="301"/>
        <v>36-45</v>
      </c>
      <c r="D1294" t="s">
        <v>71</v>
      </c>
      <c r="E1294">
        <f t="shared" si="302"/>
        <v>0</v>
      </c>
      <c r="F1294" t="s">
        <v>72</v>
      </c>
      <c r="G1294">
        <v>766</v>
      </c>
      <c r="H1294" t="str">
        <f t="shared" si="303"/>
        <v>501-1000</v>
      </c>
      <c r="I1294" t="s">
        <v>58</v>
      </c>
      <c r="J1294">
        <v>20</v>
      </c>
      <c r="K1294" t="str">
        <f t="shared" si="304"/>
        <v>11-20</v>
      </c>
      <c r="L1294">
        <v>3</v>
      </c>
      <c r="M1294" t="s">
        <v>85</v>
      </c>
      <c r="N1294" t="s">
        <v>60</v>
      </c>
      <c r="O1294">
        <v>1</v>
      </c>
      <c r="P1294">
        <v>3</v>
      </c>
      <c r="Q1294" t="s">
        <v>63</v>
      </c>
      <c r="R1294" t="s">
        <v>75</v>
      </c>
      <c r="S1294">
        <v>83</v>
      </c>
      <c r="T1294" t="str">
        <f t="shared" si="305"/>
        <v>76-100</v>
      </c>
      <c r="U1294">
        <v>3</v>
      </c>
      <c r="V1294" t="s">
        <v>63</v>
      </c>
      <c r="W1294">
        <v>2</v>
      </c>
      <c r="X1294" t="s">
        <v>64</v>
      </c>
      <c r="Y1294">
        <v>4</v>
      </c>
      <c r="Z1294" t="s">
        <v>65</v>
      </c>
      <c r="AA1294" t="s">
        <v>86</v>
      </c>
      <c r="AB1294" s="4">
        <v>4127</v>
      </c>
      <c r="AC1294" s="4" t="str">
        <f t="shared" si="306"/>
        <v>$4,000-$5,500</v>
      </c>
      <c r="AD1294">
        <v>19188</v>
      </c>
      <c r="AE1294" t="str">
        <f t="shared" si="307"/>
        <v>$16,001-$22,000</v>
      </c>
      <c r="AF1294">
        <v>2</v>
      </c>
      <c r="AG1294" t="str">
        <f t="shared" si="308"/>
        <v>2-3</v>
      </c>
      <c r="AH1294" t="s">
        <v>67</v>
      </c>
      <c r="AI1294" t="s">
        <v>71</v>
      </c>
      <c r="AJ1294">
        <v>18</v>
      </c>
      <c r="AK1294" t="str">
        <f t="shared" si="309"/>
        <v>18-19%</v>
      </c>
      <c r="AL1294">
        <v>3</v>
      </c>
      <c r="AM1294" t="s">
        <v>68</v>
      </c>
      <c r="AN1294">
        <v>4</v>
      </c>
      <c r="AO1294" t="s">
        <v>65</v>
      </c>
      <c r="AP1294">
        <v>80</v>
      </c>
      <c r="AQ1294">
        <v>1</v>
      </c>
      <c r="AR1294">
        <v>7</v>
      </c>
      <c r="AS1294" t="str">
        <f t="shared" si="310"/>
        <v>6-10</v>
      </c>
      <c r="AT1294">
        <v>6</v>
      </c>
      <c r="AU1294" t="str">
        <f t="shared" si="311"/>
        <v>5-6</v>
      </c>
      <c r="AV1294">
        <v>3</v>
      </c>
      <c r="AW1294" t="s">
        <v>79</v>
      </c>
      <c r="AX1294">
        <v>2</v>
      </c>
      <c r="AY1294" t="str">
        <f t="shared" si="300"/>
        <v>2-5</v>
      </c>
      <c r="AZ1294">
        <v>1</v>
      </c>
      <c r="BA1294" t="str">
        <f t="shared" si="312"/>
        <v>0-1</v>
      </c>
      <c r="BB1294">
        <v>2</v>
      </c>
      <c r="BC1294" t="str">
        <f t="shared" si="313"/>
        <v>2-5</v>
      </c>
      <c r="BD1294">
        <v>2</v>
      </c>
      <c r="BE1294" t="str">
        <f t="shared" si="314"/>
        <v>2-5</v>
      </c>
    </row>
    <row r="1295" spans="1:57" x14ac:dyDescent="0.3">
      <c r="A1295">
        <v>1813</v>
      </c>
      <c r="B1295">
        <v>43</v>
      </c>
      <c r="C1295" t="str">
        <f t="shared" si="301"/>
        <v>36-45</v>
      </c>
      <c r="D1295" t="s">
        <v>71</v>
      </c>
      <c r="E1295">
        <f t="shared" si="302"/>
        <v>0</v>
      </c>
      <c r="F1295" t="s">
        <v>89</v>
      </c>
      <c r="G1295">
        <v>343</v>
      </c>
      <c r="H1295" t="str">
        <f t="shared" si="303"/>
        <v>102-500</v>
      </c>
      <c r="I1295" t="s">
        <v>73</v>
      </c>
      <c r="J1295">
        <v>9</v>
      </c>
      <c r="K1295" t="str">
        <f t="shared" si="304"/>
        <v>6-10</v>
      </c>
      <c r="L1295">
        <v>3</v>
      </c>
      <c r="M1295" t="s">
        <v>85</v>
      </c>
      <c r="N1295" t="s">
        <v>60</v>
      </c>
      <c r="O1295">
        <v>1</v>
      </c>
      <c r="P1295">
        <v>1</v>
      </c>
      <c r="Q1295" t="s">
        <v>69</v>
      </c>
      <c r="R1295" t="s">
        <v>75</v>
      </c>
      <c r="S1295">
        <v>52</v>
      </c>
      <c r="T1295" t="str">
        <f t="shared" si="305"/>
        <v>51-75</v>
      </c>
      <c r="U1295">
        <v>3</v>
      </c>
      <c r="V1295" t="s">
        <v>63</v>
      </c>
      <c r="W1295">
        <v>1</v>
      </c>
      <c r="X1295" t="s">
        <v>76</v>
      </c>
      <c r="Y1295">
        <v>3</v>
      </c>
      <c r="Z1295" t="s">
        <v>63</v>
      </c>
      <c r="AA1295" t="s">
        <v>66</v>
      </c>
      <c r="AB1295" s="4">
        <v>2438</v>
      </c>
      <c r="AC1295" s="4" t="str">
        <f t="shared" si="306"/>
        <v>$1,000-$2,500</v>
      </c>
      <c r="AD1295">
        <v>24978</v>
      </c>
      <c r="AE1295" t="str">
        <f t="shared" si="307"/>
        <v>$22,001-$26,999</v>
      </c>
      <c r="AF1295">
        <v>4</v>
      </c>
      <c r="AG1295" t="str">
        <f t="shared" si="308"/>
        <v>4-6</v>
      </c>
      <c r="AH1295" t="s">
        <v>67</v>
      </c>
      <c r="AI1295" t="s">
        <v>71</v>
      </c>
      <c r="AJ1295">
        <v>13</v>
      </c>
      <c r="AK1295" t="str">
        <f t="shared" si="309"/>
        <v>13-15%</v>
      </c>
      <c r="AL1295">
        <v>3</v>
      </c>
      <c r="AM1295" t="s">
        <v>68</v>
      </c>
      <c r="AN1295">
        <v>3</v>
      </c>
      <c r="AO1295" t="s">
        <v>63</v>
      </c>
      <c r="AP1295">
        <v>80</v>
      </c>
      <c r="AQ1295">
        <v>0</v>
      </c>
      <c r="AR1295">
        <v>7</v>
      </c>
      <c r="AS1295" t="str">
        <f t="shared" si="310"/>
        <v>6-10</v>
      </c>
      <c r="AT1295">
        <v>2</v>
      </c>
      <c r="AU1295" t="str">
        <f t="shared" si="311"/>
        <v>0-2</v>
      </c>
      <c r="AV1295">
        <v>2</v>
      </c>
      <c r="AW1295" t="s">
        <v>84</v>
      </c>
      <c r="AX1295">
        <v>3</v>
      </c>
      <c r="AY1295" t="str">
        <f t="shared" si="300"/>
        <v>2-5</v>
      </c>
      <c r="AZ1295">
        <v>2</v>
      </c>
      <c r="BA1295" t="str">
        <f t="shared" si="312"/>
        <v>2-5</v>
      </c>
      <c r="BB1295">
        <v>1</v>
      </c>
      <c r="BC1295" t="str">
        <f t="shared" si="313"/>
        <v>0-1</v>
      </c>
      <c r="BD1295">
        <v>2</v>
      </c>
      <c r="BE1295" t="str">
        <f t="shared" si="314"/>
        <v>2-5</v>
      </c>
    </row>
    <row r="1296" spans="1:57" x14ac:dyDescent="0.3">
      <c r="A1296">
        <v>1814</v>
      </c>
      <c r="B1296">
        <v>41</v>
      </c>
      <c r="C1296" t="str">
        <f t="shared" si="301"/>
        <v>36-45</v>
      </c>
      <c r="D1296" t="s">
        <v>71</v>
      </c>
      <c r="E1296">
        <f t="shared" si="302"/>
        <v>0</v>
      </c>
      <c r="F1296" t="s">
        <v>57</v>
      </c>
      <c r="G1296">
        <v>447</v>
      </c>
      <c r="H1296" t="str">
        <f t="shared" si="303"/>
        <v>102-500</v>
      </c>
      <c r="I1296" t="s">
        <v>73</v>
      </c>
      <c r="J1296">
        <v>5</v>
      </c>
      <c r="K1296" t="str">
        <f t="shared" si="304"/>
        <v>1-5</v>
      </c>
      <c r="L1296">
        <v>3</v>
      </c>
      <c r="M1296" t="s">
        <v>85</v>
      </c>
      <c r="N1296" t="s">
        <v>60</v>
      </c>
      <c r="O1296">
        <v>1</v>
      </c>
      <c r="P1296">
        <v>2</v>
      </c>
      <c r="Q1296" t="s">
        <v>61</v>
      </c>
      <c r="R1296" t="s">
        <v>75</v>
      </c>
      <c r="S1296">
        <v>85</v>
      </c>
      <c r="T1296" t="str">
        <f t="shared" si="305"/>
        <v>76-100</v>
      </c>
      <c r="U1296">
        <v>4</v>
      </c>
      <c r="V1296" t="s">
        <v>65</v>
      </c>
      <c r="W1296">
        <v>2</v>
      </c>
      <c r="X1296" t="s">
        <v>88</v>
      </c>
      <c r="Y1296">
        <v>2</v>
      </c>
      <c r="Z1296" t="s">
        <v>61</v>
      </c>
      <c r="AA1296" t="s">
        <v>66</v>
      </c>
      <c r="AB1296" s="4">
        <v>6870</v>
      </c>
      <c r="AC1296" s="4" t="str">
        <f t="shared" si="306"/>
        <v>$5,500-$7,000</v>
      </c>
      <c r="AD1296">
        <v>15530</v>
      </c>
      <c r="AE1296" t="str">
        <f t="shared" si="307"/>
        <v>$8,001-$16,000</v>
      </c>
      <c r="AF1296">
        <v>3</v>
      </c>
      <c r="AG1296" t="str">
        <f t="shared" si="308"/>
        <v>2-3</v>
      </c>
      <c r="AH1296" t="s">
        <v>67</v>
      </c>
      <c r="AI1296" t="s">
        <v>71</v>
      </c>
      <c r="AJ1296">
        <v>12</v>
      </c>
      <c r="AK1296" t="str">
        <f t="shared" si="309"/>
        <v>11-12%</v>
      </c>
      <c r="AL1296">
        <v>3</v>
      </c>
      <c r="AM1296" t="s">
        <v>68</v>
      </c>
      <c r="AN1296">
        <v>1</v>
      </c>
      <c r="AO1296" t="s">
        <v>69</v>
      </c>
      <c r="AP1296">
        <v>80</v>
      </c>
      <c r="AQ1296">
        <v>0</v>
      </c>
      <c r="AR1296">
        <v>11</v>
      </c>
      <c r="AS1296" t="str">
        <f t="shared" si="310"/>
        <v>11-20</v>
      </c>
      <c r="AT1296">
        <v>3</v>
      </c>
      <c r="AU1296" t="str">
        <f t="shared" si="311"/>
        <v>3-4</v>
      </c>
      <c r="AV1296">
        <v>1</v>
      </c>
      <c r="AW1296" t="s">
        <v>70</v>
      </c>
      <c r="AX1296">
        <v>3</v>
      </c>
      <c r="AY1296" t="str">
        <f t="shared" si="300"/>
        <v>2-5</v>
      </c>
      <c r="AZ1296">
        <v>2</v>
      </c>
      <c r="BA1296" t="str">
        <f t="shared" si="312"/>
        <v>2-5</v>
      </c>
      <c r="BB1296">
        <v>1</v>
      </c>
      <c r="BC1296" t="str">
        <f t="shared" si="313"/>
        <v>0-1</v>
      </c>
      <c r="BD1296">
        <v>2</v>
      </c>
      <c r="BE1296" t="str">
        <f t="shared" si="314"/>
        <v>2-5</v>
      </c>
    </row>
    <row r="1297" spans="1:57" x14ac:dyDescent="0.3">
      <c r="A1297">
        <v>1815</v>
      </c>
      <c r="B1297">
        <v>41</v>
      </c>
      <c r="C1297" t="str">
        <f t="shared" si="301"/>
        <v>36-45</v>
      </c>
      <c r="D1297" t="s">
        <v>71</v>
      </c>
      <c r="E1297">
        <f t="shared" si="302"/>
        <v>0</v>
      </c>
      <c r="F1297" t="s">
        <v>57</v>
      </c>
      <c r="G1297">
        <v>796</v>
      </c>
      <c r="H1297" t="str">
        <f t="shared" si="303"/>
        <v>501-1000</v>
      </c>
      <c r="I1297" t="s">
        <v>58</v>
      </c>
      <c r="J1297">
        <v>4</v>
      </c>
      <c r="K1297" t="str">
        <f t="shared" si="304"/>
        <v>1-5</v>
      </c>
      <c r="L1297">
        <v>1</v>
      </c>
      <c r="M1297" t="s">
        <v>74</v>
      </c>
      <c r="N1297" t="s">
        <v>93</v>
      </c>
      <c r="O1297">
        <v>1</v>
      </c>
      <c r="P1297">
        <v>3</v>
      </c>
      <c r="Q1297" t="s">
        <v>63</v>
      </c>
      <c r="R1297" t="s">
        <v>62</v>
      </c>
      <c r="S1297">
        <v>81</v>
      </c>
      <c r="T1297" t="str">
        <f t="shared" si="305"/>
        <v>76-100</v>
      </c>
      <c r="U1297">
        <v>3</v>
      </c>
      <c r="V1297" t="s">
        <v>63</v>
      </c>
      <c r="W1297">
        <v>3</v>
      </c>
      <c r="X1297" t="s">
        <v>64</v>
      </c>
      <c r="Y1297">
        <v>3</v>
      </c>
      <c r="Z1297" t="s">
        <v>63</v>
      </c>
      <c r="AA1297" t="s">
        <v>86</v>
      </c>
      <c r="AB1297" s="4">
        <v>10447</v>
      </c>
      <c r="AC1297" s="4" t="str">
        <f t="shared" si="306"/>
        <v>$10,000-$11,500</v>
      </c>
      <c r="AD1297">
        <v>26458</v>
      </c>
      <c r="AE1297" t="str">
        <f t="shared" si="307"/>
        <v>$22,001-$26,999</v>
      </c>
      <c r="AF1297">
        <v>0</v>
      </c>
      <c r="AG1297" t="str">
        <f t="shared" si="308"/>
        <v>0-1</v>
      </c>
      <c r="AH1297" t="s">
        <v>67</v>
      </c>
      <c r="AI1297" t="s">
        <v>56</v>
      </c>
      <c r="AJ1297">
        <v>13</v>
      </c>
      <c r="AK1297" t="str">
        <f t="shared" si="309"/>
        <v>13-15%</v>
      </c>
      <c r="AL1297">
        <v>3</v>
      </c>
      <c r="AM1297" t="s">
        <v>68</v>
      </c>
      <c r="AN1297">
        <v>4</v>
      </c>
      <c r="AO1297" t="s">
        <v>65</v>
      </c>
      <c r="AP1297">
        <v>80</v>
      </c>
      <c r="AQ1297">
        <v>1</v>
      </c>
      <c r="AR1297">
        <v>23</v>
      </c>
      <c r="AS1297" t="str">
        <f t="shared" si="310"/>
        <v>21-40</v>
      </c>
      <c r="AT1297">
        <v>3</v>
      </c>
      <c r="AU1297" t="str">
        <f t="shared" si="311"/>
        <v>3-4</v>
      </c>
      <c r="AV1297">
        <v>4</v>
      </c>
      <c r="AW1297" t="s">
        <v>94</v>
      </c>
      <c r="AX1297">
        <v>22</v>
      </c>
      <c r="AY1297" t="str">
        <f t="shared" si="300"/>
        <v>21-40</v>
      </c>
      <c r="AZ1297">
        <v>14</v>
      </c>
      <c r="BA1297" t="str">
        <f t="shared" si="312"/>
        <v>11-18</v>
      </c>
      <c r="BB1297">
        <v>13</v>
      </c>
      <c r="BC1297" t="str">
        <f t="shared" si="313"/>
        <v>11-15</v>
      </c>
      <c r="BD1297">
        <v>5</v>
      </c>
      <c r="BE1297" t="str">
        <f t="shared" si="314"/>
        <v>2-5</v>
      </c>
    </row>
    <row r="1298" spans="1:57" x14ac:dyDescent="0.3">
      <c r="A1298">
        <v>1816</v>
      </c>
      <c r="B1298">
        <v>30</v>
      </c>
      <c r="C1298" t="str">
        <f t="shared" si="301"/>
        <v>26-35</v>
      </c>
      <c r="D1298" t="s">
        <v>71</v>
      </c>
      <c r="E1298">
        <f t="shared" si="302"/>
        <v>0</v>
      </c>
      <c r="F1298" t="s">
        <v>57</v>
      </c>
      <c r="G1298">
        <v>1092</v>
      </c>
      <c r="H1298" t="str">
        <f t="shared" si="303"/>
        <v>1001-1499</v>
      </c>
      <c r="I1298" t="s">
        <v>73</v>
      </c>
      <c r="J1298">
        <v>10</v>
      </c>
      <c r="K1298" t="str">
        <f t="shared" si="304"/>
        <v>6-10</v>
      </c>
      <c r="L1298">
        <v>3</v>
      </c>
      <c r="M1298" t="s">
        <v>85</v>
      </c>
      <c r="N1298" t="s">
        <v>83</v>
      </c>
      <c r="O1298">
        <v>1</v>
      </c>
      <c r="P1298">
        <v>1</v>
      </c>
      <c r="Q1298" t="s">
        <v>69</v>
      </c>
      <c r="R1298" t="s">
        <v>62</v>
      </c>
      <c r="S1298">
        <v>64</v>
      </c>
      <c r="T1298" t="str">
        <f t="shared" si="305"/>
        <v>51-75</v>
      </c>
      <c r="U1298">
        <v>3</v>
      </c>
      <c r="V1298" t="s">
        <v>63</v>
      </c>
      <c r="W1298">
        <v>3</v>
      </c>
      <c r="X1298" t="s">
        <v>87</v>
      </c>
      <c r="Y1298">
        <v>3</v>
      </c>
      <c r="Z1298" t="s">
        <v>63</v>
      </c>
      <c r="AA1298" t="s">
        <v>66</v>
      </c>
      <c r="AB1298" s="4">
        <v>9667</v>
      </c>
      <c r="AC1298" s="4" t="str">
        <f t="shared" si="306"/>
        <v>$8,500-$10,000</v>
      </c>
      <c r="AD1298">
        <v>2739</v>
      </c>
      <c r="AE1298" t="str">
        <f t="shared" si="307"/>
        <v>$2,094-$8,000</v>
      </c>
      <c r="AF1298">
        <v>9</v>
      </c>
      <c r="AG1298" t="str">
        <f t="shared" si="308"/>
        <v>7-9</v>
      </c>
      <c r="AH1298" t="s">
        <v>67</v>
      </c>
      <c r="AI1298" t="s">
        <v>71</v>
      </c>
      <c r="AJ1298">
        <v>14</v>
      </c>
      <c r="AK1298" t="str">
        <f t="shared" si="309"/>
        <v>13-15%</v>
      </c>
      <c r="AL1298">
        <v>3</v>
      </c>
      <c r="AM1298" t="s">
        <v>68</v>
      </c>
      <c r="AN1298">
        <v>2</v>
      </c>
      <c r="AO1298" t="s">
        <v>61</v>
      </c>
      <c r="AP1298">
        <v>80</v>
      </c>
      <c r="AQ1298">
        <v>0</v>
      </c>
      <c r="AR1298">
        <v>9</v>
      </c>
      <c r="AS1298" t="str">
        <f t="shared" si="310"/>
        <v>6-10</v>
      </c>
      <c r="AT1298">
        <v>3</v>
      </c>
      <c r="AU1298" t="str">
        <f t="shared" si="311"/>
        <v>3-4</v>
      </c>
      <c r="AV1298">
        <v>3</v>
      </c>
      <c r="AW1298" t="s">
        <v>79</v>
      </c>
      <c r="AX1298">
        <v>7</v>
      </c>
      <c r="AY1298" t="str">
        <f t="shared" si="300"/>
        <v>6-10</v>
      </c>
      <c r="AZ1298">
        <v>7</v>
      </c>
      <c r="BA1298" t="str">
        <f t="shared" si="312"/>
        <v>6-10</v>
      </c>
      <c r="BB1298">
        <v>0</v>
      </c>
      <c r="BC1298" t="str">
        <f t="shared" si="313"/>
        <v>0-1</v>
      </c>
      <c r="BD1298">
        <v>2</v>
      </c>
      <c r="BE1298" t="str">
        <f t="shared" si="314"/>
        <v>2-5</v>
      </c>
    </row>
    <row r="1299" spans="1:57" x14ac:dyDescent="0.3">
      <c r="A1299">
        <v>1818</v>
      </c>
      <c r="B1299">
        <v>26</v>
      </c>
      <c r="C1299" t="str">
        <f t="shared" si="301"/>
        <v>26-35</v>
      </c>
      <c r="D1299" t="s">
        <v>56</v>
      </c>
      <c r="E1299">
        <f t="shared" si="302"/>
        <v>1</v>
      </c>
      <c r="F1299" t="s">
        <v>57</v>
      </c>
      <c r="G1299">
        <v>920</v>
      </c>
      <c r="H1299" t="str">
        <f t="shared" si="303"/>
        <v>501-1000</v>
      </c>
      <c r="I1299" t="s">
        <v>97</v>
      </c>
      <c r="J1299">
        <v>20</v>
      </c>
      <c r="K1299" t="str">
        <f t="shared" si="304"/>
        <v>11-20</v>
      </c>
      <c r="L1299">
        <v>2</v>
      </c>
      <c r="M1299" t="s">
        <v>59</v>
      </c>
      <c r="N1299" t="s">
        <v>83</v>
      </c>
      <c r="O1299">
        <v>1</v>
      </c>
      <c r="P1299">
        <v>4</v>
      </c>
      <c r="Q1299" t="s">
        <v>65</v>
      </c>
      <c r="R1299" t="s">
        <v>62</v>
      </c>
      <c r="S1299">
        <v>69</v>
      </c>
      <c r="T1299" t="str">
        <f t="shared" si="305"/>
        <v>51-75</v>
      </c>
      <c r="U1299">
        <v>3</v>
      </c>
      <c r="V1299" t="s">
        <v>63</v>
      </c>
      <c r="W1299">
        <v>1</v>
      </c>
      <c r="X1299" t="s">
        <v>97</v>
      </c>
      <c r="Y1299">
        <v>2</v>
      </c>
      <c r="Z1299" t="s">
        <v>61</v>
      </c>
      <c r="AA1299" t="s">
        <v>77</v>
      </c>
      <c r="AB1299" s="4">
        <v>2148</v>
      </c>
      <c r="AC1299" s="4" t="str">
        <f t="shared" si="306"/>
        <v>$1,000-$2,500</v>
      </c>
      <c r="AD1299">
        <v>6889</v>
      </c>
      <c r="AE1299" t="str">
        <f t="shared" si="307"/>
        <v>$2,094-$8,000</v>
      </c>
      <c r="AF1299">
        <v>0</v>
      </c>
      <c r="AG1299" t="str">
        <f t="shared" si="308"/>
        <v>0-1</v>
      </c>
      <c r="AH1299" t="s">
        <v>67</v>
      </c>
      <c r="AI1299" t="s">
        <v>56</v>
      </c>
      <c r="AJ1299">
        <v>11</v>
      </c>
      <c r="AK1299" t="str">
        <f t="shared" si="309"/>
        <v>11-12%</v>
      </c>
      <c r="AL1299">
        <v>3</v>
      </c>
      <c r="AM1299" t="s">
        <v>68</v>
      </c>
      <c r="AN1299">
        <v>3</v>
      </c>
      <c r="AO1299" t="s">
        <v>63</v>
      </c>
      <c r="AP1299">
        <v>80</v>
      </c>
      <c r="AQ1299">
        <v>0</v>
      </c>
      <c r="AR1299">
        <v>6</v>
      </c>
      <c r="AS1299" t="str">
        <f t="shared" si="310"/>
        <v>6-10</v>
      </c>
      <c r="AT1299">
        <v>3</v>
      </c>
      <c r="AU1299" t="str">
        <f t="shared" si="311"/>
        <v>3-4</v>
      </c>
      <c r="AV1299">
        <v>3</v>
      </c>
      <c r="AW1299" t="s">
        <v>79</v>
      </c>
      <c r="AX1299">
        <v>5</v>
      </c>
      <c r="AY1299" t="str">
        <f t="shared" si="300"/>
        <v>2-5</v>
      </c>
      <c r="AZ1299">
        <v>1</v>
      </c>
      <c r="BA1299" t="str">
        <f t="shared" si="312"/>
        <v>0-1</v>
      </c>
      <c r="BB1299">
        <v>1</v>
      </c>
      <c r="BC1299" t="str">
        <f t="shared" si="313"/>
        <v>0-1</v>
      </c>
      <c r="BD1299">
        <v>4</v>
      </c>
      <c r="BE1299" t="str">
        <f t="shared" si="314"/>
        <v>2-5</v>
      </c>
    </row>
    <row r="1300" spans="1:57" x14ac:dyDescent="0.3">
      <c r="A1300">
        <v>1821</v>
      </c>
      <c r="B1300">
        <v>46</v>
      </c>
      <c r="C1300" t="str">
        <f t="shared" si="301"/>
        <v>46-55</v>
      </c>
      <c r="D1300" t="s">
        <v>56</v>
      </c>
      <c r="E1300">
        <f t="shared" si="302"/>
        <v>1</v>
      </c>
      <c r="F1300" t="s">
        <v>57</v>
      </c>
      <c r="G1300">
        <v>261</v>
      </c>
      <c r="H1300" t="str">
        <f t="shared" si="303"/>
        <v>102-500</v>
      </c>
      <c r="I1300" t="s">
        <v>73</v>
      </c>
      <c r="J1300">
        <v>21</v>
      </c>
      <c r="K1300" t="str">
        <f t="shared" si="304"/>
        <v>21-29</v>
      </c>
      <c r="L1300">
        <v>2</v>
      </c>
      <c r="M1300" t="s">
        <v>59</v>
      </c>
      <c r="N1300" t="s">
        <v>83</v>
      </c>
      <c r="O1300">
        <v>1</v>
      </c>
      <c r="P1300">
        <v>4</v>
      </c>
      <c r="Q1300" t="s">
        <v>65</v>
      </c>
      <c r="R1300" t="s">
        <v>62</v>
      </c>
      <c r="S1300">
        <v>66</v>
      </c>
      <c r="T1300" t="str">
        <f t="shared" si="305"/>
        <v>51-75</v>
      </c>
      <c r="U1300">
        <v>3</v>
      </c>
      <c r="V1300" t="s">
        <v>63</v>
      </c>
      <c r="W1300">
        <v>2</v>
      </c>
      <c r="X1300" t="s">
        <v>88</v>
      </c>
      <c r="Y1300">
        <v>2</v>
      </c>
      <c r="Z1300" t="s">
        <v>61</v>
      </c>
      <c r="AA1300" t="s">
        <v>77</v>
      </c>
      <c r="AB1300" s="4">
        <v>8926</v>
      </c>
      <c r="AC1300" s="4" t="str">
        <f t="shared" si="306"/>
        <v>$8,500-$10,000</v>
      </c>
      <c r="AD1300">
        <v>10842</v>
      </c>
      <c r="AE1300" t="str">
        <f t="shared" si="307"/>
        <v>$8,001-$16,000</v>
      </c>
      <c r="AF1300">
        <v>4</v>
      </c>
      <c r="AG1300" t="str">
        <f t="shared" si="308"/>
        <v>4-6</v>
      </c>
      <c r="AH1300" t="s">
        <v>67</v>
      </c>
      <c r="AI1300" t="s">
        <v>71</v>
      </c>
      <c r="AJ1300">
        <v>22</v>
      </c>
      <c r="AK1300" t="str">
        <f t="shared" si="309"/>
        <v>18-19%</v>
      </c>
      <c r="AL1300">
        <v>4</v>
      </c>
      <c r="AM1300" t="s">
        <v>78</v>
      </c>
      <c r="AN1300">
        <v>4</v>
      </c>
      <c r="AO1300" t="s">
        <v>65</v>
      </c>
      <c r="AP1300">
        <v>80</v>
      </c>
      <c r="AQ1300">
        <v>1</v>
      </c>
      <c r="AR1300">
        <v>13</v>
      </c>
      <c r="AS1300" t="str">
        <f t="shared" si="310"/>
        <v>11-20</v>
      </c>
      <c r="AT1300">
        <v>2</v>
      </c>
      <c r="AU1300" t="str">
        <f t="shared" si="311"/>
        <v>0-2</v>
      </c>
      <c r="AV1300">
        <v>4</v>
      </c>
      <c r="AW1300" t="s">
        <v>94</v>
      </c>
      <c r="AX1300">
        <v>9</v>
      </c>
      <c r="AY1300" t="str">
        <f t="shared" si="300"/>
        <v>6-10</v>
      </c>
      <c r="AZ1300">
        <v>7</v>
      </c>
      <c r="BA1300" t="str">
        <f t="shared" si="312"/>
        <v>6-10</v>
      </c>
      <c r="BB1300">
        <v>3</v>
      </c>
      <c r="BC1300" t="str">
        <f t="shared" si="313"/>
        <v>2-5</v>
      </c>
      <c r="BD1300">
        <v>7</v>
      </c>
      <c r="BE1300" t="str">
        <f t="shared" si="314"/>
        <v>6-10</v>
      </c>
    </row>
    <row r="1301" spans="1:57" x14ac:dyDescent="0.3">
      <c r="A1301">
        <v>1822</v>
      </c>
      <c r="B1301">
        <v>40</v>
      </c>
      <c r="C1301" t="str">
        <f t="shared" si="301"/>
        <v>36-45</v>
      </c>
      <c r="D1301" t="s">
        <v>71</v>
      </c>
      <c r="E1301">
        <f t="shared" si="302"/>
        <v>0</v>
      </c>
      <c r="F1301" t="s">
        <v>57</v>
      </c>
      <c r="G1301">
        <v>1194</v>
      </c>
      <c r="H1301" t="str">
        <f t="shared" si="303"/>
        <v>1001-1499</v>
      </c>
      <c r="I1301" t="s">
        <v>73</v>
      </c>
      <c r="J1301">
        <v>1</v>
      </c>
      <c r="K1301" t="str">
        <f t="shared" si="304"/>
        <v>1-5</v>
      </c>
      <c r="L1301">
        <v>3</v>
      </c>
      <c r="M1301" t="s">
        <v>85</v>
      </c>
      <c r="N1301" t="s">
        <v>60</v>
      </c>
      <c r="O1301">
        <v>1</v>
      </c>
      <c r="P1301">
        <v>3</v>
      </c>
      <c r="Q1301" t="s">
        <v>63</v>
      </c>
      <c r="R1301" t="s">
        <v>62</v>
      </c>
      <c r="S1301">
        <v>52</v>
      </c>
      <c r="T1301" t="str">
        <f t="shared" si="305"/>
        <v>51-75</v>
      </c>
      <c r="U1301">
        <v>3</v>
      </c>
      <c r="V1301" t="s">
        <v>63</v>
      </c>
      <c r="W1301">
        <v>2</v>
      </c>
      <c r="X1301" t="s">
        <v>88</v>
      </c>
      <c r="Y1301">
        <v>4</v>
      </c>
      <c r="Z1301" t="s">
        <v>65</v>
      </c>
      <c r="AA1301" t="s">
        <v>86</v>
      </c>
      <c r="AB1301" s="4">
        <v>6513</v>
      </c>
      <c r="AC1301" s="4" t="str">
        <f t="shared" si="306"/>
        <v>$5,500-$7,000</v>
      </c>
      <c r="AD1301">
        <v>9060</v>
      </c>
      <c r="AE1301" t="str">
        <f t="shared" si="307"/>
        <v>$8,001-$16,000</v>
      </c>
      <c r="AF1301">
        <v>4</v>
      </c>
      <c r="AG1301" t="str">
        <f t="shared" si="308"/>
        <v>4-6</v>
      </c>
      <c r="AH1301" t="s">
        <v>67</v>
      </c>
      <c r="AI1301" t="s">
        <v>71</v>
      </c>
      <c r="AJ1301">
        <v>17</v>
      </c>
      <c r="AK1301" t="str">
        <f t="shared" si="309"/>
        <v>16-17%</v>
      </c>
      <c r="AL1301">
        <v>3</v>
      </c>
      <c r="AM1301" t="s">
        <v>68</v>
      </c>
      <c r="AN1301">
        <v>4</v>
      </c>
      <c r="AO1301" t="s">
        <v>65</v>
      </c>
      <c r="AP1301">
        <v>80</v>
      </c>
      <c r="AQ1301">
        <v>1</v>
      </c>
      <c r="AR1301">
        <v>12</v>
      </c>
      <c r="AS1301" t="str">
        <f t="shared" si="310"/>
        <v>11-20</v>
      </c>
      <c r="AT1301">
        <v>3</v>
      </c>
      <c r="AU1301" t="str">
        <f t="shared" si="311"/>
        <v>3-4</v>
      </c>
      <c r="AV1301">
        <v>3</v>
      </c>
      <c r="AW1301" t="s">
        <v>79</v>
      </c>
      <c r="AX1301">
        <v>5</v>
      </c>
      <c r="AY1301" t="str">
        <f t="shared" si="300"/>
        <v>2-5</v>
      </c>
      <c r="AZ1301">
        <v>3</v>
      </c>
      <c r="BA1301" t="str">
        <f t="shared" si="312"/>
        <v>2-5</v>
      </c>
      <c r="BB1301">
        <v>0</v>
      </c>
      <c r="BC1301" t="str">
        <f t="shared" si="313"/>
        <v>0-1</v>
      </c>
      <c r="BD1301">
        <v>3</v>
      </c>
      <c r="BE1301" t="str">
        <f t="shared" si="314"/>
        <v>2-5</v>
      </c>
    </row>
    <row r="1302" spans="1:57" x14ac:dyDescent="0.3">
      <c r="A1302">
        <v>1823</v>
      </c>
      <c r="B1302">
        <v>34</v>
      </c>
      <c r="C1302" t="str">
        <f t="shared" si="301"/>
        <v>26-35</v>
      </c>
      <c r="D1302" t="s">
        <v>71</v>
      </c>
      <c r="E1302">
        <f t="shared" si="302"/>
        <v>0</v>
      </c>
      <c r="F1302" t="s">
        <v>57</v>
      </c>
      <c r="G1302">
        <v>810</v>
      </c>
      <c r="H1302" t="str">
        <f t="shared" si="303"/>
        <v>501-1000</v>
      </c>
      <c r="I1302" t="s">
        <v>58</v>
      </c>
      <c r="J1302">
        <v>8</v>
      </c>
      <c r="K1302" t="str">
        <f t="shared" si="304"/>
        <v>6-10</v>
      </c>
      <c r="L1302">
        <v>2</v>
      </c>
      <c r="M1302" t="s">
        <v>59</v>
      </c>
      <c r="N1302" t="s">
        <v>95</v>
      </c>
      <c r="O1302">
        <v>1</v>
      </c>
      <c r="P1302">
        <v>2</v>
      </c>
      <c r="Q1302" t="s">
        <v>61</v>
      </c>
      <c r="R1302" t="s">
        <v>75</v>
      </c>
      <c r="S1302">
        <v>92</v>
      </c>
      <c r="T1302" t="str">
        <f t="shared" si="305"/>
        <v>76-100</v>
      </c>
      <c r="U1302">
        <v>4</v>
      </c>
      <c r="V1302" t="s">
        <v>65</v>
      </c>
      <c r="W1302">
        <v>2</v>
      </c>
      <c r="X1302" t="s">
        <v>64</v>
      </c>
      <c r="Y1302">
        <v>3</v>
      </c>
      <c r="Z1302" t="s">
        <v>63</v>
      </c>
      <c r="AA1302" t="s">
        <v>77</v>
      </c>
      <c r="AB1302" s="4">
        <v>6799</v>
      </c>
      <c r="AC1302" s="4" t="str">
        <f t="shared" si="306"/>
        <v>$5,500-$7,000</v>
      </c>
      <c r="AD1302">
        <v>22128</v>
      </c>
      <c r="AE1302" t="str">
        <f t="shared" si="307"/>
        <v>$22,001-$26,999</v>
      </c>
      <c r="AF1302">
        <v>1</v>
      </c>
      <c r="AG1302" t="str">
        <f t="shared" si="308"/>
        <v>0-1</v>
      </c>
      <c r="AH1302" t="s">
        <v>67</v>
      </c>
      <c r="AI1302" t="s">
        <v>71</v>
      </c>
      <c r="AJ1302">
        <v>21</v>
      </c>
      <c r="AK1302" t="str">
        <f t="shared" si="309"/>
        <v>18-19%</v>
      </c>
      <c r="AL1302">
        <v>4</v>
      </c>
      <c r="AM1302" t="s">
        <v>78</v>
      </c>
      <c r="AN1302">
        <v>3</v>
      </c>
      <c r="AO1302" t="s">
        <v>63</v>
      </c>
      <c r="AP1302">
        <v>80</v>
      </c>
      <c r="AQ1302">
        <v>2</v>
      </c>
      <c r="AR1302">
        <v>10</v>
      </c>
      <c r="AS1302" t="str">
        <f t="shared" si="310"/>
        <v>6-10</v>
      </c>
      <c r="AT1302">
        <v>5</v>
      </c>
      <c r="AU1302" t="str">
        <f t="shared" si="311"/>
        <v>5-6</v>
      </c>
      <c r="AV1302">
        <v>3</v>
      </c>
      <c r="AW1302" t="s">
        <v>79</v>
      </c>
      <c r="AX1302">
        <v>10</v>
      </c>
      <c r="AY1302" t="str">
        <f t="shared" si="300"/>
        <v>6-10</v>
      </c>
      <c r="AZ1302">
        <v>8</v>
      </c>
      <c r="BA1302" t="str">
        <f t="shared" si="312"/>
        <v>6-10</v>
      </c>
      <c r="BB1302">
        <v>4</v>
      </c>
      <c r="BC1302" t="str">
        <f t="shared" si="313"/>
        <v>2-5</v>
      </c>
      <c r="BD1302">
        <v>8</v>
      </c>
      <c r="BE1302" t="str">
        <f t="shared" si="314"/>
        <v>6-10</v>
      </c>
    </row>
    <row r="1303" spans="1:57" x14ac:dyDescent="0.3">
      <c r="A1303">
        <v>1824</v>
      </c>
      <c r="B1303">
        <v>58</v>
      </c>
      <c r="C1303" t="str">
        <f t="shared" si="301"/>
        <v>56+</v>
      </c>
      <c r="D1303" t="s">
        <v>71</v>
      </c>
      <c r="E1303">
        <f t="shared" si="302"/>
        <v>0</v>
      </c>
      <c r="F1303" t="s">
        <v>89</v>
      </c>
      <c r="G1303">
        <v>350</v>
      </c>
      <c r="H1303" t="str">
        <f t="shared" si="303"/>
        <v>102-500</v>
      </c>
      <c r="I1303" t="s">
        <v>58</v>
      </c>
      <c r="J1303">
        <v>2</v>
      </c>
      <c r="K1303" t="str">
        <f t="shared" si="304"/>
        <v>1-5</v>
      </c>
      <c r="L1303">
        <v>3</v>
      </c>
      <c r="M1303" t="s">
        <v>85</v>
      </c>
      <c r="N1303" t="s">
        <v>83</v>
      </c>
      <c r="O1303">
        <v>1</v>
      </c>
      <c r="P1303">
        <v>2</v>
      </c>
      <c r="Q1303" t="s">
        <v>61</v>
      </c>
      <c r="R1303" t="s">
        <v>75</v>
      </c>
      <c r="S1303">
        <v>52</v>
      </c>
      <c r="T1303" t="str">
        <f t="shared" si="305"/>
        <v>51-75</v>
      </c>
      <c r="U1303">
        <v>3</v>
      </c>
      <c r="V1303" t="s">
        <v>63</v>
      </c>
      <c r="W1303">
        <v>4</v>
      </c>
      <c r="X1303" t="s">
        <v>90</v>
      </c>
      <c r="Y1303">
        <v>2</v>
      </c>
      <c r="Z1303" t="s">
        <v>61</v>
      </c>
      <c r="AA1303" t="s">
        <v>86</v>
      </c>
      <c r="AB1303" s="4">
        <v>16291</v>
      </c>
      <c r="AC1303" s="4" t="str">
        <f t="shared" si="306"/>
        <v>$16,000-$17,500</v>
      </c>
      <c r="AD1303">
        <v>22577</v>
      </c>
      <c r="AE1303" t="str">
        <f t="shared" si="307"/>
        <v>$22,001-$26,999</v>
      </c>
      <c r="AF1303">
        <v>4</v>
      </c>
      <c r="AG1303" t="str">
        <f t="shared" si="308"/>
        <v>4-6</v>
      </c>
      <c r="AH1303" t="s">
        <v>67</v>
      </c>
      <c r="AI1303" t="s">
        <v>71</v>
      </c>
      <c r="AJ1303">
        <v>22</v>
      </c>
      <c r="AK1303" t="str">
        <f t="shared" si="309"/>
        <v>18-19%</v>
      </c>
      <c r="AL1303">
        <v>4</v>
      </c>
      <c r="AM1303" t="s">
        <v>78</v>
      </c>
      <c r="AN1303">
        <v>4</v>
      </c>
      <c r="AO1303" t="s">
        <v>65</v>
      </c>
      <c r="AP1303">
        <v>80</v>
      </c>
      <c r="AQ1303">
        <v>1</v>
      </c>
      <c r="AR1303">
        <v>37</v>
      </c>
      <c r="AS1303" t="str">
        <f t="shared" si="310"/>
        <v>21-40</v>
      </c>
      <c r="AT1303">
        <v>0</v>
      </c>
      <c r="AU1303" t="str">
        <f t="shared" si="311"/>
        <v>0-2</v>
      </c>
      <c r="AV1303">
        <v>2</v>
      </c>
      <c r="AW1303" t="s">
        <v>84</v>
      </c>
      <c r="AX1303">
        <v>16</v>
      </c>
      <c r="AY1303" t="str">
        <f t="shared" si="300"/>
        <v>11-20</v>
      </c>
      <c r="AZ1303">
        <v>9</v>
      </c>
      <c r="BA1303" t="str">
        <f t="shared" si="312"/>
        <v>6-10</v>
      </c>
      <c r="BB1303">
        <v>14</v>
      </c>
      <c r="BC1303" t="str">
        <f t="shared" si="313"/>
        <v>11-15</v>
      </c>
      <c r="BD1303">
        <v>14</v>
      </c>
      <c r="BE1303" t="str">
        <f t="shared" si="314"/>
        <v>11-17</v>
      </c>
    </row>
    <row r="1304" spans="1:57" x14ac:dyDescent="0.3">
      <c r="A1304">
        <v>1826</v>
      </c>
      <c r="B1304">
        <v>35</v>
      </c>
      <c r="C1304" t="str">
        <f t="shared" si="301"/>
        <v>26-35</v>
      </c>
      <c r="D1304" t="s">
        <v>71</v>
      </c>
      <c r="E1304">
        <f t="shared" si="302"/>
        <v>0</v>
      </c>
      <c r="F1304" t="s">
        <v>57</v>
      </c>
      <c r="G1304">
        <v>185</v>
      </c>
      <c r="H1304" t="str">
        <f t="shared" si="303"/>
        <v>102-500</v>
      </c>
      <c r="I1304" t="s">
        <v>73</v>
      </c>
      <c r="J1304">
        <v>23</v>
      </c>
      <c r="K1304" t="str">
        <f t="shared" si="304"/>
        <v>21-29</v>
      </c>
      <c r="L1304">
        <v>4</v>
      </c>
      <c r="M1304" t="s">
        <v>82</v>
      </c>
      <c r="N1304" t="s">
        <v>83</v>
      </c>
      <c r="O1304">
        <v>1</v>
      </c>
      <c r="P1304">
        <v>2</v>
      </c>
      <c r="Q1304" t="s">
        <v>61</v>
      </c>
      <c r="R1304" t="s">
        <v>75</v>
      </c>
      <c r="S1304">
        <v>91</v>
      </c>
      <c r="T1304" t="str">
        <f t="shared" si="305"/>
        <v>76-100</v>
      </c>
      <c r="U1304">
        <v>1</v>
      </c>
      <c r="V1304" t="s">
        <v>69</v>
      </c>
      <c r="W1304">
        <v>1</v>
      </c>
      <c r="X1304" t="s">
        <v>81</v>
      </c>
      <c r="Y1304">
        <v>3</v>
      </c>
      <c r="Z1304" t="s">
        <v>63</v>
      </c>
      <c r="AA1304" t="s">
        <v>77</v>
      </c>
      <c r="AB1304" s="4">
        <v>2705</v>
      </c>
      <c r="AC1304" s="4" t="str">
        <f t="shared" si="306"/>
        <v>$2,500-$4,000</v>
      </c>
      <c r="AD1304">
        <v>9696</v>
      </c>
      <c r="AE1304" t="str">
        <f t="shared" si="307"/>
        <v>$8,001-$16,000</v>
      </c>
      <c r="AF1304">
        <v>0</v>
      </c>
      <c r="AG1304" t="str">
        <f t="shared" si="308"/>
        <v>0-1</v>
      </c>
      <c r="AH1304" t="s">
        <v>67</v>
      </c>
      <c r="AI1304" t="s">
        <v>71</v>
      </c>
      <c r="AJ1304">
        <v>16</v>
      </c>
      <c r="AK1304" t="str">
        <f t="shared" si="309"/>
        <v>16-17%</v>
      </c>
      <c r="AL1304">
        <v>3</v>
      </c>
      <c r="AM1304" t="s">
        <v>68</v>
      </c>
      <c r="AN1304">
        <v>2</v>
      </c>
      <c r="AO1304" t="s">
        <v>61</v>
      </c>
      <c r="AP1304">
        <v>80</v>
      </c>
      <c r="AQ1304">
        <v>1</v>
      </c>
      <c r="AR1304">
        <v>6</v>
      </c>
      <c r="AS1304" t="str">
        <f t="shared" si="310"/>
        <v>6-10</v>
      </c>
      <c r="AT1304">
        <v>2</v>
      </c>
      <c r="AU1304" t="str">
        <f t="shared" si="311"/>
        <v>0-2</v>
      </c>
      <c r="AV1304">
        <v>4</v>
      </c>
      <c r="AW1304" t="s">
        <v>94</v>
      </c>
      <c r="AX1304">
        <v>5</v>
      </c>
      <c r="AY1304" t="str">
        <f t="shared" si="300"/>
        <v>2-5</v>
      </c>
      <c r="AZ1304">
        <v>4</v>
      </c>
      <c r="BA1304" t="str">
        <f t="shared" si="312"/>
        <v>2-5</v>
      </c>
      <c r="BB1304">
        <v>0</v>
      </c>
      <c r="BC1304" t="str">
        <f t="shared" si="313"/>
        <v>0-1</v>
      </c>
      <c r="BD1304">
        <v>3</v>
      </c>
      <c r="BE1304" t="str">
        <f t="shared" si="314"/>
        <v>2-5</v>
      </c>
    </row>
    <row r="1305" spans="1:57" x14ac:dyDescent="0.3">
      <c r="A1305">
        <v>1827</v>
      </c>
      <c r="B1305">
        <v>47</v>
      </c>
      <c r="C1305" t="str">
        <f t="shared" si="301"/>
        <v>46-55</v>
      </c>
      <c r="D1305" t="s">
        <v>71</v>
      </c>
      <c r="E1305">
        <f t="shared" si="302"/>
        <v>0</v>
      </c>
      <c r="F1305" t="s">
        <v>57</v>
      </c>
      <c r="G1305">
        <v>1001</v>
      </c>
      <c r="H1305" t="str">
        <f t="shared" si="303"/>
        <v>1001-1499</v>
      </c>
      <c r="I1305" t="s">
        <v>73</v>
      </c>
      <c r="J1305">
        <v>4</v>
      </c>
      <c r="K1305" t="str">
        <f t="shared" si="304"/>
        <v>1-5</v>
      </c>
      <c r="L1305">
        <v>3</v>
      </c>
      <c r="M1305" t="s">
        <v>85</v>
      </c>
      <c r="N1305" t="s">
        <v>60</v>
      </c>
      <c r="O1305">
        <v>1</v>
      </c>
      <c r="P1305">
        <v>3</v>
      </c>
      <c r="Q1305" t="s">
        <v>63</v>
      </c>
      <c r="R1305" t="s">
        <v>62</v>
      </c>
      <c r="S1305">
        <v>92</v>
      </c>
      <c r="T1305" t="str">
        <f t="shared" si="305"/>
        <v>76-100</v>
      </c>
      <c r="U1305">
        <v>2</v>
      </c>
      <c r="V1305" t="s">
        <v>61</v>
      </c>
      <c r="W1305">
        <v>3</v>
      </c>
      <c r="X1305" t="s">
        <v>87</v>
      </c>
      <c r="Y1305">
        <v>2</v>
      </c>
      <c r="Z1305" t="s">
        <v>61</v>
      </c>
      <c r="AA1305" t="s">
        <v>86</v>
      </c>
      <c r="AB1305" s="4">
        <v>10333</v>
      </c>
      <c r="AC1305" s="4" t="str">
        <f t="shared" si="306"/>
        <v>$10,000-$11,500</v>
      </c>
      <c r="AD1305">
        <v>19271</v>
      </c>
      <c r="AE1305" t="str">
        <f t="shared" si="307"/>
        <v>$16,001-$22,000</v>
      </c>
      <c r="AF1305">
        <v>8</v>
      </c>
      <c r="AG1305" t="str">
        <f t="shared" si="308"/>
        <v>7-9</v>
      </c>
      <c r="AH1305" t="s">
        <v>67</v>
      </c>
      <c r="AI1305" t="s">
        <v>56</v>
      </c>
      <c r="AJ1305">
        <v>12</v>
      </c>
      <c r="AK1305" t="str">
        <f t="shared" si="309"/>
        <v>11-12%</v>
      </c>
      <c r="AL1305">
        <v>3</v>
      </c>
      <c r="AM1305" t="s">
        <v>68</v>
      </c>
      <c r="AN1305">
        <v>3</v>
      </c>
      <c r="AO1305" t="s">
        <v>63</v>
      </c>
      <c r="AP1305">
        <v>80</v>
      </c>
      <c r="AQ1305">
        <v>1</v>
      </c>
      <c r="AR1305">
        <v>28</v>
      </c>
      <c r="AS1305" t="str">
        <f t="shared" si="310"/>
        <v>21-40</v>
      </c>
      <c r="AT1305">
        <v>4</v>
      </c>
      <c r="AU1305" t="str">
        <f t="shared" si="311"/>
        <v>3-4</v>
      </c>
      <c r="AV1305">
        <v>3</v>
      </c>
      <c r="AW1305" t="s">
        <v>79</v>
      </c>
      <c r="AX1305">
        <v>22</v>
      </c>
      <c r="AY1305" t="str">
        <f t="shared" si="300"/>
        <v>21-40</v>
      </c>
      <c r="AZ1305">
        <v>11</v>
      </c>
      <c r="BA1305" t="str">
        <f t="shared" si="312"/>
        <v>11-18</v>
      </c>
      <c r="BB1305">
        <v>14</v>
      </c>
      <c r="BC1305" t="str">
        <f t="shared" si="313"/>
        <v>11-15</v>
      </c>
      <c r="BD1305">
        <v>10</v>
      </c>
      <c r="BE1305" t="str">
        <f t="shared" si="314"/>
        <v>6-10</v>
      </c>
    </row>
    <row r="1306" spans="1:57" x14ac:dyDescent="0.3">
      <c r="A1306">
        <v>1829</v>
      </c>
      <c r="B1306">
        <v>40</v>
      </c>
      <c r="C1306" t="str">
        <f t="shared" si="301"/>
        <v>36-45</v>
      </c>
      <c r="D1306" t="s">
        <v>71</v>
      </c>
      <c r="E1306">
        <f t="shared" si="302"/>
        <v>0</v>
      </c>
      <c r="F1306" t="s">
        <v>57</v>
      </c>
      <c r="G1306">
        <v>750</v>
      </c>
      <c r="H1306" t="str">
        <f t="shared" si="303"/>
        <v>501-1000</v>
      </c>
      <c r="I1306" t="s">
        <v>73</v>
      </c>
      <c r="J1306">
        <v>12</v>
      </c>
      <c r="K1306" t="str">
        <f t="shared" si="304"/>
        <v>11-20</v>
      </c>
      <c r="L1306">
        <v>3</v>
      </c>
      <c r="M1306" t="s">
        <v>85</v>
      </c>
      <c r="N1306" t="s">
        <v>60</v>
      </c>
      <c r="O1306">
        <v>1</v>
      </c>
      <c r="P1306">
        <v>2</v>
      </c>
      <c r="Q1306" t="s">
        <v>61</v>
      </c>
      <c r="R1306" t="s">
        <v>62</v>
      </c>
      <c r="S1306">
        <v>47</v>
      </c>
      <c r="T1306" t="str">
        <f t="shared" si="305"/>
        <v>30-50</v>
      </c>
      <c r="U1306">
        <v>3</v>
      </c>
      <c r="V1306" t="s">
        <v>63</v>
      </c>
      <c r="W1306">
        <v>2</v>
      </c>
      <c r="X1306" t="s">
        <v>88</v>
      </c>
      <c r="Y1306">
        <v>1</v>
      </c>
      <c r="Z1306" t="s">
        <v>69</v>
      </c>
      <c r="AA1306" t="s">
        <v>86</v>
      </c>
      <c r="AB1306" s="4">
        <v>4448</v>
      </c>
      <c r="AC1306" s="4" t="str">
        <f t="shared" si="306"/>
        <v>$4,000-$5,500</v>
      </c>
      <c r="AD1306">
        <v>10748</v>
      </c>
      <c r="AE1306" t="str">
        <f t="shared" si="307"/>
        <v>$8,001-$16,000</v>
      </c>
      <c r="AF1306">
        <v>2</v>
      </c>
      <c r="AG1306" t="str">
        <f t="shared" si="308"/>
        <v>2-3</v>
      </c>
      <c r="AH1306" t="s">
        <v>67</v>
      </c>
      <c r="AI1306" t="s">
        <v>71</v>
      </c>
      <c r="AJ1306">
        <v>12</v>
      </c>
      <c r="AK1306" t="str">
        <f t="shared" si="309"/>
        <v>11-12%</v>
      </c>
      <c r="AL1306">
        <v>3</v>
      </c>
      <c r="AM1306" t="s">
        <v>68</v>
      </c>
      <c r="AN1306">
        <v>2</v>
      </c>
      <c r="AO1306" t="s">
        <v>61</v>
      </c>
      <c r="AP1306">
        <v>80</v>
      </c>
      <c r="AQ1306">
        <v>1</v>
      </c>
      <c r="AR1306">
        <v>15</v>
      </c>
      <c r="AS1306" t="str">
        <f t="shared" si="310"/>
        <v>11-20</v>
      </c>
      <c r="AT1306">
        <v>3</v>
      </c>
      <c r="AU1306" t="str">
        <f t="shared" si="311"/>
        <v>3-4</v>
      </c>
      <c r="AV1306">
        <v>3</v>
      </c>
      <c r="AW1306" t="s">
        <v>79</v>
      </c>
      <c r="AX1306">
        <v>7</v>
      </c>
      <c r="AY1306" t="str">
        <f t="shared" si="300"/>
        <v>6-10</v>
      </c>
      <c r="AZ1306">
        <v>4</v>
      </c>
      <c r="BA1306" t="str">
        <f t="shared" si="312"/>
        <v>2-5</v>
      </c>
      <c r="BB1306">
        <v>7</v>
      </c>
      <c r="BC1306" t="str">
        <f t="shared" si="313"/>
        <v>6-10</v>
      </c>
      <c r="BD1306">
        <v>7</v>
      </c>
      <c r="BE1306" t="str">
        <f t="shared" si="314"/>
        <v>6-10</v>
      </c>
    </row>
    <row r="1307" spans="1:57" x14ac:dyDescent="0.3">
      <c r="A1307">
        <v>1830</v>
      </c>
      <c r="B1307">
        <v>54</v>
      </c>
      <c r="C1307" t="str">
        <f t="shared" si="301"/>
        <v>46-55</v>
      </c>
      <c r="D1307" t="s">
        <v>71</v>
      </c>
      <c r="E1307">
        <f t="shared" si="302"/>
        <v>0</v>
      </c>
      <c r="F1307" t="s">
        <v>57</v>
      </c>
      <c r="G1307">
        <v>431</v>
      </c>
      <c r="H1307" t="str">
        <f t="shared" si="303"/>
        <v>102-500</v>
      </c>
      <c r="I1307" t="s">
        <v>73</v>
      </c>
      <c r="J1307">
        <v>7</v>
      </c>
      <c r="K1307" t="str">
        <f t="shared" si="304"/>
        <v>6-10</v>
      </c>
      <c r="L1307">
        <v>4</v>
      </c>
      <c r="M1307" t="s">
        <v>82</v>
      </c>
      <c r="N1307" t="s">
        <v>83</v>
      </c>
      <c r="O1307">
        <v>1</v>
      </c>
      <c r="P1307">
        <v>4</v>
      </c>
      <c r="Q1307" t="s">
        <v>65</v>
      </c>
      <c r="R1307" t="s">
        <v>62</v>
      </c>
      <c r="S1307">
        <v>68</v>
      </c>
      <c r="T1307" t="str">
        <f t="shared" si="305"/>
        <v>51-75</v>
      </c>
      <c r="U1307">
        <v>3</v>
      </c>
      <c r="V1307" t="s">
        <v>63</v>
      </c>
      <c r="W1307">
        <v>2</v>
      </c>
      <c r="X1307" t="s">
        <v>76</v>
      </c>
      <c r="Y1307">
        <v>4</v>
      </c>
      <c r="Z1307" t="s">
        <v>65</v>
      </c>
      <c r="AA1307" t="s">
        <v>77</v>
      </c>
      <c r="AB1307" s="4">
        <v>6854</v>
      </c>
      <c r="AC1307" s="4" t="str">
        <f t="shared" si="306"/>
        <v>$5,500-$7,000</v>
      </c>
      <c r="AD1307">
        <v>15696</v>
      </c>
      <c r="AE1307" t="str">
        <f t="shared" si="307"/>
        <v>$8,001-$16,000</v>
      </c>
      <c r="AF1307">
        <v>4</v>
      </c>
      <c r="AG1307" t="str">
        <f t="shared" si="308"/>
        <v>4-6</v>
      </c>
      <c r="AH1307" t="s">
        <v>67</v>
      </c>
      <c r="AI1307" t="s">
        <v>71</v>
      </c>
      <c r="AJ1307">
        <v>15</v>
      </c>
      <c r="AK1307" t="str">
        <f t="shared" si="309"/>
        <v>13-15%</v>
      </c>
      <c r="AL1307">
        <v>3</v>
      </c>
      <c r="AM1307" t="s">
        <v>68</v>
      </c>
      <c r="AN1307">
        <v>2</v>
      </c>
      <c r="AO1307" t="s">
        <v>61</v>
      </c>
      <c r="AP1307">
        <v>80</v>
      </c>
      <c r="AQ1307">
        <v>1</v>
      </c>
      <c r="AR1307">
        <v>14</v>
      </c>
      <c r="AS1307" t="str">
        <f t="shared" si="310"/>
        <v>11-20</v>
      </c>
      <c r="AT1307">
        <v>2</v>
      </c>
      <c r="AU1307" t="str">
        <f t="shared" si="311"/>
        <v>0-2</v>
      </c>
      <c r="AV1307">
        <v>2</v>
      </c>
      <c r="AW1307" t="s">
        <v>84</v>
      </c>
      <c r="AX1307">
        <v>7</v>
      </c>
      <c r="AY1307" t="str">
        <f t="shared" si="300"/>
        <v>6-10</v>
      </c>
      <c r="AZ1307">
        <v>1</v>
      </c>
      <c r="BA1307" t="str">
        <f t="shared" si="312"/>
        <v>0-1</v>
      </c>
      <c r="BB1307">
        <v>1</v>
      </c>
      <c r="BC1307" t="str">
        <f t="shared" si="313"/>
        <v>0-1</v>
      </c>
      <c r="BD1307">
        <v>7</v>
      </c>
      <c r="BE1307" t="str">
        <f t="shared" si="314"/>
        <v>6-10</v>
      </c>
    </row>
    <row r="1308" spans="1:57" x14ac:dyDescent="0.3">
      <c r="A1308">
        <v>1833</v>
      </c>
      <c r="B1308">
        <v>31</v>
      </c>
      <c r="C1308" t="str">
        <f t="shared" si="301"/>
        <v>26-35</v>
      </c>
      <c r="D1308" t="s">
        <v>71</v>
      </c>
      <c r="E1308">
        <f t="shared" si="302"/>
        <v>0</v>
      </c>
      <c r="F1308" t="s">
        <v>72</v>
      </c>
      <c r="G1308">
        <v>1125</v>
      </c>
      <c r="H1308" t="str">
        <f t="shared" si="303"/>
        <v>1001-1499</v>
      </c>
      <c r="I1308" t="s">
        <v>58</v>
      </c>
      <c r="J1308">
        <v>7</v>
      </c>
      <c r="K1308" t="str">
        <f t="shared" si="304"/>
        <v>6-10</v>
      </c>
      <c r="L1308">
        <v>4</v>
      </c>
      <c r="M1308" t="s">
        <v>82</v>
      </c>
      <c r="N1308" t="s">
        <v>93</v>
      </c>
      <c r="O1308">
        <v>1</v>
      </c>
      <c r="P1308">
        <v>1</v>
      </c>
      <c r="Q1308" t="s">
        <v>69</v>
      </c>
      <c r="R1308" t="s">
        <v>62</v>
      </c>
      <c r="S1308">
        <v>68</v>
      </c>
      <c r="T1308" t="str">
        <f t="shared" si="305"/>
        <v>51-75</v>
      </c>
      <c r="U1308">
        <v>3</v>
      </c>
      <c r="V1308" t="s">
        <v>63</v>
      </c>
      <c r="W1308">
        <v>3</v>
      </c>
      <c r="X1308" t="s">
        <v>64</v>
      </c>
      <c r="Y1308">
        <v>1</v>
      </c>
      <c r="Z1308" t="s">
        <v>69</v>
      </c>
      <c r="AA1308" t="s">
        <v>77</v>
      </c>
      <c r="AB1308" s="4">
        <v>9637</v>
      </c>
      <c r="AC1308" s="4" t="str">
        <f t="shared" si="306"/>
        <v>$8,500-$10,000</v>
      </c>
      <c r="AD1308">
        <v>8277</v>
      </c>
      <c r="AE1308" t="str">
        <f t="shared" si="307"/>
        <v>$8,001-$16,000</v>
      </c>
      <c r="AF1308">
        <v>2</v>
      </c>
      <c r="AG1308" t="str">
        <f t="shared" si="308"/>
        <v>2-3</v>
      </c>
      <c r="AH1308" t="s">
        <v>67</v>
      </c>
      <c r="AI1308" t="s">
        <v>71</v>
      </c>
      <c r="AJ1308">
        <v>14</v>
      </c>
      <c r="AK1308" t="str">
        <f t="shared" si="309"/>
        <v>13-15%</v>
      </c>
      <c r="AL1308">
        <v>3</v>
      </c>
      <c r="AM1308" t="s">
        <v>68</v>
      </c>
      <c r="AN1308">
        <v>4</v>
      </c>
      <c r="AO1308" t="s">
        <v>65</v>
      </c>
      <c r="AP1308">
        <v>80</v>
      </c>
      <c r="AQ1308">
        <v>2</v>
      </c>
      <c r="AR1308">
        <v>9</v>
      </c>
      <c r="AS1308" t="str">
        <f t="shared" si="310"/>
        <v>6-10</v>
      </c>
      <c r="AT1308">
        <v>3</v>
      </c>
      <c r="AU1308" t="str">
        <f t="shared" si="311"/>
        <v>3-4</v>
      </c>
      <c r="AV1308">
        <v>3</v>
      </c>
      <c r="AW1308" t="s">
        <v>79</v>
      </c>
      <c r="AX1308">
        <v>3</v>
      </c>
      <c r="AY1308" t="str">
        <f t="shared" si="300"/>
        <v>2-5</v>
      </c>
      <c r="AZ1308">
        <v>2</v>
      </c>
      <c r="BA1308" t="str">
        <f t="shared" si="312"/>
        <v>2-5</v>
      </c>
      <c r="BB1308">
        <v>2</v>
      </c>
      <c r="BC1308" t="str">
        <f t="shared" si="313"/>
        <v>2-5</v>
      </c>
      <c r="BD1308">
        <v>2</v>
      </c>
      <c r="BE1308" t="str">
        <f t="shared" si="314"/>
        <v>2-5</v>
      </c>
    </row>
    <row r="1309" spans="1:57" x14ac:dyDescent="0.3">
      <c r="A1309">
        <v>1834</v>
      </c>
      <c r="B1309">
        <v>28</v>
      </c>
      <c r="C1309" t="str">
        <f t="shared" si="301"/>
        <v>26-35</v>
      </c>
      <c r="D1309" t="s">
        <v>71</v>
      </c>
      <c r="E1309">
        <f t="shared" si="302"/>
        <v>0</v>
      </c>
      <c r="F1309" t="s">
        <v>57</v>
      </c>
      <c r="G1309">
        <v>1217</v>
      </c>
      <c r="H1309" t="str">
        <f t="shared" si="303"/>
        <v>1001-1499</v>
      </c>
      <c r="I1309" t="s">
        <v>73</v>
      </c>
      <c r="J1309">
        <v>1</v>
      </c>
      <c r="K1309" t="str">
        <f t="shared" si="304"/>
        <v>1-5</v>
      </c>
      <c r="L1309">
        <v>3</v>
      </c>
      <c r="M1309" t="s">
        <v>85</v>
      </c>
      <c r="N1309" t="s">
        <v>83</v>
      </c>
      <c r="O1309">
        <v>1</v>
      </c>
      <c r="P1309">
        <v>3</v>
      </c>
      <c r="Q1309" t="s">
        <v>63</v>
      </c>
      <c r="R1309" t="s">
        <v>62</v>
      </c>
      <c r="S1309">
        <v>67</v>
      </c>
      <c r="T1309" t="str">
        <f t="shared" si="305"/>
        <v>51-75</v>
      </c>
      <c r="U1309">
        <v>3</v>
      </c>
      <c r="V1309" t="s">
        <v>63</v>
      </c>
      <c r="W1309">
        <v>1</v>
      </c>
      <c r="X1309" t="s">
        <v>76</v>
      </c>
      <c r="Y1309">
        <v>1</v>
      </c>
      <c r="Z1309" t="s">
        <v>69</v>
      </c>
      <c r="AA1309" t="s">
        <v>77</v>
      </c>
      <c r="AB1309" s="4">
        <v>3591</v>
      </c>
      <c r="AC1309" s="4" t="str">
        <f t="shared" si="306"/>
        <v>$2,500-$4,000</v>
      </c>
      <c r="AD1309">
        <v>12719</v>
      </c>
      <c r="AE1309" t="str">
        <f t="shared" si="307"/>
        <v>$8,001-$16,000</v>
      </c>
      <c r="AF1309">
        <v>1</v>
      </c>
      <c r="AG1309" t="str">
        <f t="shared" si="308"/>
        <v>0-1</v>
      </c>
      <c r="AH1309" t="s">
        <v>67</v>
      </c>
      <c r="AI1309" t="s">
        <v>71</v>
      </c>
      <c r="AJ1309">
        <v>25</v>
      </c>
      <c r="AK1309" t="str">
        <f t="shared" si="309"/>
        <v>18-19%</v>
      </c>
      <c r="AL1309">
        <v>4</v>
      </c>
      <c r="AM1309" t="s">
        <v>78</v>
      </c>
      <c r="AN1309">
        <v>3</v>
      </c>
      <c r="AO1309" t="s">
        <v>63</v>
      </c>
      <c r="AP1309">
        <v>80</v>
      </c>
      <c r="AQ1309">
        <v>1</v>
      </c>
      <c r="AR1309">
        <v>3</v>
      </c>
      <c r="AS1309" t="str">
        <f t="shared" si="310"/>
        <v>3-5</v>
      </c>
      <c r="AT1309">
        <v>3</v>
      </c>
      <c r="AU1309" t="str">
        <f t="shared" si="311"/>
        <v>3-4</v>
      </c>
      <c r="AV1309">
        <v>3</v>
      </c>
      <c r="AW1309" t="s">
        <v>79</v>
      </c>
      <c r="AX1309">
        <v>3</v>
      </c>
      <c r="AY1309" t="str">
        <f t="shared" si="300"/>
        <v>2-5</v>
      </c>
      <c r="AZ1309">
        <v>2</v>
      </c>
      <c r="BA1309" t="str">
        <f t="shared" si="312"/>
        <v>2-5</v>
      </c>
      <c r="BB1309">
        <v>1</v>
      </c>
      <c r="BC1309" t="str">
        <f t="shared" si="313"/>
        <v>0-1</v>
      </c>
      <c r="BD1309">
        <v>2</v>
      </c>
      <c r="BE1309" t="str">
        <f t="shared" si="314"/>
        <v>2-5</v>
      </c>
    </row>
    <row r="1310" spans="1:57" x14ac:dyDescent="0.3">
      <c r="A1310">
        <v>1835</v>
      </c>
      <c r="B1310">
        <v>38</v>
      </c>
      <c r="C1310" t="str">
        <f t="shared" si="301"/>
        <v>36-45</v>
      </c>
      <c r="D1310" t="s">
        <v>71</v>
      </c>
      <c r="E1310">
        <f t="shared" si="302"/>
        <v>0</v>
      </c>
      <c r="F1310" t="s">
        <v>57</v>
      </c>
      <c r="G1310">
        <v>723</v>
      </c>
      <c r="H1310" t="str">
        <f t="shared" si="303"/>
        <v>501-1000</v>
      </c>
      <c r="I1310" t="s">
        <v>58</v>
      </c>
      <c r="J1310">
        <v>2</v>
      </c>
      <c r="K1310" t="str">
        <f t="shared" si="304"/>
        <v>1-5</v>
      </c>
      <c r="L1310">
        <v>4</v>
      </c>
      <c r="M1310" t="s">
        <v>82</v>
      </c>
      <c r="N1310" t="s">
        <v>93</v>
      </c>
      <c r="O1310">
        <v>1</v>
      </c>
      <c r="P1310">
        <v>2</v>
      </c>
      <c r="Q1310" t="s">
        <v>61</v>
      </c>
      <c r="R1310" t="s">
        <v>62</v>
      </c>
      <c r="S1310">
        <v>77</v>
      </c>
      <c r="T1310" t="str">
        <f t="shared" si="305"/>
        <v>76-100</v>
      </c>
      <c r="U1310">
        <v>1</v>
      </c>
      <c r="V1310" t="s">
        <v>69</v>
      </c>
      <c r="W1310">
        <v>2</v>
      </c>
      <c r="X1310" t="s">
        <v>91</v>
      </c>
      <c r="Y1310">
        <v>4</v>
      </c>
      <c r="Z1310" t="s">
        <v>65</v>
      </c>
      <c r="AA1310" t="s">
        <v>77</v>
      </c>
      <c r="AB1310" s="4">
        <v>5405</v>
      </c>
      <c r="AC1310" s="4" t="str">
        <f t="shared" si="306"/>
        <v>$4,000-$5,500</v>
      </c>
      <c r="AD1310">
        <v>4244</v>
      </c>
      <c r="AE1310" t="str">
        <f t="shared" si="307"/>
        <v>$2,094-$8,000</v>
      </c>
      <c r="AF1310">
        <v>2</v>
      </c>
      <c r="AG1310" t="str">
        <f t="shared" si="308"/>
        <v>2-3</v>
      </c>
      <c r="AH1310" t="s">
        <v>67</v>
      </c>
      <c r="AI1310" t="s">
        <v>56</v>
      </c>
      <c r="AJ1310">
        <v>20</v>
      </c>
      <c r="AK1310" t="str">
        <f t="shared" si="309"/>
        <v>18-19%</v>
      </c>
      <c r="AL1310">
        <v>4</v>
      </c>
      <c r="AM1310" t="s">
        <v>78</v>
      </c>
      <c r="AN1310">
        <v>1</v>
      </c>
      <c r="AO1310" t="s">
        <v>69</v>
      </c>
      <c r="AP1310">
        <v>80</v>
      </c>
      <c r="AQ1310">
        <v>2</v>
      </c>
      <c r="AR1310">
        <v>20</v>
      </c>
      <c r="AS1310" t="str">
        <f t="shared" si="310"/>
        <v>11-20</v>
      </c>
      <c r="AT1310">
        <v>4</v>
      </c>
      <c r="AU1310" t="str">
        <f t="shared" si="311"/>
        <v>3-4</v>
      </c>
      <c r="AV1310">
        <v>2</v>
      </c>
      <c r="AW1310" t="s">
        <v>84</v>
      </c>
      <c r="AX1310">
        <v>4</v>
      </c>
      <c r="AY1310" t="str">
        <f t="shared" si="300"/>
        <v>2-5</v>
      </c>
      <c r="AZ1310">
        <v>2</v>
      </c>
      <c r="BA1310" t="str">
        <f t="shared" si="312"/>
        <v>2-5</v>
      </c>
      <c r="BB1310">
        <v>0</v>
      </c>
      <c r="BC1310" t="str">
        <f t="shared" si="313"/>
        <v>0-1</v>
      </c>
      <c r="BD1310">
        <v>3</v>
      </c>
      <c r="BE1310" t="str">
        <f t="shared" si="314"/>
        <v>2-5</v>
      </c>
    </row>
    <row r="1311" spans="1:57" x14ac:dyDescent="0.3">
      <c r="A1311">
        <v>1836</v>
      </c>
      <c r="B1311">
        <v>26</v>
      </c>
      <c r="C1311" t="str">
        <f t="shared" si="301"/>
        <v>26-35</v>
      </c>
      <c r="D1311" t="s">
        <v>71</v>
      </c>
      <c r="E1311">
        <f t="shared" si="302"/>
        <v>0</v>
      </c>
      <c r="F1311" t="s">
        <v>57</v>
      </c>
      <c r="G1311">
        <v>572</v>
      </c>
      <c r="H1311" t="str">
        <f t="shared" si="303"/>
        <v>501-1000</v>
      </c>
      <c r="I1311" t="s">
        <v>58</v>
      </c>
      <c r="J1311">
        <v>10</v>
      </c>
      <c r="K1311" t="str">
        <f t="shared" si="304"/>
        <v>6-10</v>
      </c>
      <c r="L1311">
        <v>3</v>
      </c>
      <c r="M1311" t="s">
        <v>85</v>
      </c>
      <c r="N1311" t="s">
        <v>83</v>
      </c>
      <c r="O1311">
        <v>1</v>
      </c>
      <c r="P1311">
        <v>3</v>
      </c>
      <c r="Q1311" t="s">
        <v>63</v>
      </c>
      <c r="R1311" t="s">
        <v>75</v>
      </c>
      <c r="S1311">
        <v>46</v>
      </c>
      <c r="T1311" t="str">
        <f t="shared" si="305"/>
        <v>30-50</v>
      </c>
      <c r="U1311">
        <v>3</v>
      </c>
      <c r="V1311" t="s">
        <v>63</v>
      </c>
      <c r="W1311">
        <v>2</v>
      </c>
      <c r="X1311" t="s">
        <v>64</v>
      </c>
      <c r="Y1311">
        <v>4</v>
      </c>
      <c r="Z1311" t="s">
        <v>65</v>
      </c>
      <c r="AA1311" t="s">
        <v>66</v>
      </c>
      <c r="AB1311" s="4">
        <v>4684</v>
      </c>
      <c r="AC1311" s="4" t="str">
        <f t="shared" si="306"/>
        <v>$4,000-$5,500</v>
      </c>
      <c r="AD1311">
        <v>9125</v>
      </c>
      <c r="AE1311" t="str">
        <f t="shared" si="307"/>
        <v>$8,001-$16,000</v>
      </c>
      <c r="AF1311">
        <v>1</v>
      </c>
      <c r="AG1311" t="str">
        <f t="shared" si="308"/>
        <v>0-1</v>
      </c>
      <c r="AH1311" t="s">
        <v>67</v>
      </c>
      <c r="AI1311" t="s">
        <v>71</v>
      </c>
      <c r="AJ1311">
        <v>13</v>
      </c>
      <c r="AK1311" t="str">
        <f t="shared" si="309"/>
        <v>13-15%</v>
      </c>
      <c r="AL1311">
        <v>3</v>
      </c>
      <c r="AM1311" t="s">
        <v>68</v>
      </c>
      <c r="AN1311">
        <v>1</v>
      </c>
      <c r="AO1311" t="s">
        <v>69</v>
      </c>
      <c r="AP1311">
        <v>80</v>
      </c>
      <c r="AQ1311">
        <v>0</v>
      </c>
      <c r="AR1311">
        <v>5</v>
      </c>
      <c r="AS1311" t="str">
        <f t="shared" si="310"/>
        <v>3-5</v>
      </c>
      <c r="AT1311">
        <v>4</v>
      </c>
      <c r="AU1311" t="str">
        <f t="shared" si="311"/>
        <v>3-4</v>
      </c>
      <c r="AV1311">
        <v>3</v>
      </c>
      <c r="AW1311" t="s">
        <v>79</v>
      </c>
      <c r="AX1311">
        <v>5</v>
      </c>
      <c r="AY1311" t="str">
        <f t="shared" si="300"/>
        <v>2-5</v>
      </c>
      <c r="AZ1311">
        <v>3</v>
      </c>
      <c r="BA1311" t="str">
        <f t="shared" si="312"/>
        <v>2-5</v>
      </c>
      <c r="BB1311">
        <v>1</v>
      </c>
      <c r="BC1311" t="str">
        <f t="shared" si="313"/>
        <v>0-1</v>
      </c>
      <c r="BD1311">
        <v>2</v>
      </c>
      <c r="BE1311" t="str">
        <f t="shared" si="314"/>
        <v>2-5</v>
      </c>
    </row>
    <row r="1312" spans="1:57" x14ac:dyDescent="0.3">
      <c r="A1312">
        <v>1837</v>
      </c>
      <c r="B1312">
        <v>58</v>
      </c>
      <c r="C1312" t="str">
        <f t="shared" si="301"/>
        <v>56+</v>
      </c>
      <c r="D1312" t="s">
        <v>71</v>
      </c>
      <c r="E1312">
        <f t="shared" si="302"/>
        <v>0</v>
      </c>
      <c r="F1312" t="s">
        <v>72</v>
      </c>
      <c r="G1312">
        <v>1216</v>
      </c>
      <c r="H1312" t="str">
        <f t="shared" si="303"/>
        <v>1001-1499</v>
      </c>
      <c r="I1312" t="s">
        <v>73</v>
      </c>
      <c r="J1312">
        <v>15</v>
      </c>
      <c r="K1312" t="str">
        <f t="shared" si="304"/>
        <v>11-20</v>
      </c>
      <c r="L1312">
        <v>4</v>
      </c>
      <c r="M1312" t="s">
        <v>82</v>
      </c>
      <c r="N1312" t="s">
        <v>60</v>
      </c>
      <c r="O1312">
        <v>1</v>
      </c>
      <c r="P1312">
        <v>1</v>
      </c>
      <c r="Q1312" t="s">
        <v>69</v>
      </c>
      <c r="R1312" t="s">
        <v>75</v>
      </c>
      <c r="S1312">
        <v>87</v>
      </c>
      <c r="T1312" t="str">
        <f t="shared" si="305"/>
        <v>76-100</v>
      </c>
      <c r="U1312">
        <v>3</v>
      </c>
      <c r="V1312" t="s">
        <v>63</v>
      </c>
      <c r="W1312">
        <v>4</v>
      </c>
      <c r="X1312" t="s">
        <v>92</v>
      </c>
      <c r="Y1312">
        <v>3</v>
      </c>
      <c r="Z1312" t="s">
        <v>63</v>
      </c>
      <c r="AA1312" t="s">
        <v>77</v>
      </c>
      <c r="AB1312" s="4">
        <v>15787</v>
      </c>
      <c r="AC1312" s="4" t="str">
        <f t="shared" si="306"/>
        <v>$14,500-$16,000</v>
      </c>
      <c r="AD1312">
        <v>21624</v>
      </c>
      <c r="AE1312" t="str">
        <f t="shared" si="307"/>
        <v>$16,001-$22,000</v>
      </c>
      <c r="AF1312">
        <v>2</v>
      </c>
      <c r="AG1312" t="str">
        <f t="shared" si="308"/>
        <v>2-3</v>
      </c>
      <c r="AH1312" t="s">
        <v>67</v>
      </c>
      <c r="AI1312" t="s">
        <v>56</v>
      </c>
      <c r="AJ1312">
        <v>14</v>
      </c>
      <c r="AK1312" t="str">
        <f t="shared" si="309"/>
        <v>13-15%</v>
      </c>
      <c r="AL1312">
        <v>3</v>
      </c>
      <c r="AM1312" t="s">
        <v>68</v>
      </c>
      <c r="AN1312">
        <v>2</v>
      </c>
      <c r="AO1312" t="s">
        <v>61</v>
      </c>
      <c r="AP1312">
        <v>80</v>
      </c>
      <c r="AQ1312">
        <v>0</v>
      </c>
      <c r="AR1312">
        <v>23</v>
      </c>
      <c r="AS1312" t="str">
        <f t="shared" si="310"/>
        <v>21-40</v>
      </c>
      <c r="AT1312">
        <v>3</v>
      </c>
      <c r="AU1312" t="str">
        <f t="shared" si="311"/>
        <v>3-4</v>
      </c>
      <c r="AV1312">
        <v>3</v>
      </c>
      <c r="AW1312" t="s">
        <v>79</v>
      </c>
      <c r="AX1312">
        <v>2</v>
      </c>
      <c r="AY1312" t="str">
        <f t="shared" si="300"/>
        <v>2-5</v>
      </c>
      <c r="AZ1312">
        <v>2</v>
      </c>
      <c r="BA1312" t="str">
        <f t="shared" si="312"/>
        <v>2-5</v>
      </c>
      <c r="BB1312">
        <v>2</v>
      </c>
      <c r="BC1312" t="str">
        <f t="shared" si="313"/>
        <v>2-5</v>
      </c>
      <c r="BD1312">
        <v>2</v>
      </c>
      <c r="BE1312" t="str">
        <f t="shared" si="314"/>
        <v>2-5</v>
      </c>
    </row>
    <row r="1313" spans="1:57" x14ac:dyDescent="0.3">
      <c r="A1313">
        <v>1839</v>
      </c>
      <c r="B1313">
        <v>18</v>
      </c>
      <c r="C1313" t="str">
        <f t="shared" si="301"/>
        <v>18-25</v>
      </c>
      <c r="D1313" t="s">
        <v>71</v>
      </c>
      <c r="E1313">
        <f t="shared" si="302"/>
        <v>0</v>
      </c>
      <c r="F1313" t="s">
        <v>89</v>
      </c>
      <c r="G1313">
        <v>1431</v>
      </c>
      <c r="H1313" t="str">
        <f t="shared" si="303"/>
        <v>1001-1499</v>
      </c>
      <c r="I1313" t="s">
        <v>73</v>
      </c>
      <c r="J1313">
        <v>14</v>
      </c>
      <c r="K1313" t="str">
        <f t="shared" si="304"/>
        <v>11-20</v>
      </c>
      <c r="L1313">
        <v>3</v>
      </c>
      <c r="M1313" t="s">
        <v>85</v>
      </c>
      <c r="N1313" t="s">
        <v>83</v>
      </c>
      <c r="O1313">
        <v>1</v>
      </c>
      <c r="P1313">
        <v>2</v>
      </c>
      <c r="Q1313" t="s">
        <v>61</v>
      </c>
      <c r="R1313" t="s">
        <v>62</v>
      </c>
      <c r="S1313">
        <v>33</v>
      </c>
      <c r="T1313" t="str">
        <f t="shared" si="305"/>
        <v>30-50</v>
      </c>
      <c r="U1313">
        <v>3</v>
      </c>
      <c r="V1313" t="s">
        <v>63</v>
      </c>
      <c r="W1313">
        <v>1</v>
      </c>
      <c r="X1313" t="s">
        <v>76</v>
      </c>
      <c r="Y1313">
        <v>3</v>
      </c>
      <c r="Z1313" t="s">
        <v>63</v>
      </c>
      <c r="AA1313" t="s">
        <v>66</v>
      </c>
      <c r="AB1313" s="4">
        <v>1514</v>
      </c>
      <c r="AC1313" s="4" t="str">
        <f t="shared" si="306"/>
        <v>$1,000-$2,500</v>
      </c>
      <c r="AD1313">
        <v>8018</v>
      </c>
      <c r="AE1313" t="str">
        <f t="shared" si="307"/>
        <v>$8,001-$16,000</v>
      </c>
      <c r="AF1313">
        <v>1</v>
      </c>
      <c r="AG1313" t="str">
        <f t="shared" si="308"/>
        <v>0-1</v>
      </c>
      <c r="AH1313" t="s">
        <v>67</v>
      </c>
      <c r="AI1313" t="s">
        <v>71</v>
      </c>
      <c r="AJ1313">
        <v>16</v>
      </c>
      <c r="AK1313" t="str">
        <f t="shared" si="309"/>
        <v>16-17%</v>
      </c>
      <c r="AL1313">
        <v>3</v>
      </c>
      <c r="AM1313" t="s">
        <v>68</v>
      </c>
      <c r="AN1313">
        <v>3</v>
      </c>
      <c r="AO1313" t="s">
        <v>63</v>
      </c>
      <c r="AP1313">
        <v>80</v>
      </c>
      <c r="AQ1313">
        <v>0</v>
      </c>
      <c r="AR1313">
        <v>0</v>
      </c>
      <c r="AS1313" t="str">
        <f t="shared" si="310"/>
        <v>0-2</v>
      </c>
      <c r="AT1313">
        <v>4</v>
      </c>
      <c r="AU1313" t="str">
        <f t="shared" si="311"/>
        <v>3-4</v>
      </c>
      <c r="AV1313">
        <v>1</v>
      </c>
      <c r="AW1313" t="s">
        <v>70</v>
      </c>
      <c r="AX1313">
        <v>0</v>
      </c>
      <c r="AY1313" t="str">
        <f t="shared" si="300"/>
        <v>0-1</v>
      </c>
      <c r="AZ1313">
        <v>0</v>
      </c>
      <c r="BA1313" t="str">
        <f t="shared" si="312"/>
        <v>0-1</v>
      </c>
      <c r="BB1313">
        <v>0</v>
      </c>
      <c r="BC1313" t="str">
        <f t="shared" si="313"/>
        <v>0-1</v>
      </c>
      <c r="BD1313">
        <v>0</v>
      </c>
      <c r="BE1313" t="str">
        <f t="shared" si="314"/>
        <v>0-1</v>
      </c>
    </row>
    <row r="1314" spans="1:57" x14ac:dyDescent="0.3">
      <c r="A1314">
        <v>1842</v>
      </c>
      <c r="B1314">
        <v>31</v>
      </c>
      <c r="C1314" t="str">
        <f t="shared" si="301"/>
        <v>26-35</v>
      </c>
      <c r="D1314" t="s">
        <v>56</v>
      </c>
      <c r="E1314">
        <f t="shared" si="302"/>
        <v>1</v>
      </c>
      <c r="F1314" t="s">
        <v>57</v>
      </c>
      <c r="G1314">
        <v>359</v>
      </c>
      <c r="H1314" t="str">
        <f t="shared" si="303"/>
        <v>102-500</v>
      </c>
      <c r="I1314" t="s">
        <v>97</v>
      </c>
      <c r="J1314">
        <v>18</v>
      </c>
      <c r="K1314" t="str">
        <f t="shared" si="304"/>
        <v>11-20</v>
      </c>
      <c r="L1314">
        <v>5</v>
      </c>
      <c r="M1314" t="s">
        <v>96</v>
      </c>
      <c r="N1314" t="s">
        <v>97</v>
      </c>
      <c r="O1314">
        <v>1</v>
      </c>
      <c r="P1314">
        <v>4</v>
      </c>
      <c r="Q1314" t="s">
        <v>65</v>
      </c>
      <c r="R1314" t="s">
        <v>75</v>
      </c>
      <c r="S1314">
        <v>89</v>
      </c>
      <c r="T1314" t="str">
        <f t="shared" si="305"/>
        <v>76-100</v>
      </c>
      <c r="U1314">
        <v>4</v>
      </c>
      <c r="V1314" t="s">
        <v>65</v>
      </c>
      <c r="W1314">
        <v>1</v>
      </c>
      <c r="X1314" t="s">
        <v>97</v>
      </c>
      <c r="Y1314">
        <v>1</v>
      </c>
      <c r="Z1314" t="s">
        <v>69</v>
      </c>
      <c r="AA1314" t="s">
        <v>77</v>
      </c>
      <c r="AB1314" s="4">
        <v>2956</v>
      </c>
      <c r="AC1314" s="4" t="str">
        <f t="shared" si="306"/>
        <v>$2,500-$4,000</v>
      </c>
      <c r="AD1314">
        <v>21495</v>
      </c>
      <c r="AE1314" t="str">
        <f t="shared" si="307"/>
        <v>$16,001-$22,000</v>
      </c>
      <c r="AF1314">
        <v>0</v>
      </c>
      <c r="AG1314" t="str">
        <f t="shared" si="308"/>
        <v>0-1</v>
      </c>
      <c r="AH1314" t="s">
        <v>67</v>
      </c>
      <c r="AI1314" t="s">
        <v>71</v>
      </c>
      <c r="AJ1314">
        <v>17</v>
      </c>
      <c r="AK1314" t="str">
        <f t="shared" si="309"/>
        <v>16-17%</v>
      </c>
      <c r="AL1314">
        <v>3</v>
      </c>
      <c r="AM1314" t="s">
        <v>68</v>
      </c>
      <c r="AN1314">
        <v>3</v>
      </c>
      <c r="AO1314" t="s">
        <v>63</v>
      </c>
      <c r="AP1314">
        <v>80</v>
      </c>
      <c r="AQ1314">
        <v>0</v>
      </c>
      <c r="AR1314">
        <v>2</v>
      </c>
      <c r="AS1314" t="str">
        <f t="shared" si="310"/>
        <v>0-2</v>
      </c>
      <c r="AT1314">
        <v>4</v>
      </c>
      <c r="AU1314" t="str">
        <f t="shared" si="311"/>
        <v>3-4</v>
      </c>
      <c r="AV1314">
        <v>3</v>
      </c>
      <c r="AW1314" t="s">
        <v>79</v>
      </c>
      <c r="AX1314">
        <v>1</v>
      </c>
      <c r="AY1314" t="str">
        <f t="shared" si="300"/>
        <v>0-1</v>
      </c>
      <c r="AZ1314">
        <v>0</v>
      </c>
      <c r="BA1314" t="str">
        <f t="shared" si="312"/>
        <v>0-1</v>
      </c>
      <c r="BB1314">
        <v>0</v>
      </c>
      <c r="BC1314" t="str">
        <f t="shared" si="313"/>
        <v>0-1</v>
      </c>
      <c r="BD1314">
        <v>0</v>
      </c>
      <c r="BE1314" t="str">
        <f t="shared" si="314"/>
        <v>0-1</v>
      </c>
    </row>
    <row r="1315" spans="1:57" x14ac:dyDescent="0.3">
      <c r="A1315">
        <v>1844</v>
      </c>
      <c r="B1315">
        <v>29</v>
      </c>
      <c r="C1315" t="str">
        <f t="shared" si="301"/>
        <v>26-35</v>
      </c>
      <c r="D1315" t="s">
        <v>56</v>
      </c>
      <c r="E1315">
        <f t="shared" si="302"/>
        <v>1</v>
      </c>
      <c r="F1315" t="s">
        <v>57</v>
      </c>
      <c r="G1315">
        <v>350</v>
      </c>
      <c r="H1315" t="str">
        <f t="shared" si="303"/>
        <v>102-500</v>
      </c>
      <c r="I1315" t="s">
        <v>97</v>
      </c>
      <c r="J1315">
        <v>13</v>
      </c>
      <c r="K1315" t="str">
        <f t="shared" si="304"/>
        <v>11-20</v>
      </c>
      <c r="L1315">
        <v>3</v>
      </c>
      <c r="M1315" t="s">
        <v>85</v>
      </c>
      <c r="N1315" t="s">
        <v>97</v>
      </c>
      <c r="O1315">
        <v>1</v>
      </c>
      <c r="P1315">
        <v>1</v>
      </c>
      <c r="Q1315" t="s">
        <v>69</v>
      </c>
      <c r="R1315" t="s">
        <v>75</v>
      </c>
      <c r="S1315">
        <v>56</v>
      </c>
      <c r="T1315" t="str">
        <f t="shared" si="305"/>
        <v>51-75</v>
      </c>
      <c r="U1315">
        <v>2</v>
      </c>
      <c r="V1315" t="s">
        <v>61</v>
      </c>
      <c r="W1315">
        <v>1</v>
      </c>
      <c r="X1315" t="s">
        <v>97</v>
      </c>
      <c r="Y1315">
        <v>1</v>
      </c>
      <c r="Z1315" t="s">
        <v>69</v>
      </c>
      <c r="AA1315" t="s">
        <v>86</v>
      </c>
      <c r="AB1315" s="4">
        <v>2335</v>
      </c>
      <c r="AC1315" s="4" t="str">
        <f t="shared" si="306"/>
        <v>$1,000-$2,500</v>
      </c>
      <c r="AD1315">
        <v>3157</v>
      </c>
      <c r="AE1315" t="str">
        <f t="shared" si="307"/>
        <v>$2,094-$8,000</v>
      </c>
      <c r="AF1315">
        <v>4</v>
      </c>
      <c r="AG1315" t="str">
        <f t="shared" si="308"/>
        <v>4-6</v>
      </c>
      <c r="AH1315" t="s">
        <v>67</v>
      </c>
      <c r="AI1315" t="s">
        <v>56</v>
      </c>
      <c r="AJ1315">
        <v>15</v>
      </c>
      <c r="AK1315" t="str">
        <f t="shared" si="309"/>
        <v>13-15%</v>
      </c>
      <c r="AL1315">
        <v>3</v>
      </c>
      <c r="AM1315" t="s">
        <v>68</v>
      </c>
      <c r="AN1315">
        <v>4</v>
      </c>
      <c r="AO1315" t="s">
        <v>65</v>
      </c>
      <c r="AP1315">
        <v>80</v>
      </c>
      <c r="AQ1315">
        <v>3</v>
      </c>
      <c r="AR1315">
        <v>4</v>
      </c>
      <c r="AS1315" t="str">
        <f t="shared" si="310"/>
        <v>3-5</v>
      </c>
      <c r="AT1315">
        <v>3</v>
      </c>
      <c r="AU1315" t="str">
        <f t="shared" si="311"/>
        <v>3-4</v>
      </c>
      <c r="AV1315">
        <v>3</v>
      </c>
      <c r="AW1315" t="s">
        <v>79</v>
      </c>
      <c r="AX1315">
        <v>2</v>
      </c>
      <c r="AY1315" t="str">
        <f t="shared" si="300"/>
        <v>2-5</v>
      </c>
      <c r="AZ1315">
        <v>2</v>
      </c>
      <c r="BA1315" t="str">
        <f t="shared" si="312"/>
        <v>2-5</v>
      </c>
      <c r="BB1315">
        <v>2</v>
      </c>
      <c r="BC1315" t="str">
        <f t="shared" si="313"/>
        <v>2-5</v>
      </c>
      <c r="BD1315">
        <v>0</v>
      </c>
      <c r="BE1315" t="str">
        <f t="shared" si="314"/>
        <v>0-1</v>
      </c>
    </row>
    <row r="1316" spans="1:57" x14ac:dyDescent="0.3">
      <c r="A1316">
        <v>1845</v>
      </c>
      <c r="B1316">
        <v>45</v>
      </c>
      <c r="C1316" t="str">
        <f t="shared" si="301"/>
        <v>36-45</v>
      </c>
      <c r="D1316" t="s">
        <v>71</v>
      </c>
      <c r="E1316">
        <f t="shared" si="302"/>
        <v>0</v>
      </c>
      <c r="F1316" t="s">
        <v>89</v>
      </c>
      <c r="G1316">
        <v>589</v>
      </c>
      <c r="H1316" t="str">
        <f t="shared" si="303"/>
        <v>501-1000</v>
      </c>
      <c r="I1316" t="s">
        <v>58</v>
      </c>
      <c r="J1316">
        <v>2</v>
      </c>
      <c r="K1316" t="str">
        <f t="shared" si="304"/>
        <v>1-5</v>
      </c>
      <c r="L1316">
        <v>4</v>
      </c>
      <c r="M1316" t="s">
        <v>82</v>
      </c>
      <c r="N1316" t="s">
        <v>60</v>
      </c>
      <c r="O1316">
        <v>1</v>
      </c>
      <c r="P1316">
        <v>3</v>
      </c>
      <c r="Q1316" t="s">
        <v>63</v>
      </c>
      <c r="R1316" t="s">
        <v>62</v>
      </c>
      <c r="S1316">
        <v>67</v>
      </c>
      <c r="T1316" t="str">
        <f t="shared" si="305"/>
        <v>51-75</v>
      </c>
      <c r="U1316">
        <v>3</v>
      </c>
      <c r="V1316" t="s">
        <v>63</v>
      </c>
      <c r="W1316">
        <v>2</v>
      </c>
      <c r="X1316" t="s">
        <v>64</v>
      </c>
      <c r="Y1316">
        <v>3</v>
      </c>
      <c r="Z1316" t="s">
        <v>63</v>
      </c>
      <c r="AA1316" t="s">
        <v>77</v>
      </c>
      <c r="AB1316" s="4">
        <v>5154</v>
      </c>
      <c r="AC1316" s="4" t="str">
        <f t="shared" si="306"/>
        <v>$4,000-$5,500</v>
      </c>
      <c r="AD1316">
        <v>19665</v>
      </c>
      <c r="AE1316" t="str">
        <f t="shared" si="307"/>
        <v>$16,001-$22,000</v>
      </c>
      <c r="AF1316">
        <v>4</v>
      </c>
      <c r="AG1316" t="str">
        <f t="shared" si="308"/>
        <v>4-6</v>
      </c>
      <c r="AH1316" t="s">
        <v>67</v>
      </c>
      <c r="AI1316" t="s">
        <v>71</v>
      </c>
      <c r="AJ1316">
        <v>22</v>
      </c>
      <c r="AK1316" t="str">
        <f t="shared" si="309"/>
        <v>18-19%</v>
      </c>
      <c r="AL1316">
        <v>4</v>
      </c>
      <c r="AM1316" t="s">
        <v>78</v>
      </c>
      <c r="AN1316">
        <v>2</v>
      </c>
      <c r="AO1316" t="s">
        <v>61</v>
      </c>
      <c r="AP1316">
        <v>80</v>
      </c>
      <c r="AQ1316">
        <v>2</v>
      </c>
      <c r="AR1316">
        <v>10</v>
      </c>
      <c r="AS1316" t="str">
        <f t="shared" si="310"/>
        <v>6-10</v>
      </c>
      <c r="AT1316">
        <v>3</v>
      </c>
      <c r="AU1316" t="str">
        <f t="shared" si="311"/>
        <v>3-4</v>
      </c>
      <c r="AV1316">
        <v>4</v>
      </c>
      <c r="AW1316" t="s">
        <v>94</v>
      </c>
      <c r="AX1316">
        <v>8</v>
      </c>
      <c r="AY1316" t="str">
        <f t="shared" si="300"/>
        <v>6-10</v>
      </c>
      <c r="AZ1316">
        <v>7</v>
      </c>
      <c r="BA1316" t="str">
        <f t="shared" si="312"/>
        <v>6-10</v>
      </c>
      <c r="BB1316">
        <v>5</v>
      </c>
      <c r="BC1316" t="str">
        <f t="shared" si="313"/>
        <v>2-5</v>
      </c>
      <c r="BD1316">
        <v>7</v>
      </c>
      <c r="BE1316" t="str">
        <f t="shared" si="314"/>
        <v>6-10</v>
      </c>
    </row>
    <row r="1317" spans="1:57" x14ac:dyDescent="0.3">
      <c r="A1317">
        <v>1847</v>
      </c>
      <c r="B1317">
        <v>36</v>
      </c>
      <c r="C1317" t="str">
        <f t="shared" si="301"/>
        <v>36-45</v>
      </c>
      <c r="D1317" t="s">
        <v>71</v>
      </c>
      <c r="E1317">
        <f t="shared" si="302"/>
        <v>0</v>
      </c>
      <c r="F1317" t="s">
        <v>57</v>
      </c>
      <c r="G1317">
        <v>430</v>
      </c>
      <c r="H1317" t="str">
        <f t="shared" si="303"/>
        <v>102-500</v>
      </c>
      <c r="I1317" t="s">
        <v>73</v>
      </c>
      <c r="J1317">
        <v>2</v>
      </c>
      <c r="K1317" t="str">
        <f t="shared" si="304"/>
        <v>1-5</v>
      </c>
      <c r="L1317">
        <v>4</v>
      </c>
      <c r="M1317" t="s">
        <v>82</v>
      </c>
      <c r="N1317" t="s">
        <v>80</v>
      </c>
      <c r="O1317">
        <v>1</v>
      </c>
      <c r="P1317">
        <v>4</v>
      </c>
      <c r="Q1317" t="s">
        <v>65</v>
      </c>
      <c r="R1317" t="s">
        <v>62</v>
      </c>
      <c r="S1317">
        <v>73</v>
      </c>
      <c r="T1317" t="str">
        <f t="shared" si="305"/>
        <v>51-75</v>
      </c>
      <c r="U1317">
        <v>3</v>
      </c>
      <c r="V1317" t="s">
        <v>63</v>
      </c>
      <c r="W1317">
        <v>2</v>
      </c>
      <c r="X1317" t="s">
        <v>76</v>
      </c>
      <c r="Y1317">
        <v>2</v>
      </c>
      <c r="Z1317" t="s">
        <v>61</v>
      </c>
      <c r="AA1317" t="s">
        <v>77</v>
      </c>
      <c r="AB1317" s="4">
        <v>6962</v>
      </c>
      <c r="AC1317" s="4" t="str">
        <f t="shared" si="306"/>
        <v>$5,500-$7,000</v>
      </c>
      <c r="AD1317">
        <v>19573</v>
      </c>
      <c r="AE1317" t="str">
        <f t="shared" si="307"/>
        <v>$16,001-$22,000</v>
      </c>
      <c r="AF1317">
        <v>4</v>
      </c>
      <c r="AG1317" t="str">
        <f t="shared" si="308"/>
        <v>4-6</v>
      </c>
      <c r="AH1317" t="s">
        <v>67</v>
      </c>
      <c r="AI1317" t="s">
        <v>56</v>
      </c>
      <c r="AJ1317">
        <v>22</v>
      </c>
      <c r="AK1317" t="str">
        <f t="shared" si="309"/>
        <v>18-19%</v>
      </c>
      <c r="AL1317">
        <v>4</v>
      </c>
      <c r="AM1317" t="s">
        <v>78</v>
      </c>
      <c r="AN1317">
        <v>4</v>
      </c>
      <c r="AO1317" t="s">
        <v>65</v>
      </c>
      <c r="AP1317">
        <v>80</v>
      </c>
      <c r="AQ1317">
        <v>1</v>
      </c>
      <c r="AR1317">
        <v>15</v>
      </c>
      <c r="AS1317" t="str">
        <f t="shared" si="310"/>
        <v>11-20</v>
      </c>
      <c r="AT1317">
        <v>2</v>
      </c>
      <c r="AU1317" t="str">
        <f t="shared" si="311"/>
        <v>0-2</v>
      </c>
      <c r="AV1317">
        <v>3</v>
      </c>
      <c r="AW1317" t="s">
        <v>79</v>
      </c>
      <c r="AX1317">
        <v>1</v>
      </c>
      <c r="AY1317" t="str">
        <f t="shared" si="300"/>
        <v>0-1</v>
      </c>
      <c r="AZ1317">
        <v>0</v>
      </c>
      <c r="BA1317" t="str">
        <f t="shared" si="312"/>
        <v>0-1</v>
      </c>
      <c r="BB1317">
        <v>0</v>
      </c>
      <c r="BC1317" t="str">
        <f t="shared" si="313"/>
        <v>0-1</v>
      </c>
      <c r="BD1317">
        <v>0</v>
      </c>
      <c r="BE1317" t="str">
        <f t="shared" si="314"/>
        <v>0-1</v>
      </c>
    </row>
    <row r="1318" spans="1:57" x14ac:dyDescent="0.3">
      <c r="A1318">
        <v>1849</v>
      </c>
      <c r="B1318">
        <v>43</v>
      </c>
      <c r="C1318" t="str">
        <f t="shared" si="301"/>
        <v>36-45</v>
      </c>
      <c r="D1318" t="s">
        <v>71</v>
      </c>
      <c r="E1318">
        <f t="shared" si="302"/>
        <v>0</v>
      </c>
      <c r="F1318" t="s">
        <v>72</v>
      </c>
      <c r="G1318">
        <v>1422</v>
      </c>
      <c r="H1318" t="str">
        <f t="shared" si="303"/>
        <v>1001-1499</v>
      </c>
      <c r="I1318" t="s">
        <v>58</v>
      </c>
      <c r="J1318">
        <v>2</v>
      </c>
      <c r="K1318" t="str">
        <f t="shared" si="304"/>
        <v>1-5</v>
      </c>
      <c r="L1318">
        <v>4</v>
      </c>
      <c r="M1318" t="s">
        <v>82</v>
      </c>
      <c r="N1318" t="s">
        <v>60</v>
      </c>
      <c r="O1318">
        <v>1</v>
      </c>
      <c r="P1318">
        <v>1</v>
      </c>
      <c r="Q1318" t="s">
        <v>69</v>
      </c>
      <c r="R1318" t="s">
        <v>75</v>
      </c>
      <c r="S1318">
        <v>92</v>
      </c>
      <c r="T1318" t="str">
        <f t="shared" si="305"/>
        <v>76-100</v>
      </c>
      <c r="U1318">
        <v>3</v>
      </c>
      <c r="V1318" t="s">
        <v>63</v>
      </c>
      <c r="W1318">
        <v>2</v>
      </c>
      <c r="X1318" t="s">
        <v>64</v>
      </c>
      <c r="Y1318">
        <v>4</v>
      </c>
      <c r="Z1318" t="s">
        <v>65</v>
      </c>
      <c r="AA1318" t="s">
        <v>77</v>
      </c>
      <c r="AB1318" s="4">
        <v>5675</v>
      </c>
      <c r="AC1318" s="4" t="str">
        <f t="shared" si="306"/>
        <v>$5,500-$7,000</v>
      </c>
      <c r="AD1318">
        <v>19246</v>
      </c>
      <c r="AE1318" t="str">
        <f t="shared" si="307"/>
        <v>$16,001-$22,000</v>
      </c>
      <c r="AF1318">
        <v>1</v>
      </c>
      <c r="AG1318" t="str">
        <f t="shared" si="308"/>
        <v>0-1</v>
      </c>
      <c r="AH1318" t="s">
        <v>67</v>
      </c>
      <c r="AI1318" t="s">
        <v>71</v>
      </c>
      <c r="AJ1318">
        <v>20</v>
      </c>
      <c r="AK1318" t="str">
        <f t="shared" si="309"/>
        <v>18-19%</v>
      </c>
      <c r="AL1318">
        <v>4</v>
      </c>
      <c r="AM1318" t="s">
        <v>78</v>
      </c>
      <c r="AN1318">
        <v>3</v>
      </c>
      <c r="AO1318" t="s">
        <v>63</v>
      </c>
      <c r="AP1318">
        <v>80</v>
      </c>
      <c r="AQ1318">
        <v>1</v>
      </c>
      <c r="AR1318">
        <v>7</v>
      </c>
      <c r="AS1318" t="str">
        <f t="shared" si="310"/>
        <v>6-10</v>
      </c>
      <c r="AT1318">
        <v>5</v>
      </c>
      <c r="AU1318" t="str">
        <f t="shared" si="311"/>
        <v>5-6</v>
      </c>
      <c r="AV1318">
        <v>3</v>
      </c>
      <c r="AW1318" t="s">
        <v>79</v>
      </c>
      <c r="AX1318">
        <v>7</v>
      </c>
      <c r="AY1318" t="str">
        <f t="shared" si="300"/>
        <v>6-10</v>
      </c>
      <c r="AZ1318">
        <v>7</v>
      </c>
      <c r="BA1318" t="str">
        <f t="shared" si="312"/>
        <v>6-10</v>
      </c>
      <c r="BB1318">
        <v>7</v>
      </c>
      <c r="BC1318" t="str">
        <f t="shared" si="313"/>
        <v>6-10</v>
      </c>
      <c r="BD1318">
        <v>7</v>
      </c>
      <c r="BE1318" t="str">
        <f t="shared" si="314"/>
        <v>6-10</v>
      </c>
    </row>
    <row r="1319" spans="1:57" x14ac:dyDescent="0.3">
      <c r="A1319">
        <v>1850</v>
      </c>
      <c r="B1319">
        <v>27</v>
      </c>
      <c r="C1319" t="str">
        <f t="shared" si="301"/>
        <v>26-35</v>
      </c>
      <c r="D1319" t="s">
        <v>71</v>
      </c>
      <c r="E1319">
        <f t="shared" si="302"/>
        <v>0</v>
      </c>
      <c r="F1319" t="s">
        <v>72</v>
      </c>
      <c r="G1319">
        <v>1297</v>
      </c>
      <c r="H1319" t="str">
        <f t="shared" si="303"/>
        <v>1001-1499</v>
      </c>
      <c r="I1319" t="s">
        <v>73</v>
      </c>
      <c r="J1319">
        <v>5</v>
      </c>
      <c r="K1319" t="str">
        <f t="shared" si="304"/>
        <v>1-5</v>
      </c>
      <c r="L1319">
        <v>2</v>
      </c>
      <c r="M1319" t="s">
        <v>59</v>
      </c>
      <c r="N1319" t="s">
        <v>60</v>
      </c>
      <c r="O1319">
        <v>1</v>
      </c>
      <c r="P1319">
        <v>4</v>
      </c>
      <c r="Q1319" t="s">
        <v>65</v>
      </c>
      <c r="R1319" t="s">
        <v>62</v>
      </c>
      <c r="S1319">
        <v>53</v>
      </c>
      <c r="T1319" t="str">
        <f t="shared" si="305"/>
        <v>51-75</v>
      </c>
      <c r="U1319">
        <v>3</v>
      </c>
      <c r="V1319" t="s">
        <v>63</v>
      </c>
      <c r="W1319">
        <v>1</v>
      </c>
      <c r="X1319" t="s">
        <v>81</v>
      </c>
      <c r="Y1319">
        <v>4</v>
      </c>
      <c r="Z1319" t="s">
        <v>65</v>
      </c>
      <c r="AA1319" t="s">
        <v>66</v>
      </c>
      <c r="AB1319" s="4">
        <v>2379</v>
      </c>
      <c r="AC1319" s="4" t="str">
        <f t="shared" si="306"/>
        <v>$1,000-$2,500</v>
      </c>
      <c r="AD1319">
        <v>19826</v>
      </c>
      <c r="AE1319" t="str">
        <f t="shared" si="307"/>
        <v>$16,001-$22,000</v>
      </c>
      <c r="AF1319">
        <v>0</v>
      </c>
      <c r="AG1319" t="str">
        <f t="shared" si="308"/>
        <v>0-1</v>
      </c>
      <c r="AH1319" t="s">
        <v>67</v>
      </c>
      <c r="AI1319" t="s">
        <v>56</v>
      </c>
      <c r="AJ1319">
        <v>14</v>
      </c>
      <c r="AK1319" t="str">
        <f t="shared" si="309"/>
        <v>13-15%</v>
      </c>
      <c r="AL1319">
        <v>3</v>
      </c>
      <c r="AM1319" t="s">
        <v>68</v>
      </c>
      <c r="AN1319">
        <v>3</v>
      </c>
      <c r="AO1319" t="s">
        <v>63</v>
      </c>
      <c r="AP1319">
        <v>80</v>
      </c>
      <c r="AQ1319">
        <v>0</v>
      </c>
      <c r="AR1319">
        <v>6</v>
      </c>
      <c r="AS1319" t="str">
        <f t="shared" si="310"/>
        <v>6-10</v>
      </c>
      <c r="AT1319">
        <v>3</v>
      </c>
      <c r="AU1319" t="str">
        <f t="shared" si="311"/>
        <v>3-4</v>
      </c>
      <c r="AV1319">
        <v>2</v>
      </c>
      <c r="AW1319" t="s">
        <v>84</v>
      </c>
      <c r="AX1319">
        <v>5</v>
      </c>
      <c r="AY1319" t="str">
        <f t="shared" si="300"/>
        <v>2-5</v>
      </c>
      <c r="AZ1319">
        <v>4</v>
      </c>
      <c r="BA1319" t="str">
        <f t="shared" si="312"/>
        <v>2-5</v>
      </c>
      <c r="BB1319">
        <v>0</v>
      </c>
      <c r="BC1319" t="str">
        <f t="shared" si="313"/>
        <v>0-1</v>
      </c>
      <c r="BD1319">
        <v>2</v>
      </c>
      <c r="BE1319" t="str">
        <f t="shared" si="314"/>
        <v>2-5</v>
      </c>
    </row>
    <row r="1320" spans="1:57" x14ac:dyDescent="0.3">
      <c r="A1320">
        <v>1852</v>
      </c>
      <c r="B1320">
        <v>29</v>
      </c>
      <c r="C1320" t="str">
        <f t="shared" si="301"/>
        <v>26-35</v>
      </c>
      <c r="D1320" t="s">
        <v>71</v>
      </c>
      <c r="E1320">
        <f t="shared" si="302"/>
        <v>0</v>
      </c>
      <c r="F1320" t="s">
        <v>72</v>
      </c>
      <c r="G1320">
        <v>574</v>
      </c>
      <c r="H1320" t="str">
        <f t="shared" si="303"/>
        <v>501-1000</v>
      </c>
      <c r="I1320" t="s">
        <v>73</v>
      </c>
      <c r="J1320">
        <v>20</v>
      </c>
      <c r="K1320" t="str">
        <f t="shared" si="304"/>
        <v>11-20</v>
      </c>
      <c r="L1320">
        <v>1</v>
      </c>
      <c r="M1320" t="s">
        <v>74</v>
      </c>
      <c r="N1320" t="s">
        <v>83</v>
      </c>
      <c r="O1320">
        <v>1</v>
      </c>
      <c r="P1320">
        <v>4</v>
      </c>
      <c r="Q1320" t="s">
        <v>65</v>
      </c>
      <c r="R1320" t="s">
        <v>75</v>
      </c>
      <c r="S1320">
        <v>40</v>
      </c>
      <c r="T1320" t="str">
        <f t="shared" si="305"/>
        <v>30-50</v>
      </c>
      <c r="U1320">
        <v>3</v>
      </c>
      <c r="V1320" t="s">
        <v>63</v>
      </c>
      <c r="W1320">
        <v>1</v>
      </c>
      <c r="X1320" t="s">
        <v>81</v>
      </c>
      <c r="Y1320">
        <v>4</v>
      </c>
      <c r="Z1320" t="s">
        <v>65</v>
      </c>
      <c r="AA1320" t="s">
        <v>77</v>
      </c>
      <c r="AB1320" s="4">
        <v>3812</v>
      </c>
      <c r="AC1320" s="4" t="str">
        <f t="shared" si="306"/>
        <v>$2,500-$4,000</v>
      </c>
      <c r="AD1320">
        <v>7003</v>
      </c>
      <c r="AE1320" t="str">
        <f t="shared" si="307"/>
        <v>$2,094-$8,000</v>
      </c>
      <c r="AF1320">
        <v>1</v>
      </c>
      <c r="AG1320" t="str">
        <f t="shared" si="308"/>
        <v>0-1</v>
      </c>
      <c r="AH1320" t="s">
        <v>67</v>
      </c>
      <c r="AI1320" t="s">
        <v>71</v>
      </c>
      <c r="AJ1320">
        <v>13</v>
      </c>
      <c r="AK1320" t="str">
        <f t="shared" si="309"/>
        <v>13-15%</v>
      </c>
      <c r="AL1320">
        <v>3</v>
      </c>
      <c r="AM1320" t="s">
        <v>68</v>
      </c>
      <c r="AN1320">
        <v>2</v>
      </c>
      <c r="AO1320" t="s">
        <v>61</v>
      </c>
      <c r="AP1320">
        <v>80</v>
      </c>
      <c r="AQ1320">
        <v>0</v>
      </c>
      <c r="AR1320">
        <v>11</v>
      </c>
      <c r="AS1320" t="str">
        <f t="shared" si="310"/>
        <v>11-20</v>
      </c>
      <c r="AT1320">
        <v>3</v>
      </c>
      <c r="AU1320" t="str">
        <f t="shared" si="311"/>
        <v>3-4</v>
      </c>
      <c r="AV1320">
        <v>4</v>
      </c>
      <c r="AW1320" t="s">
        <v>94</v>
      </c>
      <c r="AX1320">
        <v>11</v>
      </c>
      <c r="AY1320" t="str">
        <f t="shared" si="300"/>
        <v>11-20</v>
      </c>
      <c r="AZ1320">
        <v>8</v>
      </c>
      <c r="BA1320" t="str">
        <f t="shared" si="312"/>
        <v>6-10</v>
      </c>
      <c r="BB1320">
        <v>3</v>
      </c>
      <c r="BC1320" t="str">
        <f t="shared" si="313"/>
        <v>2-5</v>
      </c>
      <c r="BD1320">
        <v>10</v>
      </c>
      <c r="BE1320" t="str">
        <f t="shared" si="314"/>
        <v>6-10</v>
      </c>
    </row>
    <row r="1321" spans="1:57" x14ac:dyDescent="0.3">
      <c r="A1321">
        <v>1853</v>
      </c>
      <c r="B1321">
        <v>32</v>
      </c>
      <c r="C1321" t="str">
        <f t="shared" si="301"/>
        <v>26-35</v>
      </c>
      <c r="D1321" t="s">
        <v>71</v>
      </c>
      <c r="E1321">
        <f t="shared" si="302"/>
        <v>0</v>
      </c>
      <c r="F1321" t="s">
        <v>72</v>
      </c>
      <c r="G1321">
        <v>1318</v>
      </c>
      <c r="H1321" t="str">
        <f t="shared" si="303"/>
        <v>1001-1499</v>
      </c>
      <c r="I1321" t="s">
        <v>58</v>
      </c>
      <c r="J1321">
        <v>10</v>
      </c>
      <c r="K1321" t="str">
        <f t="shared" si="304"/>
        <v>6-10</v>
      </c>
      <c r="L1321">
        <v>4</v>
      </c>
      <c r="M1321" t="s">
        <v>82</v>
      </c>
      <c r="N1321" t="s">
        <v>93</v>
      </c>
      <c r="O1321">
        <v>1</v>
      </c>
      <c r="P1321">
        <v>4</v>
      </c>
      <c r="Q1321" t="s">
        <v>65</v>
      </c>
      <c r="R1321" t="s">
        <v>75</v>
      </c>
      <c r="S1321">
        <v>79</v>
      </c>
      <c r="T1321" t="str">
        <f t="shared" si="305"/>
        <v>76-100</v>
      </c>
      <c r="U1321">
        <v>3</v>
      </c>
      <c r="V1321" t="s">
        <v>63</v>
      </c>
      <c r="W1321">
        <v>2</v>
      </c>
      <c r="X1321" t="s">
        <v>64</v>
      </c>
      <c r="Y1321">
        <v>4</v>
      </c>
      <c r="Z1321" t="s">
        <v>65</v>
      </c>
      <c r="AA1321" t="s">
        <v>66</v>
      </c>
      <c r="AB1321" s="4">
        <v>4648</v>
      </c>
      <c r="AC1321" s="4" t="str">
        <f t="shared" si="306"/>
        <v>$4,000-$5,500</v>
      </c>
      <c r="AD1321">
        <v>26075</v>
      </c>
      <c r="AE1321" t="str">
        <f t="shared" si="307"/>
        <v>$22,001-$26,999</v>
      </c>
      <c r="AF1321">
        <v>8</v>
      </c>
      <c r="AG1321" t="str">
        <f t="shared" si="308"/>
        <v>7-9</v>
      </c>
      <c r="AH1321" t="s">
        <v>67</v>
      </c>
      <c r="AI1321" t="s">
        <v>71</v>
      </c>
      <c r="AJ1321">
        <v>13</v>
      </c>
      <c r="AK1321" t="str">
        <f t="shared" si="309"/>
        <v>13-15%</v>
      </c>
      <c r="AL1321">
        <v>3</v>
      </c>
      <c r="AM1321" t="s">
        <v>68</v>
      </c>
      <c r="AN1321">
        <v>3</v>
      </c>
      <c r="AO1321" t="s">
        <v>63</v>
      </c>
      <c r="AP1321">
        <v>80</v>
      </c>
      <c r="AQ1321">
        <v>0</v>
      </c>
      <c r="AR1321">
        <v>4</v>
      </c>
      <c r="AS1321" t="str">
        <f t="shared" si="310"/>
        <v>3-5</v>
      </c>
      <c r="AT1321">
        <v>2</v>
      </c>
      <c r="AU1321" t="str">
        <f t="shared" si="311"/>
        <v>0-2</v>
      </c>
      <c r="AV1321">
        <v>4</v>
      </c>
      <c r="AW1321" t="s">
        <v>94</v>
      </c>
      <c r="AX1321">
        <v>0</v>
      </c>
      <c r="AY1321" t="str">
        <f t="shared" si="300"/>
        <v>0-1</v>
      </c>
      <c r="AZ1321">
        <v>0</v>
      </c>
      <c r="BA1321" t="str">
        <f t="shared" si="312"/>
        <v>0-1</v>
      </c>
      <c r="BB1321">
        <v>0</v>
      </c>
      <c r="BC1321" t="str">
        <f t="shared" si="313"/>
        <v>0-1</v>
      </c>
      <c r="BD1321">
        <v>0</v>
      </c>
      <c r="BE1321" t="str">
        <f t="shared" si="314"/>
        <v>0-1</v>
      </c>
    </row>
    <row r="1322" spans="1:57" x14ac:dyDescent="0.3">
      <c r="A1322">
        <v>1854</v>
      </c>
      <c r="B1322">
        <v>42</v>
      </c>
      <c r="C1322" t="str">
        <f t="shared" si="301"/>
        <v>36-45</v>
      </c>
      <c r="D1322" t="s">
        <v>71</v>
      </c>
      <c r="E1322">
        <f t="shared" si="302"/>
        <v>0</v>
      </c>
      <c r="F1322" t="s">
        <v>89</v>
      </c>
      <c r="G1322">
        <v>355</v>
      </c>
      <c r="H1322" t="str">
        <f t="shared" si="303"/>
        <v>102-500</v>
      </c>
      <c r="I1322" t="s">
        <v>73</v>
      </c>
      <c r="J1322">
        <v>10</v>
      </c>
      <c r="K1322" t="str">
        <f t="shared" si="304"/>
        <v>6-10</v>
      </c>
      <c r="L1322">
        <v>4</v>
      </c>
      <c r="M1322" t="s">
        <v>82</v>
      </c>
      <c r="N1322" t="s">
        <v>95</v>
      </c>
      <c r="O1322">
        <v>1</v>
      </c>
      <c r="P1322">
        <v>3</v>
      </c>
      <c r="Q1322" t="s">
        <v>63</v>
      </c>
      <c r="R1322" t="s">
        <v>75</v>
      </c>
      <c r="S1322">
        <v>38</v>
      </c>
      <c r="T1322" t="str">
        <f t="shared" si="305"/>
        <v>30-50</v>
      </c>
      <c r="U1322">
        <v>3</v>
      </c>
      <c r="V1322" t="s">
        <v>63</v>
      </c>
      <c r="W1322">
        <v>1</v>
      </c>
      <c r="X1322" t="s">
        <v>76</v>
      </c>
      <c r="Y1322">
        <v>3</v>
      </c>
      <c r="Z1322" t="s">
        <v>63</v>
      </c>
      <c r="AA1322" t="s">
        <v>77</v>
      </c>
      <c r="AB1322" s="4">
        <v>2936</v>
      </c>
      <c r="AC1322" s="4" t="str">
        <f t="shared" si="306"/>
        <v>$2,500-$4,000</v>
      </c>
      <c r="AD1322">
        <v>6161</v>
      </c>
      <c r="AE1322" t="str">
        <f t="shared" si="307"/>
        <v>$2,094-$8,000</v>
      </c>
      <c r="AF1322">
        <v>3</v>
      </c>
      <c r="AG1322" t="str">
        <f t="shared" si="308"/>
        <v>2-3</v>
      </c>
      <c r="AH1322" t="s">
        <v>67</v>
      </c>
      <c r="AI1322" t="s">
        <v>71</v>
      </c>
      <c r="AJ1322">
        <v>22</v>
      </c>
      <c r="AK1322" t="str">
        <f t="shared" si="309"/>
        <v>18-19%</v>
      </c>
      <c r="AL1322">
        <v>4</v>
      </c>
      <c r="AM1322" t="s">
        <v>78</v>
      </c>
      <c r="AN1322">
        <v>2</v>
      </c>
      <c r="AO1322" t="s">
        <v>61</v>
      </c>
      <c r="AP1322">
        <v>80</v>
      </c>
      <c r="AQ1322">
        <v>2</v>
      </c>
      <c r="AR1322">
        <v>10</v>
      </c>
      <c r="AS1322" t="str">
        <f t="shared" si="310"/>
        <v>6-10</v>
      </c>
      <c r="AT1322">
        <v>1</v>
      </c>
      <c r="AU1322" t="str">
        <f t="shared" si="311"/>
        <v>0-2</v>
      </c>
      <c r="AV1322">
        <v>2</v>
      </c>
      <c r="AW1322" t="s">
        <v>84</v>
      </c>
      <c r="AX1322">
        <v>6</v>
      </c>
      <c r="AY1322" t="str">
        <f t="shared" si="300"/>
        <v>6-10</v>
      </c>
      <c r="AZ1322">
        <v>3</v>
      </c>
      <c r="BA1322" t="str">
        <f t="shared" si="312"/>
        <v>2-5</v>
      </c>
      <c r="BB1322">
        <v>3</v>
      </c>
      <c r="BC1322" t="str">
        <f t="shared" si="313"/>
        <v>2-5</v>
      </c>
      <c r="BD1322">
        <v>3</v>
      </c>
      <c r="BE1322" t="str">
        <f t="shared" si="314"/>
        <v>2-5</v>
      </c>
    </row>
    <row r="1323" spans="1:57" x14ac:dyDescent="0.3">
      <c r="A1323">
        <v>1856</v>
      </c>
      <c r="B1323">
        <v>47</v>
      </c>
      <c r="C1323" t="str">
        <f t="shared" si="301"/>
        <v>46-55</v>
      </c>
      <c r="D1323" t="s">
        <v>71</v>
      </c>
      <c r="E1323">
        <f t="shared" si="302"/>
        <v>0</v>
      </c>
      <c r="F1323" t="s">
        <v>57</v>
      </c>
      <c r="G1323">
        <v>207</v>
      </c>
      <c r="H1323" t="str">
        <f t="shared" si="303"/>
        <v>102-500</v>
      </c>
      <c r="I1323" t="s">
        <v>73</v>
      </c>
      <c r="J1323">
        <v>9</v>
      </c>
      <c r="K1323" t="str">
        <f t="shared" si="304"/>
        <v>6-10</v>
      </c>
      <c r="L1323">
        <v>4</v>
      </c>
      <c r="M1323" t="s">
        <v>82</v>
      </c>
      <c r="N1323" t="s">
        <v>60</v>
      </c>
      <c r="O1323">
        <v>1</v>
      </c>
      <c r="P1323">
        <v>2</v>
      </c>
      <c r="Q1323" t="s">
        <v>61</v>
      </c>
      <c r="R1323" t="s">
        <v>62</v>
      </c>
      <c r="S1323">
        <v>64</v>
      </c>
      <c r="T1323" t="str">
        <f t="shared" si="305"/>
        <v>51-75</v>
      </c>
      <c r="U1323">
        <v>3</v>
      </c>
      <c r="V1323" t="s">
        <v>63</v>
      </c>
      <c r="W1323">
        <v>1</v>
      </c>
      <c r="X1323" t="s">
        <v>81</v>
      </c>
      <c r="Y1323">
        <v>3</v>
      </c>
      <c r="Z1323" t="s">
        <v>63</v>
      </c>
      <c r="AA1323" t="s">
        <v>66</v>
      </c>
      <c r="AB1323" s="4">
        <v>2105</v>
      </c>
      <c r="AC1323" s="4" t="str">
        <f t="shared" si="306"/>
        <v>$1,000-$2,500</v>
      </c>
      <c r="AD1323">
        <v>5411</v>
      </c>
      <c r="AE1323" t="str">
        <f t="shared" si="307"/>
        <v>$2,094-$8,000</v>
      </c>
      <c r="AF1323">
        <v>4</v>
      </c>
      <c r="AG1323" t="str">
        <f t="shared" si="308"/>
        <v>4-6</v>
      </c>
      <c r="AH1323" t="s">
        <v>67</v>
      </c>
      <c r="AI1323" t="s">
        <v>71</v>
      </c>
      <c r="AJ1323">
        <v>12</v>
      </c>
      <c r="AK1323" t="str">
        <f t="shared" si="309"/>
        <v>11-12%</v>
      </c>
      <c r="AL1323">
        <v>3</v>
      </c>
      <c r="AM1323" t="s">
        <v>68</v>
      </c>
      <c r="AN1323">
        <v>3</v>
      </c>
      <c r="AO1323" t="s">
        <v>63</v>
      </c>
      <c r="AP1323">
        <v>80</v>
      </c>
      <c r="AQ1323">
        <v>0</v>
      </c>
      <c r="AR1323">
        <v>7</v>
      </c>
      <c r="AS1323" t="str">
        <f t="shared" si="310"/>
        <v>6-10</v>
      </c>
      <c r="AT1323">
        <v>2</v>
      </c>
      <c r="AU1323" t="str">
        <f t="shared" si="311"/>
        <v>0-2</v>
      </c>
      <c r="AV1323">
        <v>3</v>
      </c>
      <c r="AW1323" t="s">
        <v>79</v>
      </c>
      <c r="AX1323">
        <v>2</v>
      </c>
      <c r="AY1323" t="str">
        <f t="shared" si="300"/>
        <v>2-5</v>
      </c>
      <c r="AZ1323">
        <v>2</v>
      </c>
      <c r="BA1323" t="str">
        <f t="shared" si="312"/>
        <v>2-5</v>
      </c>
      <c r="BB1323">
        <v>2</v>
      </c>
      <c r="BC1323" t="str">
        <f t="shared" si="313"/>
        <v>2-5</v>
      </c>
      <c r="BD1323">
        <v>0</v>
      </c>
      <c r="BE1323" t="str">
        <f t="shared" si="314"/>
        <v>0-1</v>
      </c>
    </row>
    <row r="1324" spans="1:57" x14ac:dyDescent="0.3">
      <c r="A1324">
        <v>1857</v>
      </c>
      <c r="B1324">
        <v>46</v>
      </c>
      <c r="C1324" t="str">
        <f t="shared" si="301"/>
        <v>46-55</v>
      </c>
      <c r="D1324" t="s">
        <v>71</v>
      </c>
      <c r="E1324">
        <f t="shared" si="302"/>
        <v>0</v>
      </c>
      <c r="F1324" t="s">
        <v>57</v>
      </c>
      <c r="G1324">
        <v>706</v>
      </c>
      <c r="H1324" t="str">
        <f t="shared" si="303"/>
        <v>501-1000</v>
      </c>
      <c r="I1324" t="s">
        <v>73</v>
      </c>
      <c r="J1324">
        <v>2</v>
      </c>
      <c r="K1324" t="str">
        <f t="shared" si="304"/>
        <v>1-5</v>
      </c>
      <c r="L1324">
        <v>2</v>
      </c>
      <c r="M1324" t="s">
        <v>59</v>
      </c>
      <c r="N1324" t="s">
        <v>60</v>
      </c>
      <c r="O1324">
        <v>1</v>
      </c>
      <c r="P1324">
        <v>4</v>
      </c>
      <c r="Q1324" t="s">
        <v>65</v>
      </c>
      <c r="R1324" t="s">
        <v>75</v>
      </c>
      <c r="S1324">
        <v>82</v>
      </c>
      <c r="T1324" t="str">
        <f t="shared" si="305"/>
        <v>76-100</v>
      </c>
      <c r="U1324">
        <v>3</v>
      </c>
      <c r="V1324" t="s">
        <v>63</v>
      </c>
      <c r="W1324">
        <v>3</v>
      </c>
      <c r="X1324" t="s">
        <v>87</v>
      </c>
      <c r="Y1324">
        <v>4</v>
      </c>
      <c r="Z1324" t="s">
        <v>65</v>
      </c>
      <c r="AA1324" t="s">
        <v>86</v>
      </c>
      <c r="AB1324" s="4">
        <v>8578</v>
      </c>
      <c r="AC1324" s="4" t="str">
        <f t="shared" si="306"/>
        <v>$8,500-$10,000</v>
      </c>
      <c r="AD1324">
        <v>19989</v>
      </c>
      <c r="AE1324" t="str">
        <f t="shared" si="307"/>
        <v>$16,001-$22,000</v>
      </c>
      <c r="AF1324">
        <v>3</v>
      </c>
      <c r="AG1324" t="str">
        <f t="shared" si="308"/>
        <v>2-3</v>
      </c>
      <c r="AH1324" t="s">
        <v>67</v>
      </c>
      <c r="AI1324" t="s">
        <v>71</v>
      </c>
      <c r="AJ1324">
        <v>14</v>
      </c>
      <c r="AK1324" t="str">
        <f t="shared" si="309"/>
        <v>13-15%</v>
      </c>
      <c r="AL1324">
        <v>3</v>
      </c>
      <c r="AM1324" t="s">
        <v>68</v>
      </c>
      <c r="AN1324">
        <v>3</v>
      </c>
      <c r="AO1324" t="s">
        <v>63</v>
      </c>
      <c r="AP1324">
        <v>80</v>
      </c>
      <c r="AQ1324">
        <v>1</v>
      </c>
      <c r="AR1324">
        <v>12</v>
      </c>
      <c r="AS1324" t="str">
        <f t="shared" si="310"/>
        <v>11-20</v>
      </c>
      <c r="AT1324">
        <v>4</v>
      </c>
      <c r="AU1324" t="str">
        <f t="shared" si="311"/>
        <v>3-4</v>
      </c>
      <c r="AV1324">
        <v>2</v>
      </c>
      <c r="AW1324" t="s">
        <v>84</v>
      </c>
      <c r="AX1324">
        <v>9</v>
      </c>
      <c r="AY1324" t="str">
        <f t="shared" si="300"/>
        <v>6-10</v>
      </c>
      <c r="AZ1324">
        <v>8</v>
      </c>
      <c r="BA1324" t="str">
        <f t="shared" si="312"/>
        <v>6-10</v>
      </c>
      <c r="BB1324">
        <v>4</v>
      </c>
      <c r="BC1324" t="str">
        <f t="shared" si="313"/>
        <v>2-5</v>
      </c>
      <c r="BD1324">
        <v>7</v>
      </c>
      <c r="BE1324" t="str">
        <f t="shared" si="314"/>
        <v>6-10</v>
      </c>
    </row>
    <row r="1325" spans="1:57" x14ac:dyDescent="0.3">
      <c r="A1325">
        <v>1858</v>
      </c>
      <c r="B1325">
        <v>28</v>
      </c>
      <c r="C1325" t="str">
        <f t="shared" si="301"/>
        <v>26-35</v>
      </c>
      <c r="D1325" t="s">
        <v>71</v>
      </c>
      <c r="E1325">
        <f t="shared" si="302"/>
        <v>0</v>
      </c>
      <c r="F1325" t="s">
        <v>89</v>
      </c>
      <c r="G1325">
        <v>280</v>
      </c>
      <c r="H1325" t="str">
        <f t="shared" si="303"/>
        <v>102-500</v>
      </c>
      <c r="I1325" t="s">
        <v>97</v>
      </c>
      <c r="J1325">
        <v>1</v>
      </c>
      <c r="K1325" t="str">
        <f t="shared" si="304"/>
        <v>1-5</v>
      </c>
      <c r="L1325">
        <v>2</v>
      </c>
      <c r="M1325" t="s">
        <v>59</v>
      </c>
      <c r="N1325" t="s">
        <v>60</v>
      </c>
      <c r="O1325">
        <v>1</v>
      </c>
      <c r="P1325">
        <v>3</v>
      </c>
      <c r="Q1325" t="s">
        <v>63</v>
      </c>
      <c r="R1325" t="s">
        <v>75</v>
      </c>
      <c r="S1325">
        <v>43</v>
      </c>
      <c r="T1325" t="str">
        <f t="shared" si="305"/>
        <v>30-50</v>
      </c>
      <c r="U1325">
        <v>3</v>
      </c>
      <c r="V1325" t="s">
        <v>63</v>
      </c>
      <c r="W1325">
        <v>1</v>
      </c>
      <c r="X1325" t="s">
        <v>97</v>
      </c>
      <c r="Y1325">
        <v>4</v>
      </c>
      <c r="Z1325" t="s">
        <v>65</v>
      </c>
      <c r="AA1325" t="s">
        <v>86</v>
      </c>
      <c r="AB1325" s="4">
        <v>2706</v>
      </c>
      <c r="AC1325" s="4" t="str">
        <f t="shared" si="306"/>
        <v>$2,500-$4,000</v>
      </c>
      <c r="AD1325">
        <v>10494</v>
      </c>
      <c r="AE1325" t="str">
        <f t="shared" si="307"/>
        <v>$8,001-$16,000</v>
      </c>
      <c r="AF1325">
        <v>1</v>
      </c>
      <c r="AG1325" t="str">
        <f t="shared" si="308"/>
        <v>0-1</v>
      </c>
      <c r="AH1325" t="s">
        <v>67</v>
      </c>
      <c r="AI1325" t="s">
        <v>71</v>
      </c>
      <c r="AJ1325">
        <v>15</v>
      </c>
      <c r="AK1325" t="str">
        <f t="shared" si="309"/>
        <v>13-15%</v>
      </c>
      <c r="AL1325">
        <v>3</v>
      </c>
      <c r="AM1325" t="s">
        <v>68</v>
      </c>
      <c r="AN1325">
        <v>2</v>
      </c>
      <c r="AO1325" t="s">
        <v>61</v>
      </c>
      <c r="AP1325">
        <v>80</v>
      </c>
      <c r="AQ1325">
        <v>1</v>
      </c>
      <c r="AR1325">
        <v>3</v>
      </c>
      <c r="AS1325" t="str">
        <f t="shared" si="310"/>
        <v>3-5</v>
      </c>
      <c r="AT1325">
        <v>2</v>
      </c>
      <c r="AU1325" t="str">
        <f t="shared" si="311"/>
        <v>0-2</v>
      </c>
      <c r="AV1325">
        <v>3</v>
      </c>
      <c r="AW1325" t="s">
        <v>79</v>
      </c>
      <c r="AX1325">
        <v>3</v>
      </c>
      <c r="AY1325" t="str">
        <f t="shared" si="300"/>
        <v>2-5</v>
      </c>
      <c r="AZ1325">
        <v>2</v>
      </c>
      <c r="BA1325" t="str">
        <f t="shared" si="312"/>
        <v>2-5</v>
      </c>
      <c r="BB1325">
        <v>2</v>
      </c>
      <c r="BC1325" t="str">
        <f t="shared" si="313"/>
        <v>2-5</v>
      </c>
      <c r="BD1325">
        <v>2</v>
      </c>
      <c r="BE1325" t="str">
        <f t="shared" si="314"/>
        <v>2-5</v>
      </c>
    </row>
    <row r="1326" spans="1:57" x14ac:dyDescent="0.3">
      <c r="A1326">
        <v>1859</v>
      </c>
      <c r="B1326">
        <v>29</v>
      </c>
      <c r="C1326" t="str">
        <f t="shared" si="301"/>
        <v>26-35</v>
      </c>
      <c r="D1326" t="s">
        <v>71</v>
      </c>
      <c r="E1326">
        <f t="shared" si="302"/>
        <v>0</v>
      </c>
      <c r="F1326" t="s">
        <v>57</v>
      </c>
      <c r="G1326">
        <v>726</v>
      </c>
      <c r="H1326" t="str">
        <f t="shared" si="303"/>
        <v>501-1000</v>
      </c>
      <c r="I1326" t="s">
        <v>73</v>
      </c>
      <c r="J1326">
        <v>29</v>
      </c>
      <c r="K1326" t="str">
        <f t="shared" si="304"/>
        <v>21-29</v>
      </c>
      <c r="L1326">
        <v>1</v>
      </c>
      <c r="M1326" t="s">
        <v>74</v>
      </c>
      <c r="N1326" t="s">
        <v>60</v>
      </c>
      <c r="O1326">
        <v>1</v>
      </c>
      <c r="P1326">
        <v>4</v>
      </c>
      <c r="Q1326" t="s">
        <v>65</v>
      </c>
      <c r="R1326" t="s">
        <v>75</v>
      </c>
      <c r="S1326">
        <v>93</v>
      </c>
      <c r="T1326" t="str">
        <f t="shared" si="305"/>
        <v>76-100</v>
      </c>
      <c r="U1326">
        <v>1</v>
      </c>
      <c r="V1326" t="s">
        <v>69</v>
      </c>
      <c r="W1326">
        <v>2</v>
      </c>
      <c r="X1326" t="s">
        <v>88</v>
      </c>
      <c r="Y1326">
        <v>3</v>
      </c>
      <c r="Z1326" t="s">
        <v>63</v>
      </c>
      <c r="AA1326" t="s">
        <v>86</v>
      </c>
      <c r="AB1326" s="4">
        <v>6384</v>
      </c>
      <c r="AC1326" s="4" t="str">
        <f t="shared" si="306"/>
        <v>$5,500-$7,000</v>
      </c>
      <c r="AD1326">
        <v>21143</v>
      </c>
      <c r="AE1326" t="str">
        <f t="shared" si="307"/>
        <v>$16,001-$22,000</v>
      </c>
      <c r="AF1326">
        <v>8</v>
      </c>
      <c r="AG1326" t="str">
        <f t="shared" si="308"/>
        <v>7-9</v>
      </c>
      <c r="AH1326" t="s">
        <v>67</v>
      </c>
      <c r="AI1326" t="s">
        <v>71</v>
      </c>
      <c r="AJ1326">
        <v>17</v>
      </c>
      <c r="AK1326" t="str">
        <f t="shared" si="309"/>
        <v>16-17%</v>
      </c>
      <c r="AL1326">
        <v>3</v>
      </c>
      <c r="AM1326" t="s">
        <v>68</v>
      </c>
      <c r="AN1326">
        <v>4</v>
      </c>
      <c r="AO1326" t="s">
        <v>65</v>
      </c>
      <c r="AP1326">
        <v>80</v>
      </c>
      <c r="AQ1326">
        <v>2</v>
      </c>
      <c r="AR1326">
        <v>11</v>
      </c>
      <c r="AS1326" t="str">
        <f t="shared" si="310"/>
        <v>11-20</v>
      </c>
      <c r="AT1326">
        <v>3</v>
      </c>
      <c r="AU1326" t="str">
        <f t="shared" si="311"/>
        <v>3-4</v>
      </c>
      <c r="AV1326">
        <v>3</v>
      </c>
      <c r="AW1326" t="s">
        <v>79</v>
      </c>
      <c r="AX1326">
        <v>7</v>
      </c>
      <c r="AY1326" t="str">
        <f t="shared" si="300"/>
        <v>6-10</v>
      </c>
      <c r="AZ1326">
        <v>0</v>
      </c>
      <c r="BA1326" t="str">
        <f t="shared" si="312"/>
        <v>0-1</v>
      </c>
      <c r="BB1326">
        <v>1</v>
      </c>
      <c r="BC1326" t="str">
        <f t="shared" si="313"/>
        <v>0-1</v>
      </c>
      <c r="BD1326">
        <v>6</v>
      </c>
      <c r="BE1326" t="str">
        <f t="shared" si="314"/>
        <v>6-10</v>
      </c>
    </row>
    <row r="1327" spans="1:57" x14ac:dyDescent="0.3">
      <c r="A1327">
        <v>1860</v>
      </c>
      <c r="B1327">
        <v>42</v>
      </c>
      <c r="C1327" t="str">
        <f t="shared" si="301"/>
        <v>36-45</v>
      </c>
      <c r="D1327" t="s">
        <v>71</v>
      </c>
      <c r="E1327">
        <f t="shared" si="302"/>
        <v>0</v>
      </c>
      <c r="F1327" t="s">
        <v>57</v>
      </c>
      <c r="G1327">
        <v>1142</v>
      </c>
      <c r="H1327" t="str">
        <f t="shared" si="303"/>
        <v>1001-1499</v>
      </c>
      <c r="I1327" t="s">
        <v>73</v>
      </c>
      <c r="J1327">
        <v>8</v>
      </c>
      <c r="K1327" t="str">
        <f t="shared" si="304"/>
        <v>6-10</v>
      </c>
      <c r="L1327">
        <v>3</v>
      </c>
      <c r="M1327" t="s">
        <v>85</v>
      </c>
      <c r="N1327" t="s">
        <v>60</v>
      </c>
      <c r="O1327">
        <v>1</v>
      </c>
      <c r="P1327">
        <v>4</v>
      </c>
      <c r="Q1327" t="s">
        <v>65</v>
      </c>
      <c r="R1327" t="s">
        <v>75</v>
      </c>
      <c r="S1327">
        <v>81</v>
      </c>
      <c r="T1327" t="str">
        <f t="shared" si="305"/>
        <v>76-100</v>
      </c>
      <c r="U1327">
        <v>3</v>
      </c>
      <c r="V1327" t="s">
        <v>63</v>
      </c>
      <c r="W1327">
        <v>1</v>
      </c>
      <c r="X1327" t="s">
        <v>81</v>
      </c>
      <c r="Y1327">
        <v>3</v>
      </c>
      <c r="Z1327" t="s">
        <v>63</v>
      </c>
      <c r="AA1327" t="s">
        <v>66</v>
      </c>
      <c r="AB1327" s="4">
        <v>3968</v>
      </c>
      <c r="AC1327" s="4" t="str">
        <f t="shared" si="306"/>
        <v>$2,500-$4,000</v>
      </c>
      <c r="AD1327">
        <v>13624</v>
      </c>
      <c r="AE1327" t="str">
        <f t="shared" si="307"/>
        <v>$8,001-$16,000</v>
      </c>
      <c r="AF1327">
        <v>4</v>
      </c>
      <c r="AG1327" t="str">
        <f t="shared" si="308"/>
        <v>4-6</v>
      </c>
      <c r="AH1327" t="s">
        <v>67</v>
      </c>
      <c r="AI1327" t="s">
        <v>71</v>
      </c>
      <c r="AJ1327">
        <v>13</v>
      </c>
      <c r="AK1327" t="str">
        <f t="shared" si="309"/>
        <v>13-15%</v>
      </c>
      <c r="AL1327">
        <v>3</v>
      </c>
      <c r="AM1327" t="s">
        <v>68</v>
      </c>
      <c r="AN1327">
        <v>4</v>
      </c>
      <c r="AO1327" t="s">
        <v>65</v>
      </c>
      <c r="AP1327">
        <v>80</v>
      </c>
      <c r="AQ1327">
        <v>0</v>
      </c>
      <c r="AR1327">
        <v>8</v>
      </c>
      <c r="AS1327" t="str">
        <f t="shared" si="310"/>
        <v>6-10</v>
      </c>
      <c r="AT1327">
        <v>3</v>
      </c>
      <c r="AU1327" t="str">
        <f t="shared" si="311"/>
        <v>3-4</v>
      </c>
      <c r="AV1327">
        <v>3</v>
      </c>
      <c r="AW1327" t="s">
        <v>79</v>
      </c>
      <c r="AX1327">
        <v>0</v>
      </c>
      <c r="AY1327" t="str">
        <f t="shared" si="300"/>
        <v>0-1</v>
      </c>
      <c r="AZ1327">
        <v>0</v>
      </c>
      <c r="BA1327" t="str">
        <f t="shared" si="312"/>
        <v>0-1</v>
      </c>
      <c r="BB1327">
        <v>0</v>
      </c>
      <c r="BC1327" t="str">
        <f t="shared" si="313"/>
        <v>0-1</v>
      </c>
      <c r="BD1327">
        <v>0</v>
      </c>
      <c r="BE1327" t="str">
        <f t="shared" si="314"/>
        <v>0-1</v>
      </c>
    </row>
    <row r="1328" spans="1:57" x14ac:dyDescent="0.3">
      <c r="A1328">
        <v>1862</v>
      </c>
      <c r="B1328">
        <v>32</v>
      </c>
      <c r="C1328" t="str">
        <f t="shared" si="301"/>
        <v>26-35</v>
      </c>
      <c r="D1328" t="s">
        <v>56</v>
      </c>
      <c r="E1328">
        <f t="shared" si="302"/>
        <v>1</v>
      </c>
      <c r="F1328" t="s">
        <v>57</v>
      </c>
      <c r="G1328">
        <v>414</v>
      </c>
      <c r="H1328" t="str">
        <f t="shared" si="303"/>
        <v>102-500</v>
      </c>
      <c r="I1328" t="s">
        <v>58</v>
      </c>
      <c r="J1328">
        <v>2</v>
      </c>
      <c r="K1328" t="str">
        <f t="shared" si="304"/>
        <v>1-5</v>
      </c>
      <c r="L1328">
        <v>4</v>
      </c>
      <c r="M1328" t="s">
        <v>82</v>
      </c>
      <c r="N1328" t="s">
        <v>93</v>
      </c>
      <c r="O1328">
        <v>1</v>
      </c>
      <c r="P1328">
        <v>3</v>
      </c>
      <c r="Q1328" t="s">
        <v>63</v>
      </c>
      <c r="R1328" t="s">
        <v>75</v>
      </c>
      <c r="S1328">
        <v>82</v>
      </c>
      <c r="T1328" t="str">
        <f t="shared" si="305"/>
        <v>76-100</v>
      </c>
      <c r="U1328">
        <v>2</v>
      </c>
      <c r="V1328" t="s">
        <v>61</v>
      </c>
      <c r="W1328">
        <v>2</v>
      </c>
      <c r="X1328" t="s">
        <v>64</v>
      </c>
      <c r="Y1328">
        <v>2</v>
      </c>
      <c r="Z1328" t="s">
        <v>61</v>
      </c>
      <c r="AA1328" t="s">
        <v>66</v>
      </c>
      <c r="AB1328" s="4">
        <v>9907</v>
      </c>
      <c r="AC1328" s="4" t="str">
        <f t="shared" si="306"/>
        <v>$8,500-$10,000</v>
      </c>
      <c r="AD1328">
        <v>26186</v>
      </c>
      <c r="AE1328" t="str">
        <f t="shared" si="307"/>
        <v>$22,001-$26,999</v>
      </c>
      <c r="AF1328">
        <v>7</v>
      </c>
      <c r="AG1328" t="str">
        <f t="shared" si="308"/>
        <v>7-9</v>
      </c>
      <c r="AH1328" t="s">
        <v>67</v>
      </c>
      <c r="AI1328" t="s">
        <v>56</v>
      </c>
      <c r="AJ1328">
        <v>12</v>
      </c>
      <c r="AK1328" t="str">
        <f t="shared" si="309"/>
        <v>11-12%</v>
      </c>
      <c r="AL1328">
        <v>3</v>
      </c>
      <c r="AM1328" t="s">
        <v>68</v>
      </c>
      <c r="AN1328">
        <v>3</v>
      </c>
      <c r="AO1328" t="s">
        <v>63</v>
      </c>
      <c r="AP1328">
        <v>80</v>
      </c>
      <c r="AQ1328">
        <v>0</v>
      </c>
      <c r="AR1328">
        <v>7</v>
      </c>
      <c r="AS1328" t="str">
        <f t="shared" si="310"/>
        <v>6-10</v>
      </c>
      <c r="AT1328">
        <v>3</v>
      </c>
      <c r="AU1328" t="str">
        <f t="shared" si="311"/>
        <v>3-4</v>
      </c>
      <c r="AV1328">
        <v>2</v>
      </c>
      <c r="AW1328" t="s">
        <v>84</v>
      </c>
      <c r="AX1328">
        <v>2</v>
      </c>
      <c r="AY1328" t="str">
        <f t="shared" si="300"/>
        <v>2-5</v>
      </c>
      <c r="AZ1328">
        <v>2</v>
      </c>
      <c r="BA1328" t="str">
        <f t="shared" si="312"/>
        <v>2-5</v>
      </c>
      <c r="BB1328">
        <v>2</v>
      </c>
      <c r="BC1328" t="str">
        <f t="shared" si="313"/>
        <v>2-5</v>
      </c>
      <c r="BD1328">
        <v>2</v>
      </c>
      <c r="BE1328" t="str">
        <f t="shared" si="314"/>
        <v>2-5</v>
      </c>
    </row>
    <row r="1329" spans="1:57" x14ac:dyDescent="0.3">
      <c r="A1329">
        <v>1863</v>
      </c>
      <c r="B1329">
        <v>46</v>
      </c>
      <c r="C1329" t="str">
        <f t="shared" si="301"/>
        <v>46-55</v>
      </c>
      <c r="D1329" t="s">
        <v>71</v>
      </c>
      <c r="E1329">
        <f t="shared" si="302"/>
        <v>0</v>
      </c>
      <c r="F1329" t="s">
        <v>57</v>
      </c>
      <c r="G1329">
        <v>1319</v>
      </c>
      <c r="H1329" t="str">
        <f t="shared" si="303"/>
        <v>1001-1499</v>
      </c>
      <c r="I1329" t="s">
        <v>58</v>
      </c>
      <c r="J1329">
        <v>3</v>
      </c>
      <c r="K1329" t="str">
        <f t="shared" si="304"/>
        <v>1-5</v>
      </c>
      <c r="L1329">
        <v>3</v>
      </c>
      <c r="M1329" t="s">
        <v>85</v>
      </c>
      <c r="N1329" t="s">
        <v>95</v>
      </c>
      <c r="O1329">
        <v>1</v>
      </c>
      <c r="P1329">
        <v>1</v>
      </c>
      <c r="Q1329" t="s">
        <v>69</v>
      </c>
      <c r="R1329" t="s">
        <v>62</v>
      </c>
      <c r="S1329">
        <v>45</v>
      </c>
      <c r="T1329" t="str">
        <f t="shared" si="305"/>
        <v>30-50</v>
      </c>
      <c r="U1329">
        <v>4</v>
      </c>
      <c r="V1329" t="s">
        <v>65</v>
      </c>
      <c r="W1329">
        <v>4</v>
      </c>
      <c r="X1329" t="s">
        <v>64</v>
      </c>
      <c r="Y1329">
        <v>1</v>
      </c>
      <c r="Z1329" t="s">
        <v>69</v>
      </c>
      <c r="AA1329" t="s">
        <v>86</v>
      </c>
      <c r="AB1329" s="4">
        <v>13225</v>
      </c>
      <c r="AC1329" s="4" t="str">
        <f t="shared" si="306"/>
        <v>$13,000-$14,500</v>
      </c>
      <c r="AD1329">
        <v>7739</v>
      </c>
      <c r="AE1329" t="str">
        <f t="shared" si="307"/>
        <v>$2,094-$8,000</v>
      </c>
      <c r="AF1329">
        <v>2</v>
      </c>
      <c r="AG1329" t="str">
        <f t="shared" si="308"/>
        <v>2-3</v>
      </c>
      <c r="AH1329" t="s">
        <v>67</v>
      </c>
      <c r="AI1329" t="s">
        <v>71</v>
      </c>
      <c r="AJ1329">
        <v>12</v>
      </c>
      <c r="AK1329" t="str">
        <f t="shared" si="309"/>
        <v>11-12%</v>
      </c>
      <c r="AL1329">
        <v>3</v>
      </c>
      <c r="AM1329" t="s">
        <v>68</v>
      </c>
      <c r="AN1329">
        <v>4</v>
      </c>
      <c r="AO1329" t="s">
        <v>65</v>
      </c>
      <c r="AP1329">
        <v>80</v>
      </c>
      <c r="AQ1329">
        <v>1</v>
      </c>
      <c r="AR1329">
        <v>25</v>
      </c>
      <c r="AS1329" t="str">
        <f t="shared" si="310"/>
        <v>21-40</v>
      </c>
      <c r="AT1329">
        <v>5</v>
      </c>
      <c r="AU1329" t="str">
        <f t="shared" si="311"/>
        <v>5-6</v>
      </c>
      <c r="AV1329">
        <v>3</v>
      </c>
      <c r="AW1329" t="s">
        <v>79</v>
      </c>
      <c r="AX1329">
        <v>19</v>
      </c>
      <c r="AY1329" t="str">
        <f t="shared" si="300"/>
        <v>11-20</v>
      </c>
      <c r="AZ1329">
        <v>17</v>
      </c>
      <c r="BA1329" t="str">
        <f t="shared" si="312"/>
        <v>11-18</v>
      </c>
      <c r="BB1329">
        <v>2</v>
      </c>
      <c r="BC1329" t="str">
        <f t="shared" si="313"/>
        <v>2-5</v>
      </c>
      <c r="BD1329">
        <v>8</v>
      </c>
      <c r="BE1329" t="str">
        <f t="shared" si="314"/>
        <v>6-10</v>
      </c>
    </row>
    <row r="1330" spans="1:57" x14ac:dyDescent="0.3">
      <c r="A1330">
        <v>1864</v>
      </c>
      <c r="B1330">
        <v>27</v>
      </c>
      <c r="C1330" t="str">
        <f t="shared" si="301"/>
        <v>26-35</v>
      </c>
      <c r="D1330" t="s">
        <v>71</v>
      </c>
      <c r="E1330">
        <f t="shared" si="302"/>
        <v>0</v>
      </c>
      <c r="F1330" t="s">
        <v>57</v>
      </c>
      <c r="G1330">
        <v>728</v>
      </c>
      <c r="H1330" t="str">
        <f t="shared" si="303"/>
        <v>501-1000</v>
      </c>
      <c r="I1330" t="s">
        <v>58</v>
      </c>
      <c r="J1330">
        <v>23</v>
      </c>
      <c r="K1330" t="str">
        <f t="shared" si="304"/>
        <v>21-29</v>
      </c>
      <c r="L1330">
        <v>1</v>
      </c>
      <c r="M1330" t="s">
        <v>74</v>
      </c>
      <c r="N1330" t="s">
        <v>83</v>
      </c>
      <c r="O1330">
        <v>1</v>
      </c>
      <c r="P1330">
        <v>2</v>
      </c>
      <c r="Q1330" t="s">
        <v>61</v>
      </c>
      <c r="R1330" t="s">
        <v>62</v>
      </c>
      <c r="S1330">
        <v>36</v>
      </c>
      <c r="T1330" t="str">
        <f t="shared" si="305"/>
        <v>30-50</v>
      </c>
      <c r="U1330">
        <v>2</v>
      </c>
      <c r="V1330" t="s">
        <v>61</v>
      </c>
      <c r="W1330">
        <v>2</v>
      </c>
      <c r="X1330" t="s">
        <v>91</v>
      </c>
      <c r="Y1330">
        <v>3</v>
      </c>
      <c r="Z1330" t="s">
        <v>63</v>
      </c>
      <c r="AA1330" t="s">
        <v>77</v>
      </c>
      <c r="AB1330" s="4">
        <v>3540</v>
      </c>
      <c r="AC1330" s="4" t="str">
        <f t="shared" si="306"/>
        <v>$2,500-$4,000</v>
      </c>
      <c r="AD1330">
        <v>7018</v>
      </c>
      <c r="AE1330" t="str">
        <f t="shared" si="307"/>
        <v>$2,094-$8,000</v>
      </c>
      <c r="AF1330">
        <v>1</v>
      </c>
      <c r="AG1330" t="str">
        <f t="shared" si="308"/>
        <v>0-1</v>
      </c>
      <c r="AH1330" t="s">
        <v>67</v>
      </c>
      <c r="AI1330" t="s">
        <v>71</v>
      </c>
      <c r="AJ1330">
        <v>21</v>
      </c>
      <c r="AK1330" t="str">
        <f t="shared" si="309"/>
        <v>18-19%</v>
      </c>
      <c r="AL1330">
        <v>4</v>
      </c>
      <c r="AM1330" t="s">
        <v>78</v>
      </c>
      <c r="AN1330">
        <v>4</v>
      </c>
      <c r="AO1330" t="s">
        <v>65</v>
      </c>
      <c r="AP1330">
        <v>80</v>
      </c>
      <c r="AQ1330">
        <v>1</v>
      </c>
      <c r="AR1330">
        <v>9</v>
      </c>
      <c r="AS1330" t="str">
        <f t="shared" si="310"/>
        <v>6-10</v>
      </c>
      <c r="AT1330">
        <v>5</v>
      </c>
      <c r="AU1330" t="str">
        <f t="shared" si="311"/>
        <v>5-6</v>
      </c>
      <c r="AV1330">
        <v>3</v>
      </c>
      <c r="AW1330" t="s">
        <v>79</v>
      </c>
      <c r="AX1330">
        <v>9</v>
      </c>
      <c r="AY1330" t="str">
        <f t="shared" si="300"/>
        <v>6-10</v>
      </c>
      <c r="AZ1330">
        <v>8</v>
      </c>
      <c r="BA1330" t="str">
        <f t="shared" si="312"/>
        <v>6-10</v>
      </c>
      <c r="BB1330">
        <v>5</v>
      </c>
      <c r="BC1330" t="str">
        <f t="shared" si="313"/>
        <v>2-5</v>
      </c>
      <c r="BD1330">
        <v>8</v>
      </c>
      <c r="BE1330" t="str">
        <f t="shared" si="314"/>
        <v>6-10</v>
      </c>
    </row>
    <row r="1331" spans="1:57" x14ac:dyDescent="0.3">
      <c r="A1331">
        <v>1865</v>
      </c>
      <c r="B1331">
        <v>29</v>
      </c>
      <c r="C1331" t="str">
        <f t="shared" si="301"/>
        <v>26-35</v>
      </c>
      <c r="D1331" t="s">
        <v>71</v>
      </c>
      <c r="E1331">
        <f t="shared" si="302"/>
        <v>0</v>
      </c>
      <c r="F1331" t="s">
        <v>57</v>
      </c>
      <c r="G1331">
        <v>352</v>
      </c>
      <c r="H1331" t="str">
        <f t="shared" si="303"/>
        <v>102-500</v>
      </c>
      <c r="I1331" t="s">
        <v>97</v>
      </c>
      <c r="J1331">
        <v>6</v>
      </c>
      <c r="K1331" t="str">
        <f t="shared" si="304"/>
        <v>6-10</v>
      </c>
      <c r="L1331">
        <v>1</v>
      </c>
      <c r="M1331" t="s">
        <v>74</v>
      </c>
      <c r="N1331" t="s">
        <v>83</v>
      </c>
      <c r="O1331">
        <v>1</v>
      </c>
      <c r="P1331">
        <v>4</v>
      </c>
      <c r="Q1331" t="s">
        <v>65</v>
      </c>
      <c r="R1331" t="s">
        <v>75</v>
      </c>
      <c r="S1331">
        <v>87</v>
      </c>
      <c r="T1331" t="str">
        <f t="shared" si="305"/>
        <v>76-100</v>
      </c>
      <c r="U1331">
        <v>2</v>
      </c>
      <c r="V1331" t="s">
        <v>61</v>
      </c>
      <c r="W1331">
        <v>1</v>
      </c>
      <c r="X1331" t="s">
        <v>97</v>
      </c>
      <c r="Y1331">
        <v>2</v>
      </c>
      <c r="Z1331" t="s">
        <v>61</v>
      </c>
      <c r="AA1331" t="s">
        <v>77</v>
      </c>
      <c r="AB1331" s="4">
        <v>2804</v>
      </c>
      <c r="AC1331" s="4" t="str">
        <f t="shared" si="306"/>
        <v>$2,500-$4,000</v>
      </c>
      <c r="AD1331">
        <v>15434</v>
      </c>
      <c r="AE1331" t="str">
        <f t="shared" si="307"/>
        <v>$8,001-$16,000</v>
      </c>
      <c r="AF1331">
        <v>1</v>
      </c>
      <c r="AG1331" t="str">
        <f t="shared" si="308"/>
        <v>0-1</v>
      </c>
      <c r="AH1331" t="s">
        <v>67</v>
      </c>
      <c r="AI1331" t="s">
        <v>71</v>
      </c>
      <c r="AJ1331">
        <v>11</v>
      </c>
      <c r="AK1331" t="str">
        <f t="shared" si="309"/>
        <v>11-12%</v>
      </c>
      <c r="AL1331">
        <v>3</v>
      </c>
      <c r="AM1331" t="s">
        <v>68</v>
      </c>
      <c r="AN1331">
        <v>4</v>
      </c>
      <c r="AO1331" t="s">
        <v>65</v>
      </c>
      <c r="AP1331">
        <v>80</v>
      </c>
      <c r="AQ1331">
        <v>0</v>
      </c>
      <c r="AR1331">
        <v>1</v>
      </c>
      <c r="AS1331" t="str">
        <f t="shared" si="310"/>
        <v>0-2</v>
      </c>
      <c r="AT1331">
        <v>3</v>
      </c>
      <c r="AU1331" t="str">
        <f t="shared" si="311"/>
        <v>3-4</v>
      </c>
      <c r="AV1331">
        <v>3</v>
      </c>
      <c r="AW1331" t="s">
        <v>79</v>
      </c>
      <c r="AX1331">
        <v>1</v>
      </c>
      <c r="AY1331" t="str">
        <f t="shared" si="300"/>
        <v>0-1</v>
      </c>
      <c r="AZ1331">
        <v>0</v>
      </c>
      <c r="BA1331" t="str">
        <f t="shared" si="312"/>
        <v>0-1</v>
      </c>
      <c r="BB1331">
        <v>0</v>
      </c>
      <c r="BC1331" t="str">
        <f t="shared" si="313"/>
        <v>0-1</v>
      </c>
      <c r="BD1331">
        <v>0</v>
      </c>
      <c r="BE1331" t="str">
        <f t="shared" si="314"/>
        <v>0-1</v>
      </c>
    </row>
    <row r="1332" spans="1:57" x14ac:dyDescent="0.3">
      <c r="A1332">
        <v>1866</v>
      </c>
      <c r="B1332">
        <v>43</v>
      </c>
      <c r="C1332" t="str">
        <f t="shared" si="301"/>
        <v>36-45</v>
      </c>
      <c r="D1332" t="s">
        <v>71</v>
      </c>
      <c r="E1332">
        <f t="shared" si="302"/>
        <v>0</v>
      </c>
      <c r="F1332" t="s">
        <v>57</v>
      </c>
      <c r="G1332">
        <v>823</v>
      </c>
      <c r="H1332" t="str">
        <f t="shared" si="303"/>
        <v>501-1000</v>
      </c>
      <c r="I1332" t="s">
        <v>73</v>
      </c>
      <c r="J1332">
        <v>6</v>
      </c>
      <c r="K1332" t="str">
        <f t="shared" si="304"/>
        <v>6-10</v>
      </c>
      <c r="L1332">
        <v>3</v>
      </c>
      <c r="M1332" t="s">
        <v>85</v>
      </c>
      <c r="N1332" t="s">
        <v>83</v>
      </c>
      <c r="O1332">
        <v>1</v>
      </c>
      <c r="P1332">
        <v>1</v>
      </c>
      <c r="Q1332" t="s">
        <v>69</v>
      </c>
      <c r="R1332" t="s">
        <v>62</v>
      </c>
      <c r="S1332">
        <v>81</v>
      </c>
      <c r="T1332" t="str">
        <f t="shared" si="305"/>
        <v>76-100</v>
      </c>
      <c r="U1332">
        <v>2</v>
      </c>
      <c r="V1332" t="s">
        <v>61</v>
      </c>
      <c r="W1332">
        <v>5</v>
      </c>
      <c r="X1332" t="s">
        <v>90</v>
      </c>
      <c r="Y1332">
        <v>3</v>
      </c>
      <c r="Z1332" t="s">
        <v>63</v>
      </c>
      <c r="AA1332" t="s">
        <v>77</v>
      </c>
      <c r="AB1332" s="4">
        <v>19392</v>
      </c>
      <c r="AC1332" s="4" t="str">
        <f t="shared" si="306"/>
        <v>$19,000-$20,500</v>
      </c>
      <c r="AD1332">
        <v>22539</v>
      </c>
      <c r="AE1332" t="str">
        <f t="shared" si="307"/>
        <v>$22,001-$26,999</v>
      </c>
      <c r="AF1332">
        <v>7</v>
      </c>
      <c r="AG1332" t="str">
        <f t="shared" si="308"/>
        <v>7-9</v>
      </c>
      <c r="AH1332" t="s">
        <v>67</v>
      </c>
      <c r="AI1332" t="s">
        <v>71</v>
      </c>
      <c r="AJ1332">
        <v>13</v>
      </c>
      <c r="AK1332" t="str">
        <f t="shared" si="309"/>
        <v>13-15%</v>
      </c>
      <c r="AL1332">
        <v>3</v>
      </c>
      <c r="AM1332" t="s">
        <v>68</v>
      </c>
      <c r="AN1332">
        <v>4</v>
      </c>
      <c r="AO1332" t="s">
        <v>65</v>
      </c>
      <c r="AP1332">
        <v>80</v>
      </c>
      <c r="AQ1332">
        <v>0</v>
      </c>
      <c r="AR1332">
        <v>21</v>
      </c>
      <c r="AS1332" t="str">
        <f t="shared" si="310"/>
        <v>21-40</v>
      </c>
      <c r="AT1332">
        <v>2</v>
      </c>
      <c r="AU1332" t="str">
        <f t="shared" si="311"/>
        <v>0-2</v>
      </c>
      <c r="AV1332">
        <v>3</v>
      </c>
      <c r="AW1332" t="s">
        <v>79</v>
      </c>
      <c r="AX1332">
        <v>16</v>
      </c>
      <c r="AY1332" t="str">
        <f t="shared" si="300"/>
        <v>11-20</v>
      </c>
      <c r="AZ1332">
        <v>12</v>
      </c>
      <c r="BA1332" t="str">
        <f t="shared" si="312"/>
        <v>11-18</v>
      </c>
      <c r="BB1332">
        <v>6</v>
      </c>
      <c r="BC1332" t="str">
        <f t="shared" si="313"/>
        <v>6-10</v>
      </c>
      <c r="BD1332">
        <v>14</v>
      </c>
      <c r="BE1332" t="str">
        <f t="shared" si="314"/>
        <v>11-17</v>
      </c>
    </row>
    <row r="1333" spans="1:57" x14ac:dyDescent="0.3">
      <c r="A1333">
        <v>1867</v>
      </c>
      <c r="B1333">
        <v>48</v>
      </c>
      <c r="C1333" t="str">
        <f t="shared" si="301"/>
        <v>46-55</v>
      </c>
      <c r="D1333" t="s">
        <v>71</v>
      </c>
      <c r="E1333">
        <f t="shared" si="302"/>
        <v>0</v>
      </c>
      <c r="F1333" t="s">
        <v>57</v>
      </c>
      <c r="G1333">
        <v>1224</v>
      </c>
      <c r="H1333" t="str">
        <f t="shared" si="303"/>
        <v>1001-1499</v>
      </c>
      <c r="I1333" t="s">
        <v>73</v>
      </c>
      <c r="J1333">
        <v>10</v>
      </c>
      <c r="K1333" t="str">
        <f t="shared" si="304"/>
        <v>6-10</v>
      </c>
      <c r="L1333">
        <v>3</v>
      </c>
      <c r="M1333" t="s">
        <v>85</v>
      </c>
      <c r="N1333" t="s">
        <v>60</v>
      </c>
      <c r="O1333">
        <v>1</v>
      </c>
      <c r="P1333">
        <v>4</v>
      </c>
      <c r="Q1333" t="s">
        <v>65</v>
      </c>
      <c r="R1333" t="s">
        <v>75</v>
      </c>
      <c r="S1333">
        <v>91</v>
      </c>
      <c r="T1333" t="str">
        <f t="shared" si="305"/>
        <v>76-100</v>
      </c>
      <c r="U1333">
        <v>2</v>
      </c>
      <c r="V1333" t="s">
        <v>61</v>
      </c>
      <c r="W1333">
        <v>5</v>
      </c>
      <c r="X1333" t="s">
        <v>92</v>
      </c>
      <c r="Y1333">
        <v>2</v>
      </c>
      <c r="Z1333" t="s">
        <v>61</v>
      </c>
      <c r="AA1333" t="s">
        <v>77</v>
      </c>
      <c r="AB1333" s="4">
        <v>19665</v>
      </c>
      <c r="AC1333" s="4" t="str">
        <f t="shared" si="306"/>
        <v>$19,000-$20,500</v>
      </c>
      <c r="AD1333">
        <v>13583</v>
      </c>
      <c r="AE1333" t="str">
        <f t="shared" si="307"/>
        <v>$8,001-$16,000</v>
      </c>
      <c r="AF1333">
        <v>4</v>
      </c>
      <c r="AG1333" t="str">
        <f t="shared" si="308"/>
        <v>4-6</v>
      </c>
      <c r="AH1333" t="s">
        <v>67</v>
      </c>
      <c r="AI1333" t="s">
        <v>71</v>
      </c>
      <c r="AJ1333">
        <v>12</v>
      </c>
      <c r="AK1333" t="str">
        <f t="shared" si="309"/>
        <v>11-12%</v>
      </c>
      <c r="AL1333">
        <v>3</v>
      </c>
      <c r="AM1333" t="s">
        <v>68</v>
      </c>
      <c r="AN1333">
        <v>4</v>
      </c>
      <c r="AO1333" t="s">
        <v>65</v>
      </c>
      <c r="AP1333">
        <v>80</v>
      </c>
      <c r="AQ1333">
        <v>0</v>
      </c>
      <c r="AR1333">
        <v>29</v>
      </c>
      <c r="AS1333" t="str">
        <f t="shared" si="310"/>
        <v>21-40</v>
      </c>
      <c r="AT1333">
        <v>3</v>
      </c>
      <c r="AU1333" t="str">
        <f t="shared" si="311"/>
        <v>3-4</v>
      </c>
      <c r="AV1333">
        <v>3</v>
      </c>
      <c r="AW1333" t="s">
        <v>79</v>
      </c>
      <c r="AX1333">
        <v>22</v>
      </c>
      <c r="AY1333" t="str">
        <f t="shared" si="300"/>
        <v>21-40</v>
      </c>
      <c r="AZ1333">
        <v>10</v>
      </c>
      <c r="BA1333" t="str">
        <f t="shared" si="312"/>
        <v>6-10</v>
      </c>
      <c r="BB1333">
        <v>12</v>
      </c>
      <c r="BC1333" t="str">
        <f t="shared" si="313"/>
        <v>11-15</v>
      </c>
      <c r="BD1333">
        <v>9</v>
      </c>
      <c r="BE1333" t="str">
        <f t="shared" si="314"/>
        <v>6-10</v>
      </c>
    </row>
    <row r="1334" spans="1:57" x14ac:dyDescent="0.3">
      <c r="A1334">
        <v>1868</v>
      </c>
      <c r="B1334">
        <v>29</v>
      </c>
      <c r="C1334" t="str">
        <f t="shared" si="301"/>
        <v>26-35</v>
      </c>
      <c r="D1334" t="s">
        <v>56</v>
      </c>
      <c r="E1334">
        <f t="shared" si="302"/>
        <v>1</v>
      </c>
      <c r="F1334" t="s">
        <v>72</v>
      </c>
      <c r="G1334">
        <v>459</v>
      </c>
      <c r="H1334" t="str">
        <f t="shared" si="303"/>
        <v>102-500</v>
      </c>
      <c r="I1334" t="s">
        <v>73</v>
      </c>
      <c r="J1334">
        <v>24</v>
      </c>
      <c r="K1334" t="str">
        <f t="shared" si="304"/>
        <v>21-29</v>
      </c>
      <c r="L1334">
        <v>2</v>
      </c>
      <c r="M1334" t="s">
        <v>59</v>
      </c>
      <c r="N1334" t="s">
        <v>60</v>
      </c>
      <c r="O1334">
        <v>1</v>
      </c>
      <c r="P1334">
        <v>4</v>
      </c>
      <c r="Q1334" t="s">
        <v>65</v>
      </c>
      <c r="R1334" t="s">
        <v>75</v>
      </c>
      <c r="S1334">
        <v>73</v>
      </c>
      <c r="T1334" t="str">
        <f t="shared" si="305"/>
        <v>51-75</v>
      </c>
      <c r="U1334">
        <v>2</v>
      </c>
      <c r="V1334" t="s">
        <v>61</v>
      </c>
      <c r="W1334">
        <v>1</v>
      </c>
      <c r="X1334" t="s">
        <v>76</v>
      </c>
      <c r="Y1334">
        <v>4</v>
      </c>
      <c r="Z1334" t="s">
        <v>65</v>
      </c>
      <c r="AA1334" t="s">
        <v>66</v>
      </c>
      <c r="AB1334" s="4">
        <v>2439</v>
      </c>
      <c r="AC1334" s="4" t="str">
        <f t="shared" si="306"/>
        <v>$1,000-$2,500</v>
      </c>
      <c r="AD1334">
        <v>14753</v>
      </c>
      <c r="AE1334" t="str">
        <f t="shared" si="307"/>
        <v>$8,001-$16,000</v>
      </c>
      <c r="AF1334">
        <v>1</v>
      </c>
      <c r="AG1334" t="str">
        <f t="shared" si="308"/>
        <v>0-1</v>
      </c>
      <c r="AH1334" t="s">
        <v>67</v>
      </c>
      <c r="AI1334" t="s">
        <v>56</v>
      </c>
      <c r="AJ1334">
        <v>24</v>
      </c>
      <c r="AK1334" t="str">
        <f t="shared" si="309"/>
        <v>18-19%</v>
      </c>
      <c r="AL1334">
        <v>4</v>
      </c>
      <c r="AM1334" t="s">
        <v>78</v>
      </c>
      <c r="AN1334">
        <v>2</v>
      </c>
      <c r="AO1334" t="s">
        <v>61</v>
      </c>
      <c r="AP1334">
        <v>80</v>
      </c>
      <c r="AQ1334">
        <v>0</v>
      </c>
      <c r="AR1334">
        <v>1</v>
      </c>
      <c r="AS1334" t="str">
        <f t="shared" si="310"/>
        <v>0-2</v>
      </c>
      <c r="AT1334">
        <v>3</v>
      </c>
      <c r="AU1334" t="str">
        <f t="shared" si="311"/>
        <v>3-4</v>
      </c>
      <c r="AV1334">
        <v>2</v>
      </c>
      <c r="AW1334" t="s">
        <v>84</v>
      </c>
      <c r="AX1334">
        <v>1</v>
      </c>
      <c r="AY1334" t="str">
        <f t="shared" si="300"/>
        <v>0-1</v>
      </c>
      <c r="AZ1334">
        <v>0</v>
      </c>
      <c r="BA1334" t="str">
        <f t="shared" si="312"/>
        <v>0-1</v>
      </c>
      <c r="BB1334">
        <v>1</v>
      </c>
      <c r="BC1334" t="str">
        <f t="shared" si="313"/>
        <v>0-1</v>
      </c>
      <c r="BD1334">
        <v>0</v>
      </c>
      <c r="BE1334" t="str">
        <f t="shared" si="314"/>
        <v>0-1</v>
      </c>
    </row>
    <row r="1335" spans="1:57" x14ac:dyDescent="0.3">
      <c r="A1335">
        <v>1869</v>
      </c>
      <c r="B1335">
        <v>46</v>
      </c>
      <c r="C1335" t="str">
        <f t="shared" si="301"/>
        <v>46-55</v>
      </c>
      <c r="D1335" t="s">
        <v>56</v>
      </c>
      <c r="E1335">
        <f t="shared" si="302"/>
        <v>1</v>
      </c>
      <c r="F1335" t="s">
        <v>57</v>
      </c>
      <c r="G1335">
        <v>1254</v>
      </c>
      <c r="H1335" t="str">
        <f t="shared" si="303"/>
        <v>1001-1499</v>
      </c>
      <c r="I1335" t="s">
        <v>58</v>
      </c>
      <c r="J1335">
        <v>10</v>
      </c>
      <c r="K1335" t="str">
        <f t="shared" si="304"/>
        <v>6-10</v>
      </c>
      <c r="L1335">
        <v>3</v>
      </c>
      <c r="M1335" t="s">
        <v>85</v>
      </c>
      <c r="N1335" t="s">
        <v>60</v>
      </c>
      <c r="O1335">
        <v>1</v>
      </c>
      <c r="P1335">
        <v>3</v>
      </c>
      <c r="Q1335" t="s">
        <v>63</v>
      </c>
      <c r="R1335" t="s">
        <v>62</v>
      </c>
      <c r="S1335">
        <v>64</v>
      </c>
      <c r="T1335" t="str">
        <f t="shared" si="305"/>
        <v>51-75</v>
      </c>
      <c r="U1335">
        <v>3</v>
      </c>
      <c r="V1335" t="s">
        <v>63</v>
      </c>
      <c r="W1335">
        <v>3</v>
      </c>
      <c r="X1335" t="s">
        <v>64</v>
      </c>
      <c r="Y1335">
        <v>2</v>
      </c>
      <c r="Z1335" t="s">
        <v>61</v>
      </c>
      <c r="AA1335" t="s">
        <v>77</v>
      </c>
      <c r="AB1335" s="4">
        <v>7314</v>
      </c>
      <c r="AC1335" s="4" t="str">
        <f t="shared" si="306"/>
        <v>$7,000-$8,500</v>
      </c>
      <c r="AD1335">
        <v>14011</v>
      </c>
      <c r="AE1335" t="str">
        <f t="shared" si="307"/>
        <v>$8,001-$16,000</v>
      </c>
      <c r="AF1335">
        <v>5</v>
      </c>
      <c r="AG1335" t="str">
        <f t="shared" si="308"/>
        <v>4-6</v>
      </c>
      <c r="AH1335" t="s">
        <v>67</v>
      </c>
      <c r="AI1335" t="s">
        <v>71</v>
      </c>
      <c r="AJ1335">
        <v>21</v>
      </c>
      <c r="AK1335" t="str">
        <f t="shared" si="309"/>
        <v>18-19%</v>
      </c>
      <c r="AL1335">
        <v>4</v>
      </c>
      <c r="AM1335" t="s">
        <v>78</v>
      </c>
      <c r="AN1335">
        <v>3</v>
      </c>
      <c r="AO1335" t="s">
        <v>63</v>
      </c>
      <c r="AP1335">
        <v>80</v>
      </c>
      <c r="AQ1335">
        <v>3</v>
      </c>
      <c r="AR1335">
        <v>14</v>
      </c>
      <c r="AS1335" t="str">
        <f t="shared" si="310"/>
        <v>11-20</v>
      </c>
      <c r="AT1335">
        <v>2</v>
      </c>
      <c r="AU1335" t="str">
        <f t="shared" si="311"/>
        <v>0-2</v>
      </c>
      <c r="AV1335">
        <v>3</v>
      </c>
      <c r="AW1335" t="s">
        <v>79</v>
      </c>
      <c r="AX1335">
        <v>8</v>
      </c>
      <c r="AY1335" t="str">
        <f t="shared" si="300"/>
        <v>6-10</v>
      </c>
      <c r="AZ1335">
        <v>7</v>
      </c>
      <c r="BA1335" t="str">
        <f t="shared" si="312"/>
        <v>6-10</v>
      </c>
      <c r="BB1335">
        <v>0</v>
      </c>
      <c r="BC1335" t="str">
        <f t="shared" si="313"/>
        <v>0-1</v>
      </c>
      <c r="BD1335">
        <v>7</v>
      </c>
      <c r="BE1335" t="str">
        <f t="shared" si="314"/>
        <v>6-10</v>
      </c>
    </row>
    <row r="1336" spans="1:57" x14ac:dyDescent="0.3">
      <c r="A1336">
        <v>1870</v>
      </c>
      <c r="B1336">
        <v>27</v>
      </c>
      <c r="C1336" t="str">
        <f t="shared" si="301"/>
        <v>26-35</v>
      </c>
      <c r="D1336" t="s">
        <v>71</v>
      </c>
      <c r="E1336">
        <f t="shared" si="302"/>
        <v>0</v>
      </c>
      <c r="F1336" t="s">
        <v>72</v>
      </c>
      <c r="G1336">
        <v>1131</v>
      </c>
      <c r="H1336" t="str">
        <f t="shared" si="303"/>
        <v>1001-1499</v>
      </c>
      <c r="I1336" t="s">
        <v>73</v>
      </c>
      <c r="J1336">
        <v>15</v>
      </c>
      <c r="K1336" t="str">
        <f t="shared" si="304"/>
        <v>11-20</v>
      </c>
      <c r="L1336">
        <v>3</v>
      </c>
      <c r="M1336" t="s">
        <v>85</v>
      </c>
      <c r="N1336" t="s">
        <v>60</v>
      </c>
      <c r="O1336">
        <v>1</v>
      </c>
      <c r="P1336">
        <v>4</v>
      </c>
      <c r="Q1336" t="s">
        <v>65</v>
      </c>
      <c r="R1336" t="s">
        <v>62</v>
      </c>
      <c r="S1336">
        <v>77</v>
      </c>
      <c r="T1336" t="str">
        <f t="shared" si="305"/>
        <v>76-100</v>
      </c>
      <c r="U1336">
        <v>2</v>
      </c>
      <c r="V1336" t="s">
        <v>61</v>
      </c>
      <c r="W1336">
        <v>1</v>
      </c>
      <c r="X1336" t="s">
        <v>76</v>
      </c>
      <c r="Y1336">
        <v>1</v>
      </c>
      <c r="Z1336" t="s">
        <v>69</v>
      </c>
      <c r="AA1336" t="s">
        <v>77</v>
      </c>
      <c r="AB1336" s="4">
        <v>4774</v>
      </c>
      <c r="AC1336" s="4" t="str">
        <f t="shared" si="306"/>
        <v>$4,000-$5,500</v>
      </c>
      <c r="AD1336">
        <v>23844</v>
      </c>
      <c r="AE1336" t="str">
        <f t="shared" si="307"/>
        <v>$22,001-$26,999</v>
      </c>
      <c r="AF1336">
        <v>0</v>
      </c>
      <c r="AG1336" t="str">
        <f t="shared" si="308"/>
        <v>0-1</v>
      </c>
      <c r="AH1336" t="s">
        <v>67</v>
      </c>
      <c r="AI1336" t="s">
        <v>71</v>
      </c>
      <c r="AJ1336">
        <v>19</v>
      </c>
      <c r="AK1336" t="str">
        <f t="shared" si="309"/>
        <v>18-19%</v>
      </c>
      <c r="AL1336">
        <v>3</v>
      </c>
      <c r="AM1336" t="s">
        <v>68</v>
      </c>
      <c r="AN1336">
        <v>4</v>
      </c>
      <c r="AO1336" t="s">
        <v>65</v>
      </c>
      <c r="AP1336">
        <v>80</v>
      </c>
      <c r="AQ1336">
        <v>1</v>
      </c>
      <c r="AR1336">
        <v>8</v>
      </c>
      <c r="AS1336" t="str">
        <f t="shared" si="310"/>
        <v>6-10</v>
      </c>
      <c r="AT1336">
        <v>2</v>
      </c>
      <c r="AU1336" t="str">
        <f t="shared" si="311"/>
        <v>0-2</v>
      </c>
      <c r="AV1336">
        <v>2</v>
      </c>
      <c r="AW1336" t="s">
        <v>84</v>
      </c>
      <c r="AX1336">
        <v>7</v>
      </c>
      <c r="AY1336" t="str">
        <f t="shared" si="300"/>
        <v>6-10</v>
      </c>
      <c r="AZ1336">
        <v>6</v>
      </c>
      <c r="BA1336" t="str">
        <f t="shared" si="312"/>
        <v>6-10</v>
      </c>
      <c r="BB1336">
        <v>7</v>
      </c>
      <c r="BC1336" t="str">
        <f t="shared" si="313"/>
        <v>6-10</v>
      </c>
      <c r="BD1336">
        <v>3</v>
      </c>
      <c r="BE1336" t="str">
        <f t="shared" si="314"/>
        <v>2-5</v>
      </c>
    </row>
    <row r="1337" spans="1:57" x14ac:dyDescent="0.3">
      <c r="A1337">
        <v>1871</v>
      </c>
      <c r="B1337">
        <v>39</v>
      </c>
      <c r="C1337" t="str">
        <f t="shared" si="301"/>
        <v>36-45</v>
      </c>
      <c r="D1337" t="s">
        <v>71</v>
      </c>
      <c r="E1337">
        <f t="shared" si="302"/>
        <v>0</v>
      </c>
      <c r="F1337" t="s">
        <v>57</v>
      </c>
      <c r="G1337">
        <v>835</v>
      </c>
      <c r="H1337" t="str">
        <f t="shared" si="303"/>
        <v>501-1000</v>
      </c>
      <c r="I1337" t="s">
        <v>73</v>
      </c>
      <c r="J1337">
        <v>19</v>
      </c>
      <c r="K1337" t="str">
        <f t="shared" si="304"/>
        <v>11-20</v>
      </c>
      <c r="L1337">
        <v>4</v>
      </c>
      <c r="M1337" t="s">
        <v>82</v>
      </c>
      <c r="N1337" t="s">
        <v>80</v>
      </c>
      <c r="O1337">
        <v>1</v>
      </c>
      <c r="P1337">
        <v>4</v>
      </c>
      <c r="Q1337" t="s">
        <v>65</v>
      </c>
      <c r="R1337" t="s">
        <v>75</v>
      </c>
      <c r="S1337">
        <v>41</v>
      </c>
      <c r="T1337" t="str">
        <f t="shared" si="305"/>
        <v>30-50</v>
      </c>
      <c r="U1337">
        <v>3</v>
      </c>
      <c r="V1337" t="s">
        <v>63</v>
      </c>
      <c r="W1337">
        <v>2</v>
      </c>
      <c r="X1337" t="s">
        <v>76</v>
      </c>
      <c r="Y1337">
        <v>4</v>
      </c>
      <c r="Z1337" t="s">
        <v>65</v>
      </c>
      <c r="AA1337" t="s">
        <v>86</v>
      </c>
      <c r="AB1337" s="4">
        <v>3902</v>
      </c>
      <c r="AC1337" s="4" t="str">
        <f t="shared" si="306"/>
        <v>$2,500-$4,000</v>
      </c>
      <c r="AD1337">
        <v>5141</v>
      </c>
      <c r="AE1337" t="str">
        <f t="shared" si="307"/>
        <v>$2,094-$8,000</v>
      </c>
      <c r="AF1337">
        <v>8</v>
      </c>
      <c r="AG1337" t="str">
        <f t="shared" si="308"/>
        <v>7-9</v>
      </c>
      <c r="AH1337" t="s">
        <v>67</v>
      </c>
      <c r="AI1337" t="s">
        <v>71</v>
      </c>
      <c r="AJ1337">
        <v>14</v>
      </c>
      <c r="AK1337" t="str">
        <f t="shared" si="309"/>
        <v>13-15%</v>
      </c>
      <c r="AL1337">
        <v>3</v>
      </c>
      <c r="AM1337" t="s">
        <v>68</v>
      </c>
      <c r="AN1337">
        <v>2</v>
      </c>
      <c r="AO1337" t="s">
        <v>61</v>
      </c>
      <c r="AP1337">
        <v>80</v>
      </c>
      <c r="AQ1337">
        <v>3</v>
      </c>
      <c r="AR1337">
        <v>7</v>
      </c>
      <c r="AS1337" t="str">
        <f t="shared" si="310"/>
        <v>6-10</v>
      </c>
      <c r="AT1337">
        <v>2</v>
      </c>
      <c r="AU1337" t="str">
        <f t="shared" si="311"/>
        <v>0-2</v>
      </c>
      <c r="AV1337">
        <v>3</v>
      </c>
      <c r="AW1337" t="s">
        <v>79</v>
      </c>
      <c r="AX1337">
        <v>2</v>
      </c>
      <c r="AY1337" t="str">
        <f t="shared" si="300"/>
        <v>2-5</v>
      </c>
      <c r="AZ1337">
        <v>2</v>
      </c>
      <c r="BA1337" t="str">
        <f t="shared" si="312"/>
        <v>2-5</v>
      </c>
      <c r="BB1337">
        <v>2</v>
      </c>
      <c r="BC1337" t="str">
        <f t="shared" si="313"/>
        <v>2-5</v>
      </c>
      <c r="BD1337">
        <v>2</v>
      </c>
      <c r="BE1337" t="str">
        <f t="shared" si="314"/>
        <v>2-5</v>
      </c>
    </row>
    <row r="1338" spans="1:57" x14ac:dyDescent="0.3">
      <c r="A1338">
        <v>1873</v>
      </c>
      <c r="B1338">
        <v>55</v>
      </c>
      <c r="C1338" t="str">
        <f t="shared" si="301"/>
        <v>46-55</v>
      </c>
      <c r="D1338" t="s">
        <v>71</v>
      </c>
      <c r="E1338">
        <f t="shared" si="302"/>
        <v>0</v>
      </c>
      <c r="F1338" t="s">
        <v>57</v>
      </c>
      <c r="G1338">
        <v>836</v>
      </c>
      <c r="H1338" t="str">
        <f t="shared" si="303"/>
        <v>501-1000</v>
      </c>
      <c r="I1338" t="s">
        <v>73</v>
      </c>
      <c r="J1338">
        <v>2</v>
      </c>
      <c r="K1338" t="str">
        <f t="shared" si="304"/>
        <v>1-5</v>
      </c>
      <c r="L1338">
        <v>4</v>
      </c>
      <c r="M1338" t="s">
        <v>82</v>
      </c>
      <c r="N1338" t="s">
        <v>95</v>
      </c>
      <c r="O1338">
        <v>1</v>
      </c>
      <c r="P1338">
        <v>2</v>
      </c>
      <c r="Q1338" t="s">
        <v>61</v>
      </c>
      <c r="R1338" t="s">
        <v>75</v>
      </c>
      <c r="S1338">
        <v>98</v>
      </c>
      <c r="T1338" t="str">
        <f t="shared" si="305"/>
        <v>76-100</v>
      </c>
      <c r="U1338">
        <v>2</v>
      </c>
      <c r="V1338" t="s">
        <v>61</v>
      </c>
      <c r="W1338">
        <v>1</v>
      </c>
      <c r="X1338" t="s">
        <v>76</v>
      </c>
      <c r="Y1338">
        <v>4</v>
      </c>
      <c r="Z1338" t="s">
        <v>65</v>
      </c>
      <c r="AA1338" t="s">
        <v>77</v>
      </c>
      <c r="AB1338" s="4">
        <v>2662</v>
      </c>
      <c r="AC1338" s="4" t="str">
        <f t="shared" si="306"/>
        <v>$2,500-$4,000</v>
      </c>
      <c r="AD1338">
        <v>7975</v>
      </c>
      <c r="AE1338" t="str">
        <f t="shared" si="307"/>
        <v>$2,094-$8,000</v>
      </c>
      <c r="AF1338">
        <v>8</v>
      </c>
      <c r="AG1338" t="str">
        <f t="shared" si="308"/>
        <v>7-9</v>
      </c>
      <c r="AH1338" t="s">
        <v>67</v>
      </c>
      <c r="AI1338" t="s">
        <v>71</v>
      </c>
      <c r="AJ1338">
        <v>20</v>
      </c>
      <c r="AK1338" t="str">
        <f t="shared" si="309"/>
        <v>18-19%</v>
      </c>
      <c r="AL1338">
        <v>4</v>
      </c>
      <c r="AM1338" t="s">
        <v>78</v>
      </c>
      <c r="AN1338">
        <v>2</v>
      </c>
      <c r="AO1338" t="s">
        <v>61</v>
      </c>
      <c r="AP1338">
        <v>80</v>
      </c>
      <c r="AQ1338">
        <v>1</v>
      </c>
      <c r="AR1338">
        <v>19</v>
      </c>
      <c r="AS1338" t="str">
        <f t="shared" si="310"/>
        <v>11-20</v>
      </c>
      <c r="AT1338">
        <v>2</v>
      </c>
      <c r="AU1338" t="str">
        <f t="shared" si="311"/>
        <v>0-2</v>
      </c>
      <c r="AV1338">
        <v>4</v>
      </c>
      <c r="AW1338" t="s">
        <v>94</v>
      </c>
      <c r="AX1338">
        <v>5</v>
      </c>
      <c r="AY1338" t="str">
        <f t="shared" si="300"/>
        <v>2-5</v>
      </c>
      <c r="AZ1338">
        <v>2</v>
      </c>
      <c r="BA1338" t="str">
        <f t="shared" si="312"/>
        <v>2-5</v>
      </c>
      <c r="BB1338">
        <v>0</v>
      </c>
      <c r="BC1338" t="str">
        <f t="shared" si="313"/>
        <v>0-1</v>
      </c>
      <c r="BD1338">
        <v>4</v>
      </c>
      <c r="BE1338" t="str">
        <f t="shared" si="314"/>
        <v>2-5</v>
      </c>
    </row>
    <row r="1339" spans="1:57" x14ac:dyDescent="0.3">
      <c r="A1339">
        <v>1875</v>
      </c>
      <c r="B1339">
        <v>28</v>
      </c>
      <c r="C1339" t="str">
        <f t="shared" si="301"/>
        <v>26-35</v>
      </c>
      <c r="D1339" t="s">
        <v>71</v>
      </c>
      <c r="E1339">
        <f t="shared" si="302"/>
        <v>0</v>
      </c>
      <c r="F1339" t="s">
        <v>57</v>
      </c>
      <c r="G1339">
        <v>1172</v>
      </c>
      <c r="H1339" t="str">
        <f t="shared" si="303"/>
        <v>1001-1499</v>
      </c>
      <c r="I1339" t="s">
        <v>58</v>
      </c>
      <c r="J1339">
        <v>3</v>
      </c>
      <c r="K1339" t="str">
        <f t="shared" si="304"/>
        <v>1-5</v>
      </c>
      <c r="L1339">
        <v>3</v>
      </c>
      <c r="M1339" t="s">
        <v>85</v>
      </c>
      <c r="N1339" t="s">
        <v>83</v>
      </c>
      <c r="O1339">
        <v>1</v>
      </c>
      <c r="P1339">
        <v>2</v>
      </c>
      <c r="Q1339" t="s">
        <v>61</v>
      </c>
      <c r="R1339" t="s">
        <v>62</v>
      </c>
      <c r="S1339">
        <v>78</v>
      </c>
      <c r="T1339" t="str">
        <f t="shared" si="305"/>
        <v>76-100</v>
      </c>
      <c r="U1339">
        <v>3</v>
      </c>
      <c r="V1339" t="s">
        <v>63</v>
      </c>
      <c r="W1339">
        <v>1</v>
      </c>
      <c r="X1339" t="s">
        <v>91</v>
      </c>
      <c r="Y1339">
        <v>2</v>
      </c>
      <c r="Z1339" t="s">
        <v>61</v>
      </c>
      <c r="AA1339" t="s">
        <v>77</v>
      </c>
      <c r="AB1339" s="4">
        <v>2856</v>
      </c>
      <c r="AC1339" s="4" t="str">
        <f t="shared" si="306"/>
        <v>$2,500-$4,000</v>
      </c>
      <c r="AD1339">
        <v>3692</v>
      </c>
      <c r="AE1339" t="str">
        <f t="shared" si="307"/>
        <v>$2,094-$8,000</v>
      </c>
      <c r="AF1339">
        <v>1</v>
      </c>
      <c r="AG1339" t="str">
        <f t="shared" si="308"/>
        <v>0-1</v>
      </c>
      <c r="AH1339" t="s">
        <v>67</v>
      </c>
      <c r="AI1339" t="s">
        <v>71</v>
      </c>
      <c r="AJ1339">
        <v>19</v>
      </c>
      <c r="AK1339" t="str">
        <f t="shared" si="309"/>
        <v>18-19%</v>
      </c>
      <c r="AL1339">
        <v>3</v>
      </c>
      <c r="AM1339" t="s">
        <v>68</v>
      </c>
      <c r="AN1339">
        <v>4</v>
      </c>
      <c r="AO1339" t="s">
        <v>65</v>
      </c>
      <c r="AP1339">
        <v>80</v>
      </c>
      <c r="AQ1339">
        <v>1</v>
      </c>
      <c r="AR1339">
        <v>1</v>
      </c>
      <c r="AS1339" t="str">
        <f t="shared" si="310"/>
        <v>0-2</v>
      </c>
      <c r="AT1339">
        <v>3</v>
      </c>
      <c r="AU1339" t="str">
        <f t="shared" si="311"/>
        <v>3-4</v>
      </c>
      <c r="AV1339">
        <v>3</v>
      </c>
      <c r="AW1339" t="s">
        <v>79</v>
      </c>
      <c r="AX1339">
        <v>1</v>
      </c>
      <c r="AY1339" t="str">
        <f t="shared" si="300"/>
        <v>0-1</v>
      </c>
      <c r="AZ1339">
        <v>0</v>
      </c>
      <c r="BA1339" t="str">
        <f t="shared" si="312"/>
        <v>0-1</v>
      </c>
      <c r="BB1339">
        <v>0</v>
      </c>
      <c r="BC1339" t="str">
        <f t="shared" si="313"/>
        <v>0-1</v>
      </c>
      <c r="BD1339">
        <v>0</v>
      </c>
      <c r="BE1339" t="str">
        <f t="shared" si="314"/>
        <v>0-1</v>
      </c>
    </row>
    <row r="1340" spans="1:57" x14ac:dyDescent="0.3">
      <c r="A1340">
        <v>1876</v>
      </c>
      <c r="B1340">
        <v>30</v>
      </c>
      <c r="C1340" t="str">
        <f t="shared" si="301"/>
        <v>26-35</v>
      </c>
      <c r="D1340" t="s">
        <v>56</v>
      </c>
      <c r="E1340">
        <f t="shared" si="302"/>
        <v>1</v>
      </c>
      <c r="F1340" t="s">
        <v>57</v>
      </c>
      <c r="G1340">
        <v>945</v>
      </c>
      <c r="H1340" t="str">
        <f t="shared" si="303"/>
        <v>501-1000</v>
      </c>
      <c r="I1340" t="s">
        <v>58</v>
      </c>
      <c r="J1340">
        <v>9</v>
      </c>
      <c r="K1340" t="str">
        <f t="shared" si="304"/>
        <v>6-10</v>
      </c>
      <c r="L1340">
        <v>3</v>
      </c>
      <c r="M1340" t="s">
        <v>85</v>
      </c>
      <c r="N1340" t="s">
        <v>83</v>
      </c>
      <c r="O1340">
        <v>1</v>
      </c>
      <c r="P1340">
        <v>2</v>
      </c>
      <c r="Q1340" t="s">
        <v>61</v>
      </c>
      <c r="R1340" t="s">
        <v>75</v>
      </c>
      <c r="S1340">
        <v>89</v>
      </c>
      <c r="T1340" t="str">
        <f t="shared" si="305"/>
        <v>76-100</v>
      </c>
      <c r="U1340">
        <v>3</v>
      </c>
      <c r="V1340" t="s">
        <v>63</v>
      </c>
      <c r="W1340">
        <v>1</v>
      </c>
      <c r="X1340" t="s">
        <v>91</v>
      </c>
      <c r="Y1340">
        <v>4</v>
      </c>
      <c r="Z1340" t="s">
        <v>65</v>
      </c>
      <c r="AA1340" t="s">
        <v>66</v>
      </c>
      <c r="AB1340" s="4">
        <v>1081</v>
      </c>
      <c r="AC1340" s="4" t="str">
        <f t="shared" si="306"/>
        <v>$1,000-$2,500</v>
      </c>
      <c r="AD1340">
        <v>16019</v>
      </c>
      <c r="AE1340" t="str">
        <f t="shared" si="307"/>
        <v>$16,001-$22,000</v>
      </c>
      <c r="AF1340">
        <v>1</v>
      </c>
      <c r="AG1340" t="str">
        <f t="shared" si="308"/>
        <v>0-1</v>
      </c>
      <c r="AH1340" t="s">
        <v>67</v>
      </c>
      <c r="AI1340" t="s">
        <v>71</v>
      </c>
      <c r="AJ1340">
        <v>13</v>
      </c>
      <c r="AK1340" t="str">
        <f t="shared" si="309"/>
        <v>13-15%</v>
      </c>
      <c r="AL1340">
        <v>3</v>
      </c>
      <c r="AM1340" t="s">
        <v>68</v>
      </c>
      <c r="AN1340">
        <v>3</v>
      </c>
      <c r="AO1340" t="s">
        <v>63</v>
      </c>
      <c r="AP1340">
        <v>80</v>
      </c>
      <c r="AQ1340">
        <v>0</v>
      </c>
      <c r="AR1340">
        <v>1</v>
      </c>
      <c r="AS1340" t="str">
        <f t="shared" si="310"/>
        <v>0-2</v>
      </c>
      <c r="AT1340">
        <v>3</v>
      </c>
      <c r="AU1340" t="str">
        <f t="shared" si="311"/>
        <v>3-4</v>
      </c>
      <c r="AV1340">
        <v>2</v>
      </c>
      <c r="AW1340" t="s">
        <v>84</v>
      </c>
      <c r="AX1340">
        <v>1</v>
      </c>
      <c r="AY1340" t="str">
        <f t="shared" si="300"/>
        <v>0-1</v>
      </c>
      <c r="AZ1340">
        <v>0</v>
      </c>
      <c r="BA1340" t="str">
        <f t="shared" si="312"/>
        <v>0-1</v>
      </c>
      <c r="BB1340">
        <v>0</v>
      </c>
      <c r="BC1340" t="str">
        <f t="shared" si="313"/>
        <v>0-1</v>
      </c>
      <c r="BD1340">
        <v>0</v>
      </c>
      <c r="BE1340" t="str">
        <f t="shared" si="314"/>
        <v>0-1</v>
      </c>
    </row>
    <row r="1341" spans="1:57" x14ac:dyDescent="0.3">
      <c r="A1341">
        <v>1878</v>
      </c>
      <c r="B1341">
        <v>22</v>
      </c>
      <c r="C1341" t="str">
        <f t="shared" si="301"/>
        <v>18-25</v>
      </c>
      <c r="D1341" t="s">
        <v>56</v>
      </c>
      <c r="E1341">
        <f t="shared" si="302"/>
        <v>1</v>
      </c>
      <c r="F1341" t="s">
        <v>57</v>
      </c>
      <c r="G1341">
        <v>391</v>
      </c>
      <c r="H1341" t="str">
        <f t="shared" si="303"/>
        <v>102-500</v>
      </c>
      <c r="I1341" t="s">
        <v>73</v>
      </c>
      <c r="J1341">
        <v>7</v>
      </c>
      <c r="K1341" t="str">
        <f t="shared" si="304"/>
        <v>6-10</v>
      </c>
      <c r="L1341">
        <v>1</v>
      </c>
      <c r="M1341" t="s">
        <v>74</v>
      </c>
      <c r="N1341" t="s">
        <v>60</v>
      </c>
      <c r="O1341">
        <v>1</v>
      </c>
      <c r="P1341">
        <v>4</v>
      </c>
      <c r="Q1341" t="s">
        <v>65</v>
      </c>
      <c r="R1341" t="s">
        <v>75</v>
      </c>
      <c r="S1341">
        <v>75</v>
      </c>
      <c r="T1341" t="str">
        <f t="shared" si="305"/>
        <v>51-75</v>
      </c>
      <c r="U1341">
        <v>3</v>
      </c>
      <c r="V1341" t="s">
        <v>63</v>
      </c>
      <c r="W1341">
        <v>1</v>
      </c>
      <c r="X1341" t="s">
        <v>76</v>
      </c>
      <c r="Y1341">
        <v>2</v>
      </c>
      <c r="Z1341" t="s">
        <v>61</v>
      </c>
      <c r="AA1341" t="s">
        <v>66</v>
      </c>
      <c r="AB1341" s="4">
        <v>2472</v>
      </c>
      <c r="AC1341" s="4" t="str">
        <f t="shared" si="306"/>
        <v>$1,000-$2,500</v>
      </c>
      <c r="AD1341">
        <v>26092</v>
      </c>
      <c r="AE1341" t="str">
        <f t="shared" si="307"/>
        <v>$22,001-$26,999</v>
      </c>
      <c r="AF1341">
        <v>1</v>
      </c>
      <c r="AG1341" t="str">
        <f t="shared" si="308"/>
        <v>0-1</v>
      </c>
      <c r="AH1341" t="s">
        <v>67</v>
      </c>
      <c r="AI1341" t="s">
        <v>56</v>
      </c>
      <c r="AJ1341">
        <v>23</v>
      </c>
      <c r="AK1341" t="str">
        <f t="shared" si="309"/>
        <v>18-19%</v>
      </c>
      <c r="AL1341">
        <v>4</v>
      </c>
      <c r="AM1341" t="s">
        <v>78</v>
      </c>
      <c r="AN1341">
        <v>1</v>
      </c>
      <c r="AO1341" t="s">
        <v>69</v>
      </c>
      <c r="AP1341">
        <v>80</v>
      </c>
      <c r="AQ1341">
        <v>0</v>
      </c>
      <c r="AR1341">
        <v>1</v>
      </c>
      <c r="AS1341" t="str">
        <f t="shared" si="310"/>
        <v>0-2</v>
      </c>
      <c r="AT1341">
        <v>2</v>
      </c>
      <c r="AU1341" t="str">
        <f t="shared" si="311"/>
        <v>0-2</v>
      </c>
      <c r="AV1341">
        <v>3</v>
      </c>
      <c r="AW1341" t="s">
        <v>79</v>
      </c>
      <c r="AX1341">
        <v>1</v>
      </c>
      <c r="AY1341" t="str">
        <f t="shared" si="300"/>
        <v>0-1</v>
      </c>
      <c r="AZ1341">
        <v>0</v>
      </c>
      <c r="BA1341" t="str">
        <f t="shared" si="312"/>
        <v>0-1</v>
      </c>
      <c r="BB1341">
        <v>0</v>
      </c>
      <c r="BC1341" t="str">
        <f t="shared" si="313"/>
        <v>0-1</v>
      </c>
      <c r="BD1341">
        <v>0</v>
      </c>
      <c r="BE1341" t="str">
        <f t="shared" si="314"/>
        <v>0-1</v>
      </c>
    </row>
    <row r="1342" spans="1:57" x14ac:dyDescent="0.3">
      <c r="A1342">
        <v>1880</v>
      </c>
      <c r="B1342">
        <v>36</v>
      </c>
      <c r="C1342" t="str">
        <f t="shared" si="301"/>
        <v>36-45</v>
      </c>
      <c r="D1342" t="s">
        <v>71</v>
      </c>
      <c r="E1342">
        <f t="shared" si="302"/>
        <v>0</v>
      </c>
      <c r="F1342" t="s">
        <v>57</v>
      </c>
      <c r="G1342">
        <v>1266</v>
      </c>
      <c r="H1342" t="str">
        <f t="shared" si="303"/>
        <v>1001-1499</v>
      </c>
      <c r="I1342" t="s">
        <v>58</v>
      </c>
      <c r="J1342">
        <v>10</v>
      </c>
      <c r="K1342" t="str">
        <f t="shared" si="304"/>
        <v>6-10</v>
      </c>
      <c r="L1342">
        <v>4</v>
      </c>
      <c r="M1342" t="s">
        <v>82</v>
      </c>
      <c r="N1342" t="s">
        <v>95</v>
      </c>
      <c r="O1342">
        <v>1</v>
      </c>
      <c r="P1342">
        <v>2</v>
      </c>
      <c r="Q1342" t="s">
        <v>61</v>
      </c>
      <c r="R1342" t="s">
        <v>62</v>
      </c>
      <c r="S1342">
        <v>63</v>
      </c>
      <c r="T1342" t="str">
        <f t="shared" si="305"/>
        <v>51-75</v>
      </c>
      <c r="U1342">
        <v>2</v>
      </c>
      <c r="V1342" t="s">
        <v>61</v>
      </c>
      <c r="W1342">
        <v>2</v>
      </c>
      <c r="X1342" t="s">
        <v>64</v>
      </c>
      <c r="Y1342">
        <v>3</v>
      </c>
      <c r="Z1342" t="s">
        <v>63</v>
      </c>
      <c r="AA1342" t="s">
        <v>77</v>
      </c>
      <c r="AB1342" s="4">
        <v>5673</v>
      </c>
      <c r="AC1342" s="4" t="str">
        <f t="shared" si="306"/>
        <v>$5,500-$7,000</v>
      </c>
      <c r="AD1342">
        <v>6060</v>
      </c>
      <c r="AE1342" t="str">
        <f t="shared" si="307"/>
        <v>$2,094-$8,000</v>
      </c>
      <c r="AF1342">
        <v>1</v>
      </c>
      <c r="AG1342" t="str">
        <f t="shared" si="308"/>
        <v>0-1</v>
      </c>
      <c r="AH1342" t="s">
        <v>67</v>
      </c>
      <c r="AI1342" t="s">
        <v>56</v>
      </c>
      <c r="AJ1342">
        <v>13</v>
      </c>
      <c r="AK1342" t="str">
        <f t="shared" si="309"/>
        <v>13-15%</v>
      </c>
      <c r="AL1342">
        <v>3</v>
      </c>
      <c r="AM1342" t="s">
        <v>68</v>
      </c>
      <c r="AN1342">
        <v>1</v>
      </c>
      <c r="AO1342" t="s">
        <v>69</v>
      </c>
      <c r="AP1342">
        <v>80</v>
      </c>
      <c r="AQ1342">
        <v>1</v>
      </c>
      <c r="AR1342">
        <v>10</v>
      </c>
      <c r="AS1342" t="str">
        <f t="shared" si="310"/>
        <v>6-10</v>
      </c>
      <c r="AT1342">
        <v>4</v>
      </c>
      <c r="AU1342" t="str">
        <f t="shared" si="311"/>
        <v>3-4</v>
      </c>
      <c r="AV1342">
        <v>3</v>
      </c>
      <c r="AW1342" t="s">
        <v>79</v>
      </c>
      <c r="AX1342">
        <v>10</v>
      </c>
      <c r="AY1342" t="str">
        <f t="shared" si="300"/>
        <v>6-10</v>
      </c>
      <c r="AZ1342">
        <v>9</v>
      </c>
      <c r="BA1342" t="str">
        <f t="shared" si="312"/>
        <v>6-10</v>
      </c>
      <c r="BB1342">
        <v>1</v>
      </c>
      <c r="BC1342" t="str">
        <f t="shared" si="313"/>
        <v>0-1</v>
      </c>
      <c r="BD1342">
        <v>7</v>
      </c>
      <c r="BE1342" t="str">
        <f t="shared" si="314"/>
        <v>6-10</v>
      </c>
    </row>
    <row r="1343" spans="1:57" x14ac:dyDescent="0.3">
      <c r="A1343">
        <v>1881</v>
      </c>
      <c r="B1343">
        <v>31</v>
      </c>
      <c r="C1343" t="str">
        <f t="shared" si="301"/>
        <v>26-35</v>
      </c>
      <c r="D1343" t="s">
        <v>71</v>
      </c>
      <c r="E1343">
        <f t="shared" si="302"/>
        <v>0</v>
      </c>
      <c r="F1343" t="s">
        <v>57</v>
      </c>
      <c r="G1343">
        <v>311</v>
      </c>
      <c r="H1343" t="str">
        <f t="shared" si="303"/>
        <v>102-500</v>
      </c>
      <c r="I1343" t="s">
        <v>73</v>
      </c>
      <c r="J1343">
        <v>20</v>
      </c>
      <c r="K1343" t="str">
        <f t="shared" si="304"/>
        <v>11-20</v>
      </c>
      <c r="L1343">
        <v>3</v>
      </c>
      <c r="M1343" t="s">
        <v>85</v>
      </c>
      <c r="N1343" t="s">
        <v>60</v>
      </c>
      <c r="O1343">
        <v>1</v>
      </c>
      <c r="P1343">
        <v>2</v>
      </c>
      <c r="Q1343" t="s">
        <v>61</v>
      </c>
      <c r="R1343" t="s">
        <v>75</v>
      </c>
      <c r="S1343">
        <v>89</v>
      </c>
      <c r="T1343" t="str">
        <f t="shared" si="305"/>
        <v>76-100</v>
      </c>
      <c r="U1343">
        <v>3</v>
      </c>
      <c r="V1343" t="s">
        <v>63</v>
      </c>
      <c r="W1343">
        <v>2</v>
      </c>
      <c r="X1343" t="s">
        <v>81</v>
      </c>
      <c r="Y1343">
        <v>3</v>
      </c>
      <c r="Z1343" t="s">
        <v>63</v>
      </c>
      <c r="AA1343" t="s">
        <v>86</v>
      </c>
      <c r="AB1343" s="4">
        <v>4197</v>
      </c>
      <c r="AC1343" s="4" t="str">
        <f t="shared" si="306"/>
        <v>$4,000-$5,500</v>
      </c>
      <c r="AD1343">
        <v>18624</v>
      </c>
      <c r="AE1343" t="str">
        <f t="shared" si="307"/>
        <v>$16,001-$22,000</v>
      </c>
      <c r="AF1343">
        <v>1</v>
      </c>
      <c r="AG1343" t="str">
        <f t="shared" si="308"/>
        <v>0-1</v>
      </c>
      <c r="AH1343" t="s">
        <v>67</v>
      </c>
      <c r="AI1343" t="s">
        <v>71</v>
      </c>
      <c r="AJ1343">
        <v>11</v>
      </c>
      <c r="AK1343" t="str">
        <f t="shared" si="309"/>
        <v>11-12%</v>
      </c>
      <c r="AL1343">
        <v>3</v>
      </c>
      <c r="AM1343" t="s">
        <v>68</v>
      </c>
      <c r="AN1343">
        <v>1</v>
      </c>
      <c r="AO1343" t="s">
        <v>69</v>
      </c>
      <c r="AP1343">
        <v>80</v>
      </c>
      <c r="AQ1343">
        <v>1</v>
      </c>
      <c r="AR1343">
        <v>10</v>
      </c>
      <c r="AS1343" t="str">
        <f t="shared" si="310"/>
        <v>6-10</v>
      </c>
      <c r="AT1343">
        <v>2</v>
      </c>
      <c r="AU1343" t="str">
        <f t="shared" si="311"/>
        <v>0-2</v>
      </c>
      <c r="AV1343">
        <v>3</v>
      </c>
      <c r="AW1343" t="s">
        <v>79</v>
      </c>
      <c r="AX1343">
        <v>10</v>
      </c>
      <c r="AY1343" t="str">
        <f t="shared" si="300"/>
        <v>6-10</v>
      </c>
      <c r="AZ1343">
        <v>8</v>
      </c>
      <c r="BA1343" t="str">
        <f t="shared" si="312"/>
        <v>6-10</v>
      </c>
      <c r="BB1343">
        <v>0</v>
      </c>
      <c r="BC1343" t="str">
        <f t="shared" si="313"/>
        <v>0-1</v>
      </c>
      <c r="BD1343">
        <v>2</v>
      </c>
      <c r="BE1343" t="str">
        <f t="shared" si="314"/>
        <v>2-5</v>
      </c>
    </row>
    <row r="1344" spans="1:57" x14ac:dyDescent="0.3">
      <c r="A1344">
        <v>1882</v>
      </c>
      <c r="B1344">
        <v>34</v>
      </c>
      <c r="C1344" t="str">
        <f t="shared" si="301"/>
        <v>26-35</v>
      </c>
      <c r="D1344" t="s">
        <v>71</v>
      </c>
      <c r="E1344">
        <f t="shared" si="302"/>
        <v>0</v>
      </c>
      <c r="F1344" t="s">
        <v>57</v>
      </c>
      <c r="G1344">
        <v>1480</v>
      </c>
      <c r="H1344" t="str">
        <f t="shared" si="303"/>
        <v>1001-1499</v>
      </c>
      <c r="I1344" t="s">
        <v>58</v>
      </c>
      <c r="J1344">
        <v>4</v>
      </c>
      <c r="K1344" t="str">
        <f t="shared" si="304"/>
        <v>1-5</v>
      </c>
      <c r="L1344">
        <v>3</v>
      </c>
      <c r="M1344" t="s">
        <v>85</v>
      </c>
      <c r="N1344" t="s">
        <v>60</v>
      </c>
      <c r="O1344">
        <v>1</v>
      </c>
      <c r="P1344">
        <v>3</v>
      </c>
      <c r="Q1344" t="s">
        <v>63</v>
      </c>
      <c r="R1344" t="s">
        <v>75</v>
      </c>
      <c r="S1344">
        <v>64</v>
      </c>
      <c r="T1344" t="str">
        <f t="shared" si="305"/>
        <v>51-75</v>
      </c>
      <c r="U1344">
        <v>3</v>
      </c>
      <c r="V1344" t="s">
        <v>63</v>
      </c>
      <c r="W1344">
        <v>3</v>
      </c>
      <c r="X1344" t="s">
        <v>64</v>
      </c>
      <c r="Y1344">
        <v>4</v>
      </c>
      <c r="Z1344" t="s">
        <v>65</v>
      </c>
      <c r="AA1344" t="s">
        <v>77</v>
      </c>
      <c r="AB1344" s="4">
        <v>9713</v>
      </c>
      <c r="AC1344" s="4" t="str">
        <f t="shared" si="306"/>
        <v>$8,500-$10,000</v>
      </c>
      <c r="AD1344">
        <v>24444</v>
      </c>
      <c r="AE1344" t="str">
        <f t="shared" si="307"/>
        <v>$22,001-$26,999</v>
      </c>
      <c r="AF1344">
        <v>2</v>
      </c>
      <c r="AG1344" t="str">
        <f t="shared" si="308"/>
        <v>2-3</v>
      </c>
      <c r="AH1344" t="s">
        <v>67</v>
      </c>
      <c r="AI1344" t="s">
        <v>56</v>
      </c>
      <c r="AJ1344">
        <v>13</v>
      </c>
      <c r="AK1344" t="str">
        <f t="shared" si="309"/>
        <v>13-15%</v>
      </c>
      <c r="AL1344">
        <v>3</v>
      </c>
      <c r="AM1344" t="s">
        <v>68</v>
      </c>
      <c r="AN1344">
        <v>4</v>
      </c>
      <c r="AO1344" t="s">
        <v>65</v>
      </c>
      <c r="AP1344">
        <v>80</v>
      </c>
      <c r="AQ1344">
        <v>3</v>
      </c>
      <c r="AR1344">
        <v>9</v>
      </c>
      <c r="AS1344" t="str">
        <f t="shared" si="310"/>
        <v>6-10</v>
      </c>
      <c r="AT1344">
        <v>3</v>
      </c>
      <c r="AU1344" t="str">
        <f t="shared" si="311"/>
        <v>3-4</v>
      </c>
      <c r="AV1344">
        <v>3</v>
      </c>
      <c r="AW1344" t="s">
        <v>79</v>
      </c>
      <c r="AX1344">
        <v>5</v>
      </c>
      <c r="AY1344" t="str">
        <f t="shared" si="300"/>
        <v>2-5</v>
      </c>
      <c r="AZ1344">
        <v>3</v>
      </c>
      <c r="BA1344" t="str">
        <f t="shared" si="312"/>
        <v>2-5</v>
      </c>
      <c r="BB1344">
        <v>1</v>
      </c>
      <c r="BC1344" t="str">
        <f t="shared" si="313"/>
        <v>0-1</v>
      </c>
      <c r="BD1344">
        <v>0</v>
      </c>
      <c r="BE1344" t="str">
        <f t="shared" si="314"/>
        <v>0-1</v>
      </c>
    </row>
    <row r="1345" spans="1:57" x14ac:dyDescent="0.3">
      <c r="A1345">
        <v>1883</v>
      </c>
      <c r="B1345">
        <v>29</v>
      </c>
      <c r="C1345" t="str">
        <f t="shared" si="301"/>
        <v>26-35</v>
      </c>
      <c r="D1345" t="s">
        <v>71</v>
      </c>
      <c r="E1345">
        <f t="shared" si="302"/>
        <v>0</v>
      </c>
      <c r="F1345" t="s">
        <v>57</v>
      </c>
      <c r="G1345">
        <v>592</v>
      </c>
      <c r="H1345" t="str">
        <f t="shared" si="303"/>
        <v>501-1000</v>
      </c>
      <c r="I1345" t="s">
        <v>73</v>
      </c>
      <c r="J1345">
        <v>7</v>
      </c>
      <c r="K1345" t="str">
        <f t="shared" si="304"/>
        <v>6-10</v>
      </c>
      <c r="L1345">
        <v>3</v>
      </c>
      <c r="M1345" t="s">
        <v>85</v>
      </c>
      <c r="N1345" t="s">
        <v>60</v>
      </c>
      <c r="O1345">
        <v>1</v>
      </c>
      <c r="P1345">
        <v>4</v>
      </c>
      <c r="Q1345" t="s">
        <v>65</v>
      </c>
      <c r="R1345" t="s">
        <v>75</v>
      </c>
      <c r="S1345">
        <v>59</v>
      </c>
      <c r="T1345" t="str">
        <f t="shared" si="305"/>
        <v>51-75</v>
      </c>
      <c r="U1345">
        <v>3</v>
      </c>
      <c r="V1345" t="s">
        <v>63</v>
      </c>
      <c r="W1345">
        <v>1</v>
      </c>
      <c r="X1345" t="s">
        <v>81</v>
      </c>
      <c r="Y1345">
        <v>1</v>
      </c>
      <c r="Z1345" t="s">
        <v>69</v>
      </c>
      <c r="AA1345" t="s">
        <v>66</v>
      </c>
      <c r="AB1345" s="4">
        <v>2062</v>
      </c>
      <c r="AC1345" s="4" t="str">
        <f t="shared" si="306"/>
        <v>$1,000-$2,500</v>
      </c>
      <c r="AD1345">
        <v>19384</v>
      </c>
      <c r="AE1345" t="str">
        <f t="shared" si="307"/>
        <v>$16,001-$22,000</v>
      </c>
      <c r="AF1345">
        <v>3</v>
      </c>
      <c r="AG1345" t="str">
        <f t="shared" si="308"/>
        <v>2-3</v>
      </c>
      <c r="AH1345" t="s">
        <v>67</v>
      </c>
      <c r="AI1345" t="s">
        <v>71</v>
      </c>
      <c r="AJ1345">
        <v>14</v>
      </c>
      <c r="AK1345" t="str">
        <f t="shared" si="309"/>
        <v>13-15%</v>
      </c>
      <c r="AL1345">
        <v>3</v>
      </c>
      <c r="AM1345" t="s">
        <v>68</v>
      </c>
      <c r="AN1345">
        <v>2</v>
      </c>
      <c r="AO1345" t="s">
        <v>61</v>
      </c>
      <c r="AP1345">
        <v>80</v>
      </c>
      <c r="AQ1345">
        <v>0</v>
      </c>
      <c r="AR1345">
        <v>11</v>
      </c>
      <c r="AS1345" t="str">
        <f t="shared" si="310"/>
        <v>11-20</v>
      </c>
      <c r="AT1345">
        <v>2</v>
      </c>
      <c r="AU1345" t="str">
        <f t="shared" si="311"/>
        <v>0-2</v>
      </c>
      <c r="AV1345">
        <v>3</v>
      </c>
      <c r="AW1345" t="s">
        <v>79</v>
      </c>
      <c r="AX1345">
        <v>3</v>
      </c>
      <c r="AY1345" t="str">
        <f t="shared" si="300"/>
        <v>2-5</v>
      </c>
      <c r="AZ1345">
        <v>2</v>
      </c>
      <c r="BA1345" t="str">
        <f t="shared" si="312"/>
        <v>2-5</v>
      </c>
      <c r="BB1345">
        <v>1</v>
      </c>
      <c r="BC1345" t="str">
        <f t="shared" si="313"/>
        <v>0-1</v>
      </c>
      <c r="BD1345">
        <v>2</v>
      </c>
      <c r="BE1345" t="str">
        <f t="shared" si="314"/>
        <v>2-5</v>
      </c>
    </row>
    <row r="1346" spans="1:57" x14ac:dyDescent="0.3">
      <c r="A1346">
        <v>1885</v>
      </c>
      <c r="B1346">
        <v>37</v>
      </c>
      <c r="C1346" t="str">
        <f t="shared" si="301"/>
        <v>36-45</v>
      </c>
      <c r="D1346" t="s">
        <v>71</v>
      </c>
      <c r="E1346">
        <f t="shared" si="302"/>
        <v>0</v>
      </c>
      <c r="F1346" t="s">
        <v>57</v>
      </c>
      <c r="G1346">
        <v>783</v>
      </c>
      <c r="H1346" t="str">
        <f t="shared" si="303"/>
        <v>501-1000</v>
      </c>
      <c r="I1346" t="s">
        <v>73</v>
      </c>
      <c r="J1346">
        <v>7</v>
      </c>
      <c r="K1346" t="str">
        <f t="shared" si="304"/>
        <v>6-10</v>
      </c>
      <c r="L1346">
        <v>4</v>
      </c>
      <c r="M1346" t="s">
        <v>82</v>
      </c>
      <c r="N1346" t="s">
        <v>83</v>
      </c>
      <c r="O1346">
        <v>1</v>
      </c>
      <c r="P1346">
        <v>4</v>
      </c>
      <c r="Q1346" t="s">
        <v>65</v>
      </c>
      <c r="R1346" t="s">
        <v>75</v>
      </c>
      <c r="S1346">
        <v>78</v>
      </c>
      <c r="T1346" t="str">
        <f t="shared" si="305"/>
        <v>76-100</v>
      </c>
      <c r="U1346">
        <v>3</v>
      </c>
      <c r="V1346" t="s">
        <v>63</v>
      </c>
      <c r="W1346">
        <v>2</v>
      </c>
      <c r="X1346" t="s">
        <v>76</v>
      </c>
      <c r="Y1346">
        <v>1</v>
      </c>
      <c r="Z1346" t="s">
        <v>69</v>
      </c>
      <c r="AA1346" t="s">
        <v>77</v>
      </c>
      <c r="AB1346" s="4">
        <v>4284</v>
      </c>
      <c r="AC1346" s="4" t="str">
        <f t="shared" si="306"/>
        <v>$4,000-$5,500</v>
      </c>
      <c r="AD1346">
        <v>13588</v>
      </c>
      <c r="AE1346" t="str">
        <f t="shared" si="307"/>
        <v>$8,001-$16,000</v>
      </c>
      <c r="AF1346">
        <v>5</v>
      </c>
      <c r="AG1346" t="str">
        <f t="shared" si="308"/>
        <v>4-6</v>
      </c>
      <c r="AH1346" t="s">
        <v>67</v>
      </c>
      <c r="AI1346" t="s">
        <v>56</v>
      </c>
      <c r="AJ1346">
        <v>22</v>
      </c>
      <c r="AK1346" t="str">
        <f t="shared" si="309"/>
        <v>18-19%</v>
      </c>
      <c r="AL1346">
        <v>4</v>
      </c>
      <c r="AM1346" t="s">
        <v>78</v>
      </c>
      <c r="AN1346">
        <v>3</v>
      </c>
      <c r="AO1346" t="s">
        <v>63</v>
      </c>
      <c r="AP1346">
        <v>80</v>
      </c>
      <c r="AQ1346">
        <v>1</v>
      </c>
      <c r="AR1346">
        <v>16</v>
      </c>
      <c r="AS1346" t="str">
        <f t="shared" si="310"/>
        <v>11-20</v>
      </c>
      <c r="AT1346">
        <v>2</v>
      </c>
      <c r="AU1346" t="str">
        <f t="shared" si="311"/>
        <v>0-2</v>
      </c>
      <c r="AV1346">
        <v>3</v>
      </c>
      <c r="AW1346" t="s">
        <v>79</v>
      </c>
      <c r="AX1346">
        <v>5</v>
      </c>
      <c r="AY1346" t="str">
        <f t="shared" ref="AY1346:AY1409" si="315">IF(AX1346&lt;=1,"0-1",IF(AX1346&lt;=5,"2-5",IF(AX1346&lt;=10,"6-10",IF(AX1346&lt;=20,"11-20","21-40"))))</f>
        <v>2-5</v>
      </c>
      <c r="AZ1346">
        <v>3</v>
      </c>
      <c r="BA1346" t="str">
        <f t="shared" si="312"/>
        <v>2-5</v>
      </c>
      <c r="BB1346">
        <v>0</v>
      </c>
      <c r="BC1346" t="str">
        <f t="shared" si="313"/>
        <v>0-1</v>
      </c>
      <c r="BD1346">
        <v>4</v>
      </c>
      <c r="BE1346" t="str">
        <f t="shared" si="314"/>
        <v>2-5</v>
      </c>
    </row>
    <row r="1347" spans="1:57" x14ac:dyDescent="0.3">
      <c r="A1347">
        <v>1886</v>
      </c>
      <c r="B1347">
        <v>35</v>
      </c>
      <c r="C1347" t="str">
        <f t="shared" ref="C1347:C1410" si="316">IF(B1347&lt;=25, "18-25", IF(B1347&lt;=35, "26-35", IF(B1347&lt;=45, "36-45", IF(B1347&lt;=55, "46-55", "56+"))))</f>
        <v>26-35</v>
      </c>
      <c r="D1347" t="s">
        <v>71</v>
      </c>
      <c r="E1347">
        <f t="shared" ref="E1347:E1410" si="317">IF(D1347="Yes",1,0)</f>
        <v>0</v>
      </c>
      <c r="F1347" t="s">
        <v>57</v>
      </c>
      <c r="G1347">
        <v>219</v>
      </c>
      <c r="H1347" t="str">
        <f t="shared" ref="H1347:H1410" si="318">IF(G1347&lt;=500,"102-500",IF(G1347&lt;=1000,"501-1000","1001-1499"))</f>
        <v>102-500</v>
      </c>
      <c r="I1347" t="s">
        <v>73</v>
      </c>
      <c r="J1347">
        <v>16</v>
      </c>
      <c r="K1347" t="str">
        <f t="shared" ref="K1347:K1410" si="319">IF(J1347&lt;=5,"1-5",IF(J1347&lt;=10,"6-10",IF(J1347&lt;=20,"11-20","21-29")))</f>
        <v>11-20</v>
      </c>
      <c r="L1347">
        <v>2</v>
      </c>
      <c r="M1347" t="s">
        <v>59</v>
      </c>
      <c r="N1347" t="s">
        <v>80</v>
      </c>
      <c r="O1347">
        <v>1</v>
      </c>
      <c r="P1347">
        <v>4</v>
      </c>
      <c r="Q1347" t="s">
        <v>65</v>
      </c>
      <c r="R1347" t="s">
        <v>62</v>
      </c>
      <c r="S1347">
        <v>44</v>
      </c>
      <c r="T1347" t="str">
        <f t="shared" ref="T1347:T1410" si="320">IF(S1347&lt;=50,"30-50",IF(S1347&lt;=75,"51-75","76-100"))</f>
        <v>30-50</v>
      </c>
      <c r="U1347">
        <v>2</v>
      </c>
      <c r="V1347" t="s">
        <v>61</v>
      </c>
      <c r="W1347">
        <v>2</v>
      </c>
      <c r="X1347" t="s">
        <v>87</v>
      </c>
      <c r="Y1347">
        <v>2</v>
      </c>
      <c r="Z1347" t="s">
        <v>61</v>
      </c>
      <c r="AA1347" t="s">
        <v>77</v>
      </c>
      <c r="AB1347" s="4">
        <v>4788</v>
      </c>
      <c r="AC1347" s="4" t="str">
        <f t="shared" ref="AC1347:AC1410" si="321">IF(AB1347&lt;2500,"$1,000-$2,500",IF(AB1347&lt;4000,"$2,500-$4,000",IF(AB1347&lt;5500,"$4,000-$5,500",IF(AB1347&lt;7000,"$5,500-$7,000",IF(AB1347&lt;8500,"$7,000-$8,500",IF(AB1347&lt;10000,"$8,500-$10,000",IF(AB1347&lt;11500,"$10,000-$11,500",IF(AB1347&lt;13000,"$11,500-$13,000",IF(AB1347&lt;14500,"$13,000-$14,500",IF(AB1347&lt;16000,"$14,500-$16,000",IF(AB1347&lt;17500,"$16,000-$17,500",IF(AB1347&lt;19000,"$17,500-$19,000",IF(AB1347&lt;20500,"$19,000-$20,500",IF(AB1347&lt;22000,"$20,500-$22,000",IF(AB1347&lt;23500,"$22,000-$23,500",IF(AB1347&lt;25000,"$23,500-$25,000",IF(AB1347&lt;26500,"$25,000-$26,500",IF(AB1347&lt;28000,"$26,500-$28,000",IF(AB1347&lt;29500,"$28,000-$29,500","$29,500+")))))))))))))))))))</f>
        <v>$4,000-$5,500</v>
      </c>
      <c r="AD1347">
        <v>25388</v>
      </c>
      <c r="AE1347" t="str">
        <f t="shared" ref="AE1347:AE1410" si="322">IF(AD1347&lt;=8000,"$2,094-$8,000",IF(AD1347&lt;=16000,"$8,001-$16,000",IF(AD1347&lt;=22000,"$16,001-$22,000","$22,001-$26,999")))</f>
        <v>$22,001-$26,999</v>
      </c>
      <c r="AF1347">
        <v>0</v>
      </c>
      <c r="AG1347" t="str">
        <f t="shared" ref="AG1347:AG1410" si="323">IF(AF1347&lt;=1,"0-1",IF(AF1347&lt;=3,"2-3",IF(AF1347&lt;=6,"4-6","7-9")))</f>
        <v>0-1</v>
      </c>
      <c r="AH1347" t="s">
        <v>67</v>
      </c>
      <c r="AI1347" t="s">
        <v>56</v>
      </c>
      <c r="AJ1347">
        <v>11</v>
      </c>
      <c r="AK1347" t="str">
        <f t="shared" ref="AK1347:AK1410" si="324">IF(AJ1347&lt;=12,"11-12%",IF(AJ1347&lt;=15,"13-15%",IF(AJ1347&lt;=17,"16-17%","18-19%")))</f>
        <v>11-12%</v>
      </c>
      <c r="AL1347">
        <v>3</v>
      </c>
      <c r="AM1347" t="s">
        <v>68</v>
      </c>
      <c r="AN1347">
        <v>4</v>
      </c>
      <c r="AO1347" t="s">
        <v>65</v>
      </c>
      <c r="AP1347">
        <v>80</v>
      </c>
      <c r="AQ1347">
        <v>0</v>
      </c>
      <c r="AR1347">
        <v>4</v>
      </c>
      <c r="AS1347" t="str">
        <f t="shared" ref="AS1347:AS1410" si="325">IF(AR1347&lt;=2,"0-2",IF(AR1347&lt;=5,"3-5",IF(AR1347&lt;=10,"6-10",IF(AR1347&lt;=20,"11-20","21-40"))))</f>
        <v>3-5</v>
      </c>
      <c r="AT1347">
        <v>2</v>
      </c>
      <c r="AU1347" t="str">
        <f t="shared" ref="AU1347:AU1410" si="326">IF(AT1347&lt;=2,"0-2",IF(AT1347&lt;=4,"3-4","5-6"))</f>
        <v>0-2</v>
      </c>
      <c r="AV1347">
        <v>3</v>
      </c>
      <c r="AW1347" t="s">
        <v>79</v>
      </c>
      <c r="AX1347">
        <v>3</v>
      </c>
      <c r="AY1347" t="str">
        <f t="shared" si="315"/>
        <v>2-5</v>
      </c>
      <c r="AZ1347">
        <v>2</v>
      </c>
      <c r="BA1347" t="str">
        <f t="shared" ref="BA1347:BA1410" si="327">IF(AZ1347&lt;=1,"0-1",IF(AZ1347&lt;=5,"2-5",IF(AZ1347&lt;=10,"6-10","11-18")))</f>
        <v>2-5</v>
      </c>
      <c r="BB1347">
        <v>0</v>
      </c>
      <c r="BC1347" t="str">
        <f t="shared" ref="BC1347:BC1410" si="328">IF(BB1347&lt;=1,"0-1",IF(BB1347&lt;=5,"2-5",IF(BB1347&lt;=10,"6-10","11-15")))</f>
        <v>0-1</v>
      </c>
      <c r="BD1347">
        <v>2</v>
      </c>
      <c r="BE1347" t="str">
        <f t="shared" ref="BE1347:BE1410" si="329">IF(BD1347&lt;=1,"0-1",IF(BD1347&lt;=5,"2-5",IF(BD1347&lt;=10,"6-10","11-17")))</f>
        <v>2-5</v>
      </c>
    </row>
    <row r="1348" spans="1:57" x14ac:dyDescent="0.3">
      <c r="A1348">
        <v>1888</v>
      </c>
      <c r="B1348">
        <v>45</v>
      </c>
      <c r="C1348" t="str">
        <f t="shared" si="316"/>
        <v>36-45</v>
      </c>
      <c r="D1348" t="s">
        <v>71</v>
      </c>
      <c r="E1348">
        <f t="shared" si="317"/>
        <v>0</v>
      </c>
      <c r="F1348" t="s">
        <v>57</v>
      </c>
      <c r="G1348">
        <v>556</v>
      </c>
      <c r="H1348" t="str">
        <f t="shared" si="318"/>
        <v>501-1000</v>
      </c>
      <c r="I1348" t="s">
        <v>73</v>
      </c>
      <c r="J1348">
        <v>25</v>
      </c>
      <c r="K1348" t="str">
        <f t="shared" si="319"/>
        <v>21-29</v>
      </c>
      <c r="L1348">
        <v>2</v>
      </c>
      <c r="M1348" t="s">
        <v>59</v>
      </c>
      <c r="N1348" t="s">
        <v>60</v>
      </c>
      <c r="O1348">
        <v>1</v>
      </c>
      <c r="P1348">
        <v>2</v>
      </c>
      <c r="Q1348" t="s">
        <v>61</v>
      </c>
      <c r="R1348" t="s">
        <v>62</v>
      </c>
      <c r="S1348">
        <v>93</v>
      </c>
      <c r="T1348" t="str">
        <f t="shared" si="320"/>
        <v>76-100</v>
      </c>
      <c r="U1348">
        <v>2</v>
      </c>
      <c r="V1348" t="s">
        <v>61</v>
      </c>
      <c r="W1348">
        <v>2</v>
      </c>
      <c r="X1348" t="s">
        <v>87</v>
      </c>
      <c r="Y1348">
        <v>4</v>
      </c>
      <c r="Z1348" t="s">
        <v>65</v>
      </c>
      <c r="AA1348" t="s">
        <v>77</v>
      </c>
      <c r="AB1348" s="4">
        <v>5906</v>
      </c>
      <c r="AC1348" s="4" t="str">
        <f t="shared" si="321"/>
        <v>$5,500-$7,000</v>
      </c>
      <c r="AD1348">
        <v>23888</v>
      </c>
      <c r="AE1348" t="str">
        <f t="shared" si="322"/>
        <v>$22,001-$26,999</v>
      </c>
      <c r="AF1348">
        <v>0</v>
      </c>
      <c r="AG1348" t="str">
        <f t="shared" si="323"/>
        <v>0-1</v>
      </c>
      <c r="AH1348" t="s">
        <v>67</v>
      </c>
      <c r="AI1348" t="s">
        <v>71</v>
      </c>
      <c r="AJ1348">
        <v>13</v>
      </c>
      <c r="AK1348" t="str">
        <f t="shared" si="324"/>
        <v>13-15%</v>
      </c>
      <c r="AL1348">
        <v>3</v>
      </c>
      <c r="AM1348" t="s">
        <v>68</v>
      </c>
      <c r="AN1348">
        <v>4</v>
      </c>
      <c r="AO1348" t="s">
        <v>65</v>
      </c>
      <c r="AP1348">
        <v>80</v>
      </c>
      <c r="AQ1348">
        <v>2</v>
      </c>
      <c r="AR1348">
        <v>10</v>
      </c>
      <c r="AS1348" t="str">
        <f t="shared" si="325"/>
        <v>6-10</v>
      </c>
      <c r="AT1348">
        <v>2</v>
      </c>
      <c r="AU1348" t="str">
        <f t="shared" si="326"/>
        <v>0-2</v>
      </c>
      <c r="AV1348">
        <v>2</v>
      </c>
      <c r="AW1348" t="s">
        <v>84</v>
      </c>
      <c r="AX1348">
        <v>9</v>
      </c>
      <c r="AY1348" t="str">
        <f t="shared" si="315"/>
        <v>6-10</v>
      </c>
      <c r="AZ1348">
        <v>8</v>
      </c>
      <c r="BA1348" t="str">
        <f t="shared" si="327"/>
        <v>6-10</v>
      </c>
      <c r="BB1348">
        <v>3</v>
      </c>
      <c r="BC1348" t="str">
        <f t="shared" si="328"/>
        <v>2-5</v>
      </c>
      <c r="BD1348">
        <v>8</v>
      </c>
      <c r="BE1348" t="str">
        <f t="shared" si="329"/>
        <v>6-10</v>
      </c>
    </row>
    <row r="1349" spans="1:57" x14ac:dyDescent="0.3">
      <c r="A1349">
        <v>1890</v>
      </c>
      <c r="B1349">
        <v>36</v>
      </c>
      <c r="C1349" t="str">
        <f t="shared" si="316"/>
        <v>36-45</v>
      </c>
      <c r="D1349" t="s">
        <v>71</v>
      </c>
      <c r="E1349">
        <f t="shared" si="317"/>
        <v>0</v>
      </c>
      <c r="F1349" t="s">
        <v>72</v>
      </c>
      <c r="G1349">
        <v>1213</v>
      </c>
      <c r="H1349" t="str">
        <f t="shared" si="318"/>
        <v>1001-1499</v>
      </c>
      <c r="I1349" t="s">
        <v>97</v>
      </c>
      <c r="J1349">
        <v>2</v>
      </c>
      <c r="K1349" t="str">
        <f t="shared" si="319"/>
        <v>1-5</v>
      </c>
      <c r="L1349">
        <v>1</v>
      </c>
      <c r="M1349" t="s">
        <v>74</v>
      </c>
      <c r="N1349" t="s">
        <v>97</v>
      </c>
      <c r="O1349">
        <v>1</v>
      </c>
      <c r="P1349">
        <v>2</v>
      </c>
      <c r="Q1349" t="s">
        <v>61</v>
      </c>
      <c r="R1349" t="s">
        <v>75</v>
      </c>
      <c r="S1349">
        <v>94</v>
      </c>
      <c r="T1349" t="str">
        <f t="shared" si="320"/>
        <v>76-100</v>
      </c>
      <c r="U1349">
        <v>2</v>
      </c>
      <c r="V1349" t="s">
        <v>61</v>
      </c>
      <c r="W1349">
        <v>2</v>
      </c>
      <c r="X1349" t="s">
        <v>97</v>
      </c>
      <c r="Y1349">
        <v>4</v>
      </c>
      <c r="Z1349" t="s">
        <v>65</v>
      </c>
      <c r="AA1349" t="s">
        <v>66</v>
      </c>
      <c r="AB1349" s="4">
        <v>3886</v>
      </c>
      <c r="AC1349" s="4" t="str">
        <f t="shared" si="321"/>
        <v>$2,500-$4,000</v>
      </c>
      <c r="AD1349">
        <v>4223</v>
      </c>
      <c r="AE1349" t="str">
        <f t="shared" si="322"/>
        <v>$2,094-$8,000</v>
      </c>
      <c r="AF1349">
        <v>1</v>
      </c>
      <c r="AG1349" t="str">
        <f t="shared" si="323"/>
        <v>0-1</v>
      </c>
      <c r="AH1349" t="s">
        <v>67</v>
      </c>
      <c r="AI1349" t="s">
        <v>71</v>
      </c>
      <c r="AJ1349">
        <v>21</v>
      </c>
      <c r="AK1349" t="str">
        <f t="shared" si="324"/>
        <v>18-19%</v>
      </c>
      <c r="AL1349">
        <v>4</v>
      </c>
      <c r="AM1349" t="s">
        <v>78</v>
      </c>
      <c r="AN1349">
        <v>4</v>
      </c>
      <c r="AO1349" t="s">
        <v>65</v>
      </c>
      <c r="AP1349">
        <v>80</v>
      </c>
      <c r="AQ1349">
        <v>0</v>
      </c>
      <c r="AR1349">
        <v>10</v>
      </c>
      <c r="AS1349" t="str">
        <f t="shared" si="325"/>
        <v>6-10</v>
      </c>
      <c r="AT1349">
        <v>2</v>
      </c>
      <c r="AU1349" t="str">
        <f t="shared" si="326"/>
        <v>0-2</v>
      </c>
      <c r="AV1349">
        <v>2</v>
      </c>
      <c r="AW1349" t="s">
        <v>84</v>
      </c>
      <c r="AX1349">
        <v>10</v>
      </c>
      <c r="AY1349" t="str">
        <f t="shared" si="315"/>
        <v>6-10</v>
      </c>
      <c r="AZ1349">
        <v>1</v>
      </c>
      <c r="BA1349" t="str">
        <f t="shared" si="327"/>
        <v>0-1</v>
      </c>
      <c r="BB1349">
        <v>0</v>
      </c>
      <c r="BC1349" t="str">
        <f t="shared" si="328"/>
        <v>0-1</v>
      </c>
      <c r="BD1349">
        <v>8</v>
      </c>
      <c r="BE1349" t="str">
        <f t="shared" si="329"/>
        <v>6-10</v>
      </c>
    </row>
    <row r="1350" spans="1:57" x14ac:dyDescent="0.3">
      <c r="A1350">
        <v>1892</v>
      </c>
      <c r="B1350">
        <v>40</v>
      </c>
      <c r="C1350" t="str">
        <f t="shared" si="316"/>
        <v>36-45</v>
      </c>
      <c r="D1350" t="s">
        <v>71</v>
      </c>
      <c r="E1350">
        <f t="shared" si="317"/>
        <v>0</v>
      </c>
      <c r="F1350" t="s">
        <v>57</v>
      </c>
      <c r="G1350">
        <v>1137</v>
      </c>
      <c r="H1350" t="str">
        <f t="shared" si="318"/>
        <v>1001-1499</v>
      </c>
      <c r="I1350" t="s">
        <v>73</v>
      </c>
      <c r="J1350">
        <v>1</v>
      </c>
      <c r="K1350" t="str">
        <f t="shared" si="319"/>
        <v>1-5</v>
      </c>
      <c r="L1350">
        <v>4</v>
      </c>
      <c r="M1350" t="s">
        <v>82</v>
      </c>
      <c r="N1350" t="s">
        <v>60</v>
      </c>
      <c r="O1350">
        <v>1</v>
      </c>
      <c r="P1350">
        <v>1</v>
      </c>
      <c r="Q1350" t="s">
        <v>69</v>
      </c>
      <c r="R1350" t="s">
        <v>75</v>
      </c>
      <c r="S1350">
        <v>98</v>
      </c>
      <c r="T1350" t="str">
        <f t="shared" si="320"/>
        <v>76-100</v>
      </c>
      <c r="U1350">
        <v>3</v>
      </c>
      <c r="V1350" t="s">
        <v>63</v>
      </c>
      <c r="W1350">
        <v>4</v>
      </c>
      <c r="X1350" t="s">
        <v>90</v>
      </c>
      <c r="Y1350">
        <v>1</v>
      </c>
      <c r="Z1350" t="s">
        <v>69</v>
      </c>
      <c r="AA1350" t="s">
        <v>86</v>
      </c>
      <c r="AB1350" s="4">
        <v>16823</v>
      </c>
      <c r="AC1350" s="4" t="str">
        <f t="shared" si="321"/>
        <v>$16,000-$17,500</v>
      </c>
      <c r="AD1350">
        <v>18991</v>
      </c>
      <c r="AE1350" t="str">
        <f t="shared" si="322"/>
        <v>$16,001-$22,000</v>
      </c>
      <c r="AF1350">
        <v>2</v>
      </c>
      <c r="AG1350" t="str">
        <f t="shared" si="323"/>
        <v>2-3</v>
      </c>
      <c r="AH1350" t="s">
        <v>67</v>
      </c>
      <c r="AI1350" t="s">
        <v>71</v>
      </c>
      <c r="AJ1350">
        <v>11</v>
      </c>
      <c r="AK1350" t="str">
        <f t="shared" si="324"/>
        <v>11-12%</v>
      </c>
      <c r="AL1350">
        <v>3</v>
      </c>
      <c r="AM1350" t="s">
        <v>68</v>
      </c>
      <c r="AN1350">
        <v>1</v>
      </c>
      <c r="AO1350" t="s">
        <v>69</v>
      </c>
      <c r="AP1350">
        <v>80</v>
      </c>
      <c r="AQ1350">
        <v>1</v>
      </c>
      <c r="AR1350">
        <v>22</v>
      </c>
      <c r="AS1350" t="str">
        <f t="shared" si="325"/>
        <v>21-40</v>
      </c>
      <c r="AT1350">
        <v>3</v>
      </c>
      <c r="AU1350" t="str">
        <f t="shared" si="326"/>
        <v>3-4</v>
      </c>
      <c r="AV1350">
        <v>3</v>
      </c>
      <c r="AW1350" t="s">
        <v>79</v>
      </c>
      <c r="AX1350">
        <v>19</v>
      </c>
      <c r="AY1350" t="str">
        <f t="shared" si="315"/>
        <v>11-20</v>
      </c>
      <c r="AZ1350">
        <v>7</v>
      </c>
      <c r="BA1350" t="str">
        <f t="shared" si="327"/>
        <v>6-10</v>
      </c>
      <c r="BB1350">
        <v>11</v>
      </c>
      <c r="BC1350" t="str">
        <f t="shared" si="328"/>
        <v>11-15</v>
      </c>
      <c r="BD1350">
        <v>16</v>
      </c>
      <c r="BE1350" t="str">
        <f t="shared" si="329"/>
        <v>11-17</v>
      </c>
    </row>
    <row r="1351" spans="1:57" x14ac:dyDescent="0.3">
      <c r="A1351">
        <v>1893</v>
      </c>
      <c r="B1351">
        <v>26</v>
      </c>
      <c r="C1351" t="str">
        <f t="shared" si="316"/>
        <v>26-35</v>
      </c>
      <c r="D1351" t="s">
        <v>71</v>
      </c>
      <c r="E1351">
        <f t="shared" si="317"/>
        <v>0</v>
      </c>
      <c r="F1351" t="s">
        <v>57</v>
      </c>
      <c r="G1351">
        <v>482</v>
      </c>
      <c r="H1351" t="str">
        <f t="shared" si="318"/>
        <v>102-500</v>
      </c>
      <c r="I1351" t="s">
        <v>73</v>
      </c>
      <c r="J1351">
        <v>1</v>
      </c>
      <c r="K1351" t="str">
        <f t="shared" si="319"/>
        <v>1-5</v>
      </c>
      <c r="L1351">
        <v>2</v>
      </c>
      <c r="M1351" t="s">
        <v>59</v>
      </c>
      <c r="N1351" t="s">
        <v>60</v>
      </c>
      <c r="O1351">
        <v>1</v>
      </c>
      <c r="P1351">
        <v>2</v>
      </c>
      <c r="Q1351" t="s">
        <v>61</v>
      </c>
      <c r="R1351" t="s">
        <v>62</v>
      </c>
      <c r="S1351">
        <v>90</v>
      </c>
      <c r="T1351" t="str">
        <f t="shared" si="320"/>
        <v>76-100</v>
      </c>
      <c r="U1351">
        <v>2</v>
      </c>
      <c r="V1351" t="s">
        <v>61</v>
      </c>
      <c r="W1351">
        <v>1</v>
      </c>
      <c r="X1351" t="s">
        <v>76</v>
      </c>
      <c r="Y1351">
        <v>3</v>
      </c>
      <c r="Z1351" t="s">
        <v>63</v>
      </c>
      <c r="AA1351" t="s">
        <v>77</v>
      </c>
      <c r="AB1351" s="4">
        <v>2933</v>
      </c>
      <c r="AC1351" s="4" t="str">
        <f t="shared" si="321"/>
        <v>$2,500-$4,000</v>
      </c>
      <c r="AD1351">
        <v>14908</v>
      </c>
      <c r="AE1351" t="str">
        <f t="shared" si="322"/>
        <v>$8,001-$16,000</v>
      </c>
      <c r="AF1351">
        <v>1</v>
      </c>
      <c r="AG1351" t="str">
        <f t="shared" si="323"/>
        <v>0-1</v>
      </c>
      <c r="AH1351" t="s">
        <v>67</v>
      </c>
      <c r="AI1351" t="s">
        <v>56</v>
      </c>
      <c r="AJ1351">
        <v>13</v>
      </c>
      <c r="AK1351" t="str">
        <f t="shared" si="324"/>
        <v>13-15%</v>
      </c>
      <c r="AL1351">
        <v>3</v>
      </c>
      <c r="AM1351" t="s">
        <v>68</v>
      </c>
      <c r="AN1351">
        <v>3</v>
      </c>
      <c r="AO1351" t="s">
        <v>63</v>
      </c>
      <c r="AP1351">
        <v>80</v>
      </c>
      <c r="AQ1351">
        <v>1</v>
      </c>
      <c r="AR1351">
        <v>1</v>
      </c>
      <c r="AS1351" t="str">
        <f t="shared" si="325"/>
        <v>0-2</v>
      </c>
      <c r="AT1351">
        <v>3</v>
      </c>
      <c r="AU1351" t="str">
        <f t="shared" si="326"/>
        <v>3-4</v>
      </c>
      <c r="AV1351">
        <v>2</v>
      </c>
      <c r="AW1351" t="s">
        <v>84</v>
      </c>
      <c r="AX1351">
        <v>1</v>
      </c>
      <c r="AY1351" t="str">
        <f t="shared" si="315"/>
        <v>0-1</v>
      </c>
      <c r="AZ1351">
        <v>0</v>
      </c>
      <c r="BA1351" t="str">
        <f t="shared" si="327"/>
        <v>0-1</v>
      </c>
      <c r="BB1351">
        <v>1</v>
      </c>
      <c r="BC1351" t="str">
        <f t="shared" si="328"/>
        <v>0-1</v>
      </c>
      <c r="BD1351">
        <v>0</v>
      </c>
      <c r="BE1351" t="str">
        <f t="shared" si="329"/>
        <v>0-1</v>
      </c>
    </row>
    <row r="1352" spans="1:57" x14ac:dyDescent="0.3">
      <c r="A1352">
        <v>1898</v>
      </c>
      <c r="B1352">
        <v>27</v>
      </c>
      <c r="C1352" t="str">
        <f t="shared" si="316"/>
        <v>26-35</v>
      </c>
      <c r="D1352" t="s">
        <v>71</v>
      </c>
      <c r="E1352">
        <f t="shared" si="317"/>
        <v>0</v>
      </c>
      <c r="F1352" t="s">
        <v>57</v>
      </c>
      <c r="G1352">
        <v>511</v>
      </c>
      <c r="H1352" t="str">
        <f t="shared" si="318"/>
        <v>501-1000</v>
      </c>
      <c r="I1352" t="s">
        <v>58</v>
      </c>
      <c r="J1352">
        <v>2</v>
      </c>
      <c r="K1352" t="str">
        <f t="shared" si="319"/>
        <v>1-5</v>
      </c>
      <c r="L1352">
        <v>2</v>
      </c>
      <c r="M1352" t="s">
        <v>59</v>
      </c>
      <c r="N1352" t="s">
        <v>83</v>
      </c>
      <c r="O1352">
        <v>1</v>
      </c>
      <c r="P1352">
        <v>1</v>
      </c>
      <c r="Q1352" t="s">
        <v>69</v>
      </c>
      <c r="R1352" t="s">
        <v>62</v>
      </c>
      <c r="S1352">
        <v>89</v>
      </c>
      <c r="T1352" t="str">
        <f t="shared" si="320"/>
        <v>76-100</v>
      </c>
      <c r="U1352">
        <v>4</v>
      </c>
      <c r="V1352" t="s">
        <v>65</v>
      </c>
      <c r="W1352">
        <v>2</v>
      </c>
      <c r="X1352" t="s">
        <v>64</v>
      </c>
      <c r="Y1352">
        <v>3</v>
      </c>
      <c r="Z1352" t="s">
        <v>63</v>
      </c>
      <c r="AA1352" t="s">
        <v>66</v>
      </c>
      <c r="AB1352" s="4">
        <v>6500</v>
      </c>
      <c r="AC1352" s="4" t="str">
        <f t="shared" si="321"/>
        <v>$5,500-$7,000</v>
      </c>
      <c r="AD1352">
        <v>26997</v>
      </c>
      <c r="AE1352" t="str">
        <f t="shared" si="322"/>
        <v>$22,001-$26,999</v>
      </c>
      <c r="AF1352">
        <v>0</v>
      </c>
      <c r="AG1352" t="str">
        <f t="shared" si="323"/>
        <v>0-1</v>
      </c>
      <c r="AH1352" t="s">
        <v>67</v>
      </c>
      <c r="AI1352" t="s">
        <v>71</v>
      </c>
      <c r="AJ1352">
        <v>14</v>
      </c>
      <c r="AK1352" t="str">
        <f t="shared" si="324"/>
        <v>13-15%</v>
      </c>
      <c r="AL1352">
        <v>3</v>
      </c>
      <c r="AM1352" t="s">
        <v>68</v>
      </c>
      <c r="AN1352">
        <v>2</v>
      </c>
      <c r="AO1352" t="s">
        <v>61</v>
      </c>
      <c r="AP1352">
        <v>80</v>
      </c>
      <c r="AQ1352">
        <v>0</v>
      </c>
      <c r="AR1352">
        <v>9</v>
      </c>
      <c r="AS1352" t="str">
        <f t="shared" si="325"/>
        <v>6-10</v>
      </c>
      <c r="AT1352">
        <v>5</v>
      </c>
      <c r="AU1352" t="str">
        <f t="shared" si="326"/>
        <v>5-6</v>
      </c>
      <c r="AV1352">
        <v>2</v>
      </c>
      <c r="AW1352" t="s">
        <v>84</v>
      </c>
      <c r="AX1352">
        <v>8</v>
      </c>
      <c r="AY1352" t="str">
        <f t="shared" si="315"/>
        <v>6-10</v>
      </c>
      <c r="AZ1352">
        <v>7</v>
      </c>
      <c r="BA1352" t="str">
        <f t="shared" si="327"/>
        <v>6-10</v>
      </c>
      <c r="BB1352">
        <v>0</v>
      </c>
      <c r="BC1352" t="str">
        <f t="shared" si="328"/>
        <v>0-1</v>
      </c>
      <c r="BD1352">
        <v>7</v>
      </c>
      <c r="BE1352" t="str">
        <f t="shared" si="329"/>
        <v>6-10</v>
      </c>
    </row>
    <row r="1353" spans="1:57" x14ac:dyDescent="0.3">
      <c r="A1353">
        <v>1900</v>
      </c>
      <c r="B1353">
        <v>48</v>
      </c>
      <c r="C1353" t="str">
        <f t="shared" si="316"/>
        <v>46-55</v>
      </c>
      <c r="D1353" t="s">
        <v>71</v>
      </c>
      <c r="E1353">
        <f t="shared" si="317"/>
        <v>0</v>
      </c>
      <c r="F1353" t="s">
        <v>72</v>
      </c>
      <c r="G1353">
        <v>117</v>
      </c>
      <c r="H1353" t="str">
        <f t="shared" si="318"/>
        <v>102-500</v>
      </c>
      <c r="I1353" t="s">
        <v>73</v>
      </c>
      <c r="J1353">
        <v>22</v>
      </c>
      <c r="K1353" t="str">
        <f t="shared" si="319"/>
        <v>21-29</v>
      </c>
      <c r="L1353">
        <v>3</v>
      </c>
      <c r="M1353" t="s">
        <v>85</v>
      </c>
      <c r="N1353" t="s">
        <v>83</v>
      </c>
      <c r="O1353">
        <v>1</v>
      </c>
      <c r="P1353">
        <v>4</v>
      </c>
      <c r="Q1353" t="s">
        <v>65</v>
      </c>
      <c r="R1353" t="s">
        <v>62</v>
      </c>
      <c r="S1353">
        <v>58</v>
      </c>
      <c r="T1353" t="str">
        <f t="shared" si="320"/>
        <v>51-75</v>
      </c>
      <c r="U1353">
        <v>3</v>
      </c>
      <c r="V1353" t="s">
        <v>63</v>
      </c>
      <c r="W1353">
        <v>4</v>
      </c>
      <c r="X1353" t="s">
        <v>90</v>
      </c>
      <c r="Y1353">
        <v>4</v>
      </c>
      <c r="Z1353" t="s">
        <v>65</v>
      </c>
      <c r="AA1353" t="s">
        <v>86</v>
      </c>
      <c r="AB1353" s="4">
        <v>17174</v>
      </c>
      <c r="AC1353" s="4" t="str">
        <f t="shared" si="321"/>
        <v>$16,000-$17,500</v>
      </c>
      <c r="AD1353">
        <v>2437</v>
      </c>
      <c r="AE1353" t="str">
        <f t="shared" si="322"/>
        <v>$2,094-$8,000</v>
      </c>
      <c r="AF1353">
        <v>3</v>
      </c>
      <c r="AG1353" t="str">
        <f t="shared" si="323"/>
        <v>2-3</v>
      </c>
      <c r="AH1353" t="s">
        <v>67</v>
      </c>
      <c r="AI1353" t="s">
        <v>71</v>
      </c>
      <c r="AJ1353">
        <v>11</v>
      </c>
      <c r="AK1353" t="str">
        <f t="shared" si="324"/>
        <v>11-12%</v>
      </c>
      <c r="AL1353">
        <v>3</v>
      </c>
      <c r="AM1353" t="s">
        <v>68</v>
      </c>
      <c r="AN1353">
        <v>2</v>
      </c>
      <c r="AO1353" t="s">
        <v>61</v>
      </c>
      <c r="AP1353">
        <v>80</v>
      </c>
      <c r="AQ1353">
        <v>1</v>
      </c>
      <c r="AR1353">
        <v>24</v>
      </c>
      <c r="AS1353" t="str">
        <f t="shared" si="325"/>
        <v>21-40</v>
      </c>
      <c r="AT1353">
        <v>3</v>
      </c>
      <c r="AU1353" t="str">
        <f t="shared" si="326"/>
        <v>3-4</v>
      </c>
      <c r="AV1353">
        <v>3</v>
      </c>
      <c r="AW1353" t="s">
        <v>79</v>
      </c>
      <c r="AX1353">
        <v>22</v>
      </c>
      <c r="AY1353" t="str">
        <f t="shared" si="315"/>
        <v>21-40</v>
      </c>
      <c r="AZ1353">
        <v>17</v>
      </c>
      <c r="BA1353" t="str">
        <f t="shared" si="327"/>
        <v>11-18</v>
      </c>
      <c r="BB1353">
        <v>4</v>
      </c>
      <c r="BC1353" t="str">
        <f t="shared" si="328"/>
        <v>2-5</v>
      </c>
      <c r="BD1353">
        <v>7</v>
      </c>
      <c r="BE1353" t="str">
        <f t="shared" si="329"/>
        <v>6-10</v>
      </c>
    </row>
    <row r="1354" spans="1:57" x14ac:dyDescent="0.3">
      <c r="A1354">
        <v>1903</v>
      </c>
      <c r="B1354">
        <v>44</v>
      </c>
      <c r="C1354" t="str">
        <f t="shared" si="316"/>
        <v>36-45</v>
      </c>
      <c r="D1354" t="s">
        <v>71</v>
      </c>
      <c r="E1354">
        <f t="shared" si="317"/>
        <v>0</v>
      </c>
      <c r="F1354" t="s">
        <v>57</v>
      </c>
      <c r="G1354">
        <v>170</v>
      </c>
      <c r="H1354" t="str">
        <f t="shared" si="318"/>
        <v>102-500</v>
      </c>
      <c r="I1354" t="s">
        <v>73</v>
      </c>
      <c r="J1354">
        <v>1</v>
      </c>
      <c r="K1354" t="str">
        <f t="shared" si="319"/>
        <v>1-5</v>
      </c>
      <c r="L1354">
        <v>4</v>
      </c>
      <c r="M1354" t="s">
        <v>82</v>
      </c>
      <c r="N1354" t="s">
        <v>60</v>
      </c>
      <c r="O1354">
        <v>1</v>
      </c>
      <c r="P1354">
        <v>2</v>
      </c>
      <c r="Q1354" t="s">
        <v>61</v>
      </c>
      <c r="R1354" t="s">
        <v>75</v>
      </c>
      <c r="S1354">
        <v>78</v>
      </c>
      <c r="T1354" t="str">
        <f t="shared" si="320"/>
        <v>76-100</v>
      </c>
      <c r="U1354">
        <v>4</v>
      </c>
      <c r="V1354" t="s">
        <v>65</v>
      </c>
      <c r="W1354">
        <v>2</v>
      </c>
      <c r="X1354" t="s">
        <v>88</v>
      </c>
      <c r="Y1354">
        <v>1</v>
      </c>
      <c r="Z1354" t="s">
        <v>69</v>
      </c>
      <c r="AA1354" t="s">
        <v>77</v>
      </c>
      <c r="AB1354" s="4">
        <v>5033</v>
      </c>
      <c r="AC1354" s="4" t="str">
        <f t="shared" si="321"/>
        <v>$4,000-$5,500</v>
      </c>
      <c r="AD1354">
        <v>9364</v>
      </c>
      <c r="AE1354" t="str">
        <f t="shared" si="322"/>
        <v>$8,001-$16,000</v>
      </c>
      <c r="AF1354">
        <v>2</v>
      </c>
      <c r="AG1354" t="str">
        <f t="shared" si="323"/>
        <v>2-3</v>
      </c>
      <c r="AH1354" t="s">
        <v>67</v>
      </c>
      <c r="AI1354" t="s">
        <v>71</v>
      </c>
      <c r="AJ1354">
        <v>15</v>
      </c>
      <c r="AK1354" t="str">
        <f t="shared" si="324"/>
        <v>13-15%</v>
      </c>
      <c r="AL1354">
        <v>3</v>
      </c>
      <c r="AM1354" t="s">
        <v>68</v>
      </c>
      <c r="AN1354">
        <v>4</v>
      </c>
      <c r="AO1354" t="s">
        <v>65</v>
      </c>
      <c r="AP1354">
        <v>80</v>
      </c>
      <c r="AQ1354">
        <v>1</v>
      </c>
      <c r="AR1354">
        <v>10</v>
      </c>
      <c r="AS1354" t="str">
        <f t="shared" si="325"/>
        <v>6-10</v>
      </c>
      <c r="AT1354">
        <v>5</v>
      </c>
      <c r="AU1354" t="str">
        <f t="shared" si="326"/>
        <v>5-6</v>
      </c>
      <c r="AV1354">
        <v>3</v>
      </c>
      <c r="AW1354" t="s">
        <v>79</v>
      </c>
      <c r="AX1354">
        <v>2</v>
      </c>
      <c r="AY1354" t="str">
        <f t="shared" si="315"/>
        <v>2-5</v>
      </c>
      <c r="AZ1354">
        <v>0</v>
      </c>
      <c r="BA1354" t="str">
        <f t="shared" si="327"/>
        <v>0-1</v>
      </c>
      <c r="BB1354">
        <v>2</v>
      </c>
      <c r="BC1354" t="str">
        <f t="shared" si="328"/>
        <v>2-5</v>
      </c>
      <c r="BD1354">
        <v>2</v>
      </c>
      <c r="BE1354" t="str">
        <f t="shared" si="329"/>
        <v>2-5</v>
      </c>
    </row>
    <row r="1355" spans="1:57" x14ac:dyDescent="0.3">
      <c r="A1355">
        <v>1905</v>
      </c>
      <c r="B1355">
        <v>34</v>
      </c>
      <c r="C1355" t="str">
        <f t="shared" si="316"/>
        <v>26-35</v>
      </c>
      <c r="D1355" t="s">
        <v>56</v>
      </c>
      <c r="E1355">
        <f t="shared" si="317"/>
        <v>1</v>
      </c>
      <c r="F1355" t="s">
        <v>89</v>
      </c>
      <c r="G1355">
        <v>967</v>
      </c>
      <c r="H1355" t="str">
        <f t="shared" si="318"/>
        <v>501-1000</v>
      </c>
      <c r="I1355" t="s">
        <v>73</v>
      </c>
      <c r="J1355">
        <v>16</v>
      </c>
      <c r="K1355" t="str">
        <f t="shared" si="319"/>
        <v>11-20</v>
      </c>
      <c r="L1355">
        <v>4</v>
      </c>
      <c r="M1355" t="s">
        <v>82</v>
      </c>
      <c r="N1355" t="s">
        <v>95</v>
      </c>
      <c r="O1355">
        <v>1</v>
      </c>
      <c r="P1355">
        <v>4</v>
      </c>
      <c r="Q1355" t="s">
        <v>65</v>
      </c>
      <c r="R1355" t="s">
        <v>75</v>
      </c>
      <c r="S1355">
        <v>85</v>
      </c>
      <c r="T1355" t="str">
        <f t="shared" si="320"/>
        <v>76-100</v>
      </c>
      <c r="U1355">
        <v>1</v>
      </c>
      <c r="V1355" t="s">
        <v>69</v>
      </c>
      <c r="W1355">
        <v>1</v>
      </c>
      <c r="X1355" t="s">
        <v>76</v>
      </c>
      <c r="Y1355">
        <v>1</v>
      </c>
      <c r="Z1355" t="s">
        <v>69</v>
      </c>
      <c r="AA1355" t="s">
        <v>77</v>
      </c>
      <c r="AB1355" s="4">
        <v>2307</v>
      </c>
      <c r="AC1355" s="4" t="str">
        <f t="shared" si="321"/>
        <v>$1,000-$2,500</v>
      </c>
      <c r="AD1355">
        <v>14460</v>
      </c>
      <c r="AE1355" t="str">
        <f t="shared" si="322"/>
        <v>$8,001-$16,000</v>
      </c>
      <c r="AF1355">
        <v>1</v>
      </c>
      <c r="AG1355" t="str">
        <f t="shared" si="323"/>
        <v>0-1</v>
      </c>
      <c r="AH1355" t="s">
        <v>67</v>
      </c>
      <c r="AI1355" t="s">
        <v>56</v>
      </c>
      <c r="AJ1355">
        <v>23</v>
      </c>
      <c r="AK1355" t="str">
        <f t="shared" si="324"/>
        <v>18-19%</v>
      </c>
      <c r="AL1355">
        <v>4</v>
      </c>
      <c r="AM1355" t="s">
        <v>78</v>
      </c>
      <c r="AN1355">
        <v>2</v>
      </c>
      <c r="AO1355" t="s">
        <v>61</v>
      </c>
      <c r="AP1355">
        <v>80</v>
      </c>
      <c r="AQ1355">
        <v>1</v>
      </c>
      <c r="AR1355">
        <v>5</v>
      </c>
      <c r="AS1355" t="str">
        <f t="shared" si="325"/>
        <v>3-5</v>
      </c>
      <c r="AT1355">
        <v>2</v>
      </c>
      <c r="AU1355" t="str">
        <f t="shared" si="326"/>
        <v>0-2</v>
      </c>
      <c r="AV1355">
        <v>3</v>
      </c>
      <c r="AW1355" t="s">
        <v>79</v>
      </c>
      <c r="AX1355">
        <v>5</v>
      </c>
      <c r="AY1355" t="str">
        <f t="shared" si="315"/>
        <v>2-5</v>
      </c>
      <c r="AZ1355">
        <v>2</v>
      </c>
      <c r="BA1355" t="str">
        <f t="shared" si="327"/>
        <v>2-5</v>
      </c>
      <c r="BB1355">
        <v>3</v>
      </c>
      <c r="BC1355" t="str">
        <f t="shared" si="328"/>
        <v>2-5</v>
      </c>
      <c r="BD1355">
        <v>0</v>
      </c>
      <c r="BE1355" t="str">
        <f t="shared" si="329"/>
        <v>0-1</v>
      </c>
    </row>
    <row r="1356" spans="1:57" x14ac:dyDescent="0.3">
      <c r="A1356">
        <v>1907</v>
      </c>
      <c r="B1356">
        <v>56</v>
      </c>
      <c r="C1356" t="str">
        <f t="shared" si="316"/>
        <v>56+</v>
      </c>
      <c r="D1356" t="s">
        <v>56</v>
      </c>
      <c r="E1356">
        <f t="shared" si="317"/>
        <v>1</v>
      </c>
      <c r="F1356" t="s">
        <v>57</v>
      </c>
      <c r="G1356">
        <v>1162</v>
      </c>
      <c r="H1356" t="str">
        <f t="shared" si="318"/>
        <v>1001-1499</v>
      </c>
      <c r="I1356" t="s">
        <v>73</v>
      </c>
      <c r="J1356">
        <v>24</v>
      </c>
      <c r="K1356" t="str">
        <f t="shared" si="319"/>
        <v>21-29</v>
      </c>
      <c r="L1356">
        <v>2</v>
      </c>
      <c r="M1356" t="s">
        <v>59</v>
      </c>
      <c r="N1356" t="s">
        <v>60</v>
      </c>
      <c r="O1356">
        <v>1</v>
      </c>
      <c r="P1356">
        <v>1</v>
      </c>
      <c r="Q1356" t="s">
        <v>69</v>
      </c>
      <c r="R1356" t="s">
        <v>75</v>
      </c>
      <c r="S1356">
        <v>97</v>
      </c>
      <c r="T1356" t="str">
        <f t="shared" si="320"/>
        <v>76-100</v>
      </c>
      <c r="U1356">
        <v>3</v>
      </c>
      <c r="V1356" t="s">
        <v>63</v>
      </c>
      <c r="W1356">
        <v>1</v>
      </c>
      <c r="X1356" t="s">
        <v>81</v>
      </c>
      <c r="Y1356">
        <v>4</v>
      </c>
      <c r="Z1356" t="s">
        <v>65</v>
      </c>
      <c r="AA1356" t="s">
        <v>66</v>
      </c>
      <c r="AB1356" s="4">
        <v>2587</v>
      </c>
      <c r="AC1356" s="4" t="str">
        <f t="shared" si="321"/>
        <v>$2,500-$4,000</v>
      </c>
      <c r="AD1356">
        <v>10261</v>
      </c>
      <c r="AE1356" t="str">
        <f t="shared" si="322"/>
        <v>$8,001-$16,000</v>
      </c>
      <c r="AF1356">
        <v>1</v>
      </c>
      <c r="AG1356" t="str">
        <f t="shared" si="323"/>
        <v>0-1</v>
      </c>
      <c r="AH1356" t="s">
        <v>67</v>
      </c>
      <c r="AI1356" t="s">
        <v>71</v>
      </c>
      <c r="AJ1356">
        <v>16</v>
      </c>
      <c r="AK1356" t="str">
        <f t="shared" si="324"/>
        <v>16-17%</v>
      </c>
      <c r="AL1356">
        <v>3</v>
      </c>
      <c r="AM1356" t="s">
        <v>68</v>
      </c>
      <c r="AN1356">
        <v>4</v>
      </c>
      <c r="AO1356" t="s">
        <v>65</v>
      </c>
      <c r="AP1356">
        <v>80</v>
      </c>
      <c r="AQ1356">
        <v>0</v>
      </c>
      <c r="AR1356">
        <v>5</v>
      </c>
      <c r="AS1356" t="str">
        <f t="shared" si="325"/>
        <v>3-5</v>
      </c>
      <c r="AT1356">
        <v>3</v>
      </c>
      <c r="AU1356" t="str">
        <f t="shared" si="326"/>
        <v>3-4</v>
      </c>
      <c r="AV1356">
        <v>3</v>
      </c>
      <c r="AW1356" t="s">
        <v>79</v>
      </c>
      <c r="AX1356">
        <v>4</v>
      </c>
      <c r="AY1356" t="str">
        <f t="shared" si="315"/>
        <v>2-5</v>
      </c>
      <c r="AZ1356">
        <v>2</v>
      </c>
      <c r="BA1356" t="str">
        <f t="shared" si="327"/>
        <v>2-5</v>
      </c>
      <c r="BB1356">
        <v>1</v>
      </c>
      <c r="BC1356" t="str">
        <f t="shared" si="328"/>
        <v>0-1</v>
      </c>
      <c r="BD1356">
        <v>0</v>
      </c>
      <c r="BE1356" t="str">
        <f t="shared" si="329"/>
        <v>0-1</v>
      </c>
    </row>
    <row r="1357" spans="1:57" x14ac:dyDescent="0.3">
      <c r="A1357">
        <v>1908</v>
      </c>
      <c r="B1357">
        <v>36</v>
      </c>
      <c r="C1357" t="str">
        <f t="shared" si="316"/>
        <v>36-45</v>
      </c>
      <c r="D1357" t="s">
        <v>71</v>
      </c>
      <c r="E1357">
        <f t="shared" si="317"/>
        <v>0</v>
      </c>
      <c r="F1357" t="s">
        <v>57</v>
      </c>
      <c r="G1357">
        <v>335</v>
      </c>
      <c r="H1357" t="str">
        <f t="shared" si="318"/>
        <v>102-500</v>
      </c>
      <c r="I1357" t="s">
        <v>58</v>
      </c>
      <c r="J1357">
        <v>17</v>
      </c>
      <c r="K1357" t="str">
        <f t="shared" si="319"/>
        <v>11-20</v>
      </c>
      <c r="L1357">
        <v>2</v>
      </c>
      <c r="M1357" t="s">
        <v>59</v>
      </c>
      <c r="N1357" t="s">
        <v>93</v>
      </c>
      <c r="O1357">
        <v>1</v>
      </c>
      <c r="P1357">
        <v>3</v>
      </c>
      <c r="Q1357" t="s">
        <v>63</v>
      </c>
      <c r="R1357" t="s">
        <v>75</v>
      </c>
      <c r="S1357">
        <v>33</v>
      </c>
      <c r="T1357" t="str">
        <f t="shared" si="320"/>
        <v>30-50</v>
      </c>
      <c r="U1357">
        <v>2</v>
      </c>
      <c r="V1357" t="s">
        <v>61</v>
      </c>
      <c r="W1357">
        <v>2</v>
      </c>
      <c r="X1357" t="s">
        <v>64</v>
      </c>
      <c r="Y1357">
        <v>2</v>
      </c>
      <c r="Z1357" t="s">
        <v>61</v>
      </c>
      <c r="AA1357" t="s">
        <v>77</v>
      </c>
      <c r="AB1357" s="4">
        <v>5507</v>
      </c>
      <c r="AC1357" s="4" t="str">
        <f t="shared" si="321"/>
        <v>$5,500-$7,000</v>
      </c>
      <c r="AD1357">
        <v>16822</v>
      </c>
      <c r="AE1357" t="str">
        <f t="shared" si="322"/>
        <v>$16,001-$22,000</v>
      </c>
      <c r="AF1357">
        <v>2</v>
      </c>
      <c r="AG1357" t="str">
        <f t="shared" si="323"/>
        <v>2-3</v>
      </c>
      <c r="AH1357" t="s">
        <v>67</v>
      </c>
      <c r="AI1357" t="s">
        <v>71</v>
      </c>
      <c r="AJ1357">
        <v>16</v>
      </c>
      <c r="AK1357" t="str">
        <f t="shared" si="324"/>
        <v>16-17%</v>
      </c>
      <c r="AL1357">
        <v>3</v>
      </c>
      <c r="AM1357" t="s">
        <v>68</v>
      </c>
      <c r="AN1357">
        <v>3</v>
      </c>
      <c r="AO1357" t="s">
        <v>63</v>
      </c>
      <c r="AP1357">
        <v>80</v>
      </c>
      <c r="AQ1357">
        <v>2</v>
      </c>
      <c r="AR1357">
        <v>12</v>
      </c>
      <c r="AS1357" t="str">
        <f t="shared" si="325"/>
        <v>11-20</v>
      </c>
      <c r="AT1357">
        <v>1</v>
      </c>
      <c r="AU1357" t="str">
        <f t="shared" si="326"/>
        <v>0-2</v>
      </c>
      <c r="AV1357">
        <v>1</v>
      </c>
      <c r="AW1357" t="s">
        <v>70</v>
      </c>
      <c r="AX1357">
        <v>4</v>
      </c>
      <c r="AY1357" t="str">
        <f t="shared" si="315"/>
        <v>2-5</v>
      </c>
      <c r="AZ1357">
        <v>2</v>
      </c>
      <c r="BA1357" t="str">
        <f t="shared" si="327"/>
        <v>2-5</v>
      </c>
      <c r="BB1357">
        <v>1</v>
      </c>
      <c r="BC1357" t="str">
        <f t="shared" si="328"/>
        <v>0-1</v>
      </c>
      <c r="BD1357">
        <v>3</v>
      </c>
      <c r="BE1357" t="str">
        <f t="shared" si="329"/>
        <v>2-5</v>
      </c>
    </row>
    <row r="1358" spans="1:57" x14ac:dyDescent="0.3">
      <c r="A1358">
        <v>1909</v>
      </c>
      <c r="B1358">
        <v>41</v>
      </c>
      <c r="C1358" t="str">
        <f t="shared" si="316"/>
        <v>36-45</v>
      </c>
      <c r="D1358" t="s">
        <v>71</v>
      </c>
      <c r="E1358">
        <f t="shared" si="317"/>
        <v>0</v>
      </c>
      <c r="F1358" t="s">
        <v>57</v>
      </c>
      <c r="G1358">
        <v>337</v>
      </c>
      <c r="H1358" t="str">
        <f t="shared" si="318"/>
        <v>102-500</v>
      </c>
      <c r="I1358" t="s">
        <v>58</v>
      </c>
      <c r="J1358">
        <v>8</v>
      </c>
      <c r="K1358" t="str">
        <f t="shared" si="319"/>
        <v>6-10</v>
      </c>
      <c r="L1358">
        <v>3</v>
      </c>
      <c r="M1358" t="s">
        <v>85</v>
      </c>
      <c r="N1358" t="s">
        <v>93</v>
      </c>
      <c r="O1358">
        <v>1</v>
      </c>
      <c r="P1358">
        <v>3</v>
      </c>
      <c r="Q1358" t="s">
        <v>63</v>
      </c>
      <c r="R1358" t="s">
        <v>62</v>
      </c>
      <c r="S1358">
        <v>54</v>
      </c>
      <c r="T1358" t="str">
        <f t="shared" si="320"/>
        <v>51-75</v>
      </c>
      <c r="U1358">
        <v>3</v>
      </c>
      <c r="V1358" t="s">
        <v>63</v>
      </c>
      <c r="W1358">
        <v>2</v>
      </c>
      <c r="X1358" t="s">
        <v>64</v>
      </c>
      <c r="Y1358">
        <v>2</v>
      </c>
      <c r="Z1358" t="s">
        <v>61</v>
      </c>
      <c r="AA1358" t="s">
        <v>77</v>
      </c>
      <c r="AB1358" s="4">
        <v>4393</v>
      </c>
      <c r="AC1358" s="4" t="str">
        <f t="shared" si="321"/>
        <v>$4,000-$5,500</v>
      </c>
      <c r="AD1358">
        <v>26841</v>
      </c>
      <c r="AE1358" t="str">
        <f t="shared" si="322"/>
        <v>$22,001-$26,999</v>
      </c>
      <c r="AF1358">
        <v>5</v>
      </c>
      <c r="AG1358" t="str">
        <f t="shared" si="323"/>
        <v>4-6</v>
      </c>
      <c r="AH1358" t="s">
        <v>67</v>
      </c>
      <c r="AI1358" t="s">
        <v>71</v>
      </c>
      <c r="AJ1358">
        <v>21</v>
      </c>
      <c r="AK1358" t="str">
        <f t="shared" si="324"/>
        <v>18-19%</v>
      </c>
      <c r="AL1358">
        <v>4</v>
      </c>
      <c r="AM1358" t="s">
        <v>78</v>
      </c>
      <c r="AN1358">
        <v>3</v>
      </c>
      <c r="AO1358" t="s">
        <v>63</v>
      </c>
      <c r="AP1358">
        <v>80</v>
      </c>
      <c r="AQ1358">
        <v>1</v>
      </c>
      <c r="AR1358">
        <v>14</v>
      </c>
      <c r="AS1358" t="str">
        <f t="shared" si="325"/>
        <v>11-20</v>
      </c>
      <c r="AT1358">
        <v>3</v>
      </c>
      <c r="AU1358" t="str">
        <f t="shared" si="326"/>
        <v>3-4</v>
      </c>
      <c r="AV1358">
        <v>3</v>
      </c>
      <c r="AW1358" t="s">
        <v>79</v>
      </c>
      <c r="AX1358">
        <v>5</v>
      </c>
      <c r="AY1358" t="str">
        <f t="shared" si="315"/>
        <v>2-5</v>
      </c>
      <c r="AZ1358">
        <v>4</v>
      </c>
      <c r="BA1358" t="str">
        <f t="shared" si="327"/>
        <v>2-5</v>
      </c>
      <c r="BB1358">
        <v>1</v>
      </c>
      <c r="BC1358" t="str">
        <f t="shared" si="328"/>
        <v>0-1</v>
      </c>
      <c r="BD1358">
        <v>4</v>
      </c>
      <c r="BE1358" t="str">
        <f t="shared" si="329"/>
        <v>2-5</v>
      </c>
    </row>
    <row r="1359" spans="1:57" x14ac:dyDescent="0.3">
      <c r="A1359">
        <v>1911</v>
      </c>
      <c r="B1359">
        <v>42</v>
      </c>
      <c r="C1359" t="str">
        <f t="shared" si="316"/>
        <v>36-45</v>
      </c>
      <c r="D1359" t="s">
        <v>71</v>
      </c>
      <c r="E1359">
        <f t="shared" si="317"/>
        <v>0</v>
      </c>
      <c r="F1359" t="s">
        <v>57</v>
      </c>
      <c r="G1359">
        <v>1396</v>
      </c>
      <c r="H1359" t="str">
        <f t="shared" si="318"/>
        <v>1001-1499</v>
      </c>
      <c r="I1359" t="s">
        <v>73</v>
      </c>
      <c r="J1359">
        <v>6</v>
      </c>
      <c r="K1359" t="str">
        <f t="shared" si="319"/>
        <v>6-10</v>
      </c>
      <c r="L1359">
        <v>3</v>
      </c>
      <c r="M1359" t="s">
        <v>85</v>
      </c>
      <c r="N1359" t="s">
        <v>83</v>
      </c>
      <c r="O1359">
        <v>1</v>
      </c>
      <c r="P1359">
        <v>3</v>
      </c>
      <c r="Q1359" t="s">
        <v>63</v>
      </c>
      <c r="R1359" t="s">
        <v>75</v>
      </c>
      <c r="S1359">
        <v>83</v>
      </c>
      <c r="T1359" t="str">
        <f t="shared" si="320"/>
        <v>76-100</v>
      </c>
      <c r="U1359">
        <v>3</v>
      </c>
      <c r="V1359" t="s">
        <v>63</v>
      </c>
      <c r="W1359">
        <v>3</v>
      </c>
      <c r="X1359" t="s">
        <v>92</v>
      </c>
      <c r="Y1359">
        <v>1</v>
      </c>
      <c r="Z1359" t="s">
        <v>69</v>
      </c>
      <c r="AA1359" t="s">
        <v>77</v>
      </c>
      <c r="AB1359" s="4">
        <v>13348</v>
      </c>
      <c r="AC1359" s="4" t="str">
        <f t="shared" si="321"/>
        <v>$13,000-$14,500</v>
      </c>
      <c r="AD1359">
        <v>14842</v>
      </c>
      <c r="AE1359" t="str">
        <f t="shared" si="322"/>
        <v>$8,001-$16,000</v>
      </c>
      <c r="AF1359">
        <v>9</v>
      </c>
      <c r="AG1359" t="str">
        <f t="shared" si="323"/>
        <v>7-9</v>
      </c>
      <c r="AH1359" t="s">
        <v>67</v>
      </c>
      <c r="AI1359" t="s">
        <v>71</v>
      </c>
      <c r="AJ1359">
        <v>13</v>
      </c>
      <c r="AK1359" t="str">
        <f t="shared" si="324"/>
        <v>13-15%</v>
      </c>
      <c r="AL1359">
        <v>3</v>
      </c>
      <c r="AM1359" t="s">
        <v>68</v>
      </c>
      <c r="AN1359">
        <v>2</v>
      </c>
      <c r="AO1359" t="s">
        <v>61</v>
      </c>
      <c r="AP1359">
        <v>80</v>
      </c>
      <c r="AQ1359">
        <v>1</v>
      </c>
      <c r="AR1359">
        <v>18</v>
      </c>
      <c r="AS1359" t="str">
        <f t="shared" si="325"/>
        <v>11-20</v>
      </c>
      <c r="AT1359">
        <v>3</v>
      </c>
      <c r="AU1359" t="str">
        <f t="shared" si="326"/>
        <v>3-4</v>
      </c>
      <c r="AV1359">
        <v>4</v>
      </c>
      <c r="AW1359" t="s">
        <v>94</v>
      </c>
      <c r="AX1359">
        <v>13</v>
      </c>
      <c r="AY1359" t="str">
        <f t="shared" si="315"/>
        <v>11-20</v>
      </c>
      <c r="AZ1359">
        <v>7</v>
      </c>
      <c r="BA1359" t="str">
        <f t="shared" si="327"/>
        <v>6-10</v>
      </c>
      <c r="BB1359">
        <v>5</v>
      </c>
      <c r="BC1359" t="str">
        <f t="shared" si="328"/>
        <v>2-5</v>
      </c>
      <c r="BD1359">
        <v>7</v>
      </c>
      <c r="BE1359" t="str">
        <f t="shared" si="329"/>
        <v>6-10</v>
      </c>
    </row>
    <row r="1360" spans="1:57" x14ac:dyDescent="0.3">
      <c r="A1360">
        <v>1912</v>
      </c>
      <c r="B1360">
        <v>31</v>
      </c>
      <c r="C1360" t="str">
        <f t="shared" si="316"/>
        <v>26-35</v>
      </c>
      <c r="D1360" t="s">
        <v>71</v>
      </c>
      <c r="E1360">
        <f t="shared" si="317"/>
        <v>0</v>
      </c>
      <c r="F1360" t="s">
        <v>57</v>
      </c>
      <c r="G1360">
        <v>1079</v>
      </c>
      <c r="H1360" t="str">
        <f t="shared" si="318"/>
        <v>1001-1499</v>
      </c>
      <c r="I1360" t="s">
        <v>58</v>
      </c>
      <c r="J1360">
        <v>10</v>
      </c>
      <c r="K1360" t="str">
        <f t="shared" si="319"/>
        <v>6-10</v>
      </c>
      <c r="L1360">
        <v>2</v>
      </c>
      <c r="M1360" t="s">
        <v>59</v>
      </c>
      <c r="N1360" t="s">
        <v>83</v>
      </c>
      <c r="O1360">
        <v>1</v>
      </c>
      <c r="P1360">
        <v>3</v>
      </c>
      <c r="Q1360" t="s">
        <v>63</v>
      </c>
      <c r="R1360" t="s">
        <v>62</v>
      </c>
      <c r="S1360">
        <v>86</v>
      </c>
      <c r="T1360" t="str">
        <f t="shared" si="320"/>
        <v>76-100</v>
      </c>
      <c r="U1360">
        <v>3</v>
      </c>
      <c r="V1360" t="s">
        <v>63</v>
      </c>
      <c r="W1360">
        <v>2</v>
      </c>
      <c r="X1360" t="s">
        <v>64</v>
      </c>
      <c r="Y1360">
        <v>4</v>
      </c>
      <c r="Z1360" t="s">
        <v>65</v>
      </c>
      <c r="AA1360" t="s">
        <v>86</v>
      </c>
      <c r="AB1360" s="4">
        <v>6583</v>
      </c>
      <c r="AC1360" s="4" t="str">
        <f t="shared" si="321"/>
        <v>$5,500-$7,000</v>
      </c>
      <c r="AD1360">
        <v>20115</v>
      </c>
      <c r="AE1360" t="str">
        <f t="shared" si="322"/>
        <v>$16,001-$22,000</v>
      </c>
      <c r="AF1360">
        <v>2</v>
      </c>
      <c r="AG1360" t="str">
        <f t="shared" si="323"/>
        <v>2-3</v>
      </c>
      <c r="AH1360" t="s">
        <v>67</v>
      </c>
      <c r="AI1360" t="s">
        <v>56</v>
      </c>
      <c r="AJ1360">
        <v>11</v>
      </c>
      <c r="AK1360" t="str">
        <f t="shared" si="324"/>
        <v>11-12%</v>
      </c>
      <c r="AL1360">
        <v>3</v>
      </c>
      <c r="AM1360" t="s">
        <v>68</v>
      </c>
      <c r="AN1360">
        <v>4</v>
      </c>
      <c r="AO1360" t="s">
        <v>65</v>
      </c>
      <c r="AP1360">
        <v>80</v>
      </c>
      <c r="AQ1360">
        <v>1</v>
      </c>
      <c r="AR1360">
        <v>8</v>
      </c>
      <c r="AS1360" t="str">
        <f t="shared" si="325"/>
        <v>6-10</v>
      </c>
      <c r="AT1360">
        <v>2</v>
      </c>
      <c r="AU1360" t="str">
        <f t="shared" si="326"/>
        <v>0-2</v>
      </c>
      <c r="AV1360">
        <v>3</v>
      </c>
      <c r="AW1360" t="s">
        <v>79</v>
      </c>
      <c r="AX1360">
        <v>5</v>
      </c>
      <c r="AY1360" t="str">
        <f t="shared" si="315"/>
        <v>2-5</v>
      </c>
      <c r="AZ1360">
        <v>2</v>
      </c>
      <c r="BA1360" t="str">
        <f t="shared" si="327"/>
        <v>2-5</v>
      </c>
      <c r="BB1360">
        <v>1</v>
      </c>
      <c r="BC1360" t="str">
        <f t="shared" si="328"/>
        <v>0-1</v>
      </c>
      <c r="BD1360">
        <v>4</v>
      </c>
      <c r="BE1360" t="str">
        <f t="shared" si="329"/>
        <v>2-5</v>
      </c>
    </row>
    <row r="1361" spans="1:57" x14ac:dyDescent="0.3">
      <c r="A1361">
        <v>1915</v>
      </c>
      <c r="B1361">
        <v>34</v>
      </c>
      <c r="C1361" t="str">
        <f t="shared" si="316"/>
        <v>26-35</v>
      </c>
      <c r="D1361" t="s">
        <v>71</v>
      </c>
      <c r="E1361">
        <f t="shared" si="317"/>
        <v>0</v>
      </c>
      <c r="F1361" t="s">
        <v>57</v>
      </c>
      <c r="G1361">
        <v>735</v>
      </c>
      <c r="H1361" t="str">
        <f t="shared" si="318"/>
        <v>501-1000</v>
      </c>
      <c r="I1361" t="s">
        <v>58</v>
      </c>
      <c r="J1361">
        <v>3</v>
      </c>
      <c r="K1361" t="str">
        <f t="shared" si="319"/>
        <v>1-5</v>
      </c>
      <c r="L1361">
        <v>1</v>
      </c>
      <c r="M1361" t="s">
        <v>74</v>
      </c>
      <c r="N1361" t="s">
        <v>83</v>
      </c>
      <c r="O1361">
        <v>1</v>
      </c>
      <c r="P1361">
        <v>4</v>
      </c>
      <c r="Q1361" t="s">
        <v>65</v>
      </c>
      <c r="R1361" t="s">
        <v>62</v>
      </c>
      <c r="S1361">
        <v>75</v>
      </c>
      <c r="T1361" t="str">
        <f t="shared" si="320"/>
        <v>51-75</v>
      </c>
      <c r="U1361">
        <v>2</v>
      </c>
      <c r="V1361" t="s">
        <v>61</v>
      </c>
      <c r="W1361">
        <v>2</v>
      </c>
      <c r="X1361" t="s">
        <v>64</v>
      </c>
      <c r="Y1361">
        <v>4</v>
      </c>
      <c r="Z1361" t="s">
        <v>65</v>
      </c>
      <c r="AA1361" t="s">
        <v>77</v>
      </c>
      <c r="AB1361" s="4">
        <v>8103</v>
      </c>
      <c r="AC1361" s="4" t="str">
        <f t="shared" si="321"/>
        <v>$7,000-$8,500</v>
      </c>
      <c r="AD1361">
        <v>16495</v>
      </c>
      <c r="AE1361" t="str">
        <f t="shared" si="322"/>
        <v>$16,001-$22,000</v>
      </c>
      <c r="AF1361">
        <v>3</v>
      </c>
      <c r="AG1361" t="str">
        <f t="shared" si="323"/>
        <v>2-3</v>
      </c>
      <c r="AH1361" t="s">
        <v>67</v>
      </c>
      <c r="AI1361" t="s">
        <v>56</v>
      </c>
      <c r="AJ1361">
        <v>12</v>
      </c>
      <c r="AK1361" t="str">
        <f t="shared" si="324"/>
        <v>11-12%</v>
      </c>
      <c r="AL1361">
        <v>3</v>
      </c>
      <c r="AM1361" t="s">
        <v>68</v>
      </c>
      <c r="AN1361">
        <v>3</v>
      </c>
      <c r="AO1361" t="s">
        <v>63</v>
      </c>
      <c r="AP1361">
        <v>80</v>
      </c>
      <c r="AQ1361">
        <v>0</v>
      </c>
      <c r="AR1361">
        <v>9</v>
      </c>
      <c r="AS1361" t="str">
        <f t="shared" si="325"/>
        <v>6-10</v>
      </c>
      <c r="AT1361">
        <v>3</v>
      </c>
      <c r="AU1361" t="str">
        <f t="shared" si="326"/>
        <v>3-4</v>
      </c>
      <c r="AV1361">
        <v>2</v>
      </c>
      <c r="AW1361" t="s">
        <v>84</v>
      </c>
      <c r="AX1361">
        <v>4</v>
      </c>
      <c r="AY1361" t="str">
        <f t="shared" si="315"/>
        <v>2-5</v>
      </c>
      <c r="AZ1361">
        <v>2</v>
      </c>
      <c r="BA1361" t="str">
        <f t="shared" si="327"/>
        <v>2-5</v>
      </c>
      <c r="BB1361">
        <v>0</v>
      </c>
      <c r="BC1361" t="str">
        <f t="shared" si="328"/>
        <v>0-1</v>
      </c>
      <c r="BD1361">
        <v>1</v>
      </c>
      <c r="BE1361" t="str">
        <f t="shared" si="329"/>
        <v>0-1</v>
      </c>
    </row>
    <row r="1362" spans="1:57" x14ac:dyDescent="0.3">
      <c r="A1362">
        <v>1916</v>
      </c>
      <c r="B1362">
        <v>31</v>
      </c>
      <c r="C1362" t="str">
        <f t="shared" si="316"/>
        <v>26-35</v>
      </c>
      <c r="D1362" t="s">
        <v>71</v>
      </c>
      <c r="E1362">
        <f t="shared" si="317"/>
        <v>0</v>
      </c>
      <c r="F1362" t="s">
        <v>57</v>
      </c>
      <c r="G1362">
        <v>471</v>
      </c>
      <c r="H1362" t="str">
        <f t="shared" si="318"/>
        <v>102-500</v>
      </c>
      <c r="I1362" t="s">
        <v>73</v>
      </c>
      <c r="J1362">
        <v>4</v>
      </c>
      <c r="K1362" t="str">
        <f t="shared" si="319"/>
        <v>1-5</v>
      </c>
      <c r="L1362">
        <v>3</v>
      </c>
      <c r="M1362" t="s">
        <v>85</v>
      </c>
      <c r="N1362" t="s">
        <v>83</v>
      </c>
      <c r="O1362">
        <v>1</v>
      </c>
      <c r="P1362">
        <v>1</v>
      </c>
      <c r="Q1362" t="s">
        <v>69</v>
      </c>
      <c r="R1362" t="s">
        <v>62</v>
      </c>
      <c r="S1362">
        <v>62</v>
      </c>
      <c r="T1362" t="str">
        <f t="shared" si="320"/>
        <v>51-75</v>
      </c>
      <c r="U1362">
        <v>4</v>
      </c>
      <c r="V1362" t="s">
        <v>65</v>
      </c>
      <c r="W1362">
        <v>1</v>
      </c>
      <c r="X1362" t="s">
        <v>81</v>
      </c>
      <c r="Y1362">
        <v>3</v>
      </c>
      <c r="Z1362" t="s">
        <v>63</v>
      </c>
      <c r="AA1362" t="s">
        <v>86</v>
      </c>
      <c r="AB1362" s="4">
        <v>3978</v>
      </c>
      <c r="AC1362" s="4" t="str">
        <f t="shared" si="321"/>
        <v>$2,500-$4,000</v>
      </c>
      <c r="AD1362">
        <v>16031</v>
      </c>
      <c r="AE1362" t="str">
        <f t="shared" si="322"/>
        <v>$16,001-$22,000</v>
      </c>
      <c r="AF1362">
        <v>8</v>
      </c>
      <c r="AG1362" t="str">
        <f t="shared" si="323"/>
        <v>7-9</v>
      </c>
      <c r="AH1362" t="s">
        <v>67</v>
      </c>
      <c r="AI1362" t="s">
        <v>71</v>
      </c>
      <c r="AJ1362">
        <v>12</v>
      </c>
      <c r="AK1362" t="str">
        <f t="shared" si="324"/>
        <v>11-12%</v>
      </c>
      <c r="AL1362">
        <v>3</v>
      </c>
      <c r="AM1362" t="s">
        <v>68</v>
      </c>
      <c r="AN1362">
        <v>2</v>
      </c>
      <c r="AO1362" t="s">
        <v>61</v>
      </c>
      <c r="AP1362">
        <v>80</v>
      </c>
      <c r="AQ1362">
        <v>1</v>
      </c>
      <c r="AR1362">
        <v>4</v>
      </c>
      <c r="AS1362" t="str">
        <f t="shared" si="325"/>
        <v>3-5</v>
      </c>
      <c r="AT1362">
        <v>0</v>
      </c>
      <c r="AU1362" t="str">
        <f t="shared" si="326"/>
        <v>0-2</v>
      </c>
      <c r="AV1362">
        <v>2</v>
      </c>
      <c r="AW1362" t="s">
        <v>84</v>
      </c>
      <c r="AX1362">
        <v>2</v>
      </c>
      <c r="AY1362" t="str">
        <f t="shared" si="315"/>
        <v>2-5</v>
      </c>
      <c r="AZ1362">
        <v>2</v>
      </c>
      <c r="BA1362" t="str">
        <f t="shared" si="327"/>
        <v>2-5</v>
      </c>
      <c r="BB1362">
        <v>2</v>
      </c>
      <c r="BC1362" t="str">
        <f t="shared" si="328"/>
        <v>2-5</v>
      </c>
      <c r="BD1362">
        <v>2</v>
      </c>
      <c r="BE1362" t="str">
        <f t="shared" si="329"/>
        <v>2-5</v>
      </c>
    </row>
    <row r="1363" spans="1:57" x14ac:dyDescent="0.3">
      <c r="A1363">
        <v>1918</v>
      </c>
      <c r="B1363">
        <v>26</v>
      </c>
      <c r="C1363" t="str">
        <f t="shared" si="316"/>
        <v>26-35</v>
      </c>
      <c r="D1363" t="s">
        <v>71</v>
      </c>
      <c r="E1363">
        <f t="shared" si="317"/>
        <v>0</v>
      </c>
      <c r="F1363" t="s">
        <v>72</v>
      </c>
      <c r="G1363">
        <v>1096</v>
      </c>
      <c r="H1363" t="str">
        <f t="shared" si="318"/>
        <v>1001-1499</v>
      </c>
      <c r="I1363" t="s">
        <v>73</v>
      </c>
      <c r="J1363">
        <v>6</v>
      </c>
      <c r="K1363" t="str">
        <f t="shared" si="319"/>
        <v>6-10</v>
      </c>
      <c r="L1363">
        <v>3</v>
      </c>
      <c r="M1363" t="s">
        <v>85</v>
      </c>
      <c r="N1363" t="s">
        <v>80</v>
      </c>
      <c r="O1363">
        <v>1</v>
      </c>
      <c r="P1363">
        <v>3</v>
      </c>
      <c r="Q1363" t="s">
        <v>63</v>
      </c>
      <c r="R1363" t="s">
        <v>75</v>
      </c>
      <c r="S1363">
        <v>61</v>
      </c>
      <c r="T1363" t="str">
        <f t="shared" si="320"/>
        <v>51-75</v>
      </c>
      <c r="U1363">
        <v>4</v>
      </c>
      <c r="V1363" t="s">
        <v>65</v>
      </c>
      <c r="W1363">
        <v>1</v>
      </c>
      <c r="X1363" t="s">
        <v>81</v>
      </c>
      <c r="Y1363">
        <v>4</v>
      </c>
      <c r="Z1363" t="s">
        <v>65</v>
      </c>
      <c r="AA1363" t="s">
        <v>77</v>
      </c>
      <c r="AB1363" s="4">
        <v>2544</v>
      </c>
      <c r="AC1363" s="4" t="str">
        <f t="shared" si="321"/>
        <v>$2,500-$4,000</v>
      </c>
      <c r="AD1363">
        <v>7102</v>
      </c>
      <c r="AE1363" t="str">
        <f t="shared" si="322"/>
        <v>$2,094-$8,000</v>
      </c>
      <c r="AF1363">
        <v>0</v>
      </c>
      <c r="AG1363" t="str">
        <f t="shared" si="323"/>
        <v>0-1</v>
      </c>
      <c r="AH1363" t="s">
        <v>67</v>
      </c>
      <c r="AI1363" t="s">
        <v>71</v>
      </c>
      <c r="AJ1363">
        <v>18</v>
      </c>
      <c r="AK1363" t="str">
        <f t="shared" si="324"/>
        <v>18-19%</v>
      </c>
      <c r="AL1363">
        <v>3</v>
      </c>
      <c r="AM1363" t="s">
        <v>68</v>
      </c>
      <c r="AN1363">
        <v>1</v>
      </c>
      <c r="AO1363" t="s">
        <v>69</v>
      </c>
      <c r="AP1363">
        <v>80</v>
      </c>
      <c r="AQ1363">
        <v>1</v>
      </c>
      <c r="AR1363">
        <v>8</v>
      </c>
      <c r="AS1363" t="str">
        <f t="shared" si="325"/>
        <v>6-10</v>
      </c>
      <c r="AT1363">
        <v>3</v>
      </c>
      <c r="AU1363" t="str">
        <f t="shared" si="326"/>
        <v>3-4</v>
      </c>
      <c r="AV1363">
        <v>3</v>
      </c>
      <c r="AW1363" t="s">
        <v>79</v>
      </c>
      <c r="AX1363">
        <v>7</v>
      </c>
      <c r="AY1363" t="str">
        <f t="shared" si="315"/>
        <v>6-10</v>
      </c>
      <c r="AZ1363">
        <v>7</v>
      </c>
      <c r="BA1363" t="str">
        <f t="shared" si="327"/>
        <v>6-10</v>
      </c>
      <c r="BB1363">
        <v>7</v>
      </c>
      <c r="BC1363" t="str">
        <f t="shared" si="328"/>
        <v>6-10</v>
      </c>
      <c r="BD1363">
        <v>7</v>
      </c>
      <c r="BE1363" t="str">
        <f t="shared" si="329"/>
        <v>6-10</v>
      </c>
    </row>
    <row r="1364" spans="1:57" x14ac:dyDescent="0.3">
      <c r="A1364">
        <v>1922</v>
      </c>
      <c r="B1364">
        <v>45</v>
      </c>
      <c r="C1364" t="str">
        <f t="shared" si="316"/>
        <v>36-45</v>
      </c>
      <c r="D1364" t="s">
        <v>71</v>
      </c>
      <c r="E1364">
        <f t="shared" si="317"/>
        <v>0</v>
      </c>
      <c r="F1364" t="s">
        <v>72</v>
      </c>
      <c r="G1364">
        <v>1297</v>
      </c>
      <c r="H1364" t="str">
        <f t="shared" si="318"/>
        <v>1001-1499</v>
      </c>
      <c r="I1364" t="s">
        <v>73</v>
      </c>
      <c r="J1364">
        <v>1</v>
      </c>
      <c r="K1364" t="str">
        <f t="shared" si="319"/>
        <v>1-5</v>
      </c>
      <c r="L1364">
        <v>4</v>
      </c>
      <c r="M1364" t="s">
        <v>82</v>
      </c>
      <c r="N1364" t="s">
        <v>83</v>
      </c>
      <c r="O1364">
        <v>1</v>
      </c>
      <c r="P1364">
        <v>2</v>
      </c>
      <c r="Q1364" t="s">
        <v>61</v>
      </c>
      <c r="R1364" t="s">
        <v>75</v>
      </c>
      <c r="S1364">
        <v>44</v>
      </c>
      <c r="T1364" t="str">
        <f t="shared" si="320"/>
        <v>30-50</v>
      </c>
      <c r="U1364">
        <v>3</v>
      </c>
      <c r="V1364" t="s">
        <v>63</v>
      </c>
      <c r="W1364">
        <v>2</v>
      </c>
      <c r="X1364" t="s">
        <v>88</v>
      </c>
      <c r="Y1364">
        <v>3</v>
      </c>
      <c r="Z1364" t="s">
        <v>63</v>
      </c>
      <c r="AA1364" t="s">
        <v>66</v>
      </c>
      <c r="AB1364" s="4">
        <v>5399</v>
      </c>
      <c r="AC1364" s="4" t="str">
        <f t="shared" si="321"/>
        <v>$4,000-$5,500</v>
      </c>
      <c r="AD1364">
        <v>14511</v>
      </c>
      <c r="AE1364" t="str">
        <f t="shared" si="322"/>
        <v>$8,001-$16,000</v>
      </c>
      <c r="AF1364">
        <v>4</v>
      </c>
      <c r="AG1364" t="str">
        <f t="shared" si="323"/>
        <v>4-6</v>
      </c>
      <c r="AH1364" t="s">
        <v>67</v>
      </c>
      <c r="AI1364" t="s">
        <v>71</v>
      </c>
      <c r="AJ1364">
        <v>12</v>
      </c>
      <c r="AK1364" t="str">
        <f t="shared" si="324"/>
        <v>11-12%</v>
      </c>
      <c r="AL1364">
        <v>3</v>
      </c>
      <c r="AM1364" t="s">
        <v>68</v>
      </c>
      <c r="AN1364">
        <v>3</v>
      </c>
      <c r="AO1364" t="s">
        <v>63</v>
      </c>
      <c r="AP1364">
        <v>80</v>
      </c>
      <c r="AQ1364">
        <v>0</v>
      </c>
      <c r="AR1364">
        <v>12</v>
      </c>
      <c r="AS1364" t="str">
        <f t="shared" si="325"/>
        <v>11-20</v>
      </c>
      <c r="AT1364">
        <v>3</v>
      </c>
      <c r="AU1364" t="str">
        <f t="shared" si="326"/>
        <v>3-4</v>
      </c>
      <c r="AV1364">
        <v>3</v>
      </c>
      <c r="AW1364" t="s">
        <v>79</v>
      </c>
      <c r="AX1364">
        <v>4</v>
      </c>
      <c r="AY1364" t="str">
        <f t="shared" si="315"/>
        <v>2-5</v>
      </c>
      <c r="AZ1364">
        <v>2</v>
      </c>
      <c r="BA1364" t="str">
        <f t="shared" si="327"/>
        <v>2-5</v>
      </c>
      <c r="BB1364">
        <v>0</v>
      </c>
      <c r="BC1364" t="str">
        <f t="shared" si="328"/>
        <v>0-1</v>
      </c>
      <c r="BD1364">
        <v>3</v>
      </c>
      <c r="BE1364" t="str">
        <f t="shared" si="329"/>
        <v>2-5</v>
      </c>
    </row>
    <row r="1365" spans="1:57" x14ac:dyDescent="0.3">
      <c r="A1365">
        <v>1924</v>
      </c>
      <c r="B1365">
        <v>33</v>
      </c>
      <c r="C1365" t="str">
        <f t="shared" si="316"/>
        <v>26-35</v>
      </c>
      <c r="D1365" t="s">
        <v>71</v>
      </c>
      <c r="E1365">
        <f t="shared" si="317"/>
        <v>0</v>
      </c>
      <c r="F1365" t="s">
        <v>57</v>
      </c>
      <c r="G1365">
        <v>217</v>
      </c>
      <c r="H1365" t="str">
        <f t="shared" si="318"/>
        <v>102-500</v>
      </c>
      <c r="I1365" t="s">
        <v>58</v>
      </c>
      <c r="J1365">
        <v>10</v>
      </c>
      <c r="K1365" t="str">
        <f t="shared" si="319"/>
        <v>6-10</v>
      </c>
      <c r="L1365">
        <v>4</v>
      </c>
      <c r="M1365" t="s">
        <v>82</v>
      </c>
      <c r="N1365" t="s">
        <v>93</v>
      </c>
      <c r="O1365">
        <v>1</v>
      </c>
      <c r="P1365">
        <v>2</v>
      </c>
      <c r="Q1365" t="s">
        <v>61</v>
      </c>
      <c r="R1365" t="s">
        <v>75</v>
      </c>
      <c r="S1365">
        <v>43</v>
      </c>
      <c r="T1365" t="str">
        <f t="shared" si="320"/>
        <v>30-50</v>
      </c>
      <c r="U1365">
        <v>3</v>
      </c>
      <c r="V1365" t="s">
        <v>63</v>
      </c>
      <c r="W1365">
        <v>2</v>
      </c>
      <c r="X1365" t="s">
        <v>64</v>
      </c>
      <c r="Y1365">
        <v>3</v>
      </c>
      <c r="Z1365" t="s">
        <v>63</v>
      </c>
      <c r="AA1365" t="s">
        <v>66</v>
      </c>
      <c r="AB1365" s="4">
        <v>5487</v>
      </c>
      <c r="AC1365" s="4" t="str">
        <f t="shared" si="321"/>
        <v>$4,000-$5,500</v>
      </c>
      <c r="AD1365">
        <v>10410</v>
      </c>
      <c r="AE1365" t="str">
        <f t="shared" si="322"/>
        <v>$8,001-$16,000</v>
      </c>
      <c r="AF1365">
        <v>1</v>
      </c>
      <c r="AG1365" t="str">
        <f t="shared" si="323"/>
        <v>0-1</v>
      </c>
      <c r="AH1365" t="s">
        <v>67</v>
      </c>
      <c r="AI1365" t="s">
        <v>71</v>
      </c>
      <c r="AJ1365">
        <v>14</v>
      </c>
      <c r="AK1365" t="str">
        <f t="shared" si="324"/>
        <v>13-15%</v>
      </c>
      <c r="AL1365">
        <v>3</v>
      </c>
      <c r="AM1365" t="s">
        <v>68</v>
      </c>
      <c r="AN1365">
        <v>2</v>
      </c>
      <c r="AO1365" t="s">
        <v>61</v>
      </c>
      <c r="AP1365">
        <v>80</v>
      </c>
      <c r="AQ1365">
        <v>0</v>
      </c>
      <c r="AR1365">
        <v>10</v>
      </c>
      <c r="AS1365" t="str">
        <f t="shared" si="325"/>
        <v>6-10</v>
      </c>
      <c r="AT1365">
        <v>2</v>
      </c>
      <c r="AU1365" t="str">
        <f t="shared" si="326"/>
        <v>0-2</v>
      </c>
      <c r="AV1365">
        <v>2</v>
      </c>
      <c r="AW1365" t="s">
        <v>84</v>
      </c>
      <c r="AX1365">
        <v>10</v>
      </c>
      <c r="AY1365" t="str">
        <f t="shared" si="315"/>
        <v>6-10</v>
      </c>
      <c r="AZ1365">
        <v>4</v>
      </c>
      <c r="BA1365" t="str">
        <f t="shared" si="327"/>
        <v>2-5</v>
      </c>
      <c r="BB1365">
        <v>0</v>
      </c>
      <c r="BC1365" t="str">
        <f t="shared" si="328"/>
        <v>0-1</v>
      </c>
      <c r="BD1365">
        <v>9</v>
      </c>
      <c r="BE1365" t="str">
        <f t="shared" si="329"/>
        <v>6-10</v>
      </c>
    </row>
    <row r="1366" spans="1:57" x14ac:dyDescent="0.3">
      <c r="A1366">
        <v>1927</v>
      </c>
      <c r="B1366">
        <v>28</v>
      </c>
      <c r="C1366" t="str">
        <f t="shared" si="316"/>
        <v>26-35</v>
      </c>
      <c r="D1366" t="s">
        <v>71</v>
      </c>
      <c r="E1366">
        <f t="shared" si="317"/>
        <v>0</v>
      </c>
      <c r="F1366" t="s">
        <v>72</v>
      </c>
      <c r="G1366">
        <v>783</v>
      </c>
      <c r="H1366" t="str">
        <f t="shared" si="318"/>
        <v>501-1000</v>
      </c>
      <c r="I1366" t="s">
        <v>58</v>
      </c>
      <c r="J1366">
        <v>1</v>
      </c>
      <c r="K1366" t="str">
        <f t="shared" si="319"/>
        <v>1-5</v>
      </c>
      <c r="L1366">
        <v>2</v>
      </c>
      <c r="M1366" t="s">
        <v>59</v>
      </c>
      <c r="N1366" t="s">
        <v>60</v>
      </c>
      <c r="O1366">
        <v>1</v>
      </c>
      <c r="P1366">
        <v>3</v>
      </c>
      <c r="Q1366" t="s">
        <v>63</v>
      </c>
      <c r="R1366" t="s">
        <v>75</v>
      </c>
      <c r="S1366">
        <v>42</v>
      </c>
      <c r="T1366" t="str">
        <f t="shared" si="320"/>
        <v>30-50</v>
      </c>
      <c r="U1366">
        <v>2</v>
      </c>
      <c r="V1366" t="s">
        <v>61</v>
      </c>
      <c r="W1366">
        <v>2</v>
      </c>
      <c r="X1366" t="s">
        <v>64</v>
      </c>
      <c r="Y1366">
        <v>4</v>
      </c>
      <c r="Z1366" t="s">
        <v>65</v>
      </c>
      <c r="AA1366" t="s">
        <v>77</v>
      </c>
      <c r="AB1366" s="4">
        <v>6834</v>
      </c>
      <c r="AC1366" s="4" t="str">
        <f t="shared" si="321"/>
        <v>$5,500-$7,000</v>
      </c>
      <c r="AD1366">
        <v>19255</v>
      </c>
      <c r="AE1366" t="str">
        <f t="shared" si="322"/>
        <v>$16,001-$22,000</v>
      </c>
      <c r="AF1366">
        <v>1</v>
      </c>
      <c r="AG1366" t="str">
        <f t="shared" si="323"/>
        <v>0-1</v>
      </c>
      <c r="AH1366" t="s">
        <v>67</v>
      </c>
      <c r="AI1366" t="s">
        <v>56</v>
      </c>
      <c r="AJ1366">
        <v>12</v>
      </c>
      <c r="AK1366" t="str">
        <f t="shared" si="324"/>
        <v>11-12%</v>
      </c>
      <c r="AL1366">
        <v>3</v>
      </c>
      <c r="AM1366" t="s">
        <v>68</v>
      </c>
      <c r="AN1366">
        <v>3</v>
      </c>
      <c r="AO1366" t="s">
        <v>63</v>
      </c>
      <c r="AP1366">
        <v>80</v>
      </c>
      <c r="AQ1366">
        <v>1</v>
      </c>
      <c r="AR1366">
        <v>7</v>
      </c>
      <c r="AS1366" t="str">
        <f t="shared" si="325"/>
        <v>6-10</v>
      </c>
      <c r="AT1366">
        <v>2</v>
      </c>
      <c r="AU1366" t="str">
        <f t="shared" si="326"/>
        <v>0-2</v>
      </c>
      <c r="AV1366">
        <v>3</v>
      </c>
      <c r="AW1366" t="s">
        <v>79</v>
      </c>
      <c r="AX1366">
        <v>7</v>
      </c>
      <c r="AY1366" t="str">
        <f t="shared" si="315"/>
        <v>6-10</v>
      </c>
      <c r="AZ1366">
        <v>7</v>
      </c>
      <c r="BA1366" t="str">
        <f t="shared" si="327"/>
        <v>6-10</v>
      </c>
      <c r="BB1366">
        <v>0</v>
      </c>
      <c r="BC1366" t="str">
        <f t="shared" si="328"/>
        <v>0-1</v>
      </c>
      <c r="BD1366">
        <v>7</v>
      </c>
      <c r="BE1366" t="str">
        <f t="shared" si="329"/>
        <v>6-10</v>
      </c>
    </row>
    <row r="1367" spans="1:57" x14ac:dyDescent="0.3">
      <c r="A1367">
        <v>1928</v>
      </c>
      <c r="B1367">
        <v>29</v>
      </c>
      <c r="C1367" t="str">
        <f t="shared" si="316"/>
        <v>26-35</v>
      </c>
      <c r="D1367" t="s">
        <v>56</v>
      </c>
      <c r="E1367">
        <f t="shared" si="317"/>
        <v>1</v>
      </c>
      <c r="F1367" t="s">
        <v>72</v>
      </c>
      <c r="G1367">
        <v>746</v>
      </c>
      <c r="H1367" t="str">
        <f t="shared" si="318"/>
        <v>501-1000</v>
      </c>
      <c r="I1367" t="s">
        <v>58</v>
      </c>
      <c r="J1367">
        <v>24</v>
      </c>
      <c r="K1367" t="str">
        <f t="shared" si="319"/>
        <v>21-29</v>
      </c>
      <c r="L1367">
        <v>3</v>
      </c>
      <c r="M1367" t="s">
        <v>85</v>
      </c>
      <c r="N1367" t="s">
        <v>95</v>
      </c>
      <c r="O1367">
        <v>1</v>
      </c>
      <c r="P1367">
        <v>3</v>
      </c>
      <c r="Q1367" t="s">
        <v>63</v>
      </c>
      <c r="R1367" t="s">
        <v>75</v>
      </c>
      <c r="S1367">
        <v>45</v>
      </c>
      <c r="T1367" t="str">
        <f t="shared" si="320"/>
        <v>30-50</v>
      </c>
      <c r="U1367">
        <v>4</v>
      </c>
      <c r="V1367" t="s">
        <v>65</v>
      </c>
      <c r="W1367">
        <v>1</v>
      </c>
      <c r="X1367" t="s">
        <v>91</v>
      </c>
      <c r="Y1367">
        <v>1</v>
      </c>
      <c r="Z1367" t="s">
        <v>69</v>
      </c>
      <c r="AA1367" t="s">
        <v>66</v>
      </c>
      <c r="AB1367" s="4">
        <v>1091</v>
      </c>
      <c r="AC1367" s="4" t="str">
        <f t="shared" si="321"/>
        <v>$1,000-$2,500</v>
      </c>
      <c r="AD1367">
        <v>10642</v>
      </c>
      <c r="AE1367" t="str">
        <f t="shared" si="322"/>
        <v>$8,001-$16,000</v>
      </c>
      <c r="AF1367">
        <v>1</v>
      </c>
      <c r="AG1367" t="str">
        <f t="shared" si="323"/>
        <v>0-1</v>
      </c>
      <c r="AH1367" t="s">
        <v>67</v>
      </c>
      <c r="AI1367" t="s">
        <v>71</v>
      </c>
      <c r="AJ1367">
        <v>17</v>
      </c>
      <c r="AK1367" t="str">
        <f t="shared" si="324"/>
        <v>16-17%</v>
      </c>
      <c r="AL1367">
        <v>3</v>
      </c>
      <c r="AM1367" t="s">
        <v>68</v>
      </c>
      <c r="AN1367">
        <v>4</v>
      </c>
      <c r="AO1367" t="s">
        <v>65</v>
      </c>
      <c r="AP1367">
        <v>80</v>
      </c>
      <c r="AQ1367">
        <v>0</v>
      </c>
      <c r="AR1367">
        <v>1</v>
      </c>
      <c r="AS1367" t="str">
        <f t="shared" si="325"/>
        <v>0-2</v>
      </c>
      <c r="AT1367">
        <v>3</v>
      </c>
      <c r="AU1367" t="str">
        <f t="shared" si="326"/>
        <v>3-4</v>
      </c>
      <c r="AV1367">
        <v>3</v>
      </c>
      <c r="AW1367" t="s">
        <v>79</v>
      </c>
      <c r="AX1367">
        <v>1</v>
      </c>
      <c r="AY1367" t="str">
        <f t="shared" si="315"/>
        <v>0-1</v>
      </c>
      <c r="AZ1367">
        <v>0</v>
      </c>
      <c r="BA1367" t="str">
        <f t="shared" si="327"/>
        <v>0-1</v>
      </c>
      <c r="BB1367">
        <v>0</v>
      </c>
      <c r="BC1367" t="str">
        <f t="shared" si="328"/>
        <v>0-1</v>
      </c>
      <c r="BD1367">
        <v>0</v>
      </c>
      <c r="BE1367" t="str">
        <f t="shared" si="329"/>
        <v>0-1</v>
      </c>
    </row>
    <row r="1368" spans="1:57" x14ac:dyDescent="0.3">
      <c r="A1368">
        <v>1929</v>
      </c>
      <c r="B1368">
        <v>39</v>
      </c>
      <c r="C1368" t="str">
        <f t="shared" si="316"/>
        <v>36-45</v>
      </c>
      <c r="D1368" t="s">
        <v>71</v>
      </c>
      <c r="E1368">
        <f t="shared" si="317"/>
        <v>0</v>
      </c>
      <c r="F1368" t="s">
        <v>89</v>
      </c>
      <c r="G1368">
        <v>1251</v>
      </c>
      <c r="H1368" t="str">
        <f t="shared" si="318"/>
        <v>1001-1499</v>
      </c>
      <c r="I1368" t="s">
        <v>58</v>
      </c>
      <c r="J1368">
        <v>21</v>
      </c>
      <c r="K1368" t="str">
        <f t="shared" si="319"/>
        <v>21-29</v>
      </c>
      <c r="L1368">
        <v>4</v>
      </c>
      <c r="M1368" t="s">
        <v>82</v>
      </c>
      <c r="N1368" t="s">
        <v>60</v>
      </c>
      <c r="O1368">
        <v>1</v>
      </c>
      <c r="P1368">
        <v>1</v>
      </c>
      <c r="Q1368" t="s">
        <v>69</v>
      </c>
      <c r="R1368" t="s">
        <v>62</v>
      </c>
      <c r="S1368">
        <v>32</v>
      </c>
      <c r="T1368" t="str">
        <f t="shared" si="320"/>
        <v>30-50</v>
      </c>
      <c r="U1368">
        <v>1</v>
      </c>
      <c r="V1368" t="s">
        <v>69</v>
      </c>
      <c r="W1368">
        <v>2</v>
      </c>
      <c r="X1368" t="s">
        <v>64</v>
      </c>
      <c r="Y1368">
        <v>3</v>
      </c>
      <c r="Z1368" t="s">
        <v>63</v>
      </c>
      <c r="AA1368" t="s">
        <v>77</v>
      </c>
      <c r="AB1368" s="4">
        <v>5736</v>
      </c>
      <c r="AC1368" s="4" t="str">
        <f t="shared" si="321"/>
        <v>$5,500-$7,000</v>
      </c>
      <c r="AD1368">
        <v>3987</v>
      </c>
      <c r="AE1368" t="str">
        <f t="shared" si="322"/>
        <v>$2,094-$8,000</v>
      </c>
      <c r="AF1368">
        <v>6</v>
      </c>
      <c r="AG1368" t="str">
        <f t="shared" si="323"/>
        <v>4-6</v>
      </c>
      <c r="AH1368" t="s">
        <v>67</v>
      </c>
      <c r="AI1368" t="s">
        <v>71</v>
      </c>
      <c r="AJ1368">
        <v>19</v>
      </c>
      <c r="AK1368" t="str">
        <f t="shared" si="324"/>
        <v>18-19%</v>
      </c>
      <c r="AL1368">
        <v>3</v>
      </c>
      <c r="AM1368" t="s">
        <v>68</v>
      </c>
      <c r="AN1368">
        <v>3</v>
      </c>
      <c r="AO1368" t="s">
        <v>63</v>
      </c>
      <c r="AP1368">
        <v>80</v>
      </c>
      <c r="AQ1368">
        <v>1</v>
      </c>
      <c r="AR1368">
        <v>10</v>
      </c>
      <c r="AS1368" t="str">
        <f t="shared" si="325"/>
        <v>6-10</v>
      </c>
      <c r="AT1368">
        <v>1</v>
      </c>
      <c r="AU1368" t="str">
        <f t="shared" si="326"/>
        <v>0-2</v>
      </c>
      <c r="AV1368">
        <v>3</v>
      </c>
      <c r="AW1368" t="s">
        <v>79</v>
      </c>
      <c r="AX1368">
        <v>3</v>
      </c>
      <c r="AY1368" t="str">
        <f t="shared" si="315"/>
        <v>2-5</v>
      </c>
      <c r="AZ1368">
        <v>2</v>
      </c>
      <c r="BA1368" t="str">
        <f t="shared" si="327"/>
        <v>2-5</v>
      </c>
      <c r="BB1368">
        <v>1</v>
      </c>
      <c r="BC1368" t="str">
        <f t="shared" si="328"/>
        <v>0-1</v>
      </c>
      <c r="BD1368">
        <v>2</v>
      </c>
      <c r="BE1368" t="str">
        <f t="shared" si="329"/>
        <v>2-5</v>
      </c>
    </row>
    <row r="1369" spans="1:57" x14ac:dyDescent="0.3">
      <c r="A1369">
        <v>1931</v>
      </c>
      <c r="B1369">
        <v>27</v>
      </c>
      <c r="C1369" t="str">
        <f t="shared" si="316"/>
        <v>26-35</v>
      </c>
      <c r="D1369" t="s">
        <v>71</v>
      </c>
      <c r="E1369">
        <f t="shared" si="317"/>
        <v>0</v>
      </c>
      <c r="F1369" t="s">
        <v>57</v>
      </c>
      <c r="G1369">
        <v>1354</v>
      </c>
      <c r="H1369" t="str">
        <f t="shared" si="318"/>
        <v>1001-1499</v>
      </c>
      <c r="I1369" t="s">
        <v>73</v>
      </c>
      <c r="J1369">
        <v>2</v>
      </c>
      <c r="K1369" t="str">
        <f t="shared" si="319"/>
        <v>1-5</v>
      </c>
      <c r="L1369">
        <v>4</v>
      </c>
      <c r="M1369" t="s">
        <v>82</v>
      </c>
      <c r="N1369" t="s">
        <v>95</v>
      </c>
      <c r="O1369">
        <v>1</v>
      </c>
      <c r="P1369">
        <v>2</v>
      </c>
      <c r="Q1369" t="s">
        <v>61</v>
      </c>
      <c r="R1369" t="s">
        <v>75</v>
      </c>
      <c r="S1369">
        <v>41</v>
      </c>
      <c r="T1369" t="str">
        <f t="shared" si="320"/>
        <v>30-50</v>
      </c>
      <c r="U1369">
        <v>3</v>
      </c>
      <c r="V1369" t="s">
        <v>63</v>
      </c>
      <c r="W1369">
        <v>1</v>
      </c>
      <c r="X1369" t="s">
        <v>76</v>
      </c>
      <c r="Y1369">
        <v>2</v>
      </c>
      <c r="Z1369" t="s">
        <v>61</v>
      </c>
      <c r="AA1369" t="s">
        <v>77</v>
      </c>
      <c r="AB1369" s="4">
        <v>2226</v>
      </c>
      <c r="AC1369" s="4" t="str">
        <f t="shared" si="321"/>
        <v>$1,000-$2,500</v>
      </c>
      <c r="AD1369">
        <v>6073</v>
      </c>
      <c r="AE1369" t="str">
        <f t="shared" si="322"/>
        <v>$2,094-$8,000</v>
      </c>
      <c r="AF1369">
        <v>1</v>
      </c>
      <c r="AG1369" t="str">
        <f t="shared" si="323"/>
        <v>0-1</v>
      </c>
      <c r="AH1369" t="s">
        <v>67</v>
      </c>
      <c r="AI1369" t="s">
        <v>71</v>
      </c>
      <c r="AJ1369">
        <v>11</v>
      </c>
      <c r="AK1369" t="str">
        <f t="shared" si="324"/>
        <v>11-12%</v>
      </c>
      <c r="AL1369">
        <v>3</v>
      </c>
      <c r="AM1369" t="s">
        <v>68</v>
      </c>
      <c r="AN1369">
        <v>3</v>
      </c>
      <c r="AO1369" t="s">
        <v>63</v>
      </c>
      <c r="AP1369">
        <v>80</v>
      </c>
      <c r="AQ1369">
        <v>1</v>
      </c>
      <c r="AR1369">
        <v>6</v>
      </c>
      <c r="AS1369" t="str">
        <f t="shared" si="325"/>
        <v>6-10</v>
      </c>
      <c r="AT1369">
        <v>3</v>
      </c>
      <c r="AU1369" t="str">
        <f t="shared" si="326"/>
        <v>3-4</v>
      </c>
      <c r="AV1369">
        <v>2</v>
      </c>
      <c r="AW1369" t="s">
        <v>84</v>
      </c>
      <c r="AX1369">
        <v>5</v>
      </c>
      <c r="AY1369" t="str">
        <f t="shared" si="315"/>
        <v>2-5</v>
      </c>
      <c r="AZ1369">
        <v>3</v>
      </c>
      <c r="BA1369" t="str">
        <f t="shared" si="327"/>
        <v>2-5</v>
      </c>
      <c r="BB1369">
        <v>1</v>
      </c>
      <c r="BC1369" t="str">
        <f t="shared" si="328"/>
        <v>0-1</v>
      </c>
      <c r="BD1369">
        <v>2</v>
      </c>
      <c r="BE1369" t="str">
        <f t="shared" si="329"/>
        <v>2-5</v>
      </c>
    </row>
    <row r="1370" spans="1:57" x14ac:dyDescent="0.3">
      <c r="A1370">
        <v>1932</v>
      </c>
      <c r="B1370">
        <v>34</v>
      </c>
      <c r="C1370" t="str">
        <f t="shared" si="316"/>
        <v>26-35</v>
      </c>
      <c r="D1370" t="s">
        <v>71</v>
      </c>
      <c r="E1370">
        <f t="shared" si="317"/>
        <v>0</v>
      </c>
      <c r="F1370" t="s">
        <v>72</v>
      </c>
      <c r="G1370">
        <v>735</v>
      </c>
      <c r="H1370" t="str">
        <f t="shared" si="318"/>
        <v>501-1000</v>
      </c>
      <c r="I1370" t="s">
        <v>73</v>
      </c>
      <c r="J1370">
        <v>22</v>
      </c>
      <c r="K1370" t="str">
        <f t="shared" si="319"/>
        <v>21-29</v>
      </c>
      <c r="L1370">
        <v>4</v>
      </c>
      <c r="M1370" t="s">
        <v>82</v>
      </c>
      <c r="N1370" t="s">
        <v>80</v>
      </c>
      <c r="O1370">
        <v>1</v>
      </c>
      <c r="P1370">
        <v>3</v>
      </c>
      <c r="Q1370" t="s">
        <v>63</v>
      </c>
      <c r="R1370" t="s">
        <v>75</v>
      </c>
      <c r="S1370">
        <v>86</v>
      </c>
      <c r="T1370" t="str">
        <f t="shared" si="320"/>
        <v>76-100</v>
      </c>
      <c r="U1370">
        <v>2</v>
      </c>
      <c r="V1370" t="s">
        <v>61</v>
      </c>
      <c r="W1370">
        <v>2</v>
      </c>
      <c r="X1370" t="s">
        <v>76</v>
      </c>
      <c r="Y1370">
        <v>4</v>
      </c>
      <c r="Z1370" t="s">
        <v>65</v>
      </c>
      <c r="AA1370" t="s">
        <v>77</v>
      </c>
      <c r="AB1370" s="4">
        <v>5747</v>
      </c>
      <c r="AC1370" s="4" t="str">
        <f t="shared" si="321"/>
        <v>$5,500-$7,000</v>
      </c>
      <c r="AD1370">
        <v>26496</v>
      </c>
      <c r="AE1370" t="str">
        <f t="shared" si="322"/>
        <v>$22,001-$26,999</v>
      </c>
      <c r="AF1370">
        <v>1</v>
      </c>
      <c r="AG1370" t="str">
        <f t="shared" si="323"/>
        <v>0-1</v>
      </c>
      <c r="AH1370" t="s">
        <v>67</v>
      </c>
      <c r="AI1370" t="s">
        <v>56</v>
      </c>
      <c r="AJ1370">
        <v>15</v>
      </c>
      <c r="AK1370" t="str">
        <f t="shared" si="324"/>
        <v>13-15%</v>
      </c>
      <c r="AL1370">
        <v>3</v>
      </c>
      <c r="AM1370" t="s">
        <v>68</v>
      </c>
      <c r="AN1370">
        <v>2</v>
      </c>
      <c r="AO1370" t="s">
        <v>61</v>
      </c>
      <c r="AP1370">
        <v>80</v>
      </c>
      <c r="AQ1370">
        <v>0</v>
      </c>
      <c r="AR1370">
        <v>16</v>
      </c>
      <c r="AS1370" t="str">
        <f t="shared" si="325"/>
        <v>11-20</v>
      </c>
      <c r="AT1370">
        <v>3</v>
      </c>
      <c r="AU1370" t="str">
        <f t="shared" si="326"/>
        <v>3-4</v>
      </c>
      <c r="AV1370">
        <v>3</v>
      </c>
      <c r="AW1370" t="s">
        <v>79</v>
      </c>
      <c r="AX1370">
        <v>15</v>
      </c>
      <c r="AY1370" t="str">
        <f t="shared" si="315"/>
        <v>11-20</v>
      </c>
      <c r="AZ1370">
        <v>10</v>
      </c>
      <c r="BA1370" t="str">
        <f t="shared" si="327"/>
        <v>6-10</v>
      </c>
      <c r="BB1370">
        <v>6</v>
      </c>
      <c r="BC1370" t="str">
        <f t="shared" si="328"/>
        <v>6-10</v>
      </c>
      <c r="BD1370">
        <v>11</v>
      </c>
      <c r="BE1370" t="str">
        <f t="shared" si="329"/>
        <v>11-17</v>
      </c>
    </row>
    <row r="1371" spans="1:57" x14ac:dyDescent="0.3">
      <c r="A1371">
        <v>1933</v>
      </c>
      <c r="B1371">
        <v>28</v>
      </c>
      <c r="C1371" t="str">
        <f t="shared" si="316"/>
        <v>26-35</v>
      </c>
      <c r="D1371" t="s">
        <v>56</v>
      </c>
      <c r="E1371">
        <f t="shared" si="317"/>
        <v>1</v>
      </c>
      <c r="F1371" t="s">
        <v>57</v>
      </c>
      <c r="G1371">
        <v>1475</v>
      </c>
      <c r="H1371" t="str">
        <f t="shared" si="318"/>
        <v>1001-1499</v>
      </c>
      <c r="I1371" t="s">
        <v>58</v>
      </c>
      <c r="J1371">
        <v>13</v>
      </c>
      <c r="K1371" t="str">
        <f t="shared" si="319"/>
        <v>11-20</v>
      </c>
      <c r="L1371">
        <v>2</v>
      </c>
      <c r="M1371" t="s">
        <v>59</v>
      </c>
      <c r="N1371" t="s">
        <v>93</v>
      </c>
      <c r="O1371">
        <v>1</v>
      </c>
      <c r="P1371">
        <v>4</v>
      </c>
      <c r="Q1371" t="s">
        <v>65</v>
      </c>
      <c r="R1371" t="s">
        <v>62</v>
      </c>
      <c r="S1371">
        <v>84</v>
      </c>
      <c r="T1371" t="str">
        <f t="shared" si="320"/>
        <v>76-100</v>
      </c>
      <c r="U1371">
        <v>3</v>
      </c>
      <c r="V1371" t="s">
        <v>63</v>
      </c>
      <c r="W1371">
        <v>2</v>
      </c>
      <c r="X1371" t="s">
        <v>64</v>
      </c>
      <c r="Y1371">
        <v>3</v>
      </c>
      <c r="Z1371" t="s">
        <v>63</v>
      </c>
      <c r="AA1371" t="s">
        <v>66</v>
      </c>
      <c r="AB1371" s="4">
        <v>9854</v>
      </c>
      <c r="AC1371" s="4" t="str">
        <f t="shared" si="321"/>
        <v>$8,500-$10,000</v>
      </c>
      <c r="AD1371">
        <v>23352</v>
      </c>
      <c r="AE1371" t="str">
        <f t="shared" si="322"/>
        <v>$22,001-$26,999</v>
      </c>
      <c r="AF1371">
        <v>3</v>
      </c>
      <c r="AG1371" t="str">
        <f t="shared" si="323"/>
        <v>2-3</v>
      </c>
      <c r="AH1371" t="s">
        <v>67</v>
      </c>
      <c r="AI1371" t="s">
        <v>56</v>
      </c>
      <c r="AJ1371">
        <v>11</v>
      </c>
      <c r="AK1371" t="str">
        <f t="shared" si="324"/>
        <v>11-12%</v>
      </c>
      <c r="AL1371">
        <v>3</v>
      </c>
      <c r="AM1371" t="s">
        <v>68</v>
      </c>
      <c r="AN1371">
        <v>4</v>
      </c>
      <c r="AO1371" t="s">
        <v>65</v>
      </c>
      <c r="AP1371">
        <v>80</v>
      </c>
      <c r="AQ1371">
        <v>0</v>
      </c>
      <c r="AR1371">
        <v>6</v>
      </c>
      <c r="AS1371" t="str">
        <f t="shared" si="325"/>
        <v>6-10</v>
      </c>
      <c r="AT1371">
        <v>0</v>
      </c>
      <c r="AU1371" t="str">
        <f t="shared" si="326"/>
        <v>0-2</v>
      </c>
      <c r="AV1371">
        <v>3</v>
      </c>
      <c r="AW1371" t="s">
        <v>79</v>
      </c>
      <c r="AX1371">
        <v>2</v>
      </c>
      <c r="AY1371" t="str">
        <f t="shared" si="315"/>
        <v>2-5</v>
      </c>
      <c r="AZ1371">
        <v>0</v>
      </c>
      <c r="BA1371" t="str">
        <f t="shared" si="327"/>
        <v>0-1</v>
      </c>
      <c r="BB1371">
        <v>2</v>
      </c>
      <c r="BC1371" t="str">
        <f t="shared" si="328"/>
        <v>2-5</v>
      </c>
      <c r="BD1371">
        <v>2</v>
      </c>
      <c r="BE1371" t="str">
        <f t="shared" si="329"/>
        <v>2-5</v>
      </c>
    </row>
    <row r="1372" spans="1:57" x14ac:dyDescent="0.3">
      <c r="A1372">
        <v>1934</v>
      </c>
      <c r="B1372">
        <v>47</v>
      </c>
      <c r="C1372" t="str">
        <f t="shared" si="316"/>
        <v>46-55</v>
      </c>
      <c r="D1372" t="s">
        <v>71</v>
      </c>
      <c r="E1372">
        <f t="shared" si="317"/>
        <v>0</v>
      </c>
      <c r="F1372" t="s">
        <v>89</v>
      </c>
      <c r="G1372">
        <v>1169</v>
      </c>
      <c r="H1372" t="str">
        <f t="shared" si="318"/>
        <v>1001-1499</v>
      </c>
      <c r="I1372" t="s">
        <v>73</v>
      </c>
      <c r="J1372">
        <v>14</v>
      </c>
      <c r="K1372" t="str">
        <f t="shared" si="319"/>
        <v>11-20</v>
      </c>
      <c r="L1372">
        <v>4</v>
      </c>
      <c r="M1372" t="s">
        <v>82</v>
      </c>
      <c r="N1372" t="s">
        <v>95</v>
      </c>
      <c r="O1372">
        <v>1</v>
      </c>
      <c r="P1372">
        <v>3</v>
      </c>
      <c r="Q1372" t="s">
        <v>63</v>
      </c>
      <c r="R1372" t="s">
        <v>75</v>
      </c>
      <c r="S1372">
        <v>64</v>
      </c>
      <c r="T1372" t="str">
        <f t="shared" si="320"/>
        <v>51-75</v>
      </c>
      <c r="U1372">
        <v>3</v>
      </c>
      <c r="V1372" t="s">
        <v>63</v>
      </c>
      <c r="W1372">
        <v>2</v>
      </c>
      <c r="X1372" t="s">
        <v>76</v>
      </c>
      <c r="Y1372">
        <v>2</v>
      </c>
      <c r="Z1372" t="s">
        <v>61</v>
      </c>
      <c r="AA1372" t="s">
        <v>77</v>
      </c>
      <c r="AB1372" s="4">
        <v>5467</v>
      </c>
      <c r="AC1372" s="4" t="str">
        <f t="shared" si="321"/>
        <v>$4,000-$5,500</v>
      </c>
      <c r="AD1372">
        <v>2125</v>
      </c>
      <c r="AE1372" t="str">
        <f t="shared" si="322"/>
        <v>$2,094-$8,000</v>
      </c>
      <c r="AF1372">
        <v>8</v>
      </c>
      <c r="AG1372" t="str">
        <f t="shared" si="323"/>
        <v>7-9</v>
      </c>
      <c r="AH1372" t="s">
        <v>67</v>
      </c>
      <c r="AI1372" t="s">
        <v>71</v>
      </c>
      <c r="AJ1372">
        <v>18</v>
      </c>
      <c r="AK1372" t="str">
        <f t="shared" si="324"/>
        <v>18-19%</v>
      </c>
      <c r="AL1372">
        <v>3</v>
      </c>
      <c r="AM1372" t="s">
        <v>68</v>
      </c>
      <c r="AN1372">
        <v>3</v>
      </c>
      <c r="AO1372" t="s">
        <v>63</v>
      </c>
      <c r="AP1372">
        <v>80</v>
      </c>
      <c r="AQ1372">
        <v>1</v>
      </c>
      <c r="AR1372">
        <v>16</v>
      </c>
      <c r="AS1372" t="str">
        <f t="shared" si="325"/>
        <v>11-20</v>
      </c>
      <c r="AT1372">
        <v>4</v>
      </c>
      <c r="AU1372" t="str">
        <f t="shared" si="326"/>
        <v>3-4</v>
      </c>
      <c r="AV1372">
        <v>4</v>
      </c>
      <c r="AW1372" t="s">
        <v>94</v>
      </c>
      <c r="AX1372">
        <v>8</v>
      </c>
      <c r="AY1372" t="str">
        <f t="shared" si="315"/>
        <v>6-10</v>
      </c>
      <c r="AZ1372">
        <v>7</v>
      </c>
      <c r="BA1372" t="str">
        <f t="shared" si="327"/>
        <v>6-10</v>
      </c>
      <c r="BB1372">
        <v>1</v>
      </c>
      <c r="BC1372" t="str">
        <f t="shared" si="328"/>
        <v>0-1</v>
      </c>
      <c r="BD1372">
        <v>7</v>
      </c>
      <c r="BE1372" t="str">
        <f t="shared" si="329"/>
        <v>6-10</v>
      </c>
    </row>
    <row r="1373" spans="1:57" x14ac:dyDescent="0.3">
      <c r="A1373">
        <v>1935</v>
      </c>
      <c r="B1373">
        <v>56</v>
      </c>
      <c r="C1373" t="str">
        <f t="shared" si="316"/>
        <v>56+</v>
      </c>
      <c r="D1373" t="s">
        <v>71</v>
      </c>
      <c r="E1373">
        <f t="shared" si="317"/>
        <v>0</v>
      </c>
      <c r="F1373" t="s">
        <v>57</v>
      </c>
      <c r="G1373">
        <v>1443</v>
      </c>
      <c r="H1373" t="str">
        <f t="shared" si="318"/>
        <v>1001-1499</v>
      </c>
      <c r="I1373" t="s">
        <v>58</v>
      </c>
      <c r="J1373">
        <v>11</v>
      </c>
      <c r="K1373" t="str">
        <f t="shared" si="319"/>
        <v>11-20</v>
      </c>
      <c r="L1373">
        <v>5</v>
      </c>
      <c r="M1373" t="s">
        <v>96</v>
      </c>
      <c r="N1373" t="s">
        <v>93</v>
      </c>
      <c r="O1373">
        <v>1</v>
      </c>
      <c r="P1373">
        <v>4</v>
      </c>
      <c r="Q1373" t="s">
        <v>65</v>
      </c>
      <c r="R1373" t="s">
        <v>62</v>
      </c>
      <c r="S1373">
        <v>89</v>
      </c>
      <c r="T1373" t="str">
        <f t="shared" si="320"/>
        <v>76-100</v>
      </c>
      <c r="U1373">
        <v>2</v>
      </c>
      <c r="V1373" t="s">
        <v>61</v>
      </c>
      <c r="W1373">
        <v>2</v>
      </c>
      <c r="X1373" t="s">
        <v>64</v>
      </c>
      <c r="Y1373">
        <v>1</v>
      </c>
      <c r="Z1373" t="s">
        <v>69</v>
      </c>
      <c r="AA1373" t="s">
        <v>77</v>
      </c>
      <c r="AB1373" s="4">
        <v>5380</v>
      </c>
      <c r="AC1373" s="4" t="str">
        <f t="shared" si="321"/>
        <v>$4,000-$5,500</v>
      </c>
      <c r="AD1373">
        <v>20328</v>
      </c>
      <c r="AE1373" t="str">
        <f t="shared" si="322"/>
        <v>$16,001-$22,000</v>
      </c>
      <c r="AF1373">
        <v>4</v>
      </c>
      <c r="AG1373" t="str">
        <f t="shared" si="323"/>
        <v>4-6</v>
      </c>
      <c r="AH1373" t="s">
        <v>67</v>
      </c>
      <c r="AI1373" t="s">
        <v>71</v>
      </c>
      <c r="AJ1373">
        <v>16</v>
      </c>
      <c r="AK1373" t="str">
        <f t="shared" si="324"/>
        <v>16-17%</v>
      </c>
      <c r="AL1373">
        <v>3</v>
      </c>
      <c r="AM1373" t="s">
        <v>68</v>
      </c>
      <c r="AN1373">
        <v>3</v>
      </c>
      <c r="AO1373" t="s">
        <v>63</v>
      </c>
      <c r="AP1373">
        <v>80</v>
      </c>
      <c r="AQ1373">
        <v>1</v>
      </c>
      <c r="AR1373">
        <v>6</v>
      </c>
      <c r="AS1373" t="str">
        <f t="shared" si="325"/>
        <v>6-10</v>
      </c>
      <c r="AT1373">
        <v>3</v>
      </c>
      <c r="AU1373" t="str">
        <f t="shared" si="326"/>
        <v>3-4</v>
      </c>
      <c r="AV1373">
        <v>3</v>
      </c>
      <c r="AW1373" t="s">
        <v>79</v>
      </c>
      <c r="AX1373">
        <v>0</v>
      </c>
      <c r="AY1373" t="str">
        <f t="shared" si="315"/>
        <v>0-1</v>
      </c>
      <c r="AZ1373">
        <v>0</v>
      </c>
      <c r="BA1373" t="str">
        <f t="shared" si="327"/>
        <v>0-1</v>
      </c>
      <c r="BB1373">
        <v>0</v>
      </c>
      <c r="BC1373" t="str">
        <f t="shared" si="328"/>
        <v>0-1</v>
      </c>
      <c r="BD1373">
        <v>0</v>
      </c>
      <c r="BE1373" t="str">
        <f t="shared" si="329"/>
        <v>0-1</v>
      </c>
    </row>
    <row r="1374" spans="1:57" x14ac:dyDescent="0.3">
      <c r="A1374">
        <v>1936</v>
      </c>
      <c r="B1374">
        <v>39</v>
      </c>
      <c r="C1374" t="str">
        <f t="shared" si="316"/>
        <v>36-45</v>
      </c>
      <c r="D1374" t="s">
        <v>71</v>
      </c>
      <c r="E1374">
        <f t="shared" si="317"/>
        <v>0</v>
      </c>
      <c r="F1374" t="s">
        <v>57</v>
      </c>
      <c r="G1374">
        <v>867</v>
      </c>
      <c r="H1374" t="str">
        <f t="shared" si="318"/>
        <v>501-1000</v>
      </c>
      <c r="I1374" t="s">
        <v>73</v>
      </c>
      <c r="J1374">
        <v>9</v>
      </c>
      <c r="K1374" t="str">
        <f t="shared" si="319"/>
        <v>6-10</v>
      </c>
      <c r="L1374">
        <v>2</v>
      </c>
      <c r="M1374" t="s">
        <v>59</v>
      </c>
      <c r="N1374" t="s">
        <v>83</v>
      </c>
      <c r="O1374">
        <v>1</v>
      </c>
      <c r="P1374">
        <v>1</v>
      </c>
      <c r="Q1374" t="s">
        <v>69</v>
      </c>
      <c r="R1374" t="s">
        <v>75</v>
      </c>
      <c r="S1374">
        <v>87</v>
      </c>
      <c r="T1374" t="str">
        <f t="shared" si="320"/>
        <v>76-100</v>
      </c>
      <c r="U1374">
        <v>3</v>
      </c>
      <c r="V1374" t="s">
        <v>63</v>
      </c>
      <c r="W1374">
        <v>2</v>
      </c>
      <c r="X1374" t="s">
        <v>87</v>
      </c>
      <c r="Y1374">
        <v>1</v>
      </c>
      <c r="Z1374" t="s">
        <v>69</v>
      </c>
      <c r="AA1374" t="s">
        <v>77</v>
      </c>
      <c r="AB1374" s="4">
        <v>5151</v>
      </c>
      <c r="AC1374" s="4" t="str">
        <f t="shared" si="321"/>
        <v>$4,000-$5,500</v>
      </c>
      <c r="AD1374">
        <v>12315</v>
      </c>
      <c r="AE1374" t="str">
        <f t="shared" si="322"/>
        <v>$8,001-$16,000</v>
      </c>
      <c r="AF1374">
        <v>1</v>
      </c>
      <c r="AG1374" t="str">
        <f t="shared" si="323"/>
        <v>0-1</v>
      </c>
      <c r="AH1374" t="s">
        <v>67</v>
      </c>
      <c r="AI1374" t="s">
        <v>71</v>
      </c>
      <c r="AJ1374">
        <v>25</v>
      </c>
      <c r="AK1374" t="str">
        <f t="shared" si="324"/>
        <v>18-19%</v>
      </c>
      <c r="AL1374">
        <v>4</v>
      </c>
      <c r="AM1374" t="s">
        <v>78</v>
      </c>
      <c r="AN1374">
        <v>4</v>
      </c>
      <c r="AO1374" t="s">
        <v>65</v>
      </c>
      <c r="AP1374">
        <v>80</v>
      </c>
      <c r="AQ1374">
        <v>1</v>
      </c>
      <c r="AR1374">
        <v>10</v>
      </c>
      <c r="AS1374" t="str">
        <f t="shared" si="325"/>
        <v>6-10</v>
      </c>
      <c r="AT1374">
        <v>3</v>
      </c>
      <c r="AU1374" t="str">
        <f t="shared" si="326"/>
        <v>3-4</v>
      </c>
      <c r="AV1374">
        <v>3</v>
      </c>
      <c r="AW1374" t="s">
        <v>79</v>
      </c>
      <c r="AX1374">
        <v>10</v>
      </c>
      <c r="AY1374" t="str">
        <f t="shared" si="315"/>
        <v>6-10</v>
      </c>
      <c r="AZ1374">
        <v>0</v>
      </c>
      <c r="BA1374" t="str">
        <f t="shared" si="327"/>
        <v>0-1</v>
      </c>
      <c r="BB1374">
        <v>7</v>
      </c>
      <c r="BC1374" t="str">
        <f t="shared" si="328"/>
        <v>6-10</v>
      </c>
      <c r="BD1374">
        <v>9</v>
      </c>
      <c r="BE1374" t="str">
        <f t="shared" si="329"/>
        <v>6-10</v>
      </c>
    </row>
    <row r="1375" spans="1:57" x14ac:dyDescent="0.3">
      <c r="A1375">
        <v>1937</v>
      </c>
      <c r="B1375">
        <v>38</v>
      </c>
      <c r="C1375" t="str">
        <f t="shared" si="316"/>
        <v>36-45</v>
      </c>
      <c r="D1375" t="s">
        <v>71</v>
      </c>
      <c r="E1375">
        <f t="shared" si="317"/>
        <v>0</v>
      </c>
      <c r="F1375" t="s">
        <v>72</v>
      </c>
      <c r="G1375">
        <v>1394</v>
      </c>
      <c r="H1375" t="str">
        <f t="shared" si="318"/>
        <v>1001-1499</v>
      </c>
      <c r="I1375" t="s">
        <v>73</v>
      </c>
      <c r="J1375">
        <v>8</v>
      </c>
      <c r="K1375" t="str">
        <f t="shared" si="319"/>
        <v>6-10</v>
      </c>
      <c r="L1375">
        <v>3</v>
      </c>
      <c r="M1375" t="s">
        <v>85</v>
      </c>
      <c r="N1375" t="s">
        <v>83</v>
      </c>
      <c r="O1375">
        <v>1</v>
      </c>
      <c r="P1375">
        <v>4</v>
      </c>
      <c r="Q1375" t="s">
        <v>65</v>
      </c>
      <c r="R1375" t="s">
        <v>62</v>
      </c>
      <c r="S1375">
        <v>58</v>
      </c>
      <c r="T1375" t="str">
        <f t="shared" si="320"/>
        <v>51-75</v>
      </c>
      <c r="U1375">
        <v>2</v>
      </c>
      <c r="V1375" t="s">
        <v>61</v>
      </c>
      <c r="W1375">
        <v>2</v>
      </c>
      <c r="X1375" t="s">
        <v>76</v>
      </c>
      <c r="Y1375">
        <v>2</v>
      </c>
      <c r="Z1375" t="s">
        <v>61</v>
      </c>
      <c r="AA1375" t="s">
        <v>86</v>
      </c>
      <c r="AB1375" s="4">
        <v>2133</v>
      </c>
      <c r="AC1375" s="4" t="str">
        <f t="shared" si="321"/>
        <v>$1,000-$2,500</v>
      </c>
      <c r="AD1375">
        <v>18115</v>
      </c>
      <c r="AE1375" t="str">
        <f t="shared" si="322"/>
        <v>$16,001-$22,000</v>
      </c>
      <c r="AF1375">
        <v>1</v>
      </c>
      <c r="AG1375" t="str">
        <f t="shared" si="323"/>
        <v>0-1</v>
      </c>
      <c r="AH1375" t="s">
        <v>67</v>
      </c>
      <c r="AI1375" t="s">
        <v>56</v>
      </c>
      <c r="AJ1375">
        <v>16</v>
      </c>
      <c r="AK1375" t="str">
        <f t="shared" si="324"/>
        <v>16-17%</v>
      </c>
      <c r="AL1375">
        <v>3</v>
      </c>
      <c r="AM1375" t="s">
        <v>68</v>
      </c>
      <c r="AN1375">
        <v>3</v>
      </c>
      <c r="AO1375" t="s">
        <v>63</v>
      </c>
      <c r="AP1375">
        <v>80</v>
      </c>
      <c r="AQ1375">
        <v>1</v>
      </c>
      <c r="AR1375">
        <v>20</v>
      </c>
      <c r="AS1375" t="str">
        <f t="shared" si="325"/>
        <v>11-20</v>
      </c>
      <c r="AT1375">
        <v>3</v>
      </c>
      <c r="AU1375" t="str">
        <f t="shared" si="326"/>
        <v>3-4</v>
      </c>
      <c r="AV1375">
        <v>3</v>
      </c>
      <c r="AW1375" t="s">
        <v>79</v>
      </c>
      <c r="AX1375">
        <v>20</v>
      </c>
      <c r="AY1375" t="str">
        <f t="shared" si="315"/>
        <v>11-20</v>
      </c>
      <c r="AZ1375">
        <v>11</v>
      </c>
      <c r="BA1375" t="str">
        <f t="shared" si="327"/>
        <v>11-18</v>
      </c>
      <c r="BB1375">
        <v>0</v>
      </c>
      <c r="BC1375" t="str">
        <f t="shared" si="328"/>
        <v>0-1</v>
      </c>
      <c r="BD1375">
        <v>7</v>
      </c>
      <c r="BE1375" t="str">
        <f t="shared" si="329"/>
        <v>6-10</v>
      </c>
    </row>
    <row r="1376" spans="1:57" x14ac:dyDescent="0.3">
      <c r="A1376">
        <v>1938</v>
      </c>
      <c r="B1376">
        <v>58</v>
      </c>
      <c r="C1376" t="str">
        <f t="shared" si="316"/>
        <v>56+</v>
      </c>
      <c r="D1376" t="s">
        <v>71</v>
      </c>
      <c r="E1376">
        <f t="shared" si="317"/>
        <v>0</v>
      </c>
      <c r="F1376" t="s">
        <v>57</v>
      </c>
      <c r="G1376">
        <v>605</v>
      </c>
      <c r="H1376" t="str">
        <f t="shared" si="318"/>
        <v>501-1000</v>
      </c>
      <c r="I1376" t="s">
        <v>58</v>
      </c>
      <c r="J1376">
        <v>21</v>
      </c>
      <c r="K1376" t="str">
        <f t="shared" si="319"/>
        <v>21-29</v>
      </c>
      <c r="L1376">
        <v>3</v>
      </c>
      <c r="M1376" t="s">
        <v>85</v>
      </c>
      <c r="N1376" t="s">
        <v>60</v>
      </c>
      <c r="O1376">
        <v>1</v>
      </c>
      <c r="P1376">
        <v>4</v>
      </c>
      <c r="Q1376" t="s">
        <v>65</v>
      </c>
      <c r="R1376" t="s">
        <v>62</v>
      </c>
      <c r="S1376">
        <v>72</v>
      </c>
      <c r="T1376" t="str">
        <f t="shared" si="320"/>
        <v>51-75</v>
      </c>
      <c r="U1376">
        <v>3</v>
      </c>
      <c r="V1376" t="s">
        <v>63</v>
      </c>
      <c r="W1376">
        <v>4</v>
      </c>
      <c r="X1376" t="s">
        <v>90</v>
      </c>
      <c r="Y1376">
        <v>4</v>
      </c>
      <c r="Z1376" t="s">
        <v>65</v>
      </c>
      <c r="AA1376" t="s">
        <v>77</v>
      </c>
      <c r="AB1376" s="4">
        <v>17875</v>
      </c>
      <c r="AC1376" s="4" t="str">
        <f t="shared" si="321"/>
        <v>$17,500-$19,000</v>
      </c>
      <c r="AD1376">
        <v>11761</v>
      </c>
      <c r="AE1376" t="str">
        <f t="shared" si="322"/>
        <v>$8,001-$16,000</v>
      </c>
      <c r="AF1376">
        <v>4</v>
      </c>
      <c r="AG1376" t="str">
        <f t="shared" si="323"/>
        <v>4-6</v>
      </c>
      <c r="AH1376" t="s">
        <v>67</v>
      </c>
      <c r="AI1376" t="s">
        <v>56</v>
      </c>
      <c r="AJ1376">
        <v>13</v>
      </c>
      <c r="AK1376" t="str">
        <f t="shared" si="324"/>
        <v>13-15%</v>
      </c>
      <c r="AL1376">
        <v>3</v>
      </c>
      <c r="AM1376" t="s">
        <v>68</v>
      </c>
      <c r="AN1376">
        <v>3</v>
      </c>
      <c r="AO1376" t="s">
        <v>63</v>
      </c>
      <c r="AP1376">
        <v>80</v>
      </c>
      <c r="AQ1376">
        <v>1</v>
      </c>
      <c r="AR1376">
        <v>29</v>
      </c>
      <c r="AS1376" t="str">
        <f t="shared" si="325"/>
        <v>21-40</v>
      </c>
      <c r="AT1376">
        <v>2</v>
      </c>
      <c r="AU1376" t="str">
        <f t="shared" si="326"/>
        <v>0-2</v>
      </c>
      <c r="AV1376">
        <v>2</v>
      </c>
      <c r="AW1376" t="s">
        <v>84</v>
      </c>
      <c r="AX1376">
        <v>1</v>
      </c>
      <c r="AY1376" t="str">
        <f t="shared" si="315"/>
        <v>0-1</v>
      </c>
      <c r="AZ1376">
        <v>0</v>
      </c>
      <c r="BA1376" t="str">
        <f t="shared" si="327"/>
        <v>0-1</v>
      </c>
      <c r="BB1376">
        <v>0</v>
      </c>
      <c r="BC1376" t="str">
        <f t="shared" si="328"/>
        <v>0-1</v>
      </c>
      <c r="BD1376">
        <v>0</v>
      </c>
      <c r="BE1376" t="str">
        <f t="shared" si="329"/>
        <v>0-1</v>
      </c>
    </row>
    <row r="1377" spans="1:57" x14ac:dyDescent="0.3">
      <c r="A1377">
        <v>1939</v>
      </c>
      <c r="B1377">
        <v>32</v>
      </c>
      <c r="C1377" t="str">
        <f t="shared" si="316"/>
        <v>26-35</v>
      </c>
      <c r="D1377" t="s">
        <v>56</v>
      </c>
      <c r="E1377">
        <f t="shared" si="317"/>
        <v>1</v>
      </c>
      <c r="F1377" t="s">
        <v>72</v>
      </c>
      <c r="G1377">
        <v>238</v>
      </c>
      <c r="H1377" t="str">
        <f t="shared" si="318"/>
        <v>102-500</v>
      </c>
      <c r="I1377" t="s">
        <v>73</v>
      </c>
      <c r="J1377">
        <v>5</v>
      </c>
      <c r="K1377" t="str">
        <f t="shared" si="319"/>
        <v>1-5</v>
      </c>
      <c r="L1377">
        <v>2</v>
      </c>
      <c r="M1377" t="s">
        <v>59</v>
      </c>
      <c r="N1377" t="s">
        <v>60</v>
      </c>
      <c r="O1377">
        <v>1</v>
      </c>
      <c r="P1377">
        <v>1</v>
      </c>
      <c r="Q1377" t="s">
        <v>69</v>
      </c>
      <c r="R1377" t="s">
        <v>62</v>
      </c>
      <c r="S1377">
        <v>47</v>
      </c>
      <c r="T1377" t="str">
        <f t="shared" si="320"/>
        <v>30-50</v>
      </c>
      <c r="U1377">
        <v>4</v>
      </c>
      <c r="V1377" t="s">
        <v>65</v>
      </c>
      <c r="W1377">
        <v>1</v>
      </c>
      <c r="X1377" t="s">
        <v>76</v>
      </c>
      <c r="Y1377">
        <v>3</v>
      </c>
      <c r="Z1377" t="s">
        <v>63</v>
      </c>
      <c r="AA1377" t="s">
        <v>66</v>
      </c>
      <c r="AB1377" s="4">
        <v>2432</v>
      </c>
      <c r="AC1377" s="4" t="str">
        <f t="shared" si="321"/>
        <v>$1,000-$2,500</v>
      </c>
      <c r="AD1377">
        <v>15318</v>
      </c>
      <c r="AE1377" t="str">
        <f t="shared" si="322"/>
        <v>$8,001-$16,000</v>
      </c>
      <c r="AF1377">
        <v>3</v>
      </c>
      <c r="AG1377" t="str">
        <f t="shared" si="323"/>
        <v>2-3</v>
      </c>
      <c r="AH1377" t="s">
        <v>67</v>
      </c>
      <c r="AI1377" t="s">
        <v>56</v>
      </c>
      <c r="AJ1377">
        <v>14</v>
      </c>
      <c r="AK1377" t="str">
        <f t="shared" si="324"/>
        <v>13-15%</v>
      </c>
      <c r="AL1377">
        <v>3</v>
      </c>
      <c r="AM1377" t="s">
        <v>68</v>
      </c>
      <c r="AN1377">
        <v>1</v>
      </c>
      <c r="AO1377" t="s">
        <v>69</v>
      </c>
      <c r="AP1377">
        <v>80</v>
      </c>
      <c r="AQ1377">
        <v>0</v>
      </c>
      <c r="AR1377">
        <v>8</v>
      </c>
      <c r="AS1377" t="str">
        <f t="shared" si="325"/>
        <v>6-10</v>
      </c>
      <c r="AT1377">
        <v>2</v>
      </c>
      <c r="AU1377" t="str">
        <f t="shared" si="326"/>
        <v>0-2</v>
      </c>
      <c r="AV1377">
        <v>3</v>
      </c>
      <c r="AW1377" t="s">
        <v>79</v>
      </c>
      <c r="AX1377">
        <v>4</v>
      </c>
      <c r="AY1377" t="str">
        <f t="shared" si="315"/>
        <v>2-5</v>
      </c>
      <c r="AZ1377">
        <v>1</v>
      </c>
      <c r="BA1377" t="str">
        <f t="shared" si="327"/>
        <v>0-1</v>
      </c>
      <c r="BB1377">
        <v>0</v>
      </c>
      <c r="BC1377" t="str">
        <f t="shared" si="328"/>
        <v>0-1</v>
      </c>
      <c r="BD1377">
        <v>3</v>
      </c>
      <c r="BE1377" t="str">
        <f t="shared" si="329"/>
        <v>2-5</v>
      </c>
    </row>
    <row r="1378" spans="1:57" x14ac:dyDescent="0.3">
      <c r="A1378">
        <v>1940</v>
      </c>
      <c r="B1378">
        <v>38</v>
      </c>
      <c r="C1378" t="str">
        <f t="shared" si="316"/>
        <v>36-45</v>
      </c>
      <c r="D1378" t="s">
        <v>71</v>
      </c>
      <c r="E1378">
        <f t="shared" si="317"/>
        <v>0</v>
      </c>
      <c r="F1378" t="s">
        <v>57</v>
      </c>
      <c r="G1378">
        <v>1206</v>
      </c>
      <c r="H1378" t="str">
        <f t="shared" si="318"/>
        <v>1001-1499</v>
      </c>
      <c r="I1378" t="s">
        <v>73</v>
      </c>
      <c r="J1378">
        <v>9</v>
      </c>
      <c r="K1378" t="str">
        <f t="shared" si="319"/>
        <v>6-10</v>
      </c>
      <c r="L1378">
        <v>2</v>
      </c>
      <c r="M1378" t="s">
        <v>59</v>
      </c>
      <c r="N1378" t="s">
        <v>60</v>
      </c>
      <c r="O1378">
        <v>1</v>
      </c>
      <c r="P1378">
        <v>2</v>
      </c>
      <c r="Q1378" t="s">
        <v>61</v>
      </c>
      <c r="R1378" t="s">
        <v>75</v>
      </c>
      <c r="S1378">
        <v>71</v>
      </c>
      <c r="T1378" t="str">
        <f t="shared" si="320"/>
        <v>51-75</v>
      </c>
      <c r="U1378">
        <v>3</v>
      </c>
      <c r="V1378" t="s">
        <v>63</v>
      </c>
      <c r="W1378">
        <v>1</v>
      </c>
      <c r="X1378" t="s">
        <v>76</v>
      </c>
      <c r="Y1378">
        <v>4</v>
      </c>
      <c r="Z1378" t="s">
        <v>65</v>
      </c>
      <c r="AA1378" t="s">
        <v>86</v>
      </c>
      <c r="AB1378" s="4">
        <v>4771</v>
      </c>
      <c r="AC1378" s="4" t="str">
        <f t="shared" si="321"/>
        <v>$4,000-$5,500</v>
      </c>
      <c r="AD1378">
        <v>14293</v>
      </c>
      <c r="AE1378" t="str">
        <f t="shared" si="322"/>
        <v>$8,001-$16,000</v>
      </c>
      <c r="AF1378">
        <v>2</v>
      </c>
      <c r="AG1378" t="str">
        <f t="shared" si="323"/>
        <v>2-3</v>
      </c>
      <c r="AH1378" t="s">
        <v>67</v>
      </c>
      <c r="AI1378" t="s">
        <v>71</v>
      </c>
      <c r="AJ1378">
        <v>19</v>
      </c>
      <c r="AK1378" t="str">
        <f t="shared" si="324"/>
        <v>18-19%</v>
      </c>
      <c r="AL1378">
        <v>3</v>
      </c>
      <c r="AM1378" t="s">
        <v>68</v>
      </c>
      <c r="AN1378">
        <v>4</v>
      </c>
      <c r="AO1378" t="s">
        <v>65</v>
      </c>
      <c r="AP1378">
        <v>80</v>
      </c>
      <c r="AQ1378">
        <v>2</v>
      </c>
      <c r="AR1378">
        <v>10</v>
      </c>
      <c r="AS1378" t="str">
        <f t="shared" si="325"/>
        <v>6-10</v>
      </c>
      <c r="AT1378">
        <v>0</v>
      </c>
      <c r="AU1378" t="str">
        <f t="shared" si="326"/>
        <v>0-2</v>
      </c>
      <c r="AV1378">
        <v>4</v>
      </c>
      <c r="AW1378" t="s">
        <v>94</v>
      </c>
      <c r="AX1378">
        <v>5</v>
      </c>
      <c r="AY1378" t="str">
        <f t="shared" si="315"/>
        <v>2-5</v>
      </c>
      <c r="AZ1378">
        <v>2</v>
      </c>
      <c r="BA1378" t="str">
        <f t="shared" si="327"/>
        <v>2-5</v>
      </c>
      <c r="BB1378">
        <v>0</v>
      </c>
      <c r="BC1378" t="str">
        <f t="shared" si="328"/>
        <v>0-1</v>
      </c>
      <c r="BD1378">
        <v>3</v>
      </c>
      <c r="BE1378" t="str">
        <f t="shared" si="329"/>
        <v>2-5</v>
      </c>
    </row>
    <row r="1379" spans="1:57" x14ac:dyDescent="0.3">
      <c r="A1379">
        <v>1941</v>
      </c>
      <c r="B1379">
        <v>49</v>
      </c>
      <c r="C1379" t="str">
        <f t="shared" si="316"/>
        <v>46-55</v>
      </c>
      <c r="D1379" t="s">
        <v>71</v>
      </c>
      <c r="E1379">
        <f t="shared" si="317"/>
        <v>0</v>
      </c>
      <c r="F1379" t="s">
        <v>72</v>
      </c>
      <c r="G1379">
        <v>1064</v>
      </c>
      <c r="H1379" t="str">
        <f t="shared" si="318"/>
        <v>1001-1499</v>
      </c>
      <c r="I1379" t="s">
        <v>73</v>
      </c>
      <c r="J1379">
        <v>2</v>
      </c>
      <c r="K1379" t="str">
        <f t="shared" si="319"/>
        <v>1-5</v>
      </c>
      <c r="L1379">
        <v>1</v>
      </c>
      <c r="M1379" t="s">
        <v>74</v>
      </c>
      <c r="N1379" t="s">
        <v>60</v>
      </c>
      <c r="O1379">
        <v>1</v>
      </c>
      <c r="P1379">
        <v>2</v>
      </c>
      <c r="Q1379" t="s">
        <v>61</v>
      </c>
      <c r="R1379" t="s">
        <v>75</v>
      </c>
      <c r="S1379">
        <v>42</v>
      </c>
      <c r="T1379" t="str">
        <f t="shared" si="320"/>
        <v>30-50</v>
      </c>
      <c r="U1379">
        <v>3</v>
      </c>
      <c r="V1379" t="s">
        <v>63</v>
      </c>
      <c r="W1379">
        <v>5</v>
      </c>
      <c r="X1379" t="s">
        <v>92</v>
      </c>
      <c r="Y1379">
        <v>4</v>
      </c>
      <c r="Z1379" t="s">
        <v>65</v>
      </c>
      <c r="AA1379" t="s">
        <v>77</v>
      </c>
      <c r="AB1379" s="4">
        <v>19161</v>
      </c>
      <c r="AC1379" s="4" t="str">
        <f t="shared" si="321"/>
        <v>$19,000-$20,500</v>
      </c>
      <c r="AD1379">
        <v>13738</v>
      </c>
      <c r="AE1379" t="str">
        <f t="shared" si="322"/>
        <v>$8,001-$16,000</v>
      </c>
      <c r="AF1379">
        <v>3</v>
      </c>
      <c r="AG1379" t="str">
        <f t="shared" si="323"/>
        <v>2-3</v>
      </c>
      <c r="AH1379" t="s">
        <v>67</v>
      </c>
      <c r="AI1379" t="s">
        <v>71</v>
      </c>
      <c r="AJ1379">
        <v>15</v>
      </c>
      <c r="AK1379" t="str">
        <f t="shared" si="324"/>
        <v>13-15%</v>
      </c>
      <c r="AL1379">
        <v>3</v>
      </c>
      <c r="AM1379" t="s">
        <v>68</v>
      </c>
      <c r="AN1379">
        <v>4</v>
      </c>
      <c r="AO1379" t="s">
        <v>65</v>
      </c>
      <c r="AP1379">
        <v>80</v>
      </c>
      <c r="AQ1379">
        <v>0</v>
      </c>
      <c r="AR1379">
        <v>28</v>
      </c>
      <c r="AS1379" t="str">
        <f t="shared" si="325"/>
        <v>21-40</v>
      </c>
      <c r="AT1379">
        <v>3</v>
      </c>
      <c r="AU1379" t="str">
        <f t="shared" si="326"/>
        <v>3-4</v>
      </c>
      <c r="AV1379">
        <v>3</v>
      </c>
      <c r="AW1379" t="s">
        <v>79</v>
      </c>
      <c r="AX1379">
        <v>5</v>
      </c>
      <c r="AY1379" t="str">
        <f t="shared" si="315"/>
        <v>2-5</v>
      </c>
      <c r="AZ1379">
        <v>4</v>
      </c>
      <c r="BA1379" t="str">
        <f t="shared" si="327"/>
        <v>2-5</v>
      </c>
      <c r="BB1379">
        <v>4</v>
      </c>
      <c r="BC1379" t="str">
        <f t="shared" si="328"/>
        <v>2-5</v>
      </c>
      <c r="BD1379">
        <v>3</v>
      </c>
      <c r="BE1379" t="str">
        <f t="shared" si="329"/>
        <v>2-5</v>
      </c>
    </row>
    <row r="1380" spans="1:57" x14ac:dyDescent="0.3">
      <c r="A1380">
        <v>1943</v>
      </c>
      <c r="B1380">
        <v>42</v>
      </c>
      <c r="C1380" t="str">
        <f t="shared" si="316"/>
        <v>36-45</v>
      </c>
      <c r="D1380" t="s">
        <v>71</v>
      </c>
      <c r="E1380">
        <f t="shared" si="317"/>
        <v>0</v>
      </c>
      <c r="F1380" t="s">
        <v>57</v>
      </c>
      <c r="G1380">
        <v>419</v>
      </c>
      <c r="H1380" t="str">
        <f t="shared" si="318"/>
        <v>102-500</v>
      </c>
      <c r="I1380" t="s">
        <v>58</v>
      </c>
      <c r="J1380">
        <v>12</v>
      </c>
      <c r="K1380" t="str">
        <f t="shared" si="319"/>
        <v>11-20</v>
      </c>
      <c r="L1380">
        <v>4</v>
      </c>
      <c r="M1380" t="s">
        <v>82</v>
      </c>
      <c r="N1380" t="s">
        <v>93</v>
      </c>
      <c r="O1380">
        <v>1</v>
      </c>
      <c r="P1380">
        <v>2</v>
      </c>
      <c r="Q1380" t="s">
        <v>61</v>
      </c>
      <c r="R1380" t="s">
        <v>75</v>
      </c>
      <c r="S1380">
        <v>77</v>
      </c>
      <c r="T1380" t="str">
        <f t="shared" si="320"/>
        <v>76-100</v>
      </c>
      <c r="U1380">
        <v>3</v>
      </c>
      <c r="V1380" t="s">
        <v>63</v>
      </c>
      <c r="W1380">
        <v>2</v>
      </c>
      <c r="X1380" t="s">
        <v>64</v>
      </c>
      <c r="Y1380">
        <v>4</v>
      </c>
      <c r="Z1380" t="s">
        <v>65</v>
      </c>
      <c r="AA1380" t="s">
        <v>86</v>
      </c>
      <c r="AB1380" s="4">
        <v>5087</v>
      </c>
      <c r="AC1380" s="4" t="str">
        <f t="shared" si="321"/>
        <v>$4,000-$5,500</v>
      </c>
      <c r="AD1380">
        <v>2900</v>
      </c>
      <c r="AE1380" t="str">
        <f t="shared" si="322"/>
        <v>$2,094-$8,000</v>
      </c>
      <c r="AF1380">
        <v>3</v>
      </c>
      <c r="AG1380" t="str">
        <f t="shared" si="323"/>
        <v>2-3</v>
      </c>
      <c r="AH1380" t="s">
        <v>67</v>
      </c>
      <c r="AI1380" t="s">
        <v>56</v>
      </c>
      <c r="AJ1380">
        <v>12</v>
      </c>
      <c r="AK1380" t="str">
        <f t="shared" si="324"/>
        <v>11-12%</v>
      </c>
      <c r="AL1380">
        <v>3</v>
      </c>
      <c r="AM1380" t="s">
        <v>68</v>
      </c>
      <c r="AN1380">
        <v>3</v>
      </c>
      <c r="AO1380" t="s">
        <v>63</v>
      </c>
      <c r="AP1380">
        <v>80</v>
      </c>
      <c r="AQ1380">
        <v>2</v>
      </c>
      <c r="AR1380">
        <v>14</v>
      </c>
      <c r="AS1380" t="str">
        <f t="shared" si="325"/>
        <v>11-20</v>
      </c>
      <c r="AT1380">
        <v>4</v>
      </c>
      <c r="AU1380" t="str">
        <f t="shared" si="326"/>
        <v>3-4</v>
      </c>
      <c r="AV1380">
        <v>3</v>
      </c>
      <c r="AW1380" t="s">
        <v>79</v>
      </c>
      <c r="AX1380">
        <v>0</v>
      </c>
      <c r="AY1380" t="str">
        <f t="shared" si="315"/>
        <v>0-1</v>
      </c>
      <c r="AZ1380">
        <v>0</v>
      </c>
      <c r="BA1380" t="str">
        <f t="shared" si="327"/>
        <v>0-1</v>
      </c>
      <c r="BB1380">
        <v>0</v>
      </c>
      <c r="BC1380" t="str">
        <f t="shared" si="328"/>
        <v>0-1</v>
      </c>
      <c r="BD1380">
        <v>0</v>
      </c>
      <c r="BE1380" t="str">
        <f t="shared" si="329"/>
        <v>0-1</v>
      </c>
    </row>
    <row r="1381" spans="1:57" x14ac:dyDescent="0.3">
      <c r="A1381">
        <v>1944</v>
      </c>
      <c r="B1381">
        <v>27</v>
      </c>
      <c r="C1381" t="str">
        <f t="shared" si="316"/>
        <v>26-35</v>
      </c>
      <c r="D1381" t="s">
        <v>56</v>
      </c>
      <c r="E1381">
        <f t="shared" si="317"/>
        <v>1</v>
      </c>
      <c r="F1381" t="s">
        <v>72</v>
      </c>
      <c r="G1381">
        <v>1337</v>
      </c>
      <c r="H1381" t="str">
        <f t="shared" si="318"/>
        <v>1001-1499</v>
      </c>
      <c r="I1381" t="s">
        <v>97</v>
      </c>
      <c r="J1381">
        <v>22</v>
      </c>
      <c r="K1381" t="str">
        <f t="shared" si="319"/>
        <v>21-29</v>
      </c>
      <c r="L1381">
        <v>3</v>
      </c>
      <c r="M1381" t="s">
        <v>85</v>
      </c>
      <c r="N1381" t="s">
        <v>97</v>
      </c>
      <c r="O1381">
        <v>1</v>
      </c>
      <c r="P1381">
        <v>1</v>
      </c>
      <c r="Q1381" t="s">
        <v>69</v>
      </c>
      <c r="R1381" t="s">
        <v>62</v>
      </c>
      <c r="S1381">
        <v>58</v>
      </c>
      <c r="T1381" t="str">
        <f t="shared" si="320"/>
        <v>51-75</v>
      </c>
      <c r="U1381">
        <v>2</v>
      </c>
      <c r="V1381" t="s">
        <v>61</v>
      </c>
      <c r="W1381">
        <v>1</v>
      </c>
      <c r="X1381" t="s">
        <v>97</v>
      </c>
      <c r="Y1381">
        <v>2</v>
      </c>
      <c r="Z1381" t="s">
        <v>61</v>
      </c>
      <c r="AA1381" t="s">
        <v>77</v>
      </c>
      <c r="AB1381" s="4">
        <v>2863</v>
      </c>
      <c r="AC1381" s="4" t="str">
        <f t="shared" si="321"/>
        <v>$2,500-$4,000</v>
      </c>
      <c r="AD1381">
        <v>19555</v>
      </c>
      <c r="AE1381" t="str">
        <f t="shared" si="322"/>
        <v>$16,001-$22,000</v>
      </c>
      <c r="AF1381">
        <v>1</v>
      </c>
      <c r="AG1381" t="str">
        <f t="shared" si="323"/>
        <v>0-1</v>
      </c>
      <c r="AH1381" t="s">
        <v>67</v>
      </c>
      <c r="AI1381" t="s">
        <v>71</v>
      </c>
      <c r="AJ1381">
        <v>12</v>
      </c>
      <c r="AK1381" t="str">
        <f t="shared" si="324"/>
        <v>11-12%</v>
      </c>
      <c r="AL1381">
        <v>3</v>
      </c>
      <c r="AM1381" t="s">
        <v>68</v>
      </c>
      <c r="AN1381">
        <v>1</v>
      </c>
      <c r="AO1381" t="s">
        <v>69</v>
      </c>
      <c r="AP1381">
        <v>80</v>
      </c>
      <c r="AQ1381">
        <v>0</v>
      </c>
      <c r="AR1381">
        <v>1</v>
      </c>
      <c r="AS1381" t="str">
        <f t="shared" si="325"/>
        <v>0-2</v>
      </c>
      <c r="AT1381">
        <v>2</v>
      </c>
      <c r="AU1381" t="str">
        <f t="shared" si="326"/>
        <v>0-2</v>
      </c>
      <c r="AV1381">
        <v>3</v>
      </c>
      <c r="AW1381" t="s">
        <v>79</v>
      </c>
      <c r="AX1381">
        <v>1</v>
      </c>
      <c r="AY1381" t="str">
        <f t="shared" si="315"/>
        <v>0-1</v>
      </c>
      <c r="AZ1381">
        <v>0</v>
      </c>
      <c r="BA1381" t="str">
        <f t="shared" si="327"/>
        <v>0-1</v>
      </c>
      <c r="BB1381">
        <v>0</v>
      </c>
      <c r="BC1381" t="str">
        <f t="shared" si="328"/>
        <v>0-1</v>
      </c>
      <c r="BD1381">
        <v>0</v>
      </c>
      <c r="BE1381" t="str">
        <f t="shared" si="329"/>
        <v>0-1</v>
      </c>
    </row>
    <row r="1382" spans="1:57" x14ac:dyDescent="0.3">
      <c r="A1382">
        <v>1945</v>
      </c>
      <c r="B1382">
        <v>35</v>
      </c>
      <c r="C1382" t="str">
        <f t="shared" si="316"/>
        <v>26-35</v>
      </c>
      <c r="D1382" t="s">
        <v>71</v>
      </c>
      <c r="E1382">
        <f t="shared" si="317"/>
        <v>0</v>
      </c>
      <c r="F1382" t="s">
        <v>57</v>
      </c>
      <c r="G1382">
        <v>682</v>
      </c>
      <c r="H1382" t="str">
        <f t="shared" si="318"/>
        <v>501-1000</v>
      </c>
      <c r="I1382" t="s">
        <v>58</v>
      </c>
      <c r="J1382">
        <v>18</v>
      </c>
      <c r="K1382" t="str">
        <f t="shared" si="319"/>
        <v>11-20</v>
      </c>
      <c r="L1382">
        <v>4</v>
      </c>
      <c r="M1382" t="s">
        <v>82</v>
      </c>
      <c r="N1382" t="s">
        <v>83</v>
      </c>
      <c r="O1382">
        <v>1</v>
      </c>
      <c r="P1382">
        <v>2</v>
      </c>
      <c r="Q1382" t="s">
        <v>61</v>
      </c>
      <c r="R1382" t="s">
        <v>75</v>
      </c>
      <c r="S1382">
        <v>71</v>
      </c>
      <c r="T1382" t="str">
        <f t="shared" si="320"/>
        <v>51-75</v>
      </c>
      <c r="U1382">
        <v>3</v>
      </c>
      <c r="V1382" t="s">
        <v>63</v>
      </c>
      <c r="W1382">
        <v>2</v>
      </c>
      <c r="X1382" t="s">
        <v>64</v>
      </c>
      <c r="Y1382">
        <v>1</v>
      </c>
      <c r="Z1382" t="s">
        <v>69</v>
      </c>
      <c r="AA1382" t="s">
        <v>77</v>
      </c>
      <c r="AB1382" s="4">
        <v>5561</v>
      </c>
      <c r="AC1382" s="4" t="str">
        <f t="shared" si="321"/>
        <v>$5,500-$7,000</v>
      </c>
      <c r="AD1382">
        <v>15975</v>
      </c>
      <c r="AE1382" t="str">
        <f t="shared" si="322"/>
        <v>$8,001-$16,000</v>
      </c>
      <c r="AF1382">
        <v>0</v>
      </c>
      <c r="AG1382" t="str">
        <f t="shared" si="323"/>
        <v>0-1</v>
      </c>
      <c r="AH1382" t="s">
        <v>67</v>
      </c>
      <c r="AI1382" t="s">
        <v>71</v>
      </c>
      <c r="AJ1382">
        <v>16</v>
      </c>
      <c r="AK1382" t="str">
        <f t="shared" si="324"/>
        <v>16-17%</v>
      </c>
      <c r="AL1382">
        <v>3</v>
      </c>
      <c r="AM1382" t="s">
        <v>68</v>
      </c>
      <c r="AN1382">
        <v>4</v>
      </c>
      <c r="AO1382" t="s">
        <v>65</v>
      </c>
      <c r="AP1382">
        <v>80</v>
      </c>
      <c r="AQ1382">
        <v>1</v>
      </c>
      <c r="AR1382">
        <v>6</v>
      </c>
      <c r="AS1382" t="str">
        <f t="shared" si="325"/>
        <v>6-10</v>
      </c>
      <c r="AT1382">
        <v>2</v>
      </c>
      <c r="AU1382" t="str">
        <f t="shared" si="326"/>
        <v>0-2</v>
      </c>
      <c r="AV1382">
        <v>1</v>
      </c>
      <c r="AW1382" t="s">
        <v>70</v>
      </c>
      <c r="AX1382">
        <v>5</v>
      </c>
      <c r="AY1382" t="str">
        <f t="shared" si="315"/>
        <v>2-5</v>
      </c>
      <c r="AZ1382">
        <v>3</v>
      </c>
      <c r="BA1382" t="str">
        <f t="shared" si="327"/>
        <v>2-5</v>
      </c>
      <c r="BB1382">
        <v>0</v>
      </c>
      <c r="BC1382" t="str">
        <f t="shared" si="328"/>
        <v>0-1</v>
      </c>
      <c r="BD1382">
        <v>4</v>
      </c>
      <c r="BE1382" t="str">
        <f t="shared" si="329"/>
        <v>2-5</v>
      </c>
    </row>
    <row r="1383" spans="1:57" x14ac:dyDescent="0.3">
      <c r="A1383">
        <v>1947</v>
      </c>
      <c r="B1383">
        <v>28</v>
      </c>
      <c r="C1383" t="str">
        <f t="shared" si="316"/>
        <v>26-35</v>
      </c>
      <c r="D1383" t="s">
        <v>71</v>
      </c>
      <c r="E1383">
        <f t="shared" si="317"/>
        <v>0</v>
      </c>
      <c r="F1383" t="s">
        <v>89</v>
      </c>
      <c r="G1383">
        <v>1103</v>
      </c>
      <c r="H1383" t="str">
        <f t="shared" si="318"/>
        <v>1001-1499</v>
      </c>
      <c r="I1383" t="s">
        <v>73</v>
      </c>
      <c r="J1383">
        <v>16</v>
      </c>
      <c r="K1383" t="str">
        <f t="shared" si="319"/>
        <v>11-20</v>
      </c>
      <c r="L1383">
        <v>3</v>
      </c>
      <c r="M1383" t="s">
        <v>85</v>
      </c>
      <c r="N1383" t="s">
        <v>83</v>
      </c>
      <c r="O1383">
        <v>1</v>
      </c>
      <c r="P1383">
        <v>3</v>
      </c>
      <c r="Q1383" t="s">
        <v>63</v>
      </c>
      <c r="R1383" t="s">
        <v>75</v>
      </c>
      <c r="S1383">
        <v>49</v>
      </c>
      <c r="T1383" t="str">
        <f t="shared" si="320"/>
        <v>30-50</v>
      </c>
      <c r="U1383">
        <v>3</v>
      </c>
      <c r="V1383" t="s">
        <v>63</v>
      </c>
      <c r="W1383">
        <v>1</v>
      </c>
      <c r="X1383" t="s">
        <v>76</v>
      </c>
      <c r="Y1383">
        <v>3</v>
      </c>
      <c r="Z1383" t="s">
        <v>63</v>
      </c>
      <c r="AA1383" t="s">
        <v>66</v>
      </c>
      <c r="AB1383" s="4">
        <v>2144</v>
      </c>
      <c r="AC1383" s="4" t="str">
        <f t="shared" si="321"/>
        <v>$1,000-$2,500</v>
      </c>
      <c r="AD1383">
        <v>2122</v>
      </c>
      <c r="AE1383" t="str">
        <f t="shared" si="322"/>
        <v>$2,094-$8,000</v>
      </c>
      <c r="AF1383">
        <v>1</v>
      </c>
      <c r="AG1383" t="str">
        <f t="shared" si="323"/>
        <v>0-1</v>
      </c>
      <c r="AH1383" t="s">
        <v>67</v>
      </c>
      <c r="AI1383" t="s">
        <v>71</v>
      </c>
      <c r="AJ1383">
        <v>14</v>
      </c>
      <c r="AK1383" t="str">
        <f t="shared" si="324"/>
        <v>13-15%</v>
      </c>
      <c r="AL1383">
        <v>3</v>
      </c>
      <c r="AM1383" t="s">
        <v>68</v>
      </c>
      <c r="AN1383">
        <v>3</v>
      </c>
      <c r="AO1383" t="s">
        <v>63</v>
      </c>
      <c r="AP1383">
        <v>80</v>
      </c>
      <c r="AQ1383">
        <v>0</v>
      </c>
      <c r="AR1383">
        <v>5</v>
      </c>
      <c r="AS1383" t="str">
        <f t="shared" si="325"/>
        <v>3-5</v>
      </c>
      <c r="AT1383">
        <v>3</v>
      </c>
      <c r="AU1383" t="str">
        <f t="shared" si="326"/>
        <v>3-4</v>
      </c>
      <c r="AV1383">
        <v>2</v>
      </c>
      <c r="AW1383" t="s">
        <v>84</v>
      </c>
      <c r="AX1383">
        <v>5</v>
      </c>
      <c r="AY1383" t="str">
        <f t="shared" si="315"/>
        <v>2-5</v>
      </c>
      <c r="AZ1383">
        <v>3</v>
      </c>
      <c r="BA1383" t="str">
        <f t="shared" si="327"/>
        <v>2-5</v>
      </c>
      <c r="BB1383">
        <v>1</v>
      </c>
      <c r="BC1383" t="str">
        <f t="shared" si="328"/>
        <v>0-1</v>
      </c>
      <c r="BD1383">
        <v>4</v>
      </c>
      <c r="BE1383" t="str">
        <f t="shared" si="329"/>
        <v>2-5</v>
      </c>
    </row>
    <row r="1384" spans="1:57" x14ac:dyDescent="0.3">
      <c r="A1384">
        <v>1948</v>
      </c>
      <c r="B1384">
        <v>31</v>
      </c>
      <c r="C1384" t="str">
        <f t="shared" si="316"/>
        <v>26-35</v>
      </c>
      <c r="D1384" t="s">
        <v>71</v>
      </c>
      <c r="E1384">
        <f t="shared" si="317"/>
        <v>0</v>
      </c>
      <c r="F1384" t="s">
        <v>89</v>
      </c>
      <c r="G1384">
        <v>976</v>
      </c>
      <c r="H1384" t="str">
        <f t="shared" si="318"/>
        <v>501-1000</v>
      </c>
      <c r="I1384" t="s">
        <v>73</v>
      </c>
      <c r="J1384">
        <v>3</v>
      </c>
      <c r="K1384" t="str">
        <f t="shared" si="319"/>
        <v>1-5</v>
      </c>
      <c r="L1384">
        <v>2</v>
      </c>
      <c r="M1384" t="s">
        <v>59</v>
      </c>
      <c r="N1384" t="s">
        <v>83</v>
      </c>
      <c r="O1384">
        <v>1</v>
      </c>
      <c r="P1384">
        <v>3</v>
      </c>
      <c r="Q1384" t="s">
        <v>63</v>
      </c>
      <c r="R1384" t="s">
        <v>75</v>
      </c>
      <c r="S1384">
        <v>48</v>
      </c>
      <c r="T1384" t="str">
        <f t="shared" si="320"/>
        <v>30-50</v>
      </c>
      <c r="U1384">
        <v>3</v>
      </c>
      <c r="V1384" t="s">
        <v>63</v>
      </c>
      <c r="W1384">
        <v>1</v>
      </c>
      <c r="X1384" t="s">
        <v>76</v>
      </c>
      <c r="Y1384">
        <v>1</v>
      </c>
      <c r="Z1384" t="s">
        <v>69</v>
      </c>
      <c r="AA1384" t="s">
        <v>86</v>
      </c>
      <c r="AB1384" s="4">
        <v>3065</v>
      </c>
      <c r="AC1384" s="4" t="str">
        <f t="shared" si="321"/>
        <v>$2,500-$4,000</v>
      </c>
      <c r="AD1384">
        <v>3995</v>
      </c>
      <c r="AE1384" t="str">
        <f t="shared" si="322"/>
        <v>$2,094-$8,000</v>
      </c>
      <c r="AF1384">
        <v>1</v>
      </c>
      <c r="AG1384" t="str">
        <f t="shared" si="323"/>
        <v>0-1</v>
      </c>
      <c r="AH1384" t="s">
        <v>67</v>
      </c>
      <c r="AI1384" t="s">
        <v>56</v>
      </c>
      <c r="AJ1384">
        <v>13</v>
      </c>
      <c r="AK1384" t="str">
        <f t="shared" si="324"/>
        <v>13-15%</v>
      </c>
      <c r="AL1384">
        <v>3</v>
      </c>
      <c r="AM1384" t="s">
        <v>68</v>
      </c>
      <c r="AN1384">
        <v>4</v>
      </c>
      <c r="AO1384" t="s">
        <v>65</v>
      </c>
      <c r="AP1384">
        <v>80</v>
      </c>
      <c r="AQ1384">
        <v>1</v>
      </c>
      <c r="AR1384">
        <v>4</v>
      </c>
      <c r="AS1384" t="str">
        <f t="shared" si="325"/>
        <v>3-5</v>
      </c>
      <c r="AT1384">
        <v>3</v>
      </c>
      <c r="AU1384" t="str">
        <f t="shared" si="326"/>
        <v>3-4</v>
      </c>
      <c r="AV1384">
        <v>4</v>
      </c>
      <c r="AW1384" t="s">
        <v>94</v>
      </c>
      <c r="AX1384">
        <v>4</v>
      </c>
      <c r="AY1384" t="str">
        <f t="shared" si="315"/>
        <v>2-5</v>
      </c>
      <c r="AZ1384">
        <v>2</v>
      </c>
      <c r="BA1384" t="str">
        <f t="shared" si="327"/>
        <v>2-5</v>
      </c>
      <c r="BB1384">
        <v>2</v>
      </c>
      <c r="BC1384" t="str">
        <f t="shared" si="328"/>
        <v>2-5</v>
      </c>
      <c r="BD1384">
        <v>3</v>
      </c>
      <c r="BE1384" t="str">
        <f t="shared" si="329"/>
        <v>2-5</v>
      </c>
    </row>
    <row r="1385" spans="1:57" x14ac:dyDescent="0.3">
      <c r="A1385">
        <v>1949</v>
      </c>
      <c r="B1385">
        <v>36</v>
      </c>
      <c r="C1385" t="str">
        <f t="shared" si="316"/>
        <v>36-45</v>
      </c>
      <c r="D1385" t="s">
        <v>71</v>
      </c>
      <c r="E1385">
        <f t="shared" si="317"/>
        <v>0</v>
      </c>
      <c r="F1385" t="s">
        <v>89</v>
      </c>
      <c r="G1385">
        <v>1351</v>
      </c>
      <c r="H1385" t="str">
        <f t="shared" si="318"/>
        <v>1001-1499</v>
      </c>
      <c r="I1385" t="s">
        <v>73</v>
      </c>
      <c r="J1385">
        <v>9</v>
      </c>
      <c r="K1385" t="str">
        <f t="shared" si="319"/>
        <v>6-10</v>
      </c>
      <c r="L1385">
        <v>4</v>
      </c>
      <c r="M1385" t="s">
        <v>82</v>
      </c>
      <c r="N1385" t="s">
        <v>60</v>
      </c>
      <c r="O1385">
        <v>1</v>
      </c>
      <c r="P1385">
        <v>1</v>
      </c>
      <c r="Q1385" t="s">
        <v>69</v>
      </c>
      <c r="R1385" t="s">
        <v>75</v>
      </c>
      <c r="S1385">
        <v>66</v>
      </c>
      <c r="T1385" t="str">
        <f t="shared" si="320"/>
        <v>51-75</v>
      </c>
      <c r="U1385">
        <v>4</v>
      </c>
      <c r="V1385" t="s">
        <v>65</v>
      </c>
      <c r="W1385">
        <v>1</v>
      </c>
      <c r="X1385" t="s">
        <v>81</v>
      </c>
      <c r="Y1385">
        <v>2</v>
      </c>
      <c r="Z1385" t="s">
        <v>61</v>
      </c>
      <c r="AA1385" t="s">
        <v>77</v>
      </c>
      <c r="AB1385" s="4">
        <v>2810</v>
      </c>
      <c r="AC1385" s="4" t="str">
        <f t="shared" si="321"/>
        <v>$2,500-$4,000</v>
      </c>
      <c r="AD1385">
        <v>9238</v>
      </c>
      <c r="AE1385" t="str">
        <f t="shared" si="322"/>
        <v>$8,001-$16,000</v>
      </c>
      <c r="AF1385">
        <v>1</v>
      </c>
      <c r="AG1385" t="str">
        <f t="shared" si="323"/>
        <v>0-1</v>
      </c>
      <c r="AH1385" t="s">
        <v>67</v>
      </c>
      <c r="AI1385" t="s">
        <v>71</v>
      </c>
      <c r="AJ1385">
        <v>22</v>
      </c>
      <c r="AK1385" t="str">
        <f t="shared" si="324"/>
        <v>18-19%</v>
      </c>
      <c r="AL1385">
        <v>4</v>
      </c>
      <c r="AM1385" t="s">
        <v>78</v>
      </c>
      <c r="AN1385">
        <v>2</v>
      </c>
      <c r="AO1385" t="s">
        <v>61</v>
      </c>
      <c r="AP1385">
        <v>80</v>
      </c>
      <c r="AQ1385">
        <v>0</v>
      </c>
      <c r="AR1385">
        <v>5</v>
      </c>
      <c r="AS1385" t="str">
        <f t="shared" si="325"/>
        <v>3-5</v>
      </c>
      <c r="AT1385">
        <v>3</v>
      </c>
      <c r="AU1385" t="str">
        <f t="shared" si="326"/>
        <v>3-4</v>
      </c>
      <c r="AV1385">
        <v>3</v>
      </c>
      <c r="AW1385" t="s">
        <v>79</v>
      </c>
      <c r="AX1385">
        <v>5</v>
      </c>
      <c r="AY1385" t="str">
        <f t="shared" si="315"/>
        <v>2-5</v>
      </c>
      <c r="AZ1385">
        <v>4</v>
      </c>
      <c r="BA1385" t="str">
        <f t="shared" si="327"/>
        <v>2-5</v>
      </c>
      <c r="BB1385">
        <v>0</v>
      </c>
      <c r="BC1385" t="str">
        <f t="shared" si="328"/>
        <v>0-1</v>
      </c>
      <c r="BD1385">
        <v>2</v>
      </c>
      <c r="BE1385" t="str">
        <f t="shared" si="329"/>
        <v>2-5</v>
      </c>
    </row>
    <row r="1386" spans="1:57" x14ac:dyDescent="0.3">
      <c r="A1386">
        <v>1950</v>
      </c>
      <c r="B1386">
        <v>34</v>
      </c>
      <c r="C1386" t="str">
        <f t="shared" si="316"/>
        <v>26-35</v>
      </c>
      <c r="D1386" t="s">
        <v>71</v>
      </c>
      <c r="E1386">
        <f t="shared" si="317"/>
        <v>0</v>
      </c>
      <c r="F1386" t="s">
        <v>57</v>
      </c>
      <c r="G1386">
        <v>937</v>
      </c>
      <c r="H1386" t="str">
        <f t="shared" si="318"/>
        <v>501-1000</v>
      </c>
      <c r="I1386" t="s">
        <v>58</v>
      </c>
      <c r="J1386">
        <v>1</v>
      </c>
      <c r="K1386" t="str">
        <f t="shared" si="319"/>
        <v>1-5</v>
      </c>
      <c r="L1386">
        <v>3</v>
      </c>
      <c r="M1386" t="s">
        <v>85</v>
      </c>
      <c r="N1386" t="s">
        <v>93</v>
      </c>
      <c r="O1386">
        <v>1</v>
      </c>
      <c r="P1386">
        <v>1</v>
      </c>
      <c r="Q1386" t="s">
        <v>69</v>
      </c>
      <c r="R1386" t="s">
        <v>75</v>
      </c>
      <c r="S1386">
        <v>32</v>
      </c>
      <c r="T1386" t="str">
        <f t="shared" si="320"/>
        <v>30-50</v>
      </c>
      <c r="U1386">
        <v>3</v>
      </c>
      <c r="V1386" t="s">
        <v>63</v>
      </c>
      <c r="W1386">
        <v>3</v>
      </c>
      <c r="X1386" t="s">
        <v>64</v>
      </c>
      <c r="Y1386">
        <v>4</v>
      </c>
      <c r="Z1386" t="s">
        <v>65</v>
      </c>
      <c r="AA1386" t="s">
        <v>66</v>
      </c>
      <c r="AB1386" s="4">
        <v>9888</v>
      </c>
      <c r="AC1386" s="4" t="str">
        <f t="shared" si="321"/>
        <v>$8,500-$10,000</v>
      </c>
      <c r="AD1386">
        <v>6770</v>
      </c>
      <c r="AE1386" t="str">
        <f t="shared" si="322"/>
        <v>$2,094-$8,000</v>
      </c>
      <c r="AF1386">
        <v>1</v>
      </c>
      <c r="AG1386" t="str">
        <f t="shared" si="323"/>
        <v>0-1</v>
      </c>
      <c r="AH1386" t="s">
        <v>67</v>
      </c>
      <c r="AI1386" t="s">
        <v>71</v>
      </c>
      <c r="AJ1386">
        <v>21</v>
      </c>
      <c r="AK1386" t="str">
        <f t="shared" si="324"/>
        <v>18-19%</v>
      </c>
      <c r="AL1386">
        <v>4</v>
      </c>
      <c r="AM1386" t="s">
        <v>78</v>
      </c>
      <c r="AN1386">
        <v>1</v>
      </c>
      <c r="AO1386" t="s">
        <v>69</v>
      </c>
      <c r="AP1386">
        <v>80</v>
      </c>
      <c r="AQ1386">
        <v>0</v>
      </c>
      <c r="AR1386">
        <v>14</v>
      </c>
      <c r="AS1386" t="str">
        <f t="shared" si="325"/>
        <v>11-20</v>
      </c>
      <c r="AT1386">
        <v>3</v>
      </c>
      <c r="AU1386" t="str">
        <f t="shared" si="326"/>
        <v>3-4</v>
      </c>
      <c r="AV1386">
        <v>2</v>
      </c>
      <c r="AW1386" t="s">
        <v>84</v>
      </c>
      <c r="AX1386">
        <v>14</v>
      </c>
      <c r="AY1386" t="str">
        <f t="shared" si="315"/>
        <v>11-20</v>
      </c>
      <c r="AZ1386">
        <v>8</v>
      </c>
      <c r="BA1386" t="str">
        <f t="shared" si="327"/>
        <v>6-10</v>
      </c>
      <c r="BB1386">
        <v>2</v>
      </c>
      <c r="BC1386" t="str">
        <f t="shared" si="328"/>
        <v>2-5</v>
      </c>
      <c r="BD1386">
        <v>1</v>
      </c>
      <c r="BE1386" t="str">
        <f t="shared" si="329"/>
        <v>0-1</v>
      </c>
    </row>
    <row r="1387" spans="1:57" x14ac:dyDescent="0.3">
      <c r="A1387">
        <v>1951</v>
      </c>
      <c r="B1387">
        <v>34</v>
      </c>
      <c r="C1387" t="str">
        <f t="shared" si="316"/>
        <v>26-35</v>
      </c>
      <c r="D1387" t="s">
        <v>71</v>
      </c>
      <c r="E1387">
        <f t="shared" si="317"/>
        <v>0</v>
      </c>
      <c r="F1387" t="s">
        <v>57</v>
      </c>
      <c r="G1387">
        <v>1239</v>
      </c>
      <c r="H1387" t="str">
        <f t="shared" si="318"/>
        <v>1001-1499</v>
      </c>
      <c r="I1387" t="s">
        <v>58</v>
      </c>
      <c r="J1387">
        <v>13</v>
      </c>
      <c r="K1387" t="str">
        <f t="shared" si="319"/>
        <v>11-20</v>
      </c>
      <c r="L1387">
        <v>4</v>
      </c>
      <c r="M1387" t="s">
        <v>82</v>
      </c>
      <c r="N1387" t="s">
        <v>83</v>
      </c>
      <c r="O1387">
        <v>1</v>
      </c>
      <c r="P1387">
        <v>4</v>
      </c>
      <c r="Q1387" t="s">
        <v>65</v>
      </c>
      <c r="R1387" t="s">
        <v>75</v>
      </c>
      <c r="S1387">
        <v>39</v>
      </c>
      <c r="T1387" t="str">
        <f t="shared" si="320"/>
        <v>30-50</v>
      </c>
      <c r="U1387">
        <v>3</v>
      </c>
      <c r="V1387" t="s">
        <v>63</v>
      </c>
      <c r="W1387">
        <v>3</v>
      </c>
      <c r="X1387" t="s">
        <v>64</v>
      </c>
      <c r="Y1387">
        <v>3</v>
      </c>
      <c r="Z1387" t="s">
        <v>63</v>
      </c>
      <c r="AA1387" t="s">
        <v>86</v>
      </c>
      <c r="AB1387" s="4">
        <v>8628</v>
      </c>
      <c r="AC1387" s="4" t="str">
        <f t="shared" si="321"/>
        <v>$8,500-$10,000</v>
      </c>
      <c r="AD1387">
        <v>22914</v>
      </c>
      <c r="AE1387" t="str">
        <f t="shared" si="322"/>
        <v>$22,001-$26,999</v>
      </c>
      <c r="AF1387">
        <v>1</v>
      </c>
      <c r="AG1387" t="str">
        <f t="shared" si="323"/>
        <v>0-1</v>
      </c>
      <c r="AH1387" t="s">
        <v>67</v>
      </c>
      <c r="AI1387" t="s">
        <v>71</v>
      </c>
      <c r="AJ1387">
        <v>18</v>
      </c>
      <c r="AK1387" t="str">
        <f t="shared" si="324"/>
        <v>18-19%</v>
      </c>
      <c r="AL1387">
        <v>3</v>
      </c>
      <c r="AM1387" t="s">
        <v>68</v>
      </c>
      <c r="AN1387">
        <v>3</v>
      </c>
      <c r="AO1387" t="s">
        <v>63</v>
      </c>
      <c r="AP1387">
        <v>80</v>
      </c>
      <c r="AQ1387">
        <v>1</v>
      </c>
      <c r="AR1387">
        <v>9</v>
      </c>
      <c r="AS1387" t="str">
        <f t="shared" si="325"/>
        <v>6-10</v>
      </c>
      <c r="AT1387">
        <v>2</v>
      </c>
      <c r="AU1387" t="str">
        <f t="shared" si="326"/>
        <v>0-2</v>
      </c>
      <c r="AV1387">
        <v>2</v>
      </c>
      <c r="AW1387" t="s">
        <v>84</v>
      </c>
      <c r="AX1387">
        <v>8</v>
      </c>
      <c r="AY1387" t="str">
        <f t="shared" si="315"/>
        <v>6-10</v>
      </c>
      <c r="AZ1387">
        <v>7</v>
      </c>
      <c r="BA1387" t="str">
        <f t="shared" si="327"/>
        <v>6-10</v>
      </c>
      <c r="BB1387">
        <v>1</v>
      </c>
      <c r="BC1387" t="str">
        <f t="shared" si="328"/>
        <v>0-1</v>
      </c>
      <c r="BD1387">
        <v>1</v>
      </c>
      <c r="BE1387" t="str">
        <f t="shared" si="329"/>
        <v>0-1</v>
      </c>
    </row>
    <row r="1388" spans="1:57" x14ac:dyDescent="0.3">
      <c r="A1388">
        <v>1952</v>
      </c>
      <c r="B1388">
        <v>26</v>
      </c>
      <c r="C1388" t="str">
        <f t="shared" si="316"/>
        <v>26-35</v>
      </c>
      <c r="D1388" t="s">
        <v>71</v>
      </c>
      <c r="E1388">
        <f t="shared" si="317"/>
        <v>0</v>
      </c>
      <c r="F1388" t="s">
        <v>57</v>
      </c>
      <c r="G1388">
        <v>157</v>
      </c>
      <c r="H1388" t="str">
        <f t="shared" si="318"/>
        <v>102-500</v>
      </c>
      <c r="I1388" t="s">
        <v>73</v>
      </c>
      <c r="J1388">
        <v>1</v>
      </c>
      <c r="K1388" t="str">
        <f t="shared" si="319"/>
        <v>1-5</v>
      </c>
      <c r="L1388">
        <v>3</v>
      </c>
      <c r="M1388" t="s">
        <v>85</v>
      </c>
      <c r="N1388" t="s">
        <v>83</v>
      </c>
      <c r="O1388">
        <v>1</v>
      </c>
      <c r="P1388">
        <v>3</v>
      </c>
      <c r="Q1388" t="s">
        <v>63</v>
      </c>
      <c r="R1388" t="s">
        <v>75</v>
      </c>
      <c r="S1388">
        <v>95</v>
      </c>
      <c r="T1388" t="str">
        <f t="shared" si="320"/>
        <v>76-100</v>
      </c>
      <c r="U1388">
        <v>3</v>
      </c>
      <c r="V1388" t="s">
        <v>63</v>
      </c>
      <c r="W1388">
        <v>1</v>
      </c>
      <c r="X1388" t="s">
        <v>81</v>
      </c>
      <c r="Y1388">
        <v>1</v>
      </c>
      <c r="Z1388" t="s">
        <v>69</v>
      </c>
      <c r="AA1388" t="s">
        <v>66</v>
      </c>
      <c r="AB1388" s="4">
        <v>2867</v>
      </c>
      <c r="AC1388" s="4" t="str">
        <f t="shared" si="321"/>
        <v>$2,500-$4,000</v>
      </c>
      <c r="AD1388">
        <v>20006</v>
      </c>
      <c r="AE1388" t="str">
        <f t="shared" si="322"/>
        <v>$16,001-$22,000</v>
      </c>
      <c r="AF1388">
        <v>0</v>
      </c>
      <c r="AG1388" t="str">
        <f t="shared" si="323"/>
        <v>0-1</v>
      </c>
      <c r="AH1388" t="s">
        <v>67</v>
      </c>
      <c r="AI1388" t="s">
        <v>71</v>
      </c>
      <c r="AJ1388">
        <v>13</v>
      </c>
      <c r="AK1388" t="str">
        <f t="shared" si="324"/>
        <v>13-15%</v>
      </c>
      <c r="AL1388">
        <v>3</v>
      </c>
      <c r="AM1388" t="s">
        <v>68</v>
      </c>
      <c r="AN1388">
        <v>4</v>
      </c>
      <c r="AO1388" t="s">
        <v>65</v>
      </c>
      <c r="AP1388">
        <v>80</v>
      </c>
      <c r="AQ1388">
        <v>0</v>
      </c>
      <c r="AR1388">
        <v>8</v>
      </c>
      <c r="AS1388" t="str">
        <f t="shared" si="325"/>
        <v>6-10</v>
      </c>
      <c r="AT1388">
        <v>6</v>
      </c>
      <c r="AU1388" t="str">
        <f t="shared" si="326"/>
        <v>5-6</v>
      </c>
      <c r="AV1388">
        <v>2</v>
      </c>
      <c r="AW1388" t="s">
        <v>84</v>
      </c>
      <c r="AX1388">
        <v>7</v>
      </c>
      <c r="AY1388" t="str">
        <f t="shared" si="315"/>
        <v>6-10</v>
      </c>
      <c r="AZ1388">
        <v>7</v>
      </c>
      <c r="BA1388" t="str">
        <f t="shared" si="327"/>
        <v>6-10</v>
      </c>
      <c r="BB1388">
        <v>7</v>
      </c>
      <c r="BC1388" t="str">
        <f t="shared" si="328"/>
        <v>6-10</v>
      </c>
      <c r="BD1388">
        <v>6</v>
      </c>
      <c r="BE1388" t="str">
        <f t="shared" si="329"/>
        <v>6-10</v>
      </c>
    </row>
    <row r="1389" spans="1:57" x14ac:dyDescent="0.3">
      <c r="A1389">
        <v>1954</v>
      </c>
      <c r="B1389">
        <v>29</v>
      </c>
      <c r="C1389" t="str">
        <f t="shared" si="316"/>
        <v>26-35</v>
      </c>
      <c r="D1389" t="s">
        <v>71</v>
      </c>
      <c r="E1389">
        <f t="shared" si="317"/>
        <v>0</v>
      </c>
      <c r="F1389" t="s">
        <v>57</v>
      </c>
      <c r="G1389">
        <v>136</v>
      </c>
      <c r="H1389" t="str">
        <f t="shared" si="318"/>
        <v>102-500</v>
      </c>
      <c r="I1389" t="s">
        <v>73</v>
      </c>
      <c r="J1389">
        <v>1</v>
      </c>
      <c r="K1389" t="str">
        <f t="shared" si="319"/>
        <v>1-5</v>
      </c>
      <c r="L1389">
        <v>3</v>
      </c>
      <c r="M1389" t="s">
        <v>85</v>
      </c>
      <c r="N1389" t="s">
        <v>60</v>
      </c>
      <c r="O1389">
        <v>1</v>
      </c>
      <c r="P1389">
        <v>1</v>
      </c>
      <c r="Q1389" t="s">
        <v>69</v>
      </c>
      <c r="R1389" t="s">
        <v>75</v>
      </c>
      <c r="S1389">
        <v>89</v>
      </c>
      <c r="T1389" t="str">
        <f t="shared" si="320"/>
        <v>76-100</v>
      </c>
      <c r="U1389">
        <v>3</v>
      </c>
      <c r="V1389" t="s">
        <v>63</v>
      </c>
      <c r="W1389">
        <v>2</v>
      </c>
      <c r="X1389" t="s">
        <v>88</v>
      </c>
      <c r="Y1389">
        <v>1</v>
      </c>
      <c r="Z1389" t="s">
        <v>69</v>
      </c>
      <c r="AA1389" t="s">
        <v>77</v>
      </c>
      <c r="AB1389" s="4">
        <v>5373</v>
      </c>
      <c r="AC1389" s="4" t="str">
        <f t="shared" si="321"/>
        <v>$4,000-$5,500</v>
      </c>
      <c r="AD1389">
        <v>6225</v>
      </c>
      <c r="AE1389" t="str">
        <f t="shared" si="322"/>
        <v>$2,094-$8,000</v>
      </c>
      <c r="AF1389">
        <v>0</v>
      </c>
      <c r="AG1389" t="str">
        <f t="shared" si="323"/>
        <v>0-1</v>
      </c>
      <c r="AH1389" t="s">
        <v>67</v>
      </c>
      <c r="AI1389" t="s">
        <v>71</v>
      </c>
      <c r="AJ1389">
        <v>12</v>
      </c>
      <c r="AK1389" t="str">
        <f t="shared" si="324"/>
        <v>11-12%</v>
      </c>
      <c r="AL1389">
        <v>3</v>
      </c>
      <c r="AM1389" t="s">
        <v>68</v>
      </c>
      <c r="AN1389">
        <v>1</v>
      </c>
      <c r="AO1389" t="s">
        <v>69</v>
      </c>
      <c r="AP1389">
        <v>80</v>
      </c>
      <c r="AQ1389">
        <v>1</v>
      </c>
      <c r="AR1389">
        <v>6</v>
      </c>
      <c r="AS1389" t="str">
        <f t="shared" si="325"/>
        <v>6-10</v>
      </c>
      <c r="AT1389">
        <v>5</v>
      </c>
      <c r="AU1389" t="str">
        <f t="shared" si="326"/>
        <v>5-6</v>
      </c>
      <c r="AV1389">
        <v>2</v>
      </c>
      <c r="AW1389" t="s">
        <v>84</v>
      </c>
      <c r="AX1389">
        <v>5</v>
      </c>
      <c r="AY1389" t="str">
        <f t="shared" si="315"/>
        <v>2-5</v>
      </c>
      <c r="AZ1389">
        <v>3</v>
      </c>
      <c r="BA1389" t="str">
        <f t="shared" si="327"/>
        <v>2-5</v>
      </c>
      <c r="BB1389">
        <v>0</v>
      </c>
      <c r="BC1389" t="str">
        <f t="shared" si="328"/>
        <v>0-1</v>
      </c>
      <c r="BD1389">
        <v>2</v>
      </c>
      <c r="BE1389" t="str">
        <f t="shared" si="329"/>
        <v>2-5</v>
      </c>
    </row>
    <row r="1390" spans="1:57" x14ac:dyDescent="0.3">
      <c r="A1390">
        <v>1955</v>
      </c>
      <c r="B1390">
        <v>32</v>
      </c>
      <c r="C1390" t="str">
        <f t="shared" si="316"/>
        <v>26-35</v>
      </c>
      <c r="D1390" t="s">
        <v>71</v>
      </c>
      <c r="E1390">
        <f t="shared" si="317"/>
        <v>0</v>
      </c>
      <c r="F1390" t="s">
        <v>89</v>
      </c>
      <c r="G1390">
        <v>1146</v>
      </c>
      <c r="H1390" t="str">
        <f t="shared" si="318"/>
        <v>1001-1499</v>
      </c>
      <c r="I1390" t="s">
        <v>73</v>
      </c>
      <c r="J1390">
        <v>15</v>
      </c>
      <c r="K1390" t="str">
        <f t="shared" si="319"/>
        <v>11-20</v>
      </c>
      <c r="L1390">
        <v>4</v>
      </c>
      <c r="M1390" t="s">
        <v>82</v>
      </c>
      <c r="N1390" t="s">
        <v>83</v>
      </c>
      <c r="O1390">
        <v>1</v>
      </c>
      <c r="P1390">
        <v>3</v>
      </c>
      <c r="Q1390" t="s">
        <v>63</v>
      </c>
      <c r="R1390" t="s">
        <v>62</v>
      </c>
      <c r="S1390">
        <v>34</v>
      </c>
      <c r="T1390" t="str">
        <f t="shared" si="320"/>
        <v>30-50</v>
      </c>
      <c r="U1390">
        <v>3</v>
      </c>
      <c r="V1390" t="s">
        <v>63</v>
      </c>
      <c r="W1390">
        <v>2</v>
      </c>
      <c r="X1390" t="s">
        <v>88</v>
      </c>
      <c r="Y1390">
        <v>4</v>
      </c>
      <c r="Z1390" t="s">
        <v>65</v>
      </c>
      <c r="AA1390" t="s">
        <v>86</v>
      </c>
      <c r="AB1390" s="4">
        <v>6667</v>
      </c>
      <c r="AC1390" s="4" t="str">
        <f t="shared" si="321"/>
        <v>$5,500-$7,000</v>
      </c>
      <c r="AD1390">
        <v>16542</v>
      </c>
      <c r="AE1390" t="str">
        <f t="shared" si="322"/>
        <v>$16,001-$22,000</v>
      </c>
      <c r="AF1390">
        <v>5</v>
      </c>
      <c r="AG1390" t="str">
        <f t="shared" si="323"/>
        <v>4-6</v>
      </c>
      <c r="AH1390" t="s">
        <v>67</v>
      </c>
      <c r="AI1390" t="s">
        <v>71</v>
      </c>
      <c r="AJ1390">
        <v>18</v>
      </c>
      <c r="AK1390" t="str">
        <f t="shared" si="324"/>
        <v>18-19%</v>
      </c>
      <c r="AL1390">
        <v>3</v>
      </c>
      <c r="AM1390" t="s">
        <v>68</v>
      </c>
      <c r="AN1390">
        <v>2</v>
      </c>
      <c r="AO1390" t="s">
        <v>61</v>
      </c>
      <c r="AP1390">
        <v>80</v>
      </c>
      <c r="AQ1390">
        <v>1</v>
      </c>
      <c r="AR1390">
        <v>9</v>
      </c>
      <c r="AS1390" t="str">
        <f t="shared" si="325"/>
        <v>6-10</v>
      </c>
      <c r="AT1390">
        <v>6</v>
      </c>
      <c r="AU1390" t="str">
        <f t="shared" si="326"/>
        <v>5-6</v>
      </c>
      <c r="AV1390">
        <v>3</v>
      </c>
      <c r="AW1390" t="s">
        <v>79</v>
      </c>
      <c r="AX1390">
        <v>5</v>
      </c>
      <c r="AY1390" t="str">
        <f t="shared" si="315"/>
        <v>2-5</v>
      </c>
      <c r="AZ1390">
        <v>1</v>
      </c>
      <c r="BA1390" t="str">
        <f t="shared" si="327"/>
        <v>0-1</v>
      </c>
      <c r="BB1390">
        <v>1</v>
      </c>
      <c r="BC1390" t="str">
        <f t="shared" si="328"/>
        <v>0-1</v>
      </c>
      <c r="BD1390">
        <v>2</v>
      </c>
      <c r="BE1390" t="str">
        <f t="shared" si="329"/>
        <v>2-5</v>
      </c>
    </row>
    <row r="1391" spans="1:57" x14ac:dyDescent="0.3">
      <c r="A1391">
        <v>1956</v>
      </c>
      <c r="B1391">
        <v>31</v>
      </c>
      <c r="C1391" t="str">
        <f t="shared" si="316"/>
        <v>26-35</v>
      </c>
      <c r="D1391" t="s">
        <v>71</v>
      </c>
      <c r="E1391">
        <f t="shared" si="317"/>
        <v>0</v>
      </c>
      <c r="F1391" t="s">
        <v>72</v>
      </c>
      <c r="G1391">
        <v>1125</v>
      </c>
      <c r="H1391" t="str">
        <f t="shared" si="318"/>
        <v>1001-1499</v>
      </c>
      <c r="I1391" t="s">
        <v>73</v>
      </c>
      <c r="J1391">
        <v>1</v>
      </c>
      <c r="K1391" t="str">
        <f t="shared" si="319"/>
        <v>1-5</v>
      </c>
      <c r="L1391">
        <v>3</v>
      </c>
      <c r="M1391" t="s">
        <v>85</v>
      </c>
      <c r="N1391" t="s">
        <v>60</v>
      </c>
      <c r="O1391">
        <v>1</v>
      </c>
      <c r="P1391">
        <v>4</v>
      </c>
      <c r="Q1391" t="s">
        <v>65</v>
      </c>
      <c r="R1391" t="s">
        <v>75</v>
      </c>
      <c r="S1391">
        <v>48</v>
      </c>
      <c r="T1391" t="str">
        <f t="shared" si="320"/>
        <v>30-50</v>
      </c>
      <c r="U1391">
        <v>1</v>
      </c>
      <c r="V1391" t="s">
        <v>69</v>
      </c>
      <c r="W1391">
        <v>2</v>
      </c>
      <c r="X1391" t="s">
        <v>76</v>
      </c>
      <c r="Y1391">
        <v>1</v>
      </c>
      <c r="Z1391" t="s">
        <v>69</v>
      </c>
      <c r="AA1391" t="s">
        <v>77</v>
      </c>
      <c r="AB1391" s="4">
        <v>5003</v>
      </c>
      <c r="AC1391" s="4" t="str">
        <f t="shared" si="321"/>
        <v>$4,000-$5,500</v>
      </c>
      <c r="AD1391">
        <v>5771</v>
      </c>
      <c r="AE1391" t="str">
        <f t="shared" si="322"/>
        <v>$2,094-$8,000</v>
      </c>
      <c r="AF1391">
        <v>1</v>
      </c>
      <c r="AG1391" t="str">
        <f t="shared" si="323"/>
        <v>0-1</v>
      </c>
      <c r="AH1391" t="s">
        <v>67</v>
      </c>
      <c r="AI1391" t="s">
        <v>71</v>
      </c>
      <c r="AJ1391">
        <v>21</v>
      </c>
      <c r="AK1391" t="str">
        <f t="shared" si="324"/>
        <v>18-19%</v>
      </c>
      <c r="AL1391">
        <v>4</v>
      </c>
      <c r="AM1391" t="s">
        <v>78</v>
      </c>
      <c r="AN1391">
        <v>2</v>
      </c>
      <c r="AO1391" t="s">
        <v>61</v>
      </c>
      <c r="AP1391">
        <v>80</v>
      </c>
      <c r="AQ1391">
        <v>0</v>
      </c>
      <c r="AR1391">
        <v>10</v>
      </c>
      <c r="AS1391" t="str">
        <f t="shared" si="325"/>
        <v>6-10</v>
      </c>
      <c r="AT1391">
        <v>6</v>
      </c>
      <c r="AU1391" t="str">
        <f t="shared" si="326"/>
        <v>5-6</v>
      </c>
      <c r="AV1391">
        <v>3</v>
      </c>
      <c r="AW1391" t="s">
        <v>79</v>
      </c>
      <c r="AX1391">
        <v>10</v>
      </c>
      <c r="AY1391" t="str">
        <f t="shared" si="315"/>
        <v>6-10</v>
      </c>
      <c r="AZ1391">
        <v>8</v>
      </c>
      <c r="BA1391" t="str">
        <f t="shared" si="327"/>
        <v>6-10</v>
      </c>
      <c r="BB1391">
        <v>8</v>
      </c>
      <c r="BC1391" t="str">
        <f t="shared" si="328"/>
        <v>6-10</v>
      </c>
      <c r="BD1391">
        <v>7</v>
      </c>
      <c r="BE1391" t="str">
        <f t="shared" si="329"/>
        <v>6-10</v>
      </c>
    </row>
    <row r="1392" spans="1:57" x14ac:dyDescent="0.3">
      <c r="A1392">
        <v>1960</v>
      </c>
      <c r="B1392">
        <v>28</v>
      </c>
      <c r="C1392" t="str">
        <f t="shared" si="316"/>
        <v>26-35</v>
      </c>
      <c r="D1392" t="s">
        <v>56</v>
      </c>
      <c r="E1392">
        <f t="shared" si="317"/>
        <v>1</v>
      </c>
      <c r="F1392" t="s">
        <v>57</v>
      </c>
      <c r="G1392">
        <v>1404</v>
      </c>
      <c r="H1392" t="str">
        <f t="shared" si="318"/>
        <v>1001-1499</v>
      </c>
      <c r="I1392" t="s">
        <v>73</v>
      </c>
      <c r="J1392">
        <v>17</v>
      </c>
      <c r="K1392" t="str">
        <f t="shared" si="319"/>
        <v>11-20</v>
      </c>
      <c r="L1392">
        <v>3</v>
      </c>
      <c r="M1392" t="s">
        <v>85</v>
      </c>
      <c r="N1392" t="s">
        <v>95</v>
      </c>
      <c r="O1392">
        <v>1</v>
      </c>
      <c r="P1392">
        <v>3</v>
      </c>
      <c r="Q1392" t="s">
        <v>63</v>
      </c>
      <c r="R1392" t="s">
        <v>75</v>
      </c>
      <c r="S1392">
        <v>32</v>
      </c>
      <c r="T1392" t="str">
        <f t="shared" si="320"/>
        <v>30-50</v>
      </c>
      <c r="U1392">
        <v>2</v>
      </c>
      <c r="V1392" t="s">
        <v>61</v>
      </c>
      <c r="W1392">
        <v>1</v>
      </c>
      <c r="X1392" t="s">
        <v>81</v>
      </c>
      <c r="Y1392">
        <v>4</v>
      </c>
      <c r="Z1392" t="s">
        <v>65</v>
      </c>
      <c r="AA1392" t="s">
        <v>86</v>
      </c>
      <c r="AB1392" s="4">
        <v>2367</v>
      </c>
      <c r="AC1392" s="4" t="str">
        <f t="shared" si="321"/>
        <v>$1,000-$2,500</v>
      </c>
      <c r="AD1392">
        <v>18779</v>
      </c>
      <c r="AE1392" t="str">
        <f t="shared" si="322"/>
        <v>$16,001-$22,000</v>
      </c>
      <c r="AF1392">
        <v>5</v>
      </c>
      <c r="AG1392" t="str">
        <f t="shared" si="323"/>
        <v>4-6</v>
      </c>
      <c r="AH1392" t="s">
        <v>67</v>
      </c>
      <c r="AI1392" t="s">
        <v>71</v>
      </c>
      <c r="AJ1392">
        <v>12</v>
      </c>
      <c r="AK1392" t="str">
        <f t="shared" si="324"/>
        <v>11-12%</v>
      </c>
      <c r="AL1392">
        <v>3</v>
      </c>
      <c r="AM1392" t="s">
        <v>68</v>
      </c>
      <c r="AN1392">
        <v>1</v>
      </c>
      <c r="AO1392" t="s">
        <v>69</v>
      </c>
      <c r="AP1392">
        <v>80</v>
      </c>
      <c r="AQ1392">
        <v>1</v>
      </c>
      <c r="AR1392">
        <v>6</v>
      </c>
      <c r="AS1392" t="str">
        <f t="shared" si="325"/>
        <v>6-10</v>
      </c>
      <c r="AT1392">
        <v>2</v>
      </c>
      <c r="AU1392" t="str">
        <f t="shared" si="326"/>
        <v>0-2</v>
      </c>
      <c r="AV1392">
        <v>2</v>
      </c>
      <c r="AW1392" t="s">
        <v>84</v>
      </c>
      <c r="AX1392">
        <v>4</v>
      </c>
      <c r="AY1392" t="str">
        <f t="shared" si="315"/>
        <v>2-5</v>
      </c>
      <c r="AZ1392">
        <v>1</v>
      </c>
      <c r="BA1392" t="str">
        <f t="shared" si="327"/>
        <v>0-1</v>
      </c>
      <c r="BB1392">
        <v>0</v>
      </c>
      <c r="BC1392" t="str">
        <f t="shared" si="328"/>
        <v>0-1</v>
      </c>
      <c r="BD1392">
        <v>3</v>
      </c>
      <c r="BE1392" t="str">
        <f t="shared" si="329"/>
        <v>2-5</v>
      </c>
    </row>
    <row r="1393" spans="1:57" x14ac:dyDescent="0.3">
      <c r="A1393">
        <v>1961</v>
      </c>
      <c r="B1393">
        <v>38</v>
      </c>
      <c r="C1393" t="str">
        <f t="shared" si="316"/>
        <v>36-45</v>
      </c>
      <c r="D1393" t="s">
        <v>71</v>
      </c>
      <c r="E1393">
        <f t="shared" si="317"/>
        <v>0</v>
      </c>
      <c r="F1393" t="s">
        <v>57</v>
      </c>
      <c r="G1393">
        <v>1404</v>
      </c>
      <c r="H1393" t="str">
        <f t="shared" si="318"/>
        <v>1001-1499</v>
      </c>
      <c r="I1393" t="s">
        <v>58</v>
      </c>
      <c r="J1393">
        <v>1</v>
      </c>
      <c r="K1393" t="str">
        <f t="shared" si="319"/>
        <v>1-5</v>
      </c>
      <c r="L1393">
        <v>3</v>
      </c>
      <c r="M1393" t="s">
        <v>85</v>
      </c>
      <c r="N1393" t="s">
        <v>60</v>
      </c>
      <c r="O1393">
        <v>1</v>
      </c>
      <c r="P1393">
        <v>1</v>
      </c>
      <c r="Q1393" t="s">
        <v>69</v>
      </c>
      <c r="R1393" t="s">
        <v>75</v>
      </c>
      <c r="S1393">
        <v>59</v>
      </c>
      <c r="T1393" t="str">
        <f t="shared" si="320"/>
        <v>51-75</v>
      </c>
      <c r="U1393">
        <v>2</v>
      </c>
      <c r="V1393" t="s">
        <v>61</v>
      </c>
      <c r="W1393">
        <v>1</v>
      </c>
      <c r="X1393" t="s">
        <v>91</v>
      </c>
      <c r="Y1393">
        <v>1</v>
      </c>
      <c r="Z1393" t="s">
        <v>69</v>
      </c>
      <c r="AA1393" t="s">
        <v>66</v>
      </c>
      <c r="AB1393" s="4">
        <v>2858</v>
      </c>
      <c r="AC1393" s="4" t="str">
        <f t="shared" si="321"/>
        <v>$2,500-$4,000</v>
      </c>
      <c r="AD1393">
        <v>11473</v>
      </c>
      <c r="AE1393" t="str">
        <f t="shared" si="322"/>
        <v>$8,001-$16,000</v>
      </c>
      <c r="AF1393">
        <v>4</v>
      </c>
      <c r="AG1393" t="str">
        <f t="shared" si="323"/>
        <v>4-6</v>
      </c>
      <c r="AH1393" t="s">
        <v>67</v>
      </c>
      <c r="AI1393" t="s">
        <v>71</v>
      </c>
      <c r="AJ1393">
        <v>14</v>
      </c>
      <c r="AK1393" t="str">
        <f t="shared" si="324"/>
        <v>13-15%</v>
      </c>
      <c r="AL1393">
        <v>3</v>
      </c>
      <c r="AM1393" t="s">
        <v>68</v>
      </c>
      <c r="AN1393">
        <v>1</v>
      </c>
      <c r="AO1393" t="s">
        <v>69</v>
      </c>
      <c r="AP1393">
        <v>80</v>
      </c>
      <c r="AQ1393">
        <v>0</v>
      </c>
      <c r="AR1393">
        <v>20</v>
      </c>
      <c r="AS1393" t="str">
        <f t="shared" si="325"/>
        <v>11-20</v>
      </c>
      <c r="AT1393">
        <v>3</v>
      </c>
      <c r="AU1393" t="str">
        <f t="shared" si="326"/>
        <v>3-4</v>
      </c>
      <c r="AV1393">
        <v>2</v>
      </c>
      <c r="AW1393" t="s">
        <v>84</v>
      </c>
      <c r="AX1393">
        <v>1</v>
      </c>
      <c r="AY1393" t="str">
        <f t="shared" si="315"/>
        <v>0-1</v>
      </c>
      <c r="AZ1393">
        <v>0</v>
      </c>
      <c r="BA1393" t="str">
        <f t="shared" si="327"/>
        <v>0-1</v>
      </c>
      <c r="BB1393">
        <v>0</v>
      </c>
      <c r="BC1393" t="str">
        <f t="shared" si="328"/>
        <v>0-1</v>
      </c>
      <c r="BD1393">
        <v>0</v>
      </c>
      <c r="BE1393" t="str">
        <f t="shared" si="329"/>
        <v>0-1</v>
      </c>
    </row>
    <row r="1394" spans="1:57" x14ac:dyDescent="0.3">
      <c r="A1394">
        <v>1962</v>
      </c>
      <c r="B1394">
        <v>35</v>
      </c>
      <c r="C1394" t="str">
        <f t="shared" si="316"/>
        <v>26-35</v>
      </c>
      <c r="D1394" t="s">
        <v>71</v>
      </c>
      <c r="E1394">
        <f t="shared" si="317"/>
        <v>0</v>
      </c>
      <c r="F1394" t="s">
        <v>57</v>
      </c>
      <c r="G1394">
        <v>1224</v>
      </c>
      <c r="H1394" t="str">
        <f t="shared" si="318"/>
        <v>1001-1499</v>
      </c>
      <c r="I1394" t="s">
        <v>58</v>
      </c>
      <c r="J1394">
        <v>7</v>
      </c>
      <c r="K1394" t="str">
        <f t="shared" si="319"/>
        <v>6-10</v>
      </c>
      <c r="L1394">
        <v>4</v>
      </c>
      <c r="M1394" t="s">
        <v>82</v>
      </c>
      <c r="N1394" t="s">
        <v>60</v>
      </c>
      <c r="O1394">
        <v>1</v>
      </c>
      <c r="P1394">
        <v>3</v>
      </c>
      <c r="Q1394" t="s">
        <v>63</v>
      </c>
      <c r="R1394" t="s">
        <v>62</v>
      </c>
      <c r="S1394">
        <v>55</v>
      </c>
      <c r="T1394" t="str">
        <f t="shared" si="320"/>
        <v>51-75</v>
      </c>
      <c r="U1394">
        <v>3</v>
      </c>
      <c r="V1394" t="s">
        <v>63</v>
      </c>
      <c r="W1394">
        <v>2</v>
      </c>
      <c r="X1394" t="s">
        <v>64</v>
      </c>
      <c r="Y1394">
        <v>4</v>
      </c>
      <c r="Z1394" t="s">
        <v>65</v>
      </c>
      <c r="AA1394" t="s">
        <v>77</v>
      </c>
      <c r="AB1394" s="4">
        <v>5204</v>
      </c>
      <c r="AC1394" s="4" t="str">
        <f t="shared" si="321"/>
        <v>$4,000-$5,500</v>
      </c>
      <c r="AD1394">
        <v>13586</v>
      </c>
      <c r="AE1394" t="str">
        <f t="shared" si="322"/>
        <v>$8,001-$16,000</v>
      </c>
      <c r="AF1394">
        <v>1</v>
      </c>
      <c r="AG1394" t="str">
        <f t="shared" si="323"/>
        <v>0-1</v>
      </c>
      <c r="AH1394" t="s">
        <v>67</v>
      </c>
      <c r="AI1394" t="s">
        <v>56</v>
      </c>
      <c r="AJ1394">
        <v>11</v>
      </c>
      <c r="AK1394" t="str">
        <f t="shared" si="324"/>
        <v>11-12%</v>
      </c>
      <c r="AL1394">
        <v>3</v>
      </c>
      <c r="AM1394" t="s">
        <v>68</v>
      </c>
      <c r="AN1394">
        <v>4</v>
      </c>
      <c r="AO1394" t="s">
        <v>65</v>
      </c>
      <c r="AP1394">
        <v>80</v>
      </c>
      <c r="AQ1394">
        <v>0</v>
      </c>
      <c r="AR1394">
        <v>10</v>
      </c>
      <c r="AS1394" t="str">
        <f t="shared" si="325"/>
        <v>6-10</v>
      </c>
      <c r="AT1394">
        <v>2</v>
      </c>
      <c r="AU1394" t="str">
        <f t="shared" si="326"/>
        <v>0-2</v>
      </c>
      <c r="AV1394">
        <v>3</v>
      </c>
      <c r="AW1394" t="s">
        <v>79</v>
      </c>
      <c r="AX1394">
        <v>10</v>
      </c>
      <c r="AY1394" t="str">
        <f t="shared" si="315"/>
        <v>6-10</v>
      </c>
      <c r="AZ1394">
        <v>8</v>
      </c>
      <c r="BA1394" t="str">
        <f t="shared" si="327"/>
        <v>6-10</v>
      </c>
      <c r="BB1394">
        <v>0</v>
      </c>
      <c r="BC1394" t="str">
        <f t="shared" si="328"/>
        <v>0-1</v>
      </c>
      <c r="BD1394">
        <v>9</v>
      </c>
      <c r="BE1394" t="str">
        <f t="shared" si="329"/>
        <v>6-10</v>
      </c>
    </row>
    <row r="1395" spans="1:57" x14ac:dyDescent="0.3">
      <c r="A1395">
        <v>1965</v>
      </c>
      <c r="B1395">
        <v>27</v>
      </c>
      <c r="C1395" t="str">
        <f t="shared" si="316"/>
        <v>26-35</v>
      </c>
      <c r="D1395" t="s">
        <v>71</v>
      </c>
      <c r="E1395">
        <f t="shared" si="317"/>
        <v>0</v>
      </c>
      <c r="F1395" t="s">
        <v>57</v>
      </c>
      <c r="G1395">
        <v>954</v>
      </c>
      <c r="H1395" t="str">
        <f t="shared" si="318"/>
        <v>501-1000</v>
      </c>
      <c r="I1395" t="s">
        <v>58</v>
      </c>
      <c r="J1395">
        <v>9</v>
      </c>
      <c r="K1395" t="str">
        <f t="shared" si="319"/>
        <v>6-10</v>
      </c>
      <c r="L1395">
        <v>3</v>
      </c>
      <c r="M1395" t="s">
        <v>85</v>
      </c>
      <c r="N1395" t="s">
        <v>93</v>
      </c>
      <c r="O1395">
        <v>1</v>
      </c>
      <c r="P1395">
        <v>4</v>
      </c>
      <c r="Q1395" t="s">
        <v>65</v>
      </c>
      <c r="R1395" t="s">
        <v>75</v>
      </c>
      <c r="S1395">
        <v>44</v>
      </c>
      <c r="T1395" t="str">
        <f t="shared" si="320"/>
        <v>30-50</v>
      </c>
      <c r="U1395">
        <v>3</v>
      </c>
      <c r="V1395" t="s">
        <v>63</v>
      </c>
      <c r="W1395">
        <v>2</v>
      </c>
      <c r="X1395" t="s">
        <v>64</v>
      </c>
      <c r="Y1395">
        <v>4</v>
      </c>
      <c r="Z1395" t="s">
        <v>65</v>
      </c>
      <c r="AA1395" t="s">
        <v>66</v>
      </c>
      <c r="AB1395" s="4">
        <v>4105</v>
      </c>
      <c r="AC1395" s="4" t="str">
        <f t="shared" si="321"/>
        <v>$4,000-$5,500</v>
      </c>
      <c r="AD1395">
        <v>5099</v>
      </c>
      <c r="AE1395" t="str">
        <f t="shared" si="322"/>
        <v>$2,094-$8,000</v>
      </c>
      <c r="AF1395">
        <v>1</v>
      </c>
      <c r="AG1395" t="str">
        <f t="shared" si="323"/>
        <v>0-1</v>
      </c>
      <c r="AH1395" t="s">
        <v>67</v>
      </c>
      <c r="AI1395" t="s">
        <v>71</v>
      </c>
      <c r="AJ1395">
        <v>14</v>
      </c>
      <c r="AK1395" t="str">
        <f t="shared" si="324"/>
        <v>13-15%</v>
      </c>
      <c r="AL1395">
        <v>3</v>
      </c>
      <c r="AM1395" t="s">
        <v>68</v>
      </c>
      <c r="AN1395">
        <v>1</v>
      </c>
      <c r="AO1395" t="s">
        <v>69</v>
      </c>
      <c r="AP1395">
        <v>80</v>
      </c>
      <c r="AQ1395">
        <v>0</v>
      </c>
      <c r="AR1395">
        <v>7</v>
      </c>
      <c r="AS1395" t="str">
        <f t="shared" si="325"/>
        <v>6-10</v>
      </c>
      <c r="AT1395">
        <v>5</v>
      </c>
      <c r="AU1395" t="str">
        <f t="shared" si="326"/>
        <v>5-6</v>
      </c>
      <c r="AV1395">
        <v>3</v>
      </c>
      <c r="AW1395" t="s">
        <v>79</v>
      </c>
      <c r="AX1395">
        <v>7</v>
      </c>
      <c r="AY1395" t="str">
        <f t="shared" si="315"/>
        <v>6-10</v>
      </c>
      <c r="AZ1395">
        <v>7</v>
      </c>
      <c r="BA1395" t="str">
        <f t="shared" si="327"/>
        <v>6-10</v>
      </c>
      <c r="BB1395">
        <v>0</v>
      </c>
      <c r="BC1395" t="str">
        <f t="shared" si="328"/>
        <v>0-1</v>
      </c>
      <c r="BD1395">
        <v>7</v>
      </c>
      <c r="BE1395" t="str">
        <f t="shared" si="329"/>
        <v>6-10</v>
      </c>
    </row>
    <row r="1396" spans="1:57" x14ac:dyDescent="0.3">
      <c r="A1396">
        <v>1966</v>
      </c>
      <c r="B1396">
        <v>32</v>
      </c>
      <c r="C1396" t="str">
        <f t="shared" si="316"/>
        <v>26-35</v>
      </c>
      <c r="D1396" t="s">
        <v>71</v>
      </c>
      <c r="E1396">
        <f t="shared" si="317"/>
        <v>0</v>
      </c>
      <c r="F1396" t="s">
        <v>57</v>
      </c>
      <c r="G1396">
        <v>1373</v>
      </c>
      <c r="H1396" t="str">
        <f t="shared" si="318"/>
        <v>1001-1499</v>
      </c>
      <c r="I1396" t="s">
        <v>73</v>
      </c>
      <c r="J1396">
        <v>5</v>
      </c>
      <c r="K1396" t="str">
        <f t="shared" si="319"/>
        <v>1-5</v>
      </c>
      <c r="L1396">
        <v>4</v>
      </c>
      <c r="M1396" t="s">
        <v>82</v>
      </c>
      <c r="N1396" t="s">
        <v>60</v>
      </c>
      <c r="O1396">
        <v>1</v>
      </c>
      <c r="P1396">
        <v>4</v>
      </c>
      <c r="Q1396" t="s">
        <v>65</v>
      </c>
      <c r="R1396" t="s">
        <v>75</v>
      </c>
      <c r="S1396">
        <v>56</v>
      </c>
      <c r="T1396" t="str">
        <f t="shared" si="320"/>
        <v>51-75</v>
      </c>
      <c r="U1396">
        <v>2</v>
      </c>
      <c r="V1396" t="s">
        <v>61</v>
      </c>
      <c r="W1396">
        <v>2</v>
      </c>
      <c r="X1396" t="s">
        <v>87</v>
      </c>
      <c r="Y1396">
        <v>4</v>
      </c>
      <c r="Z1396" t="s">
        <v>65</v>
      </c>
      <c r="AA1396" t="s">
        <v>66</v>
      </c>
      <c r="AB1396" s="4">
        <v>9679</v>
      </c>
      <c r="AC1396" s="4" t="str">
        <f t="shared" si="321"/>
        <v>$8,500-$10,000</v>
      </c>
      <c r="AD1396">
        <v>10138</v>
      </c>
      <c r="AE1396" t="str">
        <f t="shared" si="322"/>
        <v>$8,001-$16,000</v>
      </c>
      <c r="AF1396">
        <v>8</v>
      </c>
      <c r="AG1396" t="str">
        <f t="shared" si="323"/>
        <v>7-9</v>
      </c>
      <c r="AH1396" t="s">
        <v>67</v>
      </c>
      <c r="AI1396" t="s">
        <v>71</v>
      </c>
      <c r="AJ1396">
        <v>24</v>
      </c>
      <c r="AK1396" t="str">
        <f t="shared" si="324"/>
        <v>18-19%</v>
      </c>
      <c r="AL1396">
        <v>4</v>
      </c>
      <c r="AM1396" t="s">
        <v>78</v>
      </c>
      <c r="AN1396">
        <v>2</v>
      </c>
      <c r="AO1396" t="s">
        <v>61</v>
      </c>
      <c r="AP1396">
        <v>80</v>
      </c>
      <c r="AQ1396">
        <v>0</v>
      </c>
      <c r="AR1396">
        <v>8</v>
      </c>
      <c r="AS1396" t="str">
        <f t="shared" si="325"/>
        <v>6-10</v>
      </c>
      <c r="AT1396">
        <v>1</v>
      </c>
      <c r="AU1396" t="str">
        <f t="shared" si="326"/>
        <v>0-2</v>
      </c>
      <c r="AV1396">
        <v>3</v>
      </c>
      <c r="AW1396" t="s">
        <v>79</v>
      </c>
      <c r="AX1396">
        <v>1</v>
      </c>
      <c r="AY1396" t="str">
        <f t="shared" si="315"/>
        <v>0-1</v>
      </c>
      <c r="AZ1396">
        <v>0</v>
      </c>
      <c r="BA1396" t="str">
        <f t="shared" si="327"/>
        <v>0-1</v>
      </c>
      <c r="BB1396">
        <v>0</v>
      </c>
      <c r="BC1396" t="str">
        <f t="shared" si="328"/>
        <v>0-1</v>
      </c>
      <c r="BD1396">
        <v>0</v>
      </c>
      <c r="BE1396" t="str">
        <f t="shared" si="329"/>
        <v>0-1</v>
      </c>
    </row>
    <row r="1397" spans="1:57" x14ac:dyDescent="0.3">
      <c r="A1397">
        <v>1967</v>
      </c>
      <c r="B1397">
        <v>31</v>
      </c>
      <c r="C1397" t="str">
        <f t="shared" si="316"/>
        <v>26-35</v>
      </c>
      <c r="D1397" t="s">
        <v>56</v>
      </c>
      <c r="E1397">
        <f t="shared" si="317"/>
        <v>1</v>
      </c>
      <c r="F1397" t="s">
        <v>72</v>
      </c>
      <c r="G1397">
        <v>754</v>
      </c>
      <c r="H1397" t="str">
        <f t="shared" si="318"/>
        <v>501-1000</v>
      </c>
      <c r="I1397" t="s">
        <v>58</v>
      </c>
      <c r="J1397">
        <v>26</v>
      </c>
      <c r="K1397" t="str">
        <f t="shared" si="319"/>
        <v>21-29</v>
      </c>
      <c r="L1397">
        <v>4</v>
      </c>
      <c r="M1397" t="s">
        <v>82</v>
      </c>
      <c r="N1397" t="s">
        <v>93</v>
      </c>
      <c r="O1397">
        <v>1</v>
      </c>
      <c r="P1397">
        <v>1</v>
      </c>
      <c r="Q1397" t="s">
        <v>69</v>
      </c>
      <c r="R1397" t="s">
        <v>75</v>
      </c>
      <c r="S1397">
        <v>63</v>
      </c>
      <c r="T1397" t="str">
        <f t="shared" si="320"/>
        <v>51-75</v>
      </c>
      <c r="U1397">
        <v>3</v>
      </c>
      <c r="V1397" t="s">
        <v>63</v>
      </c>
      <c r="W1397">
        <v>2</v>
      </c>
      <c r="X1397" t="s">
        <v>64</v>
      </c>
      <c r="Y1397">
        <v>4</v>
      </c>
      <c r="Z1397" t="s">
        <v>65</v>
      </c>
      <c r="AA1397" t="s">
        <v>77</v>
      </c>
      <c r="AB1397" s="4">
        <v>5617</v>
      </c>
      <c r="AC1397" s="4" t="str">
        <f t="shared" si="321"/>
        <v>$5,500-$7,000</v>
      </c>
      <c r="AD1397">
        <v>21075</v>
      </c>
      <c r="AE1397" t="str">
        <f t="shared" si="322"/>
        <v>$16,001-$22,000</v>
      </c>
      <c r="AF1397">
        <v>1</v>
      </c>
      <c r="AG1397" t="str">
        <f t="shared" si="323"/>
        <v>0-1</v>
      </c>
      <c r="AH1397" t="s">
        <v>67</v>
      </c>
      <c r="AI1397" t="s">
        <v>56</v>
      </c>
      <c r="AJ1397">
        <v>11</v>
      </c>
      <c r="AK1397" t="str">
        <f t="shared" si="324"/>
        <v>11-12%</v>
      </c>
      <c r="AL1397">
        <v>3</v>
      </c>
      <c r="AM1397" t="s">
        <v>68</v>
      </c>
      <c r="AN1397">
        <v>3</v>
      </c>
      <c r="AO1397" t="s">
        <v>63</v>
      </c>
      <c r="AP1397">
        <v>80</v>
      </c>
      <c r="AQ1397">
        <v>0</v>
      </c>
      <c r="AR1397">
        <v>10</v>
      </c>
      <c r="AS1397" t="str">
        <f t="shared" si="325"/>
        <v>6-10</v>
      </c>
      <c r="AT1397">
        <v>4</v>
      </c>
      <c r="AU1397" t="str">
        <f t="shared" si="326"/>
        <v>3-4</v>
      </c>
      <c r="AV1397">
        <v>3</v>
      </c>
      <c r="AW1397" t="s">
        <v>79</v>
      </c>
      <c r="AX1397">
        <v>10</v>
      </c>
      <c r="AY1397" t="str">
        <f t="shared" si="315"/>
        <v>6-10</v>
      </c>
      <c r="AZ1397">
        <v>7</v>
      </c>
      <c r="BA1397" t="str">
        <f t="shared" si="327"/>
        <v>6-10</v>
      </c>
      <c r="BB1397">
        <v>0</v>
      </c>
      <c r="BC1397" t="str">
        <f t="shared" si="328"/>
        <v>0-1</v>
      </c>
      <c r="BD1397">
        <v>8</v>
      </c>
      <c r="BE1397" t="str">
        <f t="shared" si="329"/>
        <v>6-10</v>
      </c>
    </row>
    <row r="1398" spans="1:57" x14ac:dyDescent="0.3">
      <c r="A1398">
        <v>1968</v>
      </c>
      <c r="B1398">
        <v>53</v>
      </c>
      <c r="C1398" t="str">
        <f t="shared" si="316"/>
        <v>46-55</v>
      </c>
      <c r="D1398" t="s">
        <v>56</v>
      </c>
      <c r="E1398">
        <f t="shared" si="317"/>
        <v>1</v>
      </c>
      <c r="F1398" t="s">
        <v>57</v>
      </c>
      <c r="G1398">
        <v>1168</v>
      </c>
      <c r="H1398" t="str">
        <f t="shared" si="318"/>
        <v>1001-1499</v>
      </c>
      <c r="I1398" t="s">
        <v>58</v>
      </c>
      <c r="J1398">
        <v>24</v>
      </c>
      <c r="K1398" t="str">
        <f t="shared" si="319"/>
        <v>21-29</v>
      </c>
      <c r="L1398">
        <v>4</v>
      </c>
      <c r="M1398" t="s">
        <v>82</v>
      </c>
      <c r="N1398" t="s">
        <v>60</v>
      </c>
      <c r="O1398">
        <v>1</v>
      </c>
      <c r="P1398">
        <v>1</v>
      </c>
      <c r="Q1398" t="s">
        <v>69</v>
      </c>
      <c r="R1398" t="s">
        <v>75</v>
      </c>
      <c r="S1398">
        <v>66</v>
      </c>
      <c r="T1398" t="str">
        <f t="shared" si="320"/>
        <v>51-75</v>
      </c>
      <c r="U1398">
        <v>3</v>
      </c>
      <c r="V1398" t="s">
        <v>63</v>
      </c>
      <c r="W1398">
        <v>3</v>
      </c>
      <c r="X1398" t="s">
        <v>64</v>
      </c>
      <c r="Y1398">
        <v>1</v>
      </c>
      <c r="Z1398" t="s">
        <v>69</v>
      </c>
      <c r="AA1398" t="s">
        <v>66</v>
      </c>
      <c r="AB1398" s="4">
        <v>10448</v>
      </c>
      <c r="AC1398" s="4" t="str">
        <f t="shared" si="321"/>
        <v>$10,000-$11,500</v>
      </c>
      <c r="AD1398">
        <v>5843</v>
      </c>
      <c r="AE1398" t="str">
        <f t="shared" si="322"/>
        <v>$2,094-$8,000</v>
      </c>
      <c r="AF1398">
        <v>6</v>
      </c>
      <c r="AG1398" t="str">
        <f t="shared" si="323"/>
        <v>4-6</v>
      </c>
      <c r="AH1398" t="s">
        <v>67</v>
      </c>
      <c r="AI1398" t="s">
        <v>56</v>
      </c>
      <c r="AJ1398">
        <v>13</v>
      </c>
      <c r="AK1398" t="str">
        <f t="shared" si="324"/>
        <v>13-15%</v>
      </c>
      <c r="AL1398">
        <v>3</v>
      </c>
      <c r="AM1398" t="s">
        <v>68</v>
      </c>
      <c r="AN1398">
        <v>2</v>
      </c>
      <c r="AO1398" t="s">
        <v>61</v>
      </c>
      <c r="AP1398">
        <v>80</v>
      </c>
      <c r="AQ1398">
        <v>0</v>
      </c>
      <c r="AR1398">
        <v>15</v>
      </c>
      <c r="AS1398" t="str">
        <f t="shared" si="325"/>
        <v>11-20</v>
      </c>
      <c r="AT1398">
        <v>2</v>
      </c>
      <c r="AU1398" t="str">
        <f t="shared" si="326"/>
        <v>0-2</v>
      </c>
      <c r="AV1398">
        <v>2</v>
      </c>
      <c r="AW1398" t="s">
        <v>84</v>
      </c>
      <c r="AX1398">
        <v>2</v>
      </c>
      <c r="AY1398" t="str">
        <f t="shared" si="315"/>
        <v>2-5</v>
      </c>
      <c r="AZ1398">
        <v>2</v>
      </c>
      <c r="BA1398" t="str">
        <f t="shared" si="327"/>
        <v>2-5</v>
      </c>
      <c r="BB1398">
        <v>2</v>
      </c>
      <c r="BC1398" t="str">
        <f t="shared" si="328"/>
        <v>2-5</v>
      </c>
      <c r="BD1398">
        <v>2</v>
      </c>
      <c r="BE1398" t="str">
        <f t="shared" si="329"/>
        <v>2-5</v>
      </c>
    </row>
    <row r="1399" spans="1:57" x14ac:dyDescent="0.3">
      <c r="A1399">
        <v>1969</v>
      </c>
      <c r="B1399">
        <v>54</v>
      </c>
      <c r="C1399" t="str">
        <f t="shared" si="316"/>
        <v>46-55</v>
      </c>
      <c r="D1399" t="s">
        <v>71</v>
      </c>
      <c r="E1399">
        <f t="shared" si="317"/>
        <v>0</v>
      </c>
      <c r="F1399" t="s">
        <v>57</v>
      </c>
      <c r="G1399">
        <v>155</v>
      </c>
      <c r="H1399" t="str">
        <f t="shared" si="318"/>
        <v>102-500</v>
      </c>
      <c r="I1399" t="s">
        <v>73</v>
      </c>
      <c r="J1399">
        <v>9</v>
      </c>
      <c r="K1399" t="str">
        <f t="shared" si="319"/>
        <v>6-10</v>
      </c>
      <c r="L1399">
        <v>2</v>
      </c>
      <c r="M1399" t="s">
        <v>59</v>
      </c>
      <c r="N1399" t="s">
        <v>60</v>
      </c>
      <c r="O1399">
        <v>1</v>
      </c>
      <c r="P1399">
        <v>1</v>
      </c>
      <c r="Q1399" t="s">
        <v>69</v>
      </c>
      <c r="R1399" t="s">
        <v>62</v>
      </c>
      <c r="S1399">
        <v>67</v>
      </c>
      <c r="T1399" t="str">
        <f t="shared" si="320"/>
        <v>51-75</v>
      </c>
      <c r="U1399">
        <v>3</v>
      </c>
      <c r="V1399" t="s">
        <v>63</v>
      </c>
      <c r="W1399">
        <v>2</v>
      </c>
      <c r="X1399" t="s">
        <v>76</v>
      </c>
      <c r="Y1399">
        <v>3</v>
      </c>
      <c r="Z1399" t="s">
        <v>63</v>
      </c>
      <c r="AA1399" t="s">
        <v>77</v>
      </c>
      <c r="AB1399" s="4">
        <v>2897</v>
      </c>
      <c r="AC1399" s="4" t="str">
        <f t="shared" si="321"/>
        <v>$2,500-$4,000</v>
      </c>
      <c r="AD1399">
        <v>22474</v>
      </c>
      <c r="AE1399" t="str">
        <f t="shared" si="322"/>
        <v>$22,001-$26,999</v>
      </c>
      <c r="AF1399">
        <v>3</v>
      </c>
      <c r="AG1399" t="str">
        <f t="shared" si="323"/>
        <v>2-3</v>
      </c>
      <c r="AH1399" t="s">
        <v>67</v>
      </c>
      <c r="AI1399" t="s">
        <v>71</v>
      </c>
      <c r="AJ1399">
        <v>11</v>
      </c>
      <c r="AK1399" t="str">
        <f t="shared" si="324"/>
        <v>11-12%</v>
      </c>
      <c r="AL1399">
        <v>3</v>
      </c>
      <c r="AM1399" t="s">
        <v>68</v>
      </c>
      <c r="AN1399">
        <v>3</v>
      </c>
      <c r="AO1399" t="s">
        <v>63</v>
      </c>
      <c r="AP1399">
        <v>80</v>
      </c>
      <c r="AQ1399">
        <v>2</v>
      </c>
      <c r="AR1399">
        <v>9</v>
      </c>
      <c r="AS1399" t="str">
        <f t="shared" si="325"/>
        <v>6-10</v>
      </c>
      <c r="AT1399">
        <v>6</v>
      </c>
      <c r="AU1399" t="str">
        <f t="shared" si="326"/>
        <v>5-6</v>
      </c>
      <c r="AV1399">
        <v>2</v>
      </c>
      <c r="AW1399" t="s">
        <v>84</v>
      </c>
      <c r="AX1399">
        <v>4</v>
      </c>
      <c r="AY1399" t="str">
        <f t="shared" si="315"/>
        <v>2-5</v>
      </c>
      <c r="AZ1399">
        <v>3</v>
      </c>
      <c r="BA1399" t="str">
        <f t="shared" si="327"/>
        <v>2-5</v>
      </c>
      <c r="BB1399">
        <v>2</v>
      </c>
      <c r="BC1399" t="str">
        <f t="shared" si="328"/>
        <v>2-5</v>
      </c>
      <c r="BD1399">
        <v>3</v>
      </c>
      <c r="BE1399" t="str">
        <f t="shared" si="329"/>
        <v>2-5</v>
      </c>
    </row>
    <row r="1400" spans="1:57" x14ac:dyDescent="0.3">
      <c r="A1400">
        <v>1970</v>
      </c>
      <c r="B1400">
        <v>33</v>
      </c>
      <c r="C1400" t="str">
        <f t="shared" si="316"/>
        <v>26-35</v>
      </c>
      <c r="D1400" t="s">
        <v>71</v>
      </c>
      <c r="E1400">
        <f t="shared" si="317"/>
        <v>0</v>
      </c>
      <c r="F1400" t="s">
        <v>72</v>
      </c>
      <c r="G1400">
        <v>1303</v>
      </c>
      <c r="H1400" t="str">
        <f t="shared" si="318"/>
        <v>1001-1499</v>
      </c>
      <c r="I1400" t="s">
        <v>73</v>
      </c>
      <c r="J1400">
        <v>7</v>
      </c>
      <c r="K1400" t="str">
        <f t="shared" si="319"/>
        <v>6-10</v>
      </c>
      <c r="L1400">
        <v>2</v>
      </c>
      <c r="M1400" t="s">
        <v>59</v>
      </c>
      <c r="N1400" t="s">
        <v>60</v>
      </c>
      <c r="O1400">
        <v>1</v>
      </c>
      <c r="P1400">
        <v>4</v>
      </c>
      <c r="Q1400" t="s">
        <v>65</v>
      </c>
      <c r="R1400" t="s">
        <v>75</v>
      </c>
      <c r="S1400">
        <v>36</v>
      </c>
      <c r="T1400" t="str">
        <f t="shared" si="320"/>
        <v>30-50</v>
      </c>
      <c r="U1400">
        <v>3</v>
      </c>
      <c r="V1400" t="s">
        <v>63</v>
      </c>
      <c r="W1400">
        <v>2</v>
      </c>
      <c r="X1400" t="s">
        <v>88</v>
      </c>
      <c r="Y1400">
        <v>3</v>
      </c>
      <c r="Z1400" t="s">
        <v>63</v>
      </c>
      <c r="AA1400" t="s">
        <v>86</v>
      </c>
      <c r="AB1400" s="4">
        <v>5968</v>
      </c>
      <c r="AC1400" s="4" t="str">
        <f t="shared" si="321"/>
        <v>$5,500-$7,000</v>
      </c>
      <c r="AD1400">
        <v>18079</v>
      </c>
      <c r="AE1400" t="str">
        <f t="shared" si="322"/>
        <v>$16,001-$22,000</v>
      </c>
      <c r="AF1400">
        <v>1</v>
      </c>
      <c r="AG1400" t="str">
        <f t="shared" si="323"/>
        <v>0-1</v>
      </c>
      <c r="AH1400" t="s">
        <v>67</v>
      </c>
      <c r="AI1400" t="s">
        <v>71</v>
      </c>
      <c r="AJ1400">
        <v>20</v>
      </c>
      <c r="AK1400" t="str">
        <f t="shared" si="324"/>
        <v>18-19%</v>
      </c>
      <c r="AL1400">
        <v>4</v>
      </c>
      <c r="AM1400" t="s">
        <v>78</v>
      </c>
      <c r="AN1400">
        <v>3</v>
      </c>
      <c r="AO1400" t="s">
        <v>63</v>
      </c>
      <c r="AP1400">
        <v>80</v>
      </c>
      <c r="AQ1400">
        <v>3</v>
      </c>
      <c r="AR1400">
        <v>9</v>
      </c>
      <c r="AS1400" t="str">
        <f t="shared" si="325"/>
        <v>6-10</v>
      </c>
      <c r="AT1400">
        <v>2</v>
      </c>
      <c r="AU1400" t="str">
        <f t="shared" si="326"/>
        <v>0-2</v>
      </c>
      <c r="AV1400">
        <v>3</v>
      </c>
      <c r="AW1400" t="s">
        <v>79</v>
      </c>
      <c r="AX1400">
        <v>9</v>
      </c>
      <c r="AY1400" t="str">
        <f t="shared" si="315"/>
        <v>6-10</v>
      </c>
      <c r="AZ1400">
        <v>7</v>
      </c>
      <c r="BA1400" t="str">
        <f t="shared" si="327"/>
        <v>6-10</v>
      </c>
      <c r="BB1400">
        <v>2</v>
      </c>
      <c r="BC1400" t="str">
        <f t="shared" si="328"/>
        <v>2-5</v>
      </c>
      <c r="BD1400">
        <v>8</v>
      </c>
      <c r="BE1400" t="str">
        <f t="shared" si="329"/>
        <v>6-10</v>
      </c>
    </row>
    <row r="1401" spans="1:57" x14ac:dyDescent="0.3">
      <c r="A1401">
        <v>1971</v>
      </c>
      <c r="B1401">
        <v>43</v>
      </c>
      <c r="C1401" t="str">
        <f t="shared" si="316"/>
        <v>36-45</v>
      </c>
      <c r="D1401" t="s">
        <v>71</v>
      </c>
      <c r="E1401">
        <f t="shared" si="317"/>
        <v>0</v>
      </c>
      <c r="F1401" t="s">
        <v>57</v>
      </c>
      <c r="G1401">
        <v>574</v>
      </c>
      <c r="H1401" t="str">
        <f t="shared" si="318"/>
        <v>501-1000</v>
      </c>
      <c r="I1401" t="s">
        <v>73</v>
      </c>
      <c r="J1401">
        <v>11</v>
      </c>
      <c r="K1401" t="str">
        <f t="shared" si="319"/>
        <v>11-20</v>
      </c>
      <c r="L1401">
        <v>3</v>
      </c>
      <c r="M1401" t="s">
        <v>85</v>
      </c>
      <c r="N1401" t="s">
        <v>60</v>
      </c>
      <c r="O1401">
        <v>1</v>
      </c>
      <c r="P1401">
        <v>1</v>
      </c>
      <c r="Q1401" t="s">
        <v>69</v>
      </c>
      <c r="R1401" t="s">
        <v>75</v>
      </c>
      <c r="S1401">
        <v>30</v>
      </c>
      <c r="T1401" t="str">
        <f t="shared" si="320"/>
        <v>30-50</v>
      </c>
      <c r="U1401">
        <v>3</v>
      </c>
      <c r="V1401" t="s">
        <v>63</v>
      </c>
      <c r="W1401">
        <v>3</v>
      </c>
      <c r="X1401" t="s">
        <v>88</v>
      </c>
      <c r="Y1401">
        <v>3</v>
      </c>
      <c r="Z1401" t="s">
        <v>63</v>
      </c>
      <c r="AA1401" t="s">
        <v>77</v>
      </c>
      <c r="AB1401" s="4">
        <v>7510</v>
      </c>
      <c r="AC1401" s="4" t="str">
        <f t="shared" si="321"/>
        <v>$7,000-$8,500</v>
      </c>
      <c r="AD1401">
        <v>16873</v>
      </c>
      <c r="AE1401" t="str">
        <f t="shared" si="322"/>
        <v>$16,001-$22,000</v>
      </c>
      <c r="AF1401">
        <v>1</v>
      </c>
      <c r="AG1401" t="str">
        <f t="shared" si="323"/>
        <v>0-1</v>
      </c>
      <c r="AH1401" t="s">
        <v>67</v>
      </c>
      <c r="AI1401" t="s">
        <v>71</v>
      </c>
      <c r="AJ1401">
        <v>17</v>
      </c>
      <c r="AK1401" t="str">
        <f t="shared" si="324"/>
        <v>16-17%</v>
      </c>
      <c r="AL1401">
        <v>3</v>
      </c>
      <c r="AM1401" t="s">
        <v>68</v>
      </c>
      <c r="AN1401">
        <v>2</v>
      </c>
      <c r="AO1401" t="s">
        <v>61</v>
      </c>
      <c r="AP1401">
        <v>80</v>
      </c>
      <c r="AQ1401">
        <v>1</v>
      </c>
      <c r="AR1401">
        <v>10</v>
      </c>
      <c r="AS1401" t="str">
        <f t="shared" si="325"/>
        <v>6-10</v>
      </c>
      <c r="AT1401">
        <v>1</v>
      </c>
      <c r="AU1401" t="str">
        <f t="shared" si="326"/>
        <v>0-2</v>
      </c>
      <c r="AV1401">
        <v>3</v>
      </c>
      <c r="AW1401" t="s">
        <v>79</v>
      </c>
      <c r="AX1401">
        <v>10</v>
      </c>
      <c r="AY1401" t="str">
        <f t="shared" si="315"/>
        <v>6-10</v>
      </c>
      <c r="AZ1401">
        <v>9</v>
      </c>
      <c r="BA1401" t="str">
        <f t="shared" si="327"/>
        <v>6-10</v>
      </c>
      <c r="BB1401">
        <v>0</v>
      </c>
      <c r="BC1401" t="str">
        <f t="shared" si="328"/>
        <v>0-1</v>
      </c>
      <c r="BD1401">
        <v>9</v>
      </c>
      <c r="BE1401" t="str">
        <f t="shared" si="329"/>
        <v>6-10</v>
      </c>
    </row>
    <row r="1402" spans="1:57" x14ac:dyDescent="0.3">
      <c r="A1402">
        <v>1972</v>
      </c>
      <c r="B1402">
        <v>38</v>
      </c>
      <c r="C1402" t="str">
        <f t="shared" si="316"/>
        <v>36-45</v>
      </c>
      <c r="D1402" t="s">
        <v>71</v>
      </c>
      <c r="E1402">
        <f t="shared" si="317"/>
        <v>0</v>
      </c>
      <c r="F1402" t="s">
        <v>72</v>
      </c>
      <c r="G1402">
        <v>1444</v>
      </c>
      <c r="H1402" t="str">
        <f t="shared" si="318"/>
        <v>1001-1499</v>
      </c>
      <c r="I1402" t="s">
        <v>97</v>
      </c>
      <c r="J1402">
        <v>1</v>
      </c>
      <c r="K1402" t="str">
        <f t="shared" si="319"/>
        <v>1-5</v>
      </c>
      <c r="L1402">
        <v>4</v>
      </c>
      <c r="M1402" t="s">
        <v>82</v>
      </c>
      <c r="N1402" t="s">
        <v>80</v>
      </c>
      <c r="O1402">
        <v>1</v>
      </c>
      <c r="P1402">
        <v>4</v>
      </c>
      <c r="Q1402" t="s">
        <v>65</v>
      </c>
      <c r="R1402" t="s">
        <v>75</v>
      </c>
      <c r="S1402">
        <v>88</v>
      </c>
      <c r="T1402" t="str">
        <f t="shared" si="320"/>
        <v>76-100</v>
      </c>
      <c r="U1402">
        <v>3</v>
      </c>
      <c r="V1402" t="s">
        <v>63</v>
      </c>
      <c r="W1402">
        <v>1</v>
      </c>
      <c r="X1402" t="s">
        <v>97</v>
      </c>
      <c r="Y1402">
        <v>2</v>
      </c>
      <c r="Z1402" t="s">
        <v>61</v>
      </c>
      <c r="AA1402" t="s">
        <v>77</v>
      </c>
      <c r="AB1402" s="4">
        <v>2991</v>
      </c>
      <c r="AC1402" s="4" t="str">
        <f t="shared" si="321"/>
        <v>$2,500-$4,000</v>
      </c>
      <c r="AD1402">
        <v>5224</v>
      </c>
      <c r="AE1402" t="str">
        <f t="shared" si="322"/>
        <v>$2,094-$8,000</v>
      </c>
      <c r="AF1402">
        <v>0</v>
      </c>
      <c r="AG1402" t="str">
        <f t="shared" si="323"/>
        <v>0-1</v>
      </c>
      <c r="AH1402" t="s">
        <v>67</v>
      </c>
      <c r="AI1402" t="s">
        <v>56</v>
      </c>
      <c r="AJ1402">
        <v>11</v>
      </c>
      <c r="AK1402" t="str">
        <f t="shared" si="324"/>
        <v>11-12%</v>
      </c>
      <c r="AL1402">
        <v>3</v>
      </c>
      <c r="AM1402" t="s">
        <v>68</v>
      </c>
      <c r="AN1402">
        <v>2</v>
      </c>
      <c r="AO1402" t="s">
        <v>61</v>
      </c>
      <c r="AP1402">
        <v>80</v>
      </c>
      <c r="AQ1402">
        <v>1</v>
      </c>
      <c r="AR1402">
        <v>7</v>
      </c>
      <c r="AS1402" t="str">
        <f t="shared" si="325"/>
        <v>6-10</v>
      </c>
      <c r="AT1402">
        <v>2</v>
      </c>
      <c r="AU1402" t="str">
        <f t="shared" si="326"/>
        <v>0-2</v>
      </c>
      <c r="AV1402">
        <v>3</v>
      </c>
      <c r="AW1402" t="s">
        <v>79</v>
      </c>
      <c r="AX1402">
        <v>6</v>
      </c>
      <c r="AY1402" t="str">
        <f t="shared" si="315"/>
        <v>6-10</v>
      </c>
      <c r="AZ1402">
        <v>2</v>
      </c>
      <c r="BA1402" t="str">
        <f t="shared" si="327"/>
        <v>2-5</v>
      </c>
      <c r="BB1402">
        <v>1</v>
      </c>
      <c r="BC1402" t="str">
        <f t="shared" si="328"/>
        <v>0-1</v>
      </c>
      <c r="BD1402">
        <v>2</v>
      </c>
      <c r="BE1402" t="str">
        <f t="shared" si="329"/>
        <v>2-5</v>
      </c>
    </row>
    <row r="1403" spans="1:57" x14ac:dyDescent="0.3">
      <c r="A1403">
        <v>1973</v>
      </c>
      <c r="B1403">
        <v>55</v>
      </c>
      <c r="C1403" t="str">
        <f t="shared" si="316"/>
        <v>46-55</v>
      </c>
      <c r="D1403" t="s">
        <v>71</v>
      </c>
      <c r="E1403">
        <f t="shared" si="317"/>
        <v>0</v>
      </c>
      <c r="F1403" t="s">
        <v>57</v>
      </c>
      <c r="G1403">
        <v>189</v>
      </c>
      <c r="H1403" t="str">
        <f t="shared" si="318"/>
        <v>102-500</v>
      </c>
      <c r="I1403" t="s">
        <v>97</v>
      </c>
      <c r="J1403">
        <v>26</v>
      </c>
      <c r="K1403" t="str">
        <f t="shared" si="319"/>
        <v>21-29</v>
      </c>
      <c r="L1403">
        <v>4</v>
      </c>
      <c r="M1403" t="s">
        <v>82</v>
      </c>
      <c r="N1403" t="s">
        <v>97</v>
      </c>
      <c r="O1403">
        <v>1</v>
      </c>
      <c r="P1403">
        <v>3</v>
      </c>
      <c r="Q1403" t="s">
        <v>63</v>
      </c>
      <c r="R1403" t="s">
        <v>75</v>
      </c>
      <c r="S1403">
        <v>71</v>
      </c>
      <c r="T1403" t="str">
        <f t="shared" si="320"/>
        <v>51-75</v>
      </c>
      <c r="U1403">
        <v>4</v>
      </c>
      <c r="V1403" t="s">
        <v>65</v>
      </c>
      <c r="W1403">
        <v>5</v>
      </c>
      <c r="X1403" t="s">
        <v>90</v>
      </c>
      <c r="Y1403">
        <v>2</v>
      </c>
      <c r="Z1403" t="s">
        <v>61</v>
      </c>
      <c r="AA1403" t="s">
        <v>77</v>
      </c>
      <c r="AB1403" s="4">
        <v>19636</v>
      </c>
      <c r="AC1403" s="4" t="str">
        <f t="shared" si="321"/>
        <v>$19,000-$20,500</v>
      </c>
      <c r="AD1403">
        <v>25811</v>
      </c>
      <c r="AE1403" t="str">
        <f t="shared" si="322"/>
        <v>$22,001-$26,999</v>
      </c>
      <c r="AF1403">
        <v>4</v>
      </c>
      <c r="AG1403" t="str">
        <f t="shared" si="323"/>
        <v>4-6</v>
      </c>
      <c r="AH1403" t="s">
        <v>67</v>
      </c>
      <c r="AI1403" t="s">
        <v>56</v>
      </c>
      <c r="AJ1403">
        <v>18</v>
      </c>
      <c r="AK1403" t="str">
        <f t="shared" si="324"/>
        <v>18-19%</v>
      </c>
      <c r="AL1403">
        <v>3</v>
      </c>
      <c r="AM1403" t="s">
        <v>68</v>
      </c>
      <c r="AN1403">
        <v>1</v>
      </c>
      <c r="AO1403" t="s">
        <v>69</v>
      </c>
      <c r="AP1403">
        <v>80</v>
      </c>
      <c r="AQ1403">
        <v>1</v>
      </c>
      <c r="AR1403">
        <v>35</v>
      </c>
      <c r="AS1403" t="str">
        <f t="shared" si="325"/>
        <v>21-40</v>
      </c>
      <c r="AT1403">
        <v>0</v>
      </c>
      <c r="AU1403" t="str">
        <f t="shared" si="326"/>
        <v>0-2</v>
      </c>
      <c r="AV1403">
        <v>3</v>
      </c>
      <c r="AW1403" t="s">
        <v>79</v>
      </c>
      <c r="AX1403">
        <v>10</v>
      </c>
      <c r="AY1403" t="str">
        <f t="shared" si="315"/>
        <v>6-10</v>
      </c>
      <c r="AZ1403">
        <v>9</v>
      </c>
      <c r="BA1403" t="str">
        <f t="shared" si="327"/>
        <v>6-10</v>
      </c>
      <c r="BB1403">
        <v>1</v>
      </c>
      <c r="BC1403" t="str">
        <f t="shared" si="328"/>
        <v>0-1</v>
      </c>
      <c r="BD1403">
        <v>4</v>
      </c>
      <c r="BE1403" t="str">
        <f t="shared" si="329"/>
        <v>2-5</v>
      </c>
    </row>
    <row r="1404" spans="1:57" x14ac:dyDescent="0.3">
      <c r="A1404">
        <v>1974</v>
      </c>
      <c r="B1404">
        <v>31</v>
      </c>
      <c r="C1404" t="str">
        <f t="shared" si="316"/>
        <v>26-35</v>
      </c>
      <c r="D1404" t="s">
        <v>71</v>
      </c>
      <c r="E1404">
        <f t="shared" si="317"/>
        <v>0</v>
      </c>
      <c r="F1404" t="s">
        <v>57</v>
      </c>
      <c r="G1404">
        <v>1276</v>
      </c>
      <c r="H1404" t="str">
        <f t="shared" si="318"/>
        <v>1001-1499</v>
      </c>
      <c r="I1404" t="s">
        <v>73</v>
      </c>
      <c r="J1404">
        <v>2</v>
      </c>
      <c r="K1404" t="str">
        <f t="shared" si="319"/>
        <v>1-5</v>
      </c>
      <c r="L1404">
        <v>1</v>
      </c>
      <c r="M1404" t="s">
        <v>74</v>
      </c>
      <c r="N1404" t="s">
        <v>83</v>
      </c>
      <c r="O1404">
        <v>1</v>
      </c>
      <c r="P1404">
        <v>4</v>
      </c>
      <c r="Q1404" t="s">
        <v>65</v>
      </c>
      <c r="R1404" t="s">
        <v>62</v>
      </c>
      <c r="S1404">
        <v>59</v>
      </c>
      <c r="T1404" t="str">
        <f t="shared" si="320"/>
        <v>51-75</v>
      </c>
      <c r="U1404">
        <v>1</v>
      </c>
      <c r="V1404" t="s">
        <v>69</v>
      </c>
      <c r="W1404">
        <v>1</v>
      </c>
      <c r="X1404" t="s">
        <v>81</v>
      </c>
      <c r="Y1404">
        <v>4</v>
      </c>
      <c r="Z1404" t="s">
        <v>65</v>
      </c>
      <c r="AA1404" t="s">
        <v>86</v>
      </c>
      <c r="AB1404" s="4">
        <v>1129</v>
      </c>
      <c r="AC1404" s="4" t="str">
        <f t="shared" si="321"/>
        <v>$1,000-$2,500</v>
      </c>
      <c r="AD1404">
        <v>17536</v>
      </c>
      <c r="AE1404" t="str">
        <f t="shared" si="322"/>
        <v>$16,001-$22,000</v>
      </c>
      <c r="AF1404">
        <v>1</v>
      </c>
      <c r="AG1404" t="str">
        <f t="shared" si="323"/>
        <v>0-1</v>
      </c>
      <c r="AH1404" t="s">
        <v>67</v>
      </c>
      <c r="AI1404" t="s">
        <v>56</v>
      </c>
      <c r="AJ1404">
        <v>11</v>
      </c>
      <c r="AK1404" t="str">
        <f t="shared" si="324"/>
        <v>11-12%</v>
      </c>
      <c r="AL1404">
        <v>3</v>
      </c>
      <c r="AM1404" t="s">
        <v>68</v>
      </c>
      <c r="AN1404">
        <v>3</v>
      </c>
      <c r="AO1404" t="s">
        <v>63</v>
      </c>
      <c r="AP1404">
        <v>80</v>
      </c>
      <c r="AQ1404">
        <v>3</v>
      </c>
      <c r="AR1404">
        <v>1</v>
      </c>
      <c r="AS1404" t="str">
        <f t="shared" si="325"/>
        <v>0-2</v>
      </c>
      <c r="AT1404">
        <v>4</v>
      </c>
      <c r="AU1404" t="str">
        <f t="shared" si="326"/>
        <v>3-4</v>
      </c>
      <c r="AV1404">
        <v>3</v>
      </c>
      <c r="AW1404" t="s">
        <v>79</v>
      </c>
      <c r="AX1404">
        <v>1</v>
      </c>
      <c r="AY1404" t="str">
        <f t="shared" si="315"/>
        <v>0-1</v>
      </c>
      <c r="AZ1404">
        <v>0</v>
      </c>
      <c r="BA1404" t="str">
        <f t="shared" si="327"/>
        <v>0-1</v>
      </c>
      <c r="BB1404">
        <v>0</v>
      </c>
      <c r="BC1404" t="str">
        <f t="shared" si="328"/>
        <v>0-1</v>
      </c>
      <c r="BD1404">
        <v>0</v>
      </c>
      <c r="BE1404" t="str">
        <f t="shared" si="329"/>
        <v>0-1</v>
      </c>
    </row>
    <row r="1405" spans="1:57" x14ac:dyDescent="0.3">
      <c r="A1405">
        <v>1975</v>
      </c>
      <c r="B1405">
        <v>39</v>
      </c>
      <c r="C1405" t="str">
        <f t="shared" si="316"/>
        <v>36-45</v>
      </c>
      <c r="D1405" t="s">
        <v>71</v>
      </c>
      <c r="E1405">
        <f t="shared" si="317"/>
        <v>0</v>
      </c>
      <c r="F1405" t="s">
        <v>57</v>
      </c>
      <c r="G1405">
        <v>119</v>
      </c>
      <c r="H1405" t="str">
        <f t="shared" si="318"/>
        <v>102-500</v>
      </c>
      <c r="I1405" t="s">
        <v>58</v>
      </c>
      <c r="J1405">
        <v>15</v>
      </c>
      <c r="K1405" t="str">
        <f t="shared" si="319"/>
        <v>11-20</v>
      </c>
      <c r="L1405">
        <v>4</v>
      </c>
      <c r="M1405" t="s">
        <v>82</v>
      </c>
      <c r="N1405" t="s">
        <v>93</v>
      </c>
      <c r="O1405">
        <v>1</v>
      </c>
      <c r="P1405">
        <v>2</v>
      </c>
      <c r="Q1405" t="s">
        <v>61</v>
      </c>
      <c r="R1405" t="s">
        <v>75</v>
      </c>
      <c r="S1405">
        <v>77</v>
      </c>
      <c r="T1405" t="str">
        <f t="shared" si="320"/>
        <v>76-100</v>
      </c>
      <c r="U1405">
        <v>3</v>
      </c>
      <c r="V1405" t="s">
        <v>63</v>
      </c>
      <c r="W1405">
        <v>4</v>
      </c>
      <c r="X1405" t="s">
        <v>64</v>
      </c>
      <c r="Y1405">
        <v>1</v>
      </c>
      <c r="Z1405" t="s">
        <v>69</v>
      </c>
      <c r="AA1405" t="s">
        <v>66</v>
      </c>
      <c r="AB1405" s="4">
        <v>13341</v>
      </c>
      <c r="AC1405" s="4" t="str">
        <f t="shared" si="321"/>
        <v>$13,000-$14,500</v>
      </c>
      <c r="AD1405">
        <v>25098</v>
      </c>
      <c r="AE1405" t="str">
        <f t="shared" si="322"/>
        <v>$22,001-$26,999</v>
      </c>
      <c r="AF1405">
        <v>0</v>
      </c>
      <c r="AG1405" t="str">
        <f t="shared" si="323"/>
        <v>0-1</v>
      </c>
      <c r="AH1405" t="s">
        <v>67</v>
      </c>
      <c r="AI1405" t="s">
        <v>71</v>
      </c>
      <c r="AJ1405">
        <v>12</v>
      </c>
      <c r="AK1405" t="str">
        <f t="shared" si="324"/>
        <v>11-12%</v>
      </c>
      <c r="AL1405">
        <v>3</v>
      </c>
      <c r="AM1405" t="s">
        <v>68</v>
      </c>
      <c r="AN1405">
        <v>1</v>
      </c>
      <c r="AO1405" t="s">
        <v>69</v>
      </c>
      <c r="AP1405">
        <v>80</v>
      </c>
      <c r="AQ1405">
        <v>0</v>
      </c>
      <c r="AR1405">
        <v>21</v>
      </c>
      <c r="AS1405" t="str">
        <f t="shared" si="325"/>
        <v>21-40</v>
      </c>
      <c r="AT1405">
        <v>3</v>
      </c>
      <c r="AU1405" t="str">
        <f t="shared" si="326"/>
        <v>3-4</v>
      </c>
      <c r="AV1405">
        <v>3</v>
      </c>
      <c r="AW1405" t="s">
        <v>79</v>
      </c>
      <c r="AX1405">
        <v>20</v>
      </c>
      <c r="AY1405" t="str">
        <f t="shared" si="315"/>
        <v>11-20</v>
      </c>
      <c r="AZ1405">
        <v>8</v>
      </c>
      <c r="BA1405" t="str">
        <f t="shared" si="327"/>
        <v>6-10</v>
      </c>
      <c r="BB1405">
        <v>11</v>
      </c>
      <c r="BC1405" t="str">
        <f t="shared" si="328"/>
        <v>11-15</v>
      </c>
      <c r="BD1405">
        <v>10</v>
      </c>
      <c r="BE1405" t="str">
        <f t="shared" si="329"/>
        <v>6-10</v>
      </c>
    </row>
    <row r="1406" spans="1:57" x14ac:dyDescent="0.3">
      <c r="A1406">
        <v>1976</v>
      </c>
      <c r="B1406">
        <v>42</v>
      </c>
      <c r="C1406" t="str">
        <f t="shared" si="316"/>
        <v>36-45</v>
      </c>
      <c r="D1406" t="s">
        <v>71</v>
      </c>
      <c r="E1406">
        <f t="shared" si="317"/>
        <v>0</v>
      </c>
      <c r="F1406" t="s">
        <v>89</v>
      </c>
      <c r="G1406">
        <v>335</v>
      </c>
      <c r="H1406" t="str">
        <f t="shared" si="318"/>
        <v>102-500</v>
      </c>
      <c r="I1406" t="s">
        <v>73</v>
      </c>
      <c r="J1406">
        <v>23</v>
      </c>
      <c r="K1406" t="str">
        <f t="shared" si="319"/>
        <v>21-29</v>
      </c>
      <c r="L1406">
        <v>2</v>
      </c>
      <c r="M1406" t="s">
        <v>59</v>
      </c>
      <c r="N1406" t="s">
        <v>60</v>
      </c>
      <c r="O1406">
        <v>1</v>
      </c>
      <c r="P1406">
        <v>4</v>
      </c>
      <c r="Q1406" t="s">
        <v>65</v>
      </c>
      <c r="R1406" t="s">
        <v>75</v>
      </c>
      <c r="S1406">
        <v>37</v>
      </c>
      <c r="T1406" t="str">
        <f t="shared" si="320"/>
        <v>30-50</v>
      </c>
      <c r="U1406">
        <v>2</v>
      </c>
      <c r="V1406" t="s">
        <v>61</v>
      </c>
      <c r="W1406">
        <v>2</v>
      </c>
      <c r="X1406" t="s">
        <v>76</v>
      </c>
      <c r="Y1406">
        <v>3</v>
      </c>
      <c r="Z1406" t="s">
        <v>63</v>
      </c>
      <c r="AA1406" t="s">
        <v>66</v>
      </c>
      <c r="AB1406" s="4">
        <v>4332</v>
      </c>
      <c r="AC1406" s="4" t="str">
        <f t="shared" si="321"/>
        <v>$4,000-$5,500</v>
      </c>
      <c r="AD1406">
        <v>14811</v>
      </c>
      <c r="AE1406" t="str">
        <f t="shared" si="322"/>
        <v>$8,001-$16,000</v>
      </c>
      <c r="AF1406">
        <v>1</v>
      </c>
      <c r="AG1406" t="str">
        <f t="shared" si="323"/>
        <v>0-1</v>
      </c>
      <c r="AH1406" t="s">
        <v>67</v>
      </c>
      <c r="AI1406" t="s">
        <v>71</v>
      </c>
      <c r="AJ1406">
        <v>12</v>
      </c>
      <c r="AK1406" t="str">
        <f t="shared" si="324"/>
        <v>11-12%</v>
      </c>
      <c r="AL1406">
        <v>3</v>
      </c>
      <c r="AM1406" t="s">
        <v>68</v>
      </c>
      <c r="AN1406">
        <v>4</v>
      </c>
      <c r="AO1406" t="s">
        <v>65</v>
      </c>
      <c r="AP1406">
        <v>80</v>
      </c>
      <c r="AQ1406">
        <v>0</v>
      </c>
      <c r="AR1406">
        <v>20</v>
      </c>
      <c r="AS1406" t="str">
        <f t="shared" si="325"/>
        <v>11-20</v>
      </c>
      <c r="AT1406">
        <v>2</v>
      </c>
      <c r="AU1406" t="str">
        <f t="shared" si="326"/>
        <v>0-2</v>
      </c>
      <c r="AV1406">
        <v>3</v>
      </c>
      <c r="AW1406" t="s">
        <v>79</v>
      </c>
      <c r="AX1406">
        <v>20</v>
      </c>
      <c r="AY1406" t="str">
        <f t="shared" si="315"/>
        <v>11-20</v>
      </c>
      <c r="AZ1406">
        <v>9</v>
      </c>
      <c r="BA1406" t="str">
        <f t="shared" si="327"/>
        <v>6-10</v>
      </c>
      <c r="BB1406">
        <v>3</v>
      </c>
      <c r="BC1406" t="str">
        <f t="shared" si="328"/>
        <v>2-5</v>
      </c>
      <c r="BD1406">
        <v>7</v>
      </c>
      <c r="BE1406" t="str">
        <f t="shared" si="329"/>
        <v>6-10</v>
      </c>
    </row>
    <row r="1407" spans="1:57" x14ac:dyDescent="0.3">
      <c r="A1407">
        <v>1979</v>
      </c>
      <c r="B1407">
        <v>31</v>
      </c>
      <c r="C1407" t="str">
        <f t="shared" si="316"/>
        <v>26-35</v>
      </c>
      <c r="D1407" t="s">
        <v>71</v>
      </c>
      <c r="E1407">
        <f t="shared" si="317"/>
        <v>0</v>
      </c>
      <c r="F1407" t="s">
        <v>89</v>
      </c>
      <c r="G1407">
        <v>697</v>
      </c>
      <c r="H1407" t="str">
        <f t="shared" si="318"/>
        <v>501-1000</v>
      </c>
      <c r="I1407" t="s">
        <v>73</v>
      </c>
      <c r="J1407">
        <v>10</v>
      </c>
      <c r="K1407" t="str">
        <f t="shared" si="319"/>
        <v>6-10</v>
      </c>
      <c r="L1407">
        <v>3</v>
      </c>
      <c r="M1407" t="s">
        <v>85</v>
      </c>
      <c r="N1407" t="s">
        <v>83</v>
      </c>
      <c r="O1407">
        <v>1</v>
      </c>
      <c r="P1407">
        <v>3</v>
      </c>
      <c r="Q1407" t="s">
        <v>63</v>
      </c>
      <c r="R1407" t="s">
        <v>62</v>
      </c>
      <c r="S1407">
        <v>40</v>
      </c>
      <c r="T1407" t="str">
        <f t="shared" si="320"/>
        <v>30-50</v>
      </c>
      <c r="U1407">
        <v>3</v>
      </c>
      <c r="V1407" t="s">
        <v>63</v>
      </c>
      <c r="W1407">
        <v>3</v>
      </c>
      <c r="X1407" t="s">
        <v>92</v>
      </c>
      <c r="Y1407">
        <v>3</v>
      </c>
      <c r="Z1407" t="s">
        <v>63</v>
      </c>
      <c r="AA1407" t="s">
        <v>77</v>
      </c>
      <c r="AB1407" s="4">
        <v>11031</v>
      </c>
      <c r="AC1407" s="4" t="str">
        <f t="shared" si="321"/>
        <v>$10,000-$11,500</v>
      </c>
      <c r="AD1407">
        <v>26862</v>
      </c>
      <c r="AE1407" t="str">
        <f t="shared" si="322"/>
        <v>$22,001-$26,999</v>
      </c>
      <c r="AF1407">
        <v>4</v>
      </c>
      <c r="AG1407" t="str">
        <f t="shared" si="323"/>
        <v>4-6</v>
      </c>
      <c r="AH1407" t="s">
        <v>67</v>
      </c>
      <c r="AI1407" t="s">
        <v>71</v>
      </c>
      <c r="AJ1407">
        <v>20</v>
      </c>
      <c r="AK1407" t="str">
        <f t="shared" si="324"/>
        <v>18-19%</v>
      </c>
      <c r="AL1407">
        <v>4</v>
      </c>
      <c r="AM1407" t="s">
        <v>78</v>
      </c>
      <c r="AN1407">
        <v>3</v>
      </c>
      <c r="AO1407" t="s">
        <v>63</v>
      </c>
      <c r="AP1407">
        <v>80</v>
      </c>
      <c r="AQ1407">
        <v>1</v>
      </c>
      <c r="AR1407">
        <v>13</v>
      </c>
      <c r="AS1407" t="str">
        <f t="shared" si="325"/>
        <v>11-20</v>
      </c>
      <c r="AT1407">
        <v>2</v>
      </c>
      <c r="AU1407" t="str">
        <f t="shared" si="326"/>
        <v>0-2</v>
      </c>
      <c r="AV1407">
        <v>4</v>
      </c>
      <c r="AW1407" t="s">
        <v>94</v>
      </c>
      <c r="AX1407">
        <v>11</v>
      </c>
      <c r="AY1407" t="str">
        <f t="shared" si="315"/>
        <v>11-20</v>
      </c>
      <c r="AZ1407">
        <v>7</v>
      </c>
      <c r="BA1407" t="str">
        <f t="shared" si="327"/>
        <v>6-10</v>
      </c>
      <c r="BB1407">
        <v>4</v>
      </c>
      <c r="BC1407" t="str">
        <f t="shared" si="328"/>
        <v>2-5</v>
      </c>
      <c r="BD1407">
        <v>8</v>
      </c>
      <c r="BE1407" t="str">
        <f t="shared" si="329"/>
        <v>6-10</v>
      </c>
    </row>
    <row r="1408" spans="1:57" x14ac:dyDescent="0.3">
      <c r="A1408">
        <v>1980</v>
      </c>
      <c r="B1408">
        <v>54</v>
      </c>
      <c r="C1408" t="str">
        <f t="shared" si="316"/>
        <v>46-55</v>
      </c>
      <c r="D1408" t="s">
        <v>71</v>
      </c>
      <c r="E1408">
        <f t="shared" si="317"/>
        <v>0</v>
      </c>
      <c r="F1408" t="s">
        <v>57</v>
      </c>
      <c r="G1408">
        <v>157</v>
      </c>
      <c r="H1408" t="str">
        <f t="shared" si="318"/>
        <v>102-500</v>
      </c>
      <c r="I1408" t="s">
        <v>73</v>
      </c>
      <c r="J1408">
        <v>10</v>
      </c>
      <c r="K1408" t="str">
        <f t="shared" si="319"/>
        <v>6-10</v>
      </c>
      <c r="L1408">
        <v>3</v>
      </c>
      <c r="M1408" t="s">
        <v>85</v>
      </c>
      <c r="N1408" t="s">
        <v>83</v>
      </c>
      <c r="O1408">
        <v>1</v>
      </c>
      <c r="P1408">
        <v>3</v>
      </c>
      <c r="Q1408" t="s">
        <v>63</v>
      </c>
      <c r="R1408" t="s">
        <v>62</v>
      </c>
      <c r="S1408">
        <v>77</v>
      </c>
      <c r="T1408" t="str">
        <f t="shared" si="320"/>
        <v>76-100</v>
      </c>
      <c r="U1408">
        <v>3</v>
      </c>
      <c r="V1408" t="s">
        <v>63</v>
      </c>
      <c r="W1408">
        <v>2</v>
      </c>
      <c r="X1408" t="s">
        <v>87</v>
      </c>
      <c r="Y1408">
        <v>1</v>
      </c>
      <c r="Z1408" t="s">
        <v>69</v>
      </c>
      <c r="AA1408" t="s">
        <v>66</v>
      </c>
      <c r="AB1408" s="4">
        <v>4440</v>
      </c>
      <c r="AC1408" s="4" t="str">
        <f t="shared" si="321"/>
        <v>$4,000-$5,500</v>
      </c>
      <c r="AD1408">
        <v>25198</v>
      </c>
      <c r="AE1408" t="str">
        <f t="shared" si="322"/>
        <v>$22,001-$26,999</v>
      </c>
      <c r="AF1408">
        <v>6</v>
      </c>
      <c r="AG1408" t="str">
        <f t="shared" si="323"/>
        <v>4-6</v>
      </c>
      <c r="AH1408" t="s">
        <v>67</v>
      </c>
      <c r="AI1408" t="s">
        <v>56</v>
      </c>
      <c r="AJ1408">
        <v>19</v>
      </c>
      <c r="AK1408" t="str">
        <f t="shared" si="324"/>
        <v>18-19%</v>
      </c>
      <c r="AL1408">
        <v>3</v>
      </c>
      <c r="AM1408" t="s">
        <v>68</v>
      </c>
      <c r="AN1408">
        <v>4</v>
      </c>
      <c r="AO1408" t="s">
        <v>65</v>
      </c>
      <c r="AP1408">
        <v>80</v>
      </c>
      <c r="AQ1408">
        <v>0</v>
      </c>
      <c r="AR1408">
        <v>9</v>
      </c>
      <c r="AS1408" t="str">
        <f t="shared" si="325"/>
        <v>6-10</v>
      </c>
      <c r="AT1408">
        <v>3</v>
      </c>
      <c r="AU1408" t="str">
        <f t="shared" si="326"/>
        <v>3-4</v>
      </c>
      <c r="AV1408">
        <v>3</v>
      </c>
      <c r="AW1408" t="s">
        <v>79</v>
      </c>
      <c r="AX1408">
        <v>5</v>
      </c>
      <c r="AY1408" t="str">
        <f t="shared" si="315"/>
        <v>2-5</v>
      </c>
      <c r="AZ1408">
        <v>2</v>
      </c>
      <c r="BA1408" t="str">
        <f t="shared" si="327"/>
        <v>2-5</v>
      </c>
      <c r="BB1408">
        <v>1</v>
      </c>
      <c r="BC1408" t="str">
        <f t="shared" si="328"/>
        <v>0-1</v>
      </c>
      <c r="BD1408">
        <v>4</v>
      </c>
      <c r="BE1408" t="str">
        <f t="shared" si="329"/>
        <v>2-5</v>
      </c>
    </row>
    <row r="1409" spans="1:57" x14ac:dyDescent="0.3">
      <c r="A1409">
        <v>1981</v>
      </c>
      <c r="B1409">
        <v>24</v>
      </c>
      <c r="C1409" t="str">
        <f t="shared" si="316"/>
        <v>18-25</v>
      </c>
      <c r="D1409" t="s">
        <v>71</v>
      </c>
      <c r="E1409">
        <f t="shared" si="317"/>
        <v>0</v>
      </c>
      <c r="F1409" t="s">
        <v>57</v>
      </c>
      <c r="G1409">
        <v>771</v>
      </c>
      <c r="H1409" t="str">
        <f t="shared" si="318"/>
        <v>501-1000</v>
      </c>
      <c r="I1409" t="s">
        <v>73</v>
      </c>
      <c r="J1409">
        <v>1</v>
      </c>
      <c r="K1409" t="str">
        <f t="shared" si="319"/>
        <v>1-5</v>
      </c>
      <c r="L1409">
        <v>2</v>
      </c>
      <c r="M1409" t="s">
        <v>59</v>
      </c>
      <c r="N1409" t="s">
        <v>60</v>
      </c>
      <c r="O1409">
        <v>1</v>
      </c>
      <c r="P1409">
        <v>2</v>
      </c>
      <c r="Q1409" t="s">
        <v>61</v>
      </c>
      <c r="R1409" t="s">
        <v>75</v>
      </c>
      <c r="S1409">
        <v>45</v>
      </c>
      <c r="T1409" t="str">
        <f t="shared" si="320"/>
        <v>30-50</v>
      </c>
      <c r="U1409">
        <v>2</v>
      </c>
      <c r="V1409" t="s">
        <v>61</v>
      </c>
      <c r="W1409">
        <v>2</v>
      </c>
      <c r="X1409" t="s">
        <v>88</v>
      </c>
      <c r="Y1409">
        <v>3</v>
      </c>
      <c r="Z1409" t="s">
        <v>63</v>
      </c>
      <c r="AA1409" t="s">
        <v>66</v>
      </c>
      <c r="AB1409" s="4">
        <v>4617</v>
      </c>
      <c r="AC1409" s="4" t="str">
        <f t="shared" si="321"/>
        <v>$4,000-$5,500</v>
      </c>
      <c r="AD1409">
        <v>14120</v>
      </c>
      <c r="AE1409" t="str">
        <f t="shared" si="322"/>
        <v>$8,001-$16,000</v>
      </c>
      <c r="AF1409">
        <v>1</v>
      </c>
      <c r="AG1409" t="str">
        <f t="shared" si="323"/>
        <v>0-1</v>
      </c>
      <c r="AH1409" t="s">
        <v>67</v>
      </c>
      <c r="AI1409" t="s">
        <v>71</v>
      </c>
      <c r="AJ1409">
        <v>12</v>
      </c>
      <c r="AK1409" t="str">
        <f t="shared" si="324"/>
        <v>11-12%</v>
      </c>
      <c r="AL1409">
        <v>3</v>
      </c>
      <c r="AM1409" t="s">
        <v>68</v>
      </c>
      <c r="AN1409">
        <v>2</v>
      </c>
      <c r="AO1409" t="s">
        <v>61</v>
      </c>
      <c r="AP1409">
        <v>80</v>
      </c>
      <c r="AQ1409">
        <v>0</v>
      </c>
      <c r="AR1409">
        <v>4</v>
      </c>
      <c r="AS1409" t="str">
        <f t="shared" si="325"/>
        <v>3-5</v>
      </c>
      <c r="AT1409">
        <v>2</v>
      </c>
      <c r="AU1409" t="str">
        <f t="shared" si="326"/>
        <v>0-2</v>
      </c>
      <c r="AV1409">
        <v>2</v>
      </c>
      <c r="AW1409" t="s">
        <v>84</v>
      </c>
      <c r="AX1409">
        <v>4</v>
      </c>
      <c r="AY1409" t="str">
        <f t="shared" si="315"/>
        <v>2-5</v>
      </c>
      <c r="AZ1409">
        <v>3</v>
      </c>
      <c r="BA1409" t="str">
        <f t="shared" si="327"/>
        <v>2-5</v>
      </c>
      <c r="BB1409">
        <v>1</v>
      </c>
      <c r="BC1409" t="str">
        <f t="shared" si="328"/>
        <v>0-1</v>
      </c>
      <c r="BD1409">
        <v>2</v>
      </c>
      <c r="BE1409" t="str">
        <f t="shared" si="329"/>
        <v>2-5</v>
      </c>
    </row>
    <row r="1410" spans="1:57" x14ac:dyDescent="0.3">
      <c r="A1410">
        <v>1982</v>
      </c>
      <c r="B1410">
        <v>23</v>
      </c>
      <c r="C1410" t="str">
        <f t="shared" si="316"/>
        <v>18-25</v>
      </c>
      <c r="D1410" t="s">
        <v>71</v>
      </c>
      <c r="E1410">
        <f t="shared" si="317"/>
        <v>0</v>
      </c>
      <c r="F1410" t="s">
        <v>57</v>
      </c>
      <c r="G1410">
        <v>571</v>
      </c>
      <c r="H1410" t="str">
        <f t="shared" si="318"/>
        <v>501-1000</v>
      </c>
      <c r="I1410" t="s">
        <v>73</v>
      </c>
      <c r="J1410">
        <v>12</v>
      </c>
      <c r="K1410" t="str">
        <f t="shared" si="319"/>
        <v>11-20</v>
      </c>
      <c r="L1410">
        <v>2</v>
      </c>
      <c r="M1410" t="s">
        <v>59</v>
      </c>
      <c r="N1410" t="s">
        <v>80</v>
      </c>
      <c r="O1410">
        <v>1</v>
      </c>
      <c r="P1410">
        <v>4</v>
      </c>
      <c r="Q1410" t="s">
        <v>65</v>
      </c>
      <c r="R1410" t="s">
        <v>75</v>
      </c>
      <c r="S1410">
        <v>78</v>
      </c>
      <c r="T1410" t="str">
        <f t="shared" si="320"/>
        <v>76-100</v>
      </c>
      <c r="U1410">
        <v>3</v>
      </c>
      <c r="V1410" t="s">
        <v>63</v>
      </c>
      <c r="W1410">
        <v>1</v>
      </c>
      <c r="X1410" t="s">
        <v>81</v>
      </c>
      <c r="Y1410">
        <v>4</v>
      </c>
      <c r="Z1410" t="s">
        <v>65</v>
      </c>
      <c r="AA1410" t="s">
        <v>66</v>
      </c>
      <c r="AB1410" s="4">
        <v>2647</v>
      </c>
      <c r="AC1410" s="4" t="str">
        <f t="shared" si="321"/>
        <v>$2,500-$4,000</v>
      </c>
      <c r="AD1410">
        <v>13672</v>
      </c>
      <c r="AE1410" t="str">
        <f t="shared" si="322"/>
        <v>$8,001-$16,000</v>
      </c>
      <c r="AF1410">
        <v>1</v>
      </c>
      <c r="AG1410" t="str">
        <f t="shared" si="323"/>
        <v>0-1</v>
      </c>
      <c r="AH1410" t="s">
        <v>67</v>
      </c>
      <c r="AI1410" t="s">
        <v>71</v>
      </c>
      <c r="AJ1410">
        <v>13</v>
      </c>
      <c r="AK1410" t="str">
        <f t="shared" si="324"/>
        <v>13-15%</v>
      </c>
      <c r="AL1410">
        <v>3</v>
      </c>
      <c r="AM1410" t="s">
        <v>68</v>
      </c>
      <c r="AN1410">
        <v>3</v>
      </c>
      <c r="AO1410" t="s">
        <v>63</v>
      </c>
      <c r="AP1410">
        <v>80</v>
      </c>
      <c r="AQ1410">
        <v>0</v>
      </c>
      <c r="AR1410">
        <v>5</v>
      </c>
      <c r="AS1410" t="str">
        <f t="shared" si="325"/>
        <v>3-5</v>
      </c>
      <c r="AT1410">
        <v>6</v>
      </c>
      <c r="AU1410" t="str">
        <f t="shared" si="326"/>
        <v>5-6</v>
      </c>
      <c r="AV1410">
        <v>4</v>
      </c>
      <c r="AW1410" t="s">
        <v>94</v>
      </c>
      <c r="AX1410">
        <v>5</v>
      </c>
      <c r="AY1410" t="str">
        <f t="shared" ref="AY1410:AY1473" si="330">IF(AX1410&lt;=1,"0-1",IF(AX1410&lt;=5,"2-5",IF(AX1410&lt;=10,"6-10",IF(AX1410&lt;=20,"11-20","21-40"))))</f>
        <v>2-5</v>
      </c>
      <c r="AZ1410">
        <v>2</v>
      </c>
      <c r="BA1410" t="str">
        <f t="shared" si="327"/>
        <v>2-5</v>
      </c>
      <c r="BB1410">
        <v>1</v>
      </c>
      <c r="BC1410" t="str">
        <f t="shared" si="328"/>
        <v>0-1</v>
      </c>
      <c r="BD1410">
        <v>4</v>
      </c>
      <c r="BE1410" t="str">
        <f t="shared" si="329"/>
        <v>2-5</v>
      </c>
    </row>
    <row r="1411" spans="1:57" x14ac:dyDescent="0.3">
      <c r="A1411">
        <v>1985</v>
      </c>
      <c r="B1411">
        <v>40</v>
      </c>
      <c r="C1411" t="str">
        <f t="shared" ref="C1411:C1471" si="331">IF(B1411&lt;=25, "18-25", IF(B1411&lt;=35, "26-35", IF(B1411&lt;=45, "36-45", IF(B1411&lt;=55, "46-55", "56+"))))</f>
        <v>36-45</v>
      </c>
      <c r="D1411" t="s">
        <v>71</v>
      </c>
      <c r="E1411">
        <f t="shared" ref="E1411:E1471" si="332">IF(D1411="Yes",1,0)</f>
        <v>0</v>
      </c>
      <c r="F1411" t="s">
        <v>72</v>
      </c>
      <c r="G1411">
        <v>692</v>
      </c>
      <c r="H1411" t="str">
        <f t="shared" ref="H1411:H1471" si="333">IF(G1411&lt;=500,"102-500",IF(G1411&lt;=1000,"501-1000","1001-1499"))</f>
        <v>501-1000</v>
      </c>
      <c r="I1411" t="s">
        <v>73</v>
      </c>
      <c r="J1411">
        <v>11</v>
      </c>
      <c r="K1411" t="str">
        <f t="shared" ref="K1411:K1471" si="334">IF(J1411&lt;=5,"1-5",IF(J1411&lt;=10,"6-10",IF(J1411&lt;=20,"11-20","21-29")))</f>
        <v>11-20</v>
      </c>
      <c r="L1411">
        <v>3</v>
      </c>
      <c r="M1411" t="s">
        <v>85</v>
      </c>
      <c r="N1411" t="s">
        <v>95</v>
      </c>
      <c r="O1411">
        <v>1</v>
      </c>
      <c r="P1411">
        <v>4</v>
      </c>
      <c r="Q1411" t="s">
        <v>65</v>
      </c>
      <c r="R1411" t="s">
        <v>62</v>
      </c>
      <c r="S1411">
        <v>73</v>
      </c>
      <c r="T1411" t="str">
        <f t="shared" ref="T1411:T1471" si="335">IF(S1411&lt;=50,"30-50",IF(S1411&lt;=75,"51-75","76-100"))</f>
        <v>51-75</v>
      </c>
      <c r="U1411">
        <v>3</v>
      </c>
      <c r="V1411" t="s">
        <v>63</v>
      </c>
      <c r="W1411">
        <v>2</v>
      </c>
      <c r="X1411" t="s">
        <v>81</v>
      </c>
      <c r="Y1411">
        <v>3</v>
      </c>
      <c r="Z1411" t="s">
        <v>63</v>
      </c>
      <c r="AA1411" t="s">
        <v>77</v>
      </c>
      <c r="AB1411" s="4">
        <v>6323</v>
      </c>
      <c r="AC1411" s="4" t="str">
        <f t="shared" ref="AC1411:AC1471" si="336">IF(AB1411&lt;2500,"$1,000-$2,500",IF(AB1411&lt;4000,"$2,500-$4,000",IF(AB1411&lt;5500,"$4,000-$5,500",IF(AB1411&lt;7000,"$5,500-$7,000",IF(AB1411&lt;8500,"$7,000-$8,500",IF(AB1411&lt;10000,"$8,500-$10,000",IF(AB1411&lt;11500,"$10,000-$11,500",IF(AB1411&lt;13000,"$11,500-$13,000",IF(AB1411&lt;14500,"$13,000-$14,500",IF(AB1411&lt;16000,"$14,500-$16,000",IF(AB1411&lt;17500,"$16,000-$17,500",IF(AB1411&lt;19000,"$17,500-$19,000",IF(AB1411&lt;20500,"$19,000-$20,500",IF(AB1411&lt;22000,"$20,500-$22,000",IF(AB1411&lt;23500,"$22,000-$23,500",IF(AB1411&lt;25000,"$23,500-$25,000",IF(AB1411&lt;26500,"$25,000-$26,500",IF(AB1411&lt;28000,"$26,500-$28,000",IF(AB1411&lt;29500,"$28,000-$29,500","$29,500+")))))))))))))))))))</f>
        <v>$5,500-$7,000</v>
      </c>
      <c r="AD1411">
        <v>26849</v>
      </c>
      <c r="AE1411" t="str">
        <f t="shared" ref="AE1411:AE1471" si="337">IF(AD1411&lt;=8000,"$2,094-$8,000",IF(AD1411&lt;=16000,"$8,001-$16,000",IF(AD1411&lt;=22000,"$16,001-$22,000","$22,001-$26,999")))</f>
        <v>$22,001-$26,999</v>
      </c>
      <c r="AF1411">
        <v>1</v>
      </c>
      <c r="AG1411" t="str">
        <f t="shared" ref="AG1411:AG1471" si="338">IF(AF1411&lt;=1,"0-1",IF(AF1411&lt;=3,"2-3",IF(AF1411&lt;=6,"4-6","7-9")))</f>
        <v>0-1</v>
      </c>
      <c r="AH1411" t="s">
        <v>67</v>
      </c>
      <c r="AI1411" t="s">
        <v>71</v>
      </c>
      <c r="AJ1411">
        <v>11</v>
      </c>
      <c r="AK1411" t="str">
        <f t="shared" ref="AK1411:AK1471" si="339">IF(AJ1411&lt;=12,"11-12%",IF(AJ1411&lt;=15,"13-15%",IF(AJ1411&lt;=17,"16-17%","18-19%")))</f>
        <v>11-12%</v>
      </c>
      <c r="AL1411">
        <v>3</v>
      </c>
      <c r="AM1411" t="s">
        <v>68</v>
      </c>
      <c r="AN1411">
        <v>1</v>
      </c>
      <c r="AO1411" t="s">
        <v>69</v>
      </c>
      <c r="AP1411">
        <v>80</v>
      </c>
      <c r="AQ1411">
        <v>1</v>
      </c>
      <c r="AR1411">
        <v>10</v>
      </c>
      <c r="AS1411" t="str">
        <f t="shared" ref="AS1411:AS1471" si="340">IF(AR1411&lt;=2,"0-2",IF(AR1411&lt;=5,"3-5",IF(AR1411&lt;=10,"6-10",IF(AR1411&lt;=20,"11-20","21-40"))))</f>
        <v>6-10</v>
      </c>
      <c r="AT1411">
        <v>2</v>
      </c>
      <c r="AU1411" t="str">
        <f t="shared" ref="AU1411:AU1471" si="341">IF(AT1411&lt;=2,"0-2",IF(AT1411&lt;=4,"3-4","5-6"))</f>
        <v>0-2</v>
      </c>
      <c r="AV1411">
        <v>4</v>
      </c>
      <c r="AW1411" t="s">
        <v>94</v>
      </c>
      <c r="AX1411">
        <v>10</v>
      </c>
      <c r="AY1411" t="str">
        <f t="shared" si="330"/>
        <v>6-10</v>
      </c>
      <c r="AZ1411">
        <v>9</v>
      </c>
      <c r="BA1411" t="str">
        <f t="shared" ref="BA1411:BA1471" si="342">IF(AZ1411&lt;=1,"0-1",IF(AZ1411&lt;=5,"2-5",IF(AZ1411&lt;=10,"6-10","11-18")))</f>
        <v>6-10</v>
      </c>
      <c r="BB1411">
        <v>9</v>
      </c>
      <c r="BC1411" t="str">
        <f t="shared" ref="BC1411:BC1471" si="343">IF(BB1411&lt;=1,"0-1",IF(BB1411&lt;=5,"2-5",IF(BB1411&lt;=10,"6-10","11-15")))</f>
        <v>6-10</v>
      </c>
      <c r="BD1411">
        <v>4</v>
      </c>
      <c r="BE1411" t="str">
        <f t="shared" ref="BE1411:BE1471" si="344">IF(BD1411&lt;=1,"0-1",IF(BD1411&lt;=5,"2-5",IF(BD1411&lt;=10,"6-10","11-17")))</f>
        <v>2-5</v>
      </c>
    </row>
    <row r="1412" spans="1:57" x14ac:dyDescent="0.3">
      <c r="A1412">
        <v>1986</v>
      </c>
      <c r="B1412">
        <v>40</v>
      </c>
      <c r="C1412" t="str">
        <f t="shared" si="331"/>
        <v>36-45</v>
      </c>
      <c r="D1412" t="s">
        <v>71</v>
      </c>
      <c r="E1412">
        <f t="shared" si="332"/>
        <v>0</v>
      </c>
      <c r="F1412" t="s">
        <v>57</v>
      </c>
      <c r="G1412">
        <v>444</v>
      </c>
      <c r="H1412" t="str">
        <f t="shared" si="333"/>
        <v>102-500</v>
      </c>
      <c r="I1412" t="s">
        <v>58</v>
      </c>
      <c r="J1412">
        <v>2</v>
      </c>
      <c r="K1412" t="str">
        <f t="shared" si="334"/>
        <v>1-5</v>
      </c>
      <c r="L1412">
        <v>2</v>
      </c>
      <c r="M1412" t="s">
        <v>59</v>
      </c>
      <c r="N1412" t="s">
        <v>93</v>
      </c>
      <c r="O1412">
        <v>1</v>
      </c>
      <c r="P1412">
        <v>2</v>
      </c>
      <c r="Q1412" t="s">
        <v>61</v>
      </c>
      <c r="R1412" t="s">
        <v>62</v>
      </c>
      <c r="S1412">
        <v>92</v>
      </c>
      <c r="T1412" t="str">
        <f t="shared" si="335"/>
        <v>76-100</v>
      </c>
      <c r="U1412">
        <v>3</v>
      </c>
      <c r="V1412" t="s">
        <v>63</v>
      </c>
      <c r="W1412">
        <v>2</v>
      </c>
      <c r="X1412" t="s">
        <v>64</v>
      </c>
      <c r="Y1412">
        <v>2</v>
      </c>
      <c r="Z1412" t="s">
        <v>61</v>
      </c>
      <c r="AA1412" t="s">
        <v>77</v>
      </c>
      <c r="AB1412" s="4">
        <v>5677</v>
      </c>
      <c r="AC1412" s="4" t="str">
        <f t="shared" si="336"/>
        <v>$5,500-$7,000</v>
      </c>
      <c r="AD1412">
        <v>4258</v>
      </c>
      <c r="AE1412" t="str">
        <f t="shared" si="337"/>
        <v>$2,094-$8,000</v>
      </c>
      <c r="AF1412">
        <v>3</v>
      </c>
      <c r="AG1412" t="str">
        <f t="shared" si="338"/>
        <v>2-3</v>
      </c>
      <c r="AH1412" t="s">
        <v>67</v>
      </c>
      <c r="AI1412" t="s">
        <v>71</v>
      </c>
      <c r="AJ1412">
        <v>14</v>
      </c>
      <c r="AK1412" t="str">
        <f t="shared" si="339"/>
        <v>13-15%</v>
      </c>
      <c r="AL1412">
        <v>3</v>
      </c>
      <c r="AM1412" t="s">
        <v>68</v>
      </c>
      <c r="AN1412">
        <v>3</v>
      </c>
      <c r="AO1412" t="s">
        <v>63</v>
      </c>
      <c r="AP1412">
        <v>80</v>
      </c>
      <c r="AQ1412">
        <v>1</v>
      </c>
      <c r="AR1412">
        <v>15</v>
      </c>
      <c r="AS1412" t="str">
        <f t="shared" si="340"/>
        <v>11-20</v>
      </c>
      <c r="AT1412">
        <v>4</v>
      </c>
      <c r="AU1412" t="str">
        <f t="shared" si="341"/>
        <v>3-4</v>
      </c>
      <c r="AV1412">
        <v>3</v>
      </c>
      <c r="AW1412" t="s">
        <v>79</v>
      </c>
      <c r="AX1412">
        <v>11</v>
      </c>
      <c r="AY1412" t="str">
        <f t="shared" si="330"/>
        <v>11-20</v>
      </c>
      <c r="AZ1412">
        <v>8</v>
      </c>
      <c r="BA1412" t="str">
        <f t="shared" si="342"/>
        <v>6-10</v>
      </c>
      <c r="BB1412">
        <v>5</v>
      </c>
      <c r="BC1412" t="str">
        <f t="shared" si="343"/>
        <v>2-5</v>
      </c>
      <c r="BD1412">
        <v>10</v>
      </c>
      <c r="BE1412" t="str">
        <f t="shared" si="344"/>
        <v>6-10</v>
      </c>
    </row>
    <row r="1413" spans="1:57" x14ac:dyDescent="0.3">
      <c r="A1413">
        <v>1987</v>
      </c>
      <c r="B1413">
        <v>25</v>
      </c>
      <c r="C1413" t="str">
        <f t="shared" si="331"/>
        <v>18-25</v>
      </c>
      <c r="D1413" t="s">
        <v>71</v>
      </c>
      <c r="E1413">
        <f t="shared" si="332"/>
        <v>0</v>
      </c>
      <c r="F1413" t="s">
        <v>57</v>
      </c>
      <c r="G1413">
        <v>309</v>
      </c>
      <c r="H1413" t="str">
        <f t="shared" si="333"/>
        <v>102-500</v>
      </c>
      <c r="I1413" t="s">
        <v>97</v>
      </c>
      <c r="J1413">
        <v>2</v>
      </c>
      <c r="K1413" t="str">
        <f t="shared" si="334"/>
        <v>1-5</v>
      </c>
      <c r="L1413">
        <v>3</v>
      </c>
      <c r="M1413" t="s">
        <v>85</v>
      </c>
      <c r="N1413" t="s">
        <v>97</v>
      </c>
      <c r="O1413">
        <v>1</v>
      </c>
      <c r="P1413">
        <v>3</v>
      </c>
      <c r="Q1413" t="s">
        <v>63</v>
      </c>
      <c r="R1413" t="s">
        <v>62</v>
      </c>
      <c r="S1413">
        <v>82</v>
      </c>
      <c r="T1413" t="str">
        <f t="shared" si="335"/>
        <v>76-100</v>
      </c>
      <c r="U1413">
        <v>3</v>
      </c>
      <c r="V1413" t="s">
        <v>63</v>
      </c>
      <c r="W1413">
        <v>1</v>
      </c>
      <c r="X1413" t="s">
        <v>97</v>
      </c>
      <c r="Y1413">
        <v>2</v>
      </c>
      <c r="Z1413" t="s">
        <v>61</v>
      </c>
      <c r="AA1413" t="s">
        <v>77</v>
      </c>
      <c r="AB1413" s="4">
        <v>2187</v>
      </c>
      <c r="AC1413" s="4" t="str">
        <f t="shared" si="336"/>
        <v>$1,000-$2,500</v>
      </c>
      <c r="AD1413">
        <v>19655</v>
      </c>
      <c r="AE1413" t="str">
        <f t="shared" si="337"/>
        <v>$16,001-$22,000</v>
      </c>
      <c r="AF1413">
        <v>4</v>
      </c>
      <c r="AG1413" t="str">
        <f t="shared" si="338"/>
        <v>4-6</v>
      </c>
      <c r="AH1413" t="s">
        <v>67</v>
      </c>
      <c r="AI1413" t="s">
        <v>71</v>
      </c>
      <c r="AJ1413">
        <v>14</v>
      </c>
      <c r="AK1413" t="str">
        <f t="shared" si="339"/>
        <v>13-15%</v>
      </c>
      <c r="AL1413">
        <v>3</v>
      </c>
      <c r="AM1413" t="s">
        <v>68</v>
      </c>
      <c r="AN1413">
        <v>3</v>
      </c>
      <c r="AO1413" t="s">
        <v>63</v>
      </c>
      <c r="AP1413">
        <v>80</v>
      </c>
      <c r="AQ1413">
        <v>0</v>
      </c>
      <c r="AR1413">
        <v>6</v>
      </c>
      <c r="AS1413" t="str">
        <f t="shared" si="340"/>
        <v>6-10</v>
      </c>
      <c r="AT1413">
        <v>3</v>
      </c>
      <c r="AU1413" t="str">
        <f t="shared" si="341"/>
        <v>3-4</v>
      </c>
      <c r="AV1413">
        <v>3</v>
      </c>
      <c r="AW1413" t="s">
        <v>79</v>
      </c>
      <c r="AX1413">
        <v>2</v>
      </c>
      <c r="AY1413" t="str">
        <f t="shared" si="330"/>
        <v>2-5</v>
      </c>
      <c r="AZ1413">
        <v>0</v>
      </c>
      <c r="BA1413" t="str">
        <f t="shared" si="342"/>
        <v>0-1</v>
      </c>
      <c r="BB1413">
        <v>1</v>
      </c>
      <c r="BC1413" t="str">
        <f t="shared" si="343"/>
        <v>0-1</v>
      </c>
      <c r="BD1413">
        <v>2</v>
      </c>
      <c r="BE1413" t="str">
        <f t="shared" si="344"/>
        <v>2-5</v>
      </c>
    </row>
    <row r="1414" spans="1:57" x14ac:dyDescent="0.3">
      <c r="A1414">
        <v>1989</v>
      </c>
      <c r="B1414">
        <v>30</v>
      </c>
      <c r="C1414" t="str">
        <f t="shared" si="331"/>
        <v>26-35</v>
      </c>
      <c r="D1414" t="s">
        <v>71</v>
      </c>
      <c r="E1414">
        <f t="shared" si="332"/>
        <v>0</v>
      </c>
      <c r="F1414" t="s">
        <v>57</v>
      </c>
      <c r="G1414">
        <v>911</v>
      </c>
      <c r="H1414" t="str">
        <f t="shared" si="333"/>
        <v>501-1000</v>
      </c>
      <c r="I1414" t="s">
        <v>73</v>
      </c>
      <c r="J1414">
        <v>1</v>
      </c>
      <c r="K1414" t="str">
        <f t="shared" si="334"/>
        <v>1-5</v>
      </c>
      <c r="L1414">
        <v>2</v>
      </c>
      <c r="M1414" t="s">
        <v>59</v>
      </c>
      <c r="N1414" t="s">
        <v>83</v>
      </c>
      <c r="O1414">
        <v>1</v>
      </c>
      <c r="P1414">
        <v>4</v>
      </c>
      <c r="Q1414" t="s">
        <v>65</v>
      </c>
      <c r="R1414" t="s">
        <v>75</v>
      </c>
      <c r="S1414">
        <v>76</v>
      </c>
      <c r="T1414" t="str">
        <f t="shared" si="335"/>
        <v>76-100</v>
      </c>
      <c r="U1414">
        <v>3</v>
      </c>
      <c r="V1414" t="s">
        <v>63</v>
      </c>
      <c r="W1414">
        <v>1</v>
      </c>
      <c r="X1414" t="s">
        <v>81</v>
      </c>
      <c r="Y1414">
        <v>2</v>
      </c>
      <c r="Z1414" t="s">
        <v>61</v>
      </c>
      <c r="AA1414" t="s">
        <v>77</v>
      </c>
      <c r="AB1414" s="4">
        <v>3748</v>
      </c>
      <c r="AC1414" s="4" t="str">
        <f t="shared" si="336"/>
        <v>$2,500-$4,000</v>
      </c>
      <c r="AD1414">
        <v>4077</v>
      </c>
      <c r="AE1414" t="str">
        <f t="shared" si="337"/>
        <v>$2,094-$8,000</v>
      </c>
      <c r="AF1414">
        <v>1</v>
      </c>
      <c r="AG1414" t="str">
        <f t="shared" si="338"/>
        <v>0-1</v>
      </c>
      <c r="AH1414" t="s">
        <v>67</v>
      </c>
      <c r="AI1414" t="s">
        <v>71</v>
      </c>
      <c r="AJ1414">
        <v>13</v>
      </c>
      <c r="AK1414" t="str">
        <f t="shared" si="339"/>
        <v>13-15%</v>
      </c>
      <c r="AL1414">
        <v>3</v>
      </c>
      <c r="AM1414" t="s">
        <v>68</v>
      </c>
      <c r="AN1414">
        <v>3</v>
      </c>
      <c r="AO1414" t="s">
        <v>63</v>
      </c>
      <c r="AP1414">
        <v>80</v>
      </c>
      <c r="AQ1414">
        <v>0</v>
      </c>
      <c r="AR1414">
        <v>12</v>
      </c>
      <c r="AS1414" t="str">
        <f t="shared" si="340"/>
        <v>11-20</v>
      </c>
      <c r="AT1414">
        <v>6</v>
      </c>
      <c r="AU1414" t="str">
        <f t="shared" si="341"/>
        <v>5-6</v>
      </c>
      <c r="AV1414">
        <v>2</v>
      </c>
      <c r="AW1414" t="s">
        <v>84</v>
      </c>
      <c r="AX1414">
        <v>12</v>
      </c>
      <c r="AY1414" t="str">
        <f t="shared" si="330"/>
        <v>11-20</v>
      </c>
      <c r="AZ1414">
        <v>8</v>
      </c>
      <c r="BA1414" t="str">
        <f t="shared" si="342"/>
        <v>6-10</v>
      </c>
      <c r="BB1414">
        <v>1</v>
      </c>
      <c r="BC1414" t="str">
        <f t="shared" si="343"/>
        <v>0-1</v>
      </c>
      <c r="BD1414">
        <v>7</v>
      </c>
      <c r="BE1414" t="str">
        <f t="shared" si="344"/>
        <v>6-10</v>
      </c>
    </row>
    <row r="1415" spans="1:57" x14ac:dyDescent="0.3">
      <c r="A1415">
        <v>1992</v>
      </c>
      <c r="B1415">
        <v>25</v>
      </c>
      <c r="C1415" t="str">
        <f t="shared" si="331"/>
        <v>18-25</v>
      </c>
      <c r="D1415" t="s">
        <v>71</v>
      </c>
      <c r="E1415">
        <f t="shared" si="332"/>
        <v>0</v>
      </c>
      <c r="F1415" t="s">
        <v>57</v>
      </c>
      <c r="G1415">
        <v>977</v>
      </c>
      <c r="H1415" t="str">
        <f t="shared" si="333"/>
        <v>501-1000</v>
      </c>
      <c r="I1415" t="s">
        <v>73</v>
      </c>
      <c r="J1415">
        <v>2</v>
      </c>
      <c r="K1415" t="str">
        <f t="shared" si="334"/>
        <v>1-5</v>
      </c>
      <c r="L1415">
        <v>1</v>
      </c>
      <c r="M1415" t="s">
        <v>74</v>
      </c>
      <c r="N1415" t="s">
        <v>80</v>
      </c>
      <c r="O1415">
        <v>1</v>
      </c>
      <c r="P1415">
        <v>4</v>
      </c>
      <c r="Q1415" t="s">
        <v>65</v>
      </c>
      <c r="R1415" t="s">
        <v>75</v>
      </c>
      <c r="S1415">
        <v>57</v>
      </c>
      <c r="T1415" t="str">
        <f t="shared" si="335"/>
        <v>51-75</v>
      </c>
      <c r="U1415">
        <v>3</v>
      </c>
      <c r="V1415" t="s">
        <v>63</v>
      </c>
      <c r="W1415">
        <v>1</v>
      </c>
      <c r="X1415" t="s">
        <v>81</v>
      </c>
      <c r="Y1415">
        <v>3</v>
      </c>
      <c r="Z1415" t="s">
        <v>63</v>
      </c>
      <c r="AA1415" t="s">
        <v>86</v>
      </c>
      <c r="AB1415" s="4">
        <v>3977</v>
      </c>
      <c r="AC1415" s="4" t="str">
        <f t="shared" si="336"/>
        <v>$2,500-$4,000</v>
      </c>
      <c r="AD1415">
        <v>7298</v>
      </c>
      <c r="AE1415" t="str">
        <f t="shared" si="337"/>
        <v>$2,094-$8,000</v>
      </c>
      <c r="AF1415">
        <v>6</v>
      </c>
      <c r="AG1415" t="str">
        <f t="shared" si="338"/>
        <v>4-6</v>
      </c>
      <c r="AH1415" t="s">
        <v>67</v>
      </c>
      <c r="AI1415" t="s">
        <v>56</v>
      </c>
      <c r="AJ1415">
        <v>19</v>
      </c>
      <c r="AK1415" t="str">
        <f t="shared" si="339"/>
        <v>18-19%</v>
      </c>
      <c r="AL1415">
        <v>3</v>
      </c>
      <c r="AM1415" t="s">
        <v>68</v>
      </c>
      <c r="AN1415">
        <v>3</v>
      </c>
      <c r="AO1415" t="s">
        <v>63</v>
      </c>
      <c r="AP1415">
        <v>80</v>
      </c>
      <c r="AQ1415">
        <v>1</v>
      </c>
      <c r="AR1415">
        <v>7</v>
      </c>
      <c r="AS1415" t="str">
        <f t="shared" si="340"/>
        <v>6-10</v>
      </c>
      <c r="AT1415">
        <v>2</v>
      </c>
      <c r="AU1415" t="str">
        <f t="shared" si="341"/>
        <v>0-2</v>
      </c>
      <c r="AV1415">
        <v>2</v>
      </c>
      <c r="AW1415" t="s">
        <v>84</v>
      </c>
      <c r="AX1415">
        <v>2</v>
      </c>
      <c r="AY1415" t="str">
        <f t="shared" si="330"/>
        <v>2-5</v>
      </c>
      <c r="AZ1415">
        <v>2</v>
      </c>
      <c r="BA1415" t="str">
        <f t="shared" si="342"/>
        <v>2-5</v>
      </c>
      <c r="BB1415">
        <v>0</v>
      </c>
      <c r="BC1415" t="str">
        <f t="shared" si="343"/>
        <v>0-1</v>
      </c>
      <c r="BD1415">
        <v>2</v>
      </c>
      <c r="BE1415" t="str">
        <f t="shared" si="344"/>
        <v>2-5</v>
      </c>
    </row>
    <row r="1416" spans="1:57" x14ac:dyDescent="0.3">
      <c r="A1416">
        <v>1993</v>
      </c>
      <c r="B1416">
        <v>47</v>
      </c>
      <c r="C1416" t="str">
        <f t="shared" si="331"/>
        <v>46-55</v>
      </c>
      <c r="D1416" t="s">
        <v>71</v>
      </c>
      <c r="E1416">
        <f t="shared" si="332"/>
        <v>0</v>
      </c>
      <c r="F1416" t="s">
        <v>57</v>
      </c>
      <c r="G1416">
        <v>1180</v>
      </c>
      <c r="H1416" t="str">
        <f t="shared" si="333"/>
        <v>1001-1499</v>
      </c>
      <c r="I1416" t="s">
        <v>73</v>
      </c>
      <c r="J1416">
        <v>25</v>
      </c>
      <c r="K1416" t="str">
        <f t="shared" si="334"/>
        <v>21-29</v>
      </c>
      <c r="L1416">
        <v>3</v>
      </c>
      <c r="M1416" t="s">
        <v>85</v>
      </c>
      <c r="N1416" t="s">
        <v>83</v>
      </c>
      <c r="O1416">
        <v>1</v>
      </c>
      <c r="P1416">
        <v>1</v>
      </c>
      <c r="Q1416" t="s">
        <v>69</v>
      </c>
      <c r="R1416" t="s">
        <v>75</v>
      </c>
      <c r="S1416">
        <v>84</v>
      </c>
      <c r="T1416" t="str">
        <f t="shared" si="335"/>
        <v>76-100</v>
      </c>
      <c r="U1416">
        <v>3</v>
      </c>
      <c r="V1416" t="s">
        <v>63</v>
      </c>
      <c r="W1416">
        <v>3</v>
      </c>
      <c r="X1416" t="s">
        <v>88</v>
      </c>
      <c r="Y1416">
        <v>3</v>
      </c>
      <c r="Z1416" t="s">
        <v>63</v>
      </c>
      <c r="AA1416" t="s">
        <v>66</v>
      </c>
      <c r="AB1416" s="4">
        <v>8633</v>
      </c>
      <c r="AC1416" s="4" t="str">
        <f t="shared" si="336"/>
        <v>$8,500-$10,000</v>
      </c>
      <c r="AD1416">
        <v>13084</v>
      </c>
      <c r="AE1416" t="str">
        <f t="shared" si="337"/>
        <v>$8,001-$16,000</v>
      </c>
      <c r="AF1416">
        <v>2</v>
      </c>
      <c r="AG1416" t="str">
        <f t="shared" si="338"/>
        <v>2-3</v>
      </c>
      <c r="AH1416" t="s">
        <v>67</v>
      </c>
      <c r="AI1416" t="s">
        <v>71</v>
      </c>
      <c r="AJ1416">
        <v>23</v>
      </c>
      <c r="AK1416" t="str">
        <f t="shared" si="339"/>
        <v>18-19%</v>
      </c>
      <c r="AL1416">
        <v>4</v>
      </c>
      <c r="AM1416" t="s">
        <v>78</v>
      </c>
      <c r="AN1416">
        <v>2</v>
      </c>
      <c r="AO1416" t="s">
        <v>61</v>
      </c>
      <c r="AP1416">
        <v>80</v>
      </c>
      <c r="AQ1416">
        <v>0</v>
      </c>
      <c r="AR1416">
        <v>25</v>
      </c>
      <c r="AS1416" t="str">
        <f t="shared" si="340"/>
        <v>21-40</v>
      </c>
      <c r="AT1416">
        <v>3</v>
      </c>
      <c r="AU1416" t="str">
        <f t="shared" si="341"/>
        <v>3-4</v>
      </c>
      <c r="AV1416">
        <v>3</v>
      </c>
      <c r="AW1416" t="s">
        <v>79</v>
      </c>
      <c r="AX1416">
        <v>17</v>
      </c>
      <c r="AY1416" t="str">
        <f t="shared" si="330"/>
        <v>11-20</v>
      </c>
      <c r="AZ1416">
        <v>14</v>
      </c>
      <c r="BA1416" t="str">
        <f t="shared" si="342"/>
        <v>11-18</v>
      </c>
      <c r="BB1416">
        <v>12</v>
      </c>
      <c r="BC1416" t="str">
        <f t="shared" si="343"/>
        <v>11-15</v>
      </c>
      <c r="BD1416">
        <v>11</v>
      </c>
      <c r="BE1416" t="str">
        <f t="shared" si="344"/>
        <v>11-17</v>
      </c>
    </row>
    <row r="1417" spans="1:57" x14ac:dyDescent="0.3">
      <c r="A1417">
        <v>1994</v>
      </c>
      <c r="B1417">
        <v>33</v>
      </c>
      <c r="C1417" t="str">
        <f t="shared" si="331"/>
        <v>26-35</v>
      </c>
      <c r="D1417" t="s">
        <v>71</v>
      </c>
      <c r="E1417">
        <f t="shared" si="332"/>
        <v>0</v>
      </c>
      <c r="F1417" t="s">
        <v>89</v>
      </c>
      <c r="G1417">
        <v>1313</v>
      </c>
      <c r="H1417" t="str">
        <f t="shared" si="333"/>
        <v>1001-1499</v>
      </c>
      <c r="I1417" t="s">
        <v>73</v>
      </c>
      <c r="J1417">
        <v>1</v>
      </c>
      <c r="K1417" t="str">
        <f t="shared" si="334"/>
        <v>1-5</v>
      </c>
      <c r="L1417">
        <v>2</v>
      </c>
      <c r="M1417" t="s">
        <v>59</v>
      </c>
      <c r="N1417" t="s">
        <v>83</v>
      </c>
      <c r="O1417">
        <v>1</v>
      </c>
      <c r="P1417">
        <v>2</v>
      </c>
      <c r="Q1417" t="s">
        <v>61</v>
      </c>
      <c r="R1417" t="s">
        <v>75</v>
      </c>
      <c r="S1417">
        <v>59</v>
      </c>
      <c r="T1417" t="str">
        <f t="shared" si="335"/>
        <v>51-75</v>
      </c>
      <c r="U1417">
        <v>2</v>
      </c>
      <c r="V1417" t="s">
        <v>61</v>
      </c>
      <c r="W1417">
        <v>1</v>
      </c>
      <c r="X1417" t="s">
        <v>81</v>
      </c>
      <c r="Y1417">
        <v>3</v>
      </c>
      <c r="Z1417" t="s">
        <v>63</v>
      </c>
      <c r="AA1417" t="s">
        <v>86</v>
      </c>
      <c r="AB1417" s="4">
        <v>2008</v>
      </c>
      <c r="AC1417" s="4" t="str">
        <f t="shared" si="336"/>
        <v>$1,000-$2,500</v>
      </c>
      <c r="AD1417">
        <v>20439</v>
      </c>
      <c r="AE1417" t="str">
        <f t="shared" si="337"/>
        <v>$16,001-$22,000</v>
      </c>
      <c r="AF1417">
        <v>1</v>
      </c>
      <c r="AG1417" t="str">
        <f t="shared" si="338"/>
        <v>0-1</v>
      </c>
      <c r="AH1417" t="s">
        <v>67</v>
      </c>
      <c r="AI1417" t="s">
        <v>71</v>
      </c>
      <c r="AJ1417">
        <v>12</v>
      </c>
      <c r="AK1417" t="str">
        <f t="shared" si="339"/>
        <v>11-12%</v>
      </c>
      <c r="AL1417">
        <v>3</v>
      </c>
      <c r="AM1417" t="s">
        <v>68</v>
      </c>
      <c r="AN1417">
        <v>3</v>
      </c>
      <c r="AO1417" t="s">
        <v>63</v>
      </c>
      <c r="AP1417">
        <v>80</v>
      </c>
      <c r="AQ1417">
        <v>3</v>
      </c>
      <c r="AR1417">
        <v>1</v>
      </c>
      <c r="AS1417" t="str">
        <f t="shared" si="340"/>
        <v>0-2</v>
      </c>
      <c r="AT1417">
        <v>2</v>
      </c>
      <c r="AU1417" t="str">
        <f t="shared" si="341"/>
        <v>0-2</v>
      </c>
      <c r="AV1417">
        <v>2</v>
      </c>
      <c r="AW1417" t="s">
        <v>84</v>
      </c>
      <c r="AX1417">
        <v>1</v>
      </c>
      <c r="AY1417" t="str">
        <f t="shared" si="330"/>
        <v>0-1</v>
      </c>
      <c r="AZ1417">
        <v>1</v>
      </c>
      <c r="BA1417" t="str">
        <f t="shared" si="342"/>
        <v>0-1</v>
      </c>
      <c r="BB1417">
        <v>0</v>
      </c>
      <c r="BC1417" t="str">
        <f t="shared" si="343"/>
        <v>0-1</v>
      </c>
      <c r="BD1417">
        <v>0</v>
      </c>
      <c r="BE1417" t="str">
        <f t="shared" si="344"/>
        <v>0-1</v>
      </c>
    </row>
    <row r="1418" spans="1:57" x14ac:dyDescent="0.3">
      <c r="A1418">
        <v>1995</v>
      </c>
      <c r="B1418">
        <v>38</v>
      </c>
      <c r="C1418" t="str">
        <f t="shared" si="331"/>
        <v>36-45</v>
      </c>
      <c r="D1418" t="s">
        <v>71</v>
      </c>
      <c r="E1418">
        <f t="shared" si="332"/>
        <v>0</v>
      </c>
      <c r="F1418" t="s">
        <v>57</v>
      </c>
      <c r="G1418">
        <v>1321</v>
      </c>
      <c r="H1418" t="str">
        <f t="shared" si="333"/>
        <v>1001-1499</v>
      </c>
      <c r="I1418" t="s">
        <v>58</v>
      </c>
      <c r="J1418">
        <v>1</v>
      </c>
      <c r="K1418" t="str">
        <f t="shared" si="334"/>
        <v>1-5</v>
      </c>
      <c r="L1418">
        <v>4</v>
      </c>
      <c r="M1418" t="s">
        <v>82</v>
      </c>
      <c r="N1418" t="s">
        <v>60</v>
      </c>
      <c r="O1418">
        <v>1</v>
      </c>
      <c r="P1418">
        <v>4</v>
      </c>
      <c r="Q1418" t="s">
        <v>65</v>
      </c>
      <c r="R1418" t="s">
        <v>75</v>
      </c>
      <c r="S1418">
        <v>86</v>
      </c>
      <c r="T1418" t="str">
        <f t="shared" si="335"/>
        <v>76-100</v>
      </c>
      <c r="U1418">
        <v>3</v>
      </c>
      <c r="V1418" t="s">
        <v>63</v>
      </c>
      <c r="W1418">
        <v>2</v>
      </c>
      <c r="X1418" t="s">
        <v>64</v>
      </c>
      <c r="Y1418">
        <v>2</v>
      </c>
      <c r="Z1418" t="s">
        <v>61</v>
      </c>
      <c r="AA1418" t="s">
        <v>77</v>
      </c>
      <c r="AB1418" s="4">
        <v>4440</v>
      </c>
      <c r="AC1418" s="4" t="str">
        <f t="shared" si="336"/>
        <v>$4,000-$5,500</v>
      </c>
      <c r="AD1418">
        <v>7636</v>
      </c>
      <c r="AE1418" t="str">
        <f t="shared" si="337"/>
        <v>$2,094-$8,000</v>
      </c>
      <c r="AF1418">
        <v>0</v>
      </c>
      <c r="AG1418" t="str">
        <f t="shared" si="338"/>
        <v>0-1</v>
      </c>
      <c r="AH1418" t="s">
        <v>67</v>
      </c>
      <c r="AI1418" t="s">
        <v>71</v>
      </c>
      <c r="AJ1418">
        <v>15</v>
      </c>
      <c r="AK1418" t="str">
        <f t="shared" si="339"/>
        <v>13-15%</v>
      </c>
      <c r="AL1418">
        <v>3</v>
      </c>
      <c r="AM1418" t="s">
        <v>68</v>
      </c>
      <c r="AN1418">
        <v>1</v>
      </c>
      <c r="AO1418" t="s">
        <v>69</v>
      </c>
      <c r="AP1418">
        <v>80</v>
      </c>
      <c r="AQ1418">
        <v>2</v>
      </c>
      <c r="AR1418">
        <v>16</v>
      </c>
      <c r="AS1418" t="str">
        <f t="shared" si="340"/>
        <v>11-20</v>
      </c>
      <c r="AT1418">
        <v>3</v>
      </c>
      <c r="AU1418" t="str">
        <f t="shared" si="341"/>
        <v>3-4</v>
      </c>
      <c r="AV1418">
        <v>3</v>
      </c>
      <c r="AW1418" t="s">
        <v>79</v>
      </c>
      <c r="AX1418">
        <v>15</v>
      </c>
      <c r="AY1418" t="str">
        <f t="shared" si="330"/>
        <v>11-20</v>
      </c>
      <c r="AZ1418">
        <v>13</v>
      </c>
      <c r="BA1418" t="str">
        <f t="shared" si="342"/>
        <v>11-18</v>
      </c>
      <c r="BB1418">
        <v>5</v>
      </c>
      <c r="BC1418" t="str">
        <f t="shared" si="343"/>
        <v>2-5</v>
      </c>
      <c r="BD1418">
        <v>8</v>
      </c>
      <c r="BE1418" t="str">
        <f t="shared" si="344"/>
        <v>6-10</v>
      </c>
    </row>
    <row r="1419" spans="1:57" x14ac:dyDescent="0.3">
      <c r="A1419">
        <v>1996</v>
      </c>
      <c r="B1419">
        <v>31</v>
      </c>
      <c r="C1419" t="str">
        <f t="shared" si="331"/>
        <v>26-35</v>
      </c>
      <c r="D1419" t="s">
        <v>71</v>
      </c>
      <c r="E1419">
        <f t="shared" si="332"/>
        <v>0</v>
      </c>
      <c r="F1419" t="s">
        <v>57</v>
      </c>
      <c r="G1419">
        <v>1154</v>
      </c>
      <c r="H1419" t="str">
        <f t="shared" si="333"/>
        <v>1001-1499</v>
      </c>
      <c r="I1419" t="s">
        <v>58</v>
      </c>
      <c r="J1419">
        <v>2</v>
      </c>
      <c r="K1419" t="str">
        <f t="shared" si="334"/>
        <v>1-5</v>
      </c>
      <c r="L1419">
        <v>2</v>
      </c>
      <c r="M1419" t="s">
        <v>59</v>
      </c>
      <c r="N1419" t="s">
        <v>60</v>
      </c>
      <c r="O1419">
        <v>1</v>
      </c>
      <c r="P1419">
        <v>1</v>
      </c>
      <c r="Q1419" t="s">
        <v>69</v>
      </c>
      <c r="R1419" t="s">
        <v>75</v>
      </c>
      <c r="S1419">
        <v>54</v>
      </c>
      <c r="T1419" t="str">
        <f t="shared" si="335"/>
        <v>51-75</v>
      </c>
      <c r="U1419">
        <v>3</v>
      </c>
      <c r="V1419" t="s">
        <v>63</v>
      </c>
      <c r="W1419">
        <v>1</v>
      </c>
      <c r="X1419" t="s">
        <v>91</v>
      </c>
      <c r="Y1419">
        <v>3</v>
      </c>
      <c r="Z1419" t="s">
        <v>63</v>
      </c>
      <c r="AA1419" t="s">
        <v>77</v>
      </c>
      <c r="AB1419" s="4">
        <v>3067</v>
      </c>
      <c r="AC1419" s="4" t="str">
        <f t="shared" si="336"/>
        <v>$2,500-$4,000</v>
      </c>
      <c r="AD1419">
        <v>6393</v>
      </c>
      <c r="AE1419" t="str">
        <f t="shared" si="337"/>
        <v>$2,094-$8,000</v>
      </c>
      <c r="AF1419">
        <v>0</v>
      </c>
      <c r="AG1419" t="str">
        <f t="shared" si="338"/>
        <v>0-1</v>
      </c>
      <c r="AH1419" t="s">
        <v>67</v>
      </c>
      <c r="AI1419" t="s">
        <v>71</v>
      </c>
      <c r="AJ1419">
        <v>19</v>
      </c>
      <c r="AK1419" t="str">
        <f t="shared" si="339"/>
        <v>18-19%</v>
      </c>
      <c r="AL1419">
        <v>3</v>
      </c>
      <c r="AM1419" t="s">
        <v>68</v>
      </c>
      <c r="AN1419">
        <v>3</v>
      </c>
      <c r="AO1419" t="s">
        <v>63</v>
      </c>
      <c r="AP1419">
        <v>80</v>
      </c>
      <c r="AQ1419">
        <v>1</v>
      </c>
      <c r="AR1419">
        <v>3</v>
      </c>
      <c r="AS1419" t="str">
        <f t="shared" si="340"/>
        <v>3-5</v>
      </c>
      <c r="AT1419">
        <v>1</v>
      </c>
      <c r="AU1419" t="str">
        <f t="shared" si="341"/>
        <v>0-2</v>
      </c>
      <c r="AV1419">
        <v>3</v>
      </c>
      <c r="AW1419" t="s">
        <v>79</v>
      </c>
      <c r="AX1419">
        <v>2</v>
      </c>
      <c r="AY1419" t="str">
        <f t="shared" si="330"/>
        <v>2-5</v>
      </c>
      <c r="AZ1419">
        <v>2</v>
      </c>
      <c r="BA1419" t="str">
        <f t="shared" si="342"/>
        <v>2-5</v>
      </c>
      <c r="BB1419">
        <v>1</v>
      </c>
      <c r="BC1419" t="str">
        <f t="shared" si="343"/>
        <v>0-1</v>
      </c>
      <c r="BD1419">
        <v>2</v>
      </c>
      <c r="BE1419" t="str">
        <f t="shared" si="344"/>
        <v>2-5</v>
      </c>
    </row>
    <row r="1420" spans="1:57" x14ac:dyDescent="0.3">
      <c r="A1420">
        <v>1997</v>
      </c>
      <c r="B1420">
        <v>38</v>
      </c>
      <c r="C1420" t="str">
        <f t="shared" si="331"/>
        <v>36-45</v>
      </c>
      <c r="D1420" t="s">
        <v>71</v>
      </c>
      <c r="E1420">
        <f t="shared" si="332"/>
        <v>0</v>
      </c>
      <c r="F1420" t="s">
        <v>72</v>
      </c>
      <c r="G1420">
        <v>508</v>
      </c>
      <c r="H1420" t="str">
        <f t="shared" si="333"/>
        <v>501-1000</v>
      </c>
      <c r="I1420" t="s">
        <v>73</v>
      </c>
      <c r="J1420">
        <v>6</v>
      </c>
      <c r="K1420" t="str">
        <f t="shared" si="334"/>
        <v>6-10</v>
      </c>
      <c r="L1420">
        <v>4</v>
      </c>
      <c r="M1420" t="s">
        <v>82</v>
      </c>
      <c r="N1420" t="s">
        <v>60</v>
      </c>
      <c r="O1420">
        <v>1</v>
      </c>
      <c r="P1420">
        <v>1</v>
      </c>
      <c r="Q1420" t="s">
        <v>69</v>
      </c>
      <c r="R1420" t="s">
        <v>75</v>
      </c>
      <c r="S1420">
        <v>72</v>
      </c>
      <c r="T1420" t="str">
        <f t="shared" si="335"/>
        <v>51-75</v>
      </c>
      <c r="U1420">
        <v>2</v>
      </c>
      <c r="V1420" t="s">
        <v>61</v>
      </c>
      <c r="W1420">
        <v>2</v>
      </c>
      <c r="X1420" t="s">
        <v>87</v>
      </c>
      <c r="Y1420">
        <v>3</v>
      </c>
      <c r="Z1420" t="s">
        <v>63</v>
      </c>
      <c r="AA1420" t="s">
        <v>77</v>
      </c>
      <c r="AB1420" s="4">
        <v>5321</v>
      </c>
      <c r="AC1420" s="4" t="str">
        <f t="shared" si="336"/>
        <v>$4,000-$5,500</v>
      </c>
      <c r="AD1420">
        <v>14284</v>
      </c>
      <c r="AE1420" t="str">
        <f t="shared" si="337"/>
        <v>$8,001-$16,000</v>
      </c>
      <c r="AF1420">
        <v>2</v>
      </c>
      <c r="AG1420" t="str">
        <f t="shared" si="338"/>
        <v>2-3</v>
      </c>
      <c r="AH1420" t="s">
        <v>67</v>
      </c>
      <c r="AI1420" t="s">
        <v>71</v>
      </c>
      <c r="AJ1420">
        <v>11</v>
      </c>
      <c r="AK1420" t="str">
        <f t="shared" si="339"/>
        <v>11-12%</v>
      </c>
      <c r="AL1420">
        <v>3</v>
      </c>
      <c r="AM1420" t="s">
        <v>68</v>
      </c>
      <c r="AN1420">
        <v>4</v>
      </c>
      <c r="AO1420" t="s">
        <v>65</v>
      </c>
      <c r="AP1420">
        <v>80</v>
      </c>
      <c r="AQ1420">
        <v>1</v>
      </c>
      <c r="AR1420">
        <v>10</v>
      </c>
      <c r="AS1420" t="str">
        <f t="shared" si="340"/>
        <v>6-10</v>
      </c>
      <c r="AT1420">
        <v>1</v>
      </c>
      <c r="AU1420" t="str">
        <f t="shared" si="341"/>
        <v>0-2</v>
      </c>
      <c r="AV1420">
        <v>3</v>
      </c>
      <c r="AW1420" t="s">
        <v>79</v>
      </c>
      <c r="AX1420">
        <v>8</v>
      </c>
      <c r="AY1420" t="str">
        <f t="shared" si="330"/>
        <v>6-10</v>
      </c>
      <c r="AZ1420">
        <v>3</v>
      </c>
      <c r="BA1420" t="str">
        <f t="shared" si="342"/>
        <v>2-5</v>
      </c>
      <c r="BB1420">
        <v>7</v>
      </c>
      <c r="BC1420" t="str">
        <f t="shared" si="343"/>
        <v>6-10</v>
      </c>
      <c r="BD1420">
        <v>7</v>
      </c>
      <c r="BE1420" t="str">
        <f t="shared" si="344"/>
        <v>6-10</v>
      </c>
    </row>
    <row r="1421" spans="1:57" x14ac:dyDescent="0.3">
      <c r="A1421">
        <v>1998</v>
      </c>
      <c r="B1421">
        <v>42</v>
      </c>
      <c r="C1421" t="str">
        <f t="shared" si="331"/>
        <v>36-45</v>
      </c>
      <c r="D1421" t="s">
        <v>71</v>
      </c>
      <c r="E1421">
        <f t="shared" si="332"/>
        <v>0</v>
      </c>
      <c r="F1421" t="s">
        <v>57</v>
      </c>
      <c r="G1421">
        <v>557</v>
      </c>
      <c r="H1421" t="str">
        <f t="shared" si="333"/>
        <v>501-1000</v>
      </c>
      <c r="I1421" t="s">
        <v>73</v>
      </c>
      <c r="J1421">
        <v>18</v>
      </c>
      <c r="K1421" t="str">
        <f t="shared" si="334"/>
        <v>11-20</v>
      </c>
      <c r="L1421">
        <v>4</v>
      </c>
      <c r="M1421" t="s">
        <v>82</v>
      </c>
      <c r="N1421" t="s">
        <v>60</v>
      </c>
      <c r="O1421">
        <v>1</v>
      </c>
      <c r="P1421">
        <v>4</v>
      </c>
      <c r="Q1421" t="s">
        <v>65</v>
      </c>
      <c r="R1421" t="s">
        <v>75</v>
      </c>
      <c r="S1421">
        <v>35</v>
      </c>
      <c r="T1421" t="str">
        <f t="shared" si="335"/>
        <v>30-50</v>
      </c>
      <c r="U1421">
        <v>3</v>
      </c>
      <c r="V1421" t="s">
        <v>63</v>
      </c>
      <c r="W1421">
        <v>2</v>
      </c>
      <c r="X1421" t="s">
        <v>76</v>
      </c>
      <c r="Y1421">
        <v>1</v>
      </c>
      <c r="Z1421" t="s">
        <v>69</v>
      </c>
      <c r="AA1421" t="s">
        <v>86</v>
      </c>
      <c r="AB1421" s="4">
        <v>5410</v>
      </c>
      <c r="AC1421" s="4" t="str">
        <f t="shared" si="336"/>
        <v>$4,000-$5,500</v>
      </c>
      <c r="AD1421">
        <v>11189</v>
      </c>
      <c r="AE1421" t="str">
        <f t="shared" si="337"/>
        <v>$8,001-$16,000</v>
      </c>
      <c r="AF1421">
        <v>6</v>
      </c>
      <c r="AG1421" t="str">
        <f t="shared" si="338"/>
        <v>4-6</v>
      </c>
      <c r="AH1421" t="s">
        <v>67</v>
      </c>
      <c r="AI1421" t="s">
        <v>56</v>
      </c>
      <c r="AJ1421">
        <v>17</v>
      </c>
      <c r="AK1421" t="str">
        <f t="shared" si="339"/>
        <v>16-17%</v>
      </c>
      <c r="AL1421">
        <v>3</v>
      </c>
      <c r="AM1421" t="s">
        <v>68</v>
      </c>
      <c r="AN1421">
        <v>3</v>
      </c>
      <c r="AO1421" t="s">
        <v>63</v>
      </c>
      <c r="AP1421">
        <v>80</v>
      </c>
      <c r="AQ1421">
        <v>1</v>
      </c>
      <c r="AR1421">
        <v>9</v>
      </c>
      <c r="AS1421" t="str">
        <f t="shared" si="340"/>
        <v>6-10</v>
      </c>
      <c r="AT1421">
        <v>3</v>
      </c>
      <c r="AU1421" t="str">
        <f t="shared" si="341"/>
        <v>3-4</v>
      </c>
      <c r="AV1421">
        <v>2</v>
      </c>
      <c r="AW1421" t="s">
        <v>84</v>
      </c>
      <c r="AX1421">
        <v>4</v>
      </c>
      <c r="AY1421" t="str">
        <f t="shared" si="330"/>
        <v>2-5</v>
      </c>
      <c r="AZ1421">
        <v>3</v>
      </c>
      <c r="BA1421" t="str">
        <f t="shared" si="342"/>
        <v>2-5</v>
      </c>
      <c r="BB1421">
        <v>1</v>
      </c>
      <c r="BC1421" t="str">
        <f t="shared" si="343"/>
        <v>0-1</v>
      </c>
      <c r="BD1421">
        <v>2</v>
      </c>
      <c r="BE1421" t="str">
        <f t="shared" si="344"/>
        <v>2-5</v>
      </c>
    </row>
    <row r="1422" spans="1:57" x14ac:dyDescent="0.3">
      <c r="A1422">
        <v>1999</v>
      </c>
      <c r="B1422">
        <v>41</v>
      </c>
      <c r="C1422" t="str">
        <f t="shared" si="331"/>
        <v>36-45</v>
      </c>
      <c r="D1422" t="s">
        <v>71</v>
      </c>
      <c r="E1422">
        <f t="shared" si="332"/>
        <v>0</v>
      </c>
      <c r="F1422" t="s">
        <v>57</v>
      </c>
      <c r="G1422">
        <v>642</v>
      </c>
      <c r="H1422" t="str">
        <f t="shared" si="333"/>
        <v>501-1000</v>
      </c>
      <c r="I1422" t="s">
        <v>73</v>
      </c>
      <c r="J1422">
        <v>1</v>
      </c>
      <c r="K1422" t="str">
        <f t="shared" si="334"/>
        <v>1-5</v>
      </c>
      <c r="L1422">
        <v>3</v>
      </c>
      <c r="M1422" t="s">
        <v>85</v>
      </c>
      <c r="N1422" t="s">
        <v>60</v>
      </c>
      <c r="O1422">
        <v>1</v>
      </c>
      <c r="P1422">
        <v>4</v>
      </c>
      <c r="Q1422" t="s">
        <v>65</v>
      </c>
      <c r="R1422" t="s">
        <v>75</v>
      </c>
      <c r="S1422">
        <v>76</v>
      </c>
      <c r="T1422" t="str">
        <f t="shared" si="335"/>
        <v>76-100</v>
      </c>
      <c r="U1422">
        <v>3</v>
      </c>
      <c r="V1422" t="s">
        <v>63</v>
      </c>
      <c r="W1422">
        <v>1</v>
      </c>
      <c r="X1422" t="s">
        <v>76</v>
      </c>
      <c r="Y1422">
        <v>4</v>
      </c>
      <c r="Z1422" t="s">
        <v>65</v>
      </c>
      <c r="AA1422" t="s">
        <v>77</v>
      </c>
      <c r="AB1422" s="4">
        <v>2782</v>
      </c>
      <c r="AC1422" s="4" t="str">
        <f t="shared" si="336"/>
        <v>$2,500-$4,000</v>
      </c>
      <c r="AD1422">
        <v>21412</v>
      </c>
      <c r="AE1422" t="str">
        <f t="shared" si="337"/>
        <v>$16,001-$22,000</v>
      </c>
      <c r="AF1422">
        <v>3</v>
      </c>
      <c r="AG1422" t="str">
        <f t="shared" si="338"/>
        <v>2-3</v>
      </c>
      <c r="AH1422" t="s">
        <v>67</v>
      </c>
      <c r="AI1422" t="s">
        <v>71</v>
      </c>
      <c r="AJ1422">
        <v>22</v>
      </c>
      <c r="AK1422" t="str">
        <f t="shared" si="339"/>
        <v>18-19%</v>
      </c>
      <c r="AL1422">
        <v>4</v>
      </c>
      <c r="AM1422" t="s">
        <v>78</v>
      </c>
      <c r="AN1422">
        <v>1</v>
      </c>
      <c r="AO1422" t="s">
        <v>69</v>
      </c>
      <c r="AP1422">
        <v>80</v>
      </c>
      <c r="AQ1422">
        <v>1</v>
      </c>
      <c r="AR1422">
        <v>12</v>
      </c>
      <c r="AS1422" t="str">
        <f t="shared" si="340"/>
        <v>11-20</v>
      </c>
      <c r="AT1422">
        <v>3</v>
      </c>
      <c r="AU1422" t="str">
        <f t="shared" si="341"/>
        <v>3-4</v>
      </c>
      <c r="AV1422">
        <v>3</v>
      </c>
      <c r="AW1422" t="s">
        <v>79</v>
      </c>
      <c r="AX1422">
        <v>5</v>
      </c>
      <c r="AY1422" t="str">
        <f t="shared" si="330"/>
        <v>2-5</v>
      </c>
      <c r="AZ1422">
        <v>3</v>
      </c>
      <c r="BA1422" t="str">
        <f t="shared" si="342"/>
        <v>2-5</v>
      </c>
      <c r="BB1422">
        <v>1</v>
      </c>
      <c r="BC1422" t="str">
        <f t="shared" si="343"/>
        <v>0-1</v>
      </c>
      <c r="BD1422">
        <v>0</v>
      </c>
      <c r="BE1422" t="str">
        <f t="shared" si="344"/>
        <v>0-1</v>
      </c>
    </row>
    <row r="1423" spans="1:57" x14ac:dyDescent="0.3">
      <c r="A1423">
        <v>2000</v>
      </c>
      <c r="B1423">
        <v>47</v>
      </c>
      <c r="C1423" t="str">
        <f t="shared" si="331"/>
        <v>46-55</v>
      </c>
      <c r="D1423" t="s">
        <v>71</v>
      </c>
      <c r="E1423">
        <f t="shared" si="332"/>
        <v>0</v>
      </c>
      <c r="F1423" t="s">
        <v>89</v>
      </c>
      <c r="G1423">
        <v>1162</v>
      </c>
      <c r="H1423" t="str">
        <f t="shared" si="333"/>
        <v>1001-1499</v>
      </c>
      <c r="I1423" t="s">
        <v>73</v>
      </c>
      <c r="J1423">
        <v>1</v>
      </c>
      <c r="K1423" t="str">
        <f t="shared" si="334"/>
        <v>1-5</v>
      </c>
      <c r="L1423">
        <v>1</v>
      </c>
      <c r="M1423" t="s">
        <v>74</v>
      </c>
      <c r="N1423" t="s">
        <v>83</v>
      </c>
      <c r="O1423">
        <v>1</v>
      </c>
      <c r="P1423">
        <v>3</v>
      </c>
      <c r="Q1423" t="s">
        <v>63</v>
      </c>
      <c r="R1423" t="s">
        <v>62</v>
      </c>
      <c r="S1423">
        <v>98</v>
      </c>
      <c r="T1423" t="str">
        <f t="shared" si="335"/>
        <v>76-100</v>
      </c>
      <c r="U1423">
        <v>3</v>
      </c>
      <c r="V1423" t="s">
        <v>63</v>
      </c>
      <c r="W1423">
        <v>3</v>
      </c>
      <c r="X1423" t="s">
        <v>92</v>
      </c>
      <c r="Y1423">
        <v>2</v>
      </c>
      <c r="Z1423" t="s">
        <v>61</v>
      </c>
      <c r="AA1423" t="s">
        <v>77</v>
      </c>
      <c r="AB1423" s="4">
        <v>11957</v>
      </c>
      <c r="AC1423" s="4" t="str">
        <f t="shared" si="336"/>
        <v>$11,500-$13,000</v>
      </c>
      <c r="AD1423">
        <v>17231</v>
      </c>
      <c r="AE1423" t="str">
        <f t="shared" si="337"/>
        <v>$16,001-$22,000</v>
      </c>
      <c r="AF1423">
        <v>0</v>
      </c>
      <c r="AG1423" t="str">
        <f t="shared" si="338"/>
        <v>0-1</v>
      </c>
      <c r="AH1423" t="s">
        <v>67</v>
      </c>
      <c r="AI1423" t="s">
        <v>71</v>
      </c>
      <c r="AJ1423">
        <v>18</v>
      </c>
      <c r="AK1423" t="str">
        <f t="shared" si="339"/>
        <v>18-19%</v>
      </c>
      <c r="AL1423">
        <v>3</v>
      </c>
      <c r="AM1423" t="s">
        <v>68</v>
      </c>
      <c r="AN1423">
        <v>1</v>
      </c>
      <c r="AO1423" t="s">
        <v>69</v>
      </c>
      <c r="AP1423">
        <v>80</v>
      </c>
      <c r="AQ1423">
        <v>2</v>
      </c>
      <c r="AR1423">
        <v>14</v>
      </c>
      <c r="AS1423" t="str">
        <f t="shared" si="340"/>
        <v>11-20</v>
      </c>
      <c r="AT1423">
        <v>3</v>
      </c>
      <c r="AU1423" t="str">
        <f t="shared" si="341"/>
        <v>3-4</v>
      </c>
      <c r="AV1423">
        <v>1</v>
      </c>
      <c r="AW1423" t="s">
        <v>70</v>
      </c>
      <c r="AX1423">
        <v>13</v>
      </c>
      <c r="AY1423" t="str">
        <f t="shared" si="330"/>
        <v>11-20</v>
      </c>
      <c r="AZ1423">
        <v>8</v>
      </c>
      <c r="BA1423" t="str">
        <f t="shared" si="342"/>
        <v>6-10</v>
      </c>
      <c r="BB1423">
        <v>5</v>
      </c>
      <c r="BC1423" t="str">
        <f t="shared" si="343"/>
        <v>2-5</v>
      </c>
      <c r="BD1423">
        <v>12</v>
      </c>
      <c r="BE1423" t="str">
        <f t="shared" si="344"/>
        <v>11-17</v>
      </c>
    </row>
    <row r="1424" spans="1:57" x14ac:dyDescent="0.3">
      <c r="A1424">
        <v>2003</v>
      </c>
      <c r="B1424">
        <v>35</v>
      </c>
      <c r="C1424" t="str">
        <f t="shared" si="331"/>
        <v>26-35</v>
      </c>
      <c r="D1424" t="s">
        <v>71</v>
      </c>
      <c r="E1424">
        <f t="shared" si="332"/>
        <v>0</v>
      </c>
      <c r="F1424" t="s">
        <v>57</v>
      </c>
      <c r="G1424">
        <v>1490</v>
      </c>
      <c r="H1424" t="str">
        <f t="shared" si="333"/>
        <v>1001-1499</v>
      </c>
      <c r="I1424" t="s">
        <v>73</v>
      </c>
      <c r="J1424">
        <v>11</v>
      </c>
      <c r="K1424" t="str">
        <f t="shared" si="334"/>
        <v>11-20</v>
      </c>
      <c r="L1424">
        <v>4</v>
      </c>
      <c r="M1424" t="s">
        <v>82</v>
      </c>
      <c r="N1424" t="s">
        <v>83</v>
      </c>
      <c r="O1424">
        <v>1</v>
      </c>
      <c r="P1424">
        <v>4</v>
      </c>
      <c r="Q1424" t="s">
        <v>65</v>
      </c>
      <c r="R1424" t="s">
        <v>75</v>
      </c>
      <c r="S1424">
        <v>43</v>
      </c>
      <c r="T1424" t="str">
        <f t="shared" si="335"/>
        <v>30-50</v>
      </c>
      <c r="U1424">
        <v>3</v>
      </c>
      <c r="V1424" t="s">
        <v>63</v>
      </c>
      <c r="W1424">
        <v>1</v>
      </c>
      <c r="X1424" t="s">
        <v>81</v>
      </c>
      <c r="Y1424">
        <v>3</v>
      </c>
      <c r="Z1424" t="s">
        <v>63</v>
      </c>
      <c r="AA1424" t="s">
        <v>77</v>
      </c>
      <c r="AB1424" s="4">
        <v>2660</v>
      </c>
      <c r="AC1424" s="4" t="str">
        <f t="shared" si="336"/>
        <v>$2,500-$4,000</v>
      </c>
      <c r="AD1424">
        <v>20232</v>
      </c>
      <c r="AE1424" t="str">
        <f t="shared" si="337"/>
        <v>$16,001-$22,000</v>
      </c>
      <c r="AF1424">
        <v>7</v>
      </c>
      <c r="AG1424" t="str">
        <f t="shared" si="338"/>
        <v>7-9</v>
      </c>
      <c r="AH1424" t="s">
        <v>67</v>
      </c>
      <c r="AI1424" t="s">
        <v>56</v>
      </c>
      <c r="AJ1424">
        <v>11</v>
      </c>
      <c r="AK1424" t="str">
        <f t="shared" si="339"/>
        <v>11-12%</v>
      </c>
      <c r="AL1424">
        <v>3</v>
      </c>
      <c r="AM1424" t="s">
        <v>68</v>
      </c>
      <c r="AN1424">
        <v>3</v>
      </c>
      <c r="AO1424" t="s">
        <v>63</v>
      </c>
      <c r="AP1424">
        <v>80</v>
      </c>
      <c r="AQ1424">
        <v>1</v>
      </c>
      <c r="AR1424">
        <v>5</v>
      </c>
      <c r="AS1424" t="str">
        <f t="shared" si="340"/>
        <v>3-5</v>
      </c>
      <c r="AT1424">
        <v>3</v>
      </c>
      <c r="AU1424" t="str">
        <f t="shared" si="341"/>
        <v>3-4</v>
      </c>
      <c r="AV1424">
        <v>3</v>
      </c>
      <c r="AW1424" t="s">
        <v>79</v>
      </c>
      <c r="AX1424">
        <v>2</v>
      </c>
      <c r="AY1424" t="str">
        <f t="shared" si="330"/>
        <v>2-5</v>
      </c>
      <c r="AZ1424">
        <v>2</v>
      </c>
      <c r="BA1424" t="str">
        <f t="shared" si="342"/>
        <v>2-5</v>
      </c>
      <c r="BB1424">
        <v>2</v>
      </c>
      <c r="BC1424" t="str">
        <f t="shared" si="343"/>
        <v>2-5</v>
      </c>
      <c r="BD1424">
        <v>2</v>
      </c>
      <c r="BE1424" t="str">
        <f t="shared" si="344"/>
        <v>2-5</v>
      </c>
    </row>
    <row r="1425" spans="1:57" x14ac:dyDescent="0.3">
      <c r="A1425">
        <v>2007</v>
      </c>
      <c r="B1425">
        <v>22</v>
      </c>
      <c r="C1425" t="str">
        <f t="shared" si="331"/>
        <v>18-25</v>
      </c>
      <c r="D1425" t="s">
        <v>71</v>
      </c>
      <c r="E1425">
        <f t="shared" si="332"/>
        <v>0</v>
      </c>
      <c r="F1425" t="s">
        <v>57</v>
      </c>
      <c r="G1425">
        <v>581</v>
      </c>
      <c r="H1425" t="str">
        <f t="shared" si="333"/>
        <v>501-1000</v>
      </c>
      <c r="I1425" t="s">
        <v>73</v>
      </c>
      <c r="J1425">
        <v>1</v>
      </c>
      <c r="K1425" t="str">
        <f t="shared" si="334"/>
        <v>1-5</v>
      </c>
      <c r="L1425">
        <v>2</v>
      </c>
      <c r="M1425" t="s">
        <v>59</v>
      </c>
      <c r="N1425" t="s">
        <v>60</v>
      </c>
      <c r="O1425">
        <v>1</v>
      </c>
      <c r="P1425">
        <v>4</v>
      </c>
      <c r="Q1425" t="s">
        <v>65</v>
      </c>
      <c r="R1425" t="s">
        <v>75</v>
      </c>
      <c r="S1425">
        <v>63</v>
      </c>
      <c r="T1425" t="str">
        <f t="shared" si="335"/>
        <v>51-75</v>
      </c>
      <c r="U1425">
        <v>3</v>
      </c>
      <c r="V1425" t="s">
        <v>63</v>
      </c>
      <c r="W1425">
        <v>1</v>
      </c>
      <c r="X1425" t="s">
        <v>76</v>
      </c>
      <c r="Y1425">
        <v>3</v>
      </c>
      <c r="Z1425" t="s">
        <v>63</v>
      </c>
      <c r="AA1425" t="s">
        <v>66</v>
      </c>
      <c r="AB1425" s="4">
        <v>3375</v>
      </c>
      <c r="AC1425" s="4" t="str">
        <f t="shared" si="336"/>
        <v>$2,500-$4,000</v>
      </c>
      <c r="AD1425">
        <v>17624</v>
      </c>
      <c r="AE1425" t="str">
        <f t="shared" si="337"/>
        <v>$16,001-$22,000</v>
      </c>
      <c r="AF1425">
        <v>0</v>
      </c>
      <c r="AG1425" t="str">
        <f t="shared" si="338"/>
        <v>0-1</v>
      </c>
      <c r="AH1425" t="s">
        <v>67</v>
      </c>
      <c r="AI1425" t="s">
        <v>71</v>
      </c>
      <c r="AJ1425">
        <v>12</v>
      </c>
      <c r="AK1425" t="str">
        <f t="shared" si="339"/>
        <v>11-12%</v>
      </c>
      <c r="AL1425">
        <v>3</v>
      </c>
      <c r="AM1425" t="s">
        <v>68</v>
      </c>
      <c r="AN1425">
        <v>4</v>
      </c>
      <c r="AO1425" t="s">
        <v>65</v>
      </c>
      <c r="AP1425">
        <v>80</v>
      </c>
      <c r="AQ1425">
        <v>0</v>
      </c>
      <c r="AR1425">
        <v>4</v>
      </c>
      <c r="AS1425" t="str">
        <f t="shared" si="340"/>
        <v>3-5</v>
      </c>
      <c r="AT1425">
        <v>2</v>
      </c>
      <c r="AU1425" t="str">
        <f t="shared" si="341"/>
        <v>0-2</v>
      </c>
      <c r="AV1425">
        <v>4</v>
      </c>
      <c r="AW1425" t="s">
        <v>94</v>
      </c>
      <c r="AX1425">
        <v>3</v>
      </c>
      <c r="AY1425" t="str">
        <f t="shared" si="330"/>
        <v>2-5</v>
      </c>
      <c r="AZ1425">
        <v>2</v>
      </c>
      <c r="BA1425" t="str">
        <f t="shared" si="342"/>
        <v>2-5</v>
      </c>
      <c r="BB1425">
        <v>1</v>
      </c>
      <c r="BC1425" t="str">
        <f t="shared" si="343"/>
        <v>0-1</v>
      </c>
      <c r="BD1425">
        <v>2</v>
      </c>
      <c r="BE1425" t="str">
        <f t="shared" si="344"/>
        <v>2-5</v>
      </c>
    </row>
    <row r="1426" spans="1:57" x14ac:dyDescent="0.3">
      <c r="A1426">
        <v>2008</v>
      </c>
      <c r="B1426">
        <v>35</v>
      </c>
      <c r="C1426" t="str">
        <f t="shared" si="331"/>
        <v>26-35</v>
      </c>
      <c r="D1426" t="s">
        <v>71</v>
      </c>
      <c r="E1426">
        <f t="shared" si="332"/>
        <v>0</v>
      </c>
      <c r="F1426" t="s">
        <v>57</v>
      </c>
      <c r="G1426">
        <v>1395</v>
      </c>
      <c r="H1426" t="str">
        <f t="shared" si="333"/>
        <v>1001-1499</v>
      </c>
      <c r="I1426" t="s">
        <v>73</v>
      </c>
      <c r="J1426">
        <v>9</v>
      </c>
      <c r="K1426" t="str">
        <f t="shared" si="334"/>
        <v>6-10</v>
      </c>
      <c r="L1426">
        <v>4</v>
      </c>
      <c r="M1426" t="s">
        <v>82</v>
      </c>
      <c r="N1426" t="s">
        <v>83</v>
      </c>
      <c r="O1426">
        <v>1</v>
      </c>
      <c r="P1426">
        <v>2</v>
      </c>
      <c r="Q1426" t="s">
        <v>61</v>
      </c>
      <c r="R1426" t="s">
        <v>75</v>
      </c>
      <c r="S1426">
        <v>48</v>
      </c>
      <c r="T1426" t="str">
        <f t="shared" si="335"/>
        <v>30-50</v>
      </c>
      <c r="U1426">
        <v>3</v>
      </c>
      <c r="V1426" t="s">
        <v>63</v>
      </c>
      <c r="W1426">
        <v>2</v>
      </c>
      <c r="X1426" t="s">
        <v>76</v>
      </c>
      <c r="Y1426">
        <v>3</v>
      </c>
      <c r="Z1426" t="s">
        <v>63</v>
      </c>
      <c r="AA1426" t="s">
        <v>66</v>
      </c>
      <c r="AB1426" s="4">
        <v>5098</v>
      </c>
      <c r="AC1426" s="4" t="str">
        <f t="shared" si="336"/>
        <v>$4,000-$5,500</v>
      </c>
      <c r="AD1426">
        <v>18698</v>
      </c>
      <c r="AE1426" t="str">
        <f t="shared" si="337"/>
        <v>$16,001-$22,000</v>
      </c>
      <c r="AF1426">
        <v>1</v>
      </c>
      <c r="AG1426" t="str">
        <f t="shared" si="338"/>
        <v>0-1</v>
      </c>
      <c r="AH1426" t="s">
        <v>67</v>
      </c>
      <c r="AI1426" t="s">
        <v>71</v>
      </c>
      <c r="AJ1426">
        <v>19</v>
      </c>
      <c r="AK1426" t="str">
        <f t="shared" si="339"/>
        <v>18-19%</v>
      </c>
      <c r="AL1426">
        <v>3</v>
      </c>
      <c r="AM1426" t="s">
        <v>68</v>
      </c>
      <c r="AN1426">
        <v>2</v>
      </c>
      <c r="AO1426" t="s">
        <v>61</v>
      </c>
      <c r="AP1426">
        <v>80</v>
      </c>
      <c r="AQ1426">
        <v>0</v>
      </c>
      <c r="AR1426">
        <v>10</v>
      </c>
      <c r="AS1426" t="str">
        <f t="shared" si="340"/>
        <v>6-10</v>
      </c>
      <c r="AT1426">
        <v>5</v>
      </c>
      <c r="AU1426" t="str">
        <f t="shared" si="341"/>
        <v>5-6</v>
      </c>
      <c r="AV1426">
        <v>3</v>
      </c>
      <c r="AW1426" t="s">
        <v>79</v>
      </c>
      <c r="AX1426">
        <v>10</v>
      </c>
      <c r="AY1426" t="str">
        <f t="shared" si="330"/>
        <v>6-10</v>
      </c>
      <c r="AZ1426">
        <v>7</v>
      </c>
      <c r="BA1426" t="str">
        <f t="shared" si="342"/>
        <v>6-10</v>
      </c>
      <c r="BB1426">
        <v>0</v>
      </c>
      <c r="BC1426" t="str">
        <f t="shared" si="343"/>
        <v>0-1</v>
      </c>
      <c r="BD1426">
        <v>8</v>
      </c>
      <c r="BE1426" t="str">
        <f t="shared" si="344"/>
        <v>6-10</v>
      </c>
    </row>
    <row r="1427" spans="1:57" x14ac:dyDescent="0.3">
      <c r="A1427">
        <v>2009</v>
      </c>
      <c r="B1427">
        <v>33</v>
      </c>
      <c r="C1427" t="str">
        <f t="shared" si="331"/>
        <v>26-35</v>
      </c>
      <c r="D1427" t="s">
        <v>71</v>
      </c>
      <c r="E1427">
        <f t="shared" si="332"/>
        <v>0</v>
      </c>
      <c r="F1427" t="s">
        <v>57</v>
      </c>
      <c r="G1427">
        <v>501</v>
      </c>
      <c r="H1427" t="str">
        <f t="shared" si="333"/>
        <v>501-1000</v>
      </c>
      <c r="I1427" t="s">
        <v>73</v>
      </c>
      <c r="J1427">
        <v>15</v>
      </c>
      <c r="K1427" t="str">
        <f t="shared" si="334"/>
        <v>11-20</v>
      </c>
      <c r="L1427">
        <v>2</v>
      </c>
      <c r="M1427" t="s">
        <v>59</v>
      </c>
      <c r="N1427" t="s">
        <v>83</v>
      </c>
      <c r="O1427">
        <v>1</v>
      </c>
      <c r="P1427">
        <v>2</v>
      </c>
      <c r="Q1427" t="s">
        <v>61</v>
      </c>
      <c r="R1427" t="s">
        <v>62</v>
      </c>
      <c r="S1427">
        <v>95</v>
      </c>
      <c r="T1427" t="str">
        <f t="shared" si="335"/>
        <v>76-100</v>
      </c>
      <c r="U1427">
        <v>3</v>
      </c>
      <c r="V1427" t="s">
        <v>63</v>
      </c>
      <c r="W1427">
        <v>2</v>
      </c>
      <c r="X1427" t="s">
        <v>88</v>
      </c>
      <c r="Y1427">
        <v>4</v>
      </c>
      <c r="Z1427" t="s">
        <v>65</v>
      </c>
      <c r="AA1427" t="s">
        <v>77</v>
      </c>
      <c r="AB1427" s="4">
        <v>4878</v>
      </c>
      <c r="AC1427" s="4" t="str">
        <f t="shared" si="336"/>
        <v>$4,000-$5,500</v>
      </c>
      <c r="AD1427">
        <v>21653</v>
      </c>
      <c r="AE1427" t="str">
        <f t="shared" si="337"/>
        <v>$16,001-$22,000</v>
      </c>
      <c r="AF1427">
        <v>0</v>
      </c>
      <c r="AG1427" t="str">
        <f t="shared" si="338"/>
        <v>0-1</v>
      </c>
      <c r="AH1427" t="s">
        <v>67</v>
      </c>
      <c r="AI1427" t="s">
        <v>56</v>
      </c>
      <c r="AJ1427">
        <v>13</v>
      </c>
      <c r="AK1427" t="str">
        <f t="shared" si="339"/>
        <v>13-15%</v>
      </c>
      <c r="AL1427">
        <v>3</v>
      </c>
      <c r="AM1427" t="s">
        <v>68</v>
      </c>
      <c r="AN1427">
        <v>1</v>
      </c>
      <c r="AO1427" t="s">
        <v>69</v>
      </c>
      <c r="AP1427">
        <v>80</v>
      </c>
      <c r="AQ1427">
        <v>1</v>
      </c>
      <c r="AR1427">
        <v>10</v>
      </c>
      <c r="AS1427" t="str">
        <f t="shared" si="340"/>
        <v>6-10</v>
      </c>
      <c r="AT1427">
        <v>6</v>
      </c>
      <c r="AU1427" t="str">
        <f t="shared" si="341"/>
        <v>5-6</v>
      </c>
      <c r="AV1427">
        <v>3</v>
      </c>
      <c r="AW1427" t="s">
        <v>79</v>
      </c>
      <c r="AX1427">
        <v>9</v>
      </c>
      <c r="AY1427" t="str">
        <f t="shared" si="330"/>
        <v>6-10</v>
      </c>
      <c r="AZ1427">
        <v>7</v>
      </c>
      <c r="BA1427" t="str">
        <f t="shared" si="342"/>
        <v>6-10</v>
      </c>
      <c r="BB1427">
        <v>8</v>
      </c>
      <c r="BC1427" t="str">
        <f t="shared" si="343"/>
        <v>6-10</v>
      </c>
      <c r="BD1427">
        <v>1</v>
      </c>
      <c r="BE1427" t="str">
        <f t="shared" si="344"/>
        <v>0-1</v>
      </c>
    </row>
    <row r="1428" spans="1:57" x14ac:dyDescent="0.3">
      <c r="A1428">
        <v>2010</v>
      </c>
      <c r="B1428">
        <v>32</v>
      </c>
      <c r="C1428" t="str">
        <f t="shared" si="331"/>
        <v>26-35</v>
      </c>
      <c r="D1428" t="s">
        <v>71</v>
      </c>
      <c r="E1428">
        <f t="shared" si="332"/>
        <v>0</v>
      </c>
      <c r="F1428" t="s">
        <v>57</v>
      </c>
      <c r="G1428">
        <v>267</v>
      </c>
      <c r="H1428" t="str">
        <f t="shared" si="333"/>
        <v>102-500</v>
      </c>
      <c r="I1428" t="s">
        <v>73</v>
      </c>
      <c r="J1428">
        <v>29</v>
      </c>
      <c r="K1428" t="str">
        <f t="shared" si="334"/>
        <v>21-29</v>
      </c>
      <c r="L1428">
        <v>4</v>
      </c>
      <c r="M1428" t="s">
        <v>82</v>
      </c>
      <c r="N1428" t="s">
        <v>60</v>
      </c>
      <c r="O1428">
        <v>1</v>
      </c>
      <c r="P1428">
        <v>3</v>
      </c>
      <c r="Q1428" t="s">
        <v>63</v>
      </c>
      <c r="R1428" t="s">
        <v>62</v>
      </c>
      <c r="S1428">
        <v>49</v>
      </c>
      <c r="T1428" t="str">
        <f t="shared" si="335"/>
        <v>30-50</v>
      </c>
      <c r="U1428">
        <v>2</v>
      </c>
      <c r="V1428" t="s">
        <v>61</v>
      </c>
      <c r="W1428">
        <v>1</v>
      </c>
      <c r="X1428" t="s">
        <v>81</v>
      </c>
      <c r="Y1428">
        <v>2</v>
      </c>
      <c r="Z1428" t="s">
        <v>61</v>
      </c>
      <c r="AA1428" t="s">
        <v>66</v>
      </c>
      <c r="AB1428" s="4">
        <v>2837</v>
      </c>
      <c r="AC1428" s="4" t="str">
        <f t="shared" si="336"/>
        <v>$2,500-$4,000</v>
      </c>
      <c r="AD1428">
        <v>15919</v>
      </c>
      <c r="AE1428" t="str">
        <f t="shared" si="337"/>
        <v>$8,001-$16,000</v>
      </c>
      <c r="AF1428">
        <v>1</v>
      </c>
      <c r="AG1428" t="str">
        <f t="shared" si="338"/>
        <v>0-1</v>
      </c>
      <c r="AH1428" t="s">
        <v>67</v>
      </c>
      <c r="AI1428" t="s">
        <v>71</v>
      </c>
      <c r="AJ1428">
        <v>13</v>
      </c>
      <c r="AK1428" t="str">
        <f t="shared" si="339"/>
        <v>13-15%</v>
      </c>
      <c r="AL1428">
        <v>3</v>
      </c>
      <c r="AM1428" t="s">
        <v>68</v>
      </c>
      <c r="AN1428">
        <v>3</v>
      </c>
      <c r="AO1428" t="s">
        <v>63</v>
      </c>
      <c r="AP1428">
        <v>80</v>
      </c>
      <c r="AQ1428">
        <v>0</v>
      </c>
      <c r="AR1428">
        <v>6</v>
      </c>
      <c r="AS1428" t="str">
        <f t="shared" si="340"/>
        <v>6-10</v>
      </c>
      <c r="AT1428">
        <v>3</v>
      </c>
      <c r="AU1428" t="str">
        <f t="shared" si="341"/>
        <v>3-4</v>
      </c>
      <c r="AV1428">
        <v>3</v>
      </c>
      <c r="AW1428" t="s">
        <v>79</v>
      </c>
      <c r="AX1428">
        <v>6</v>
      </c>
      <c r="AY1428" t="str">
        <f t="shared" si="330"/>
        <v>6-10</v>
      </c>
      <c r="AZ1428">
        <v>2</v>
      </c>
      <c r="BA1428" t="str">
        <f t="shared" si="342"/>
        <v>2-5</v>
      </c>
      <c r="BB1428">
        <v>4</v>
      </c>
      <c r="BC1428" t="str">
        <f t="shared" si="343"/>
        <v>2-5</v>
      </c>
      <c r="BD1428">
        <v>1</v>
      </c>
      <c r="BE1428" t="str">
        <f t="shared" si="344"/>
        <v>0-1</v>
      </c>
    </row>
    <row r="1429" spans="1:57" x14ac:dyDescent="0.3">
      <c r="A1429">
        <v>2012</v>
      </c>
      <c r="B1429">
        <v>40</v>
      </c>
      <c r="C1429" t="str">
        <f t="shared" si="331"/>
        <v>36-45</v>
      </c>
      <c r="D1429" t="s">
        <v>71</v>
      </c>
      <c r="E1429">
        <f t="shared" si="332"/>
        <v>0</v>
      </c>
      <c r="F1429" t="s">
        <v>57</v>
      </c>
      <c r="G1429">
        <v>543</v>
      </c>
      <c r="H1429" t="str">
        <f t="shared" si="333"/>
        <v>501-1000</v>
      </c>
      <c r="I1429" t="s">
        <v>73</v>
      </c>
      <c r="J1429">
        <v>1</v>
      </c>
      <c r="K1429" t="str">
        <f t="shared" si="334"/>
        <v>1-5</v>
      </c>
      <c r="L1429">
        <v>4</v>
      </c>
      <c r="M1429" t="s">
        <v>82</v>
      </c>
      <c r="N1429" t="s">
        <v>60</v>
      </c>
      <c r="O1429">
        <v>1</v>
      </c>
      <c r="P1429">
        <v>1</v>
      </c>
      <c r="Q1429" t="s">
        <v>69</v>
      </c>
      <c r="R1429" t="s">
        <v>75</v>
      </c>
      <c r="S1429">
        <v>83</v>
      </c>
      <c r="T1429" t="str">
        <f t="shared" si="335"/>
        <v>76-100</v>
      </c>
      <c r="U1429">
        <v>3</v>
      </c>
      <c r="V1429" t="s">
        <v>63</v>
      </c>
      <c r="W1429">
        <v>1</v>
      </c>
      <c r="X1429" t="s">
        <v>81</v>
      </c>
      <c r="Y1429">
        <v>4</v>
      </c>
      <c r="Z1429" t="s">
        <v>65</v>
      </c>
      <c r="AA1429" t="s">
        <v>77</v>
      </c>
      <c r="AB1429" s="4">
        <v>2406</v>
      </c>
      <c r="AC1429" s="4" t="str">
        <f t="shared" si="336"/>
        <v>$1,000-$2,500</v>
      </c>
      <c r="AD1429">
        <v>4060</v>
      </c>
      <c r="AE1429" t="str">
        <f t="shared" si="337"/>
        <v>$2,094-$8,000</v>
      </c>
      <c r="AF1429">
        <v>8</v>
      </c>
      <c r="AG1429" t="str">
        <f t="shared" si="338"/>
        <v>7-9</v>
      </c>
      <c r="AH1429" t="s">
        <v>67</v>
      </c>
      <c r="AI1429" t="s">
        <v>71</v>
      </c>
      <c r="AJ1429">
        <v>19</v>
      </c>
      <c r="AK1429" t="str">
        <f t="shared" si="339"/>
        <v>18-19%</v>
      </c>
      <c r="AL1429">
        <v>3</v>
      </c>
      <c r="AM1429" t="s">
        <v>68</v>
      </c>
      <c r="AN1429">
        <v>3</v>
      </c>
      <c r="AO1429" t="s">
        <v>63</v>
      </c>
      <c r="AP1429">
        <v>80</v>
      </c>
      <c r="AQ1429">
        <v>2</v>
      </c>
      <c r="AR1429">
        <v>8</v>
      </c>
      <c r="AS1429" t="str">
        <f t="shared" si="340"/>
        <v>6-10</v>
      </c>
      <c r="AT1429">
        <v>3</v>
      </c>
      <c r="AU1429" t="str">
        <f t="shared" si="341"/>
        <v>3-4</v>
      </c>
      <c r="AV1429">
        <v>2</v>
      </c>
      <c r="AW1429" t="s">
        <v>84</v>
      </c>
      <c r="AX1429">
        <v>1</v>
      </c>
      <c r="AY1429" t="str">
        <f t="shared" si="330"/>
        <v>0-1</v>
      </c>
      <c r="AZ1429">
        <v>0</v>
      </c>
      <c r="BA1429" t="str">
        <f t="shared" si="342"/>
        <v>0-1</v>
      </c>
      <c r="BB1429">
        <v>0</v>
      </c>
      <c r="BC1429" t="str">
        <f t="shared" si="343"/>
        <v>0-1</v>
      </c>
      <c r="BD1429">
        <v>0</v>
      </c>
      <c r="BE1429" t="str">
        <f t="shared" si="344"/>
        <v>0-1</v>
      </c>
    </row>
    <row r="1430" spans="1:57" x14ac:dyDescent="0.3">
      <c r="A1430">
        <v>2013</v>
      </c>
      <c r="B1430">
        <v>32</v>
      </c>
      <c r="C1430" t="str">
        <f t="shared" si="331"/>
        <v>26-35</v>
      </c>
      <c r="D1430" t="s">
        <v>71</v>
      </c>
      <c r="E1430">
        <f t="shared" si="332"/>
        <v>0</v>
      </c>
      <c r="F1430" t="s">
        <v>57</v>
      </c>
      <c r="G1430">
        <v>234</v>
      </c>
      <c r="H1430" t="str">
        <f t="shared" si="333"/>
        <v>102-500</v>
      </c>
      <c r="I1430" t="s">
        <v>58</v>
      </c>
      <c r="J1430">
        <v>1</v>
      </c>
      <c r="K1430" t="str">
        <f t="shared" si="334"/>
        <v>1-5</v>
      </c>
      <c r="L1430">
        <v>4</v>
      </c>
      <c r="M1430" t="s">
        <v>82</v>
      </c>
      <c r="N1430" t="s">
        <v>83</v>
      </c>
      <c r="O1430">
        <v>1</v>
      </c>
      <c r="P1430">
        <v>2</v>
      </c>
      <c r="Q1430" t="s">
        <v>61</v>
      </c>
      <c r="R1430" t="s">
        <v>75</v>
      </c>
      <c r="S1430">
        <v>68</v>
      </c>
      <c r="T1430" t="str">
        <f t="shared" si="335"/>
        <v>51-75</v>
      </c>
      <c r="U1430">
        <v>2</v>
      </c>
      <c r="V1430" t="s">
        <v>61</v>
      </c>
      <c r="W1430">
        <v>1</v>
      </c>
      <c r="X1430" t="s">
        <v>91</v>
      </c>
      <c r="Y1430">
        <v>2</v>
      </c>
      <c r="Z1430" t="s">
        <v>61</v>
      </c>
      <c r="AA1430" t="s">
        <v>77</v>
      </c>
      <c r="AB1430" s="4">
        <v>2269</v>
      </c>
      <c r="AC1430" s="4" t="str">
        <f t="shared" si="336"/>
        <v>$1,000-$2,500</v>
      </c>
      <c r="AD1430">
        <v>18024</v>
      </c>
      <c r="AE1430" t="str">
        <f t="shared" si="337"/>
        <v>$16,001-$22,000</v>
      </c>
      <c r="AF1430">
        <v>0</v>
      </c>
      <c r="AG1430" t="str">
        <f t="shared" si="338"/>
        <v>0-1</v>
      </c>
      <c r="AH1430" t="s">
        <v>67</v>
      </c>
      <c r="AI1430" t="s">
        <v>71</v>
      </c>
      <c r="AJ1430">
        <v>14</v>
      </c>
      <c r="AK1430" t="str">
        <f t="shared" si="339"/>
        <v>13-15%</v>
      </c>
      <c r="AL1430">
        <v>3</v>
      </c>
      <c r="AM1430" t="s">
        <v>68</v>
      </c>
      <c r="AN1430">
        <v>2</v>
      </c>
      <c r="AO1430" t="s">
        <v>61</v>
      </c>
      <c r="AP1430">
        <v>80</v>
      </c>
      <c r="AQ1430">
        <v>1</v>
      </c>
      <c r="AR1430">
        <v>3</v>
      </c>
      <c r="AS1430" t="str">
        <f t="shared" si="340"/>
        <v>3-5</v>
      </c>
      <c r="AT1430">
        <v>2</v>
      </c>
      <c r="AU1430" t="str">
        <f t="shared" si="341"/>
        <v>0-2</v>
      </c>
      <c r="AV1430">
        <v>3</v>
      </c>
      <c r="AW1430" t="s">
        <v>79</v>
      </c>
      <c r="AX1430">
        <v>2</v>
      </c>
      <c r="AY1430" t="str">
        <f t="shared" si="330"/>
        <v>2-5</v>
      </c>
      <c r="AZ1430">
        <v>2</v>
      </c>
      <c r="BA1430" t="str">
        <f t="shared" si="342"/>
        <v>2-5</v>
      </c>
      <c r="BB1430">
        <v>2</v>
      </c>
      <c r="BC1430" t="str">
        <f t="shared" si="343"/>
        <v>2-5</v>
      </c>
      <c r="BD1430">
        <v>2</v>
      </c>
      <c r="BE1430" t="str">
        <f t="shared" si="344"/>
        <v>2-5</v>
      </c>
    </row>
    <row r="1431" spans="1:57" x14ac:dyDescent="0.3">
      <c r="A1431">
        <v>2014</v>
      </c>
      <c r="B1431">
        <v>39</v>
      </c>
      <c r="C1431" t="str">
        <f t="shared" si="331"/>
        <v>36-45</v>
      </c>
      <c r="D1431" t="s">
        <v>71</v>
      </c>
      <c r="E1431">
        <f t="shared" si="332"/>
        <v>0</v>
      </c>
      <c r="F1431" t="s">
        <v>57</v>
      </c>
      <c r="G1431">
        <v>116</v>
      </c>
      <c r="H1431" t="str">
        <f t="shared" si="333"/>
        <v>102-500</v>
      </c>
      <c r="I1431" t="s">
        <v>73</v>
      </c>
      <c r="J1431">
        <v>24</v>
      </c>
      <c r="K1431" t="str">
        <f t="shared" si="334"/>
        <v>21-29</v>
      </c>
      <c r="L1431">
        <v>1</v>
      </c>
      <c r="M1431" t="s">
        <v>74</v>
      </c>
      <c r="N1431" t="s">
        <v>60</v>
      </c>
      <c r="O1431">
        <v>1</v>
      </c>
      <c r="P1431">
        <v>1</v>
      </c>
      <c r="Q1431" t="s">
        <v>69</v>
      </c>
      <c r="R1431" t="s">
        <v>75</v>
      </c>
      <c r="S1431">
        <v>52</v>
      </c>
      <c r="T1431" t="str">
        <f t="shared" si="335"/>
        <v>51-75</v>
      </c>
      <c r="U1431">
        <v>3</v>
      </c>
      <c r="V1431" t="s">
        <v>63</v>
      </c>
      <c r="W1431">
        <v>2</v>
      </c>
      <c r="X1431" t="s">
        <v>76</v>
      </c>
      <c r="Y1431">
        <v>4</v>
      </c>
      <c r="Z1431" t="s">
        <v>65</v>
      </c>
      <c r="AA1431" t="s">
        <v>66</v>
      </c>
      <c r="AB1431" s="4">
        <v>4108</v>
      </c>
      <c r="AC1431" s="4" t="str">
        <f t="shared" si="336"/>
        <v>$4,000-$5,500</v>
      </c>
      <c r="AD1431">
        <v>5340</v>
      </c>
      <c r="AE1431" t="str">
        <f t="shared" si="337"/>
        <v>$2,094-$8,000</v>
      </c>
      <c r="AF1431">
        <v>7</v>
      </c>
      <c r="AG1431" t="str">
        <f t="shared" si="338"/>
        <v>7-9</v>
      </c>
      <c r="AH1431" t="s">
        <v>67</v>
      </c>
      <c r="AI1431" t="s">
        <v>71</v>
      </c>
      <c r="AJ1431">
        <v>13</v>
      </c>
      <c r="AK1431" t="str">
        <f t="shared" si="339"/>
        <v>13-15%</v>
      </c>
      <c r="AL1431">
        <v>3</v>
      </c>
      <c r="AM1431" t="s">
        <v>68</v>
      </c>
      <c r="AN1431">
        <v>1</v>
      </c>
      <c r="AO1431" t="s">
        <v>69</v>
      </c>
      <c r="AP1431">
        <v>80</v>
      </c>
      <c r="AQ1431">
        <v>0</v>
      </c>
      <c r="AR1431">
        <v>18</v>
      </c>
      <c r="AS1431" t="str">
        <f t="shared" si="340"/>
        <v>11-20</v>
      </c>
      <c r="AT1431">
        <v>2</v>
      </c>
      <c r="AU1431" t="str">
        <f t="shared" si="341"/>
        <v>0-2</v>
      </c>
      <c r="AV1431">
        <v>3</v>
      </c>
      <c r="AW1431" t="s">
        <v>79</v>
      </c>
      <c r="AX1431">
        <v>7</v>
      </c>
      <c r="AY1431" t="str">
        <f t="shared" si="330"/>
        <v>6-10</v>
      </c>
      <c r="AZ1431">
        <v>7</v>
      </c>
      <c r="BA1431" t="str">
        <f t="shared" si="342"/>
        <v>6-10</v>
      </c>
      <c r="BB1431">
        <v>1</v>
      </c>
      <c r="BC1431" t="str">
        <f t="shared" si="343"/>
        <v>0-1</v>
      </c>
      <c r="BD1431">
        <v>7</v>
      </c>
      <c r="BE1431" t="str">
        <f t="shared" si="344"/>
        <v>6-10</v>
      </c>
    </row>
    <row r="1432" spans="1:57" x14ac:dyDescent="0.3">
      <c r="A1432">
        <v>2015</v>
      </c>
      <c r="B1432">
        <v>38</v>
      </c>
      <c r="C1432" t="str">
        <f t="shared" si="331"/>
        <v>36-45</v>
      </c>
      <c r="D1432" t="s">
        <v>71</v>
      </c>
      <c r="E1432">
        <f t="shared" si="332"/>
        <v>0</v>
      </c>
      <c r="F1432" t="s">
        <v>57</v>
      </c>
      <c r="G1432">
        <v>201</v>
      </c>
      <c r="H1432" t="str">
        <f t="shared" si="333"/>
        <v>102-500</v>
      </c>
      <c r="I1432" t="s">
        <v>73</v>
      </c>
      <c r="J1432">
        <v>10</v>
      </c>
      <c r="K1432" t="str">
        <f t="shared" si="334"/>
        <v>6-10</v>
      </c>
      <c r="L1432">
        <v>3</v>
      </c>
      <c r="M1432" t="s">
        <v>85</v>
      </c>
      <c r="N1432" t="s">
        <v>83</v>
      </c>
      <c r="O1432">
        <v>1</v>
      </c>
      <c r="P1432">
        <v>2</v>
      </c>
      <c r="Q1432" t="s">
        <v>61</v>
      </c>
      <c r="R1432" t="s">
        <v>62</v>
      </c>
      <c r="S1432">
        <v>99</v>
      </c>
      <c r="T1432" t="str">
        <f t="shared" si="335"/>
        <v>76-100</v>
      </c>
      <c r="U1432">
        <v>1</v>
      </c>
      <c r="V1432" t="s">
        <v>69</v>
      </c>
      <c r="W1432">
        <v>3</v>
      </c>
      <c r="X1432" t="s">
        <v>92</v>
      </c>
      <c r="Y1432">
        <v>3</v>
      </c>
      <c r="Z1432" t="s">
        <v>63</v>
      </c>
      <c r="AA1432" t="s">
        <v>77</v>
      </c>
      <c r="AB1432" s="4">
        <v>13206</v>
      </c>
      <c r="AC1432" s="4" t="str">
        <f t="shared" si="336"/>
        <v>$13,000-$14,500</v>
      </c>
      <c r="AD1432">
        <v>3376</v>
      </c>
      <c r="AE1432" t="str">
        <f t="shared" si="337"/>
        <v>$2,094-$8,000</v>
      </c>
      <c r="AF1432">
        <v>3</v>
      </c>
      <c r="AG1432" t="str">
        <f t="shared" si="338"/>
        <v>2-3</v>
      </c>
      <c r="AH1432" t="s">
        <v>67</v>
      </c>
      <c r="AI1432" t="s">
        <v>71</v>
      </c>
      <c r="AJ1432">
        <v>12</v>
      </c>
      <c r="AK1432" t="str">
        <f t="shared" si="339"/>
        <v>11-12%</v>
      </c>
      <c r="AL1432">
        <v>3</v>
      </c>
      <c r="AM1432" t="s">
        <v>68</v>
      </c>
      <c r="AN1432">
        <v>1</v>
      </c>
      <c r="AO1432" t="s">
        <v>69</v>
      </c>
      <c r="AP1432">
        <v>80</v>
      </c>
      <c r="AQ1432">
        <v>1</v>
      </c>
      <c r="AR1432">
        <v>20</v>
      </c>
      <c r="AS1432" t="str">
        <f t="shared" si="340"/>
        <v>11-20</v>
      </c>
      <c r="AT1432">
        <v>3</v>
      </c>
      <c r="AU1432" t="str">
        <f t="shared" si="341"/>
        <v>3-4</v>
      </c>
      <c r="AV1432">
        <v>3</v>
      </c>
      <c r="AW1432" t="s">
        <v>79</v>
      </c>
      <c r="AX1432">
        <v>18</v>
      </c>
      <c r="AY1432" t="str">
        <f t="shared" si="330"/>
        <v>11-20</v>
      </c>
      <c r="AZ1432">
        <v>16</v>
      </c>
      <c r="BA1432" t="str">
        <f t="shared" si="342"/>
        <v>11-18</v>
      </c>
      <c r="BB1432">
        <v>1</v>
      </c>
      <c r="BC1432" t="str">
        <f t="shared" si="343"/>
        <v>0-1</v>
      </c>
      <c r="BD1432">
        <v>11</v>
      </c>
      <c r="BE1432" t="str">
        <f t="shared" si="344"/>
        <v>11-17</v>
      </c>
    </row>
    <row r="1433" spans="1:57" x14ac:dyDescent="0.3">
      <c r="A1433">
        <v>2016</v>
      </c>
      <c r="B1433">
        <v>32</v>
      </c>
      <c r="C1433" t="str">
        <f t="shared" si="331"/>
        <v>26-35</v>
      </c>
      <c r="D1433" t="s">
        <v>71</v>
      </c>
      <c r="E1433">
        <f t="shared" si="332"/>
        <v>0</v>
      </c>
      <c r="F1433" t="s">
        <v>57</v>
      </c>
      <c r="G1433">
        <v>801</v>
      </c>
      <c r="H1433" t="str">
        <f t="shared" si="333"/>
        <v>501-1000</v>
      </c>
      <c r="I1433" t="s">
        <v>58</v>
      </c>
      <c r="J1433">
        <v>1</v>
      </c>
      <c r="K1433" t="str">
        <f t="shared" si="334"/>
        <v>1-5</v>
      </c>
      <c r="L1433">
        <v>4</v>
      </c>
      <c r="M1433" t="s">
        <v>82</v>
      </c>
      <c r="N1433" t="s">
        <v>93</v>
      </c>
      <c r="O1433">
        <v>1</v>
      </c>
      <c r="P1433">
        <v>3</v>
      </c>
      <c r="Q1433" t="s">
        <v>63</v>
      </c>
      <c r="R1433" t="s">
        <v>62</v>
      </c>
      <c r="S1433">
        <v>48</v>
      </c>
      <c r="T1433" t="str">
        <f t="shared" si="335"/>
        <v>30-50</v>
      </c>
      <c r="U1433">
        <v>3</v>
      </c>
      <c r="V1433" t="s">
        <v>63</v>
      </c>
      <c r="W1433">
        <v>3</v>
      </c>
      <c r="X1433" t="s">
        <v>64</v>
      </c>
      <c r="Y1433">
        <v>4</v>
      </c>
      <c r="Z1433" t="s">
        <v>65</v>
      </c>
      <c r="AA1433" t="s">
        <v>77</v>
      </c>
      <c r="AB1433" s="4">
        <v>10422</v>
      </c>
      <c r="AC1433" s="4" t="str">
        <f t="shared" si="336"/>
        <v>$10,000-$11,500</v>
      </c>
      <c r="AD1433">
        <v>24032</v>
      </c>
      <c r="AE1433" t="str">
        <f t="shared" si="337"/>
        <v>$22,001-$26,999</v>
      </c>
      <c r="AF1433">
        <v>1</v>
      </c>
      <c r="AG1433" t="str">
        <f t="shared" si="338"/>
        <v>0-1</v>
      </c>
      <c r="AH1433" t="s">
        <v>67</v>
      </c>
      <c r="AI1433" t="s">
        <v>71</v>
      </c>
      <c r="AJ1433">
        <v>19</v>
      </c>
      <c r="AK1433" t="str">
        <f t="shared" si="339"/>
        <v>18-19%</v>
      </c>
      <c r="AL1433">
        <v>3</v>
      </c>
      <c r="AM1433" t="s">
        <v>68</v>
      </c>
      <c r="AN1433">
        <v>3</v>
      </c>
      <c r="AO1433" t="s">
        <v>63</v>
      </c>
      <c r="AP1433">
        <v>80</v>
      </c>
      <c r="AQ1433">
        <v>2</v>
      </c>
      <c r="AR1433">
        <v>14</v>
      </c>
      <c r="AS1433" t="str">
        <f t="shared" si="340"/>
        <v>11-20</v>
      </c>
      <c r="AT1433">
        <v>3</v>
      </c>
      <c r="AU1433" t="str">
        <f t="shared" si="341"/>
        <v>3-4</v>
      </c>
      <c r="AV1433">
        <v>3</v>
      </c>
      <c r="AW1433" t="s">
        <v>79</v>
      </c>
      <c r="AX1433">
        <v>14</v>
      </c>
      <c r="AY1433" t="str">
        <f t="shared" si="330"/>
        <v>11-20</v>
      </c>
      <c r="AZ1433">
        <v>10</v>
      </c>
      <c r="BA1433" t="str">
        <f t="shared" si="342"/>
        <v>6-10</v>
      </c>
      <c r="BB1433">
        <v>5</v>
      </c>
      <c r="BC1433" t="str">
        <f t="shared" si="343"/>
        <v>2-5</v>
      </c>
      <c r="BD1433">
        <v>7</v>
      </c>
      <c r="BE1433" t="str">
        <f t="shared" si="344"/>
        <v>6-10</v>
      </c>
    </row>
    <row r="1434" spans="1:57" x14ac:dyDescent="0.3">
      <c r="A1434">
        <v>2017</v>
      </c>
      <c r="B1434">
        <v>37</v>
      </c>
      <c r="C1434" t="str">
        <f t="shared" si="331"/>
        <v>36-45</v>
      </c>
      <c r="D1434" t="s">
        <v>71</v>
      </c>
      <c r="E1434">
        <f t="shared" si="332"/>
        <v>0</v>
      </c>
      <c r="F1434" t="s">
        <v>57</v>
      </c>
      <c r="G1434">
        <v>161</v>
      </c>
      <c r="H1434" t="str">
        <f t="shared" si="333"/>
        <v>102-500</v>
      </c>
      <c r="I1434" t="s">
        <v>73</v>
      </c>
      <c r="J1434">
        <v>10</v>
      </c>
      <c r="K1434" t="str">
        <f t="shared" si="334"/>
        <v>6-10</v>
      </c>
      <c r="L1434">
        <v>3</v>
      </c>
      <c r="M1434" t="s">
        <v>85</v>
      </c>
      <c r="N1434" t="s">
        <v>60</v>
      </c>
      <c r="O1434">
        <v>1</v>
      </c>
      <c r="P1434">
        <v>3</v>
      </c>
      <c r="Q1434" t="s">
        <v>63</v>
      </c>
      <c r="R1434" t="s">
        <v>62</v>
      </c>
      <c r="S1434">
        <v>42</v>
      </c>
      <c r="T1434" t="str">
        <f t="shared" si="335"/>
        <v>30-50</v>
      </c>
      <c r="U1434">
        <v>4</v>
      </c>
      <c r="V1434" t="s">
        <v>65</v>
      </c>
      <c r="W1434">
        <v>3</v>
      </c>
      <c r="X1434" t="s">
        <v>92</v>
      </c>
      <c r="Y1434">
        <v>4</v>
      </c>
      <c r="Z1434" t="s">
        <v>65</v>
      </c>
      <c r="AA1434" t="s">
        <v>77</v>
      </c>
      <c r="AB1434" s="4">
        <v>13744</v>
      </c>
      <c r="AC1434" s="4" t="str">
        <f t="shared" si="336"/>
        <v>$13,000-$14,500</v>
      </c>
      <c r="AD1434">
        <v>15471</v>
      </c>
      <c r="AE1434" t="str">
        <f t="shared" si="337"/>
        <v>$8,001-$16,000</v>
      </c>
      <c r="AF1434">
        <v>1</v>
      </c>
      <c r="AG1434" t="str">
        <f t="shared" si="338"/>
        <v>0-1</v>
      </c>
      <c r="AH1434" t="s">
        <v>67</v>
      </c>
      <c r="AI1434" t="s">
        <v>56</v>
      </c>
      <c r="AJ1434">
        <v>25</v>
      </c>
      <c r="AK1434" t="str">
        <f t="shared" si="339"/>
        <v>18-19%</v>
      </c>
      <c r="AL1434">
        <v>4</v>
      </c>
      <c r="AM1434" t="s">
        <v>78</v>
      </c>
      <c r="AN1434">
        <v>1</v>
      </c>
      <c r="AO1434" t="s">
        <v>69</v>
      </c>
      <c r="AP1434">
        <v>80</v>
      </c>
      <c r="AQ1434">
        <v>1</v>
      </c>
      <c r="AR1434">
        <v>16</v>
      </c>
      <c r="AS1434" t="str">
        <f t="shared" si="340"/>
        <v>11-20</v>
      </c>
      <c r="AT1434">
        <v>2</v>
      </c>
      <c r="AU1434" t="str">
        <f t="shared" si="341"/>
        <v>0-2</v>
      </c>
      <c r="AV1434">
        <v>3</v>
      </c>
      <c r="AW1434" t="s">
        <v>79</v>
      </c>
      <c r="AX1434">
        <v>16</v>
      </c>
      <c r="AY1434" t="str">
        <f t="shared" si="330"/>
        <v>11-20</v>
      </c>
      <c r="AZ1434">
        <v>11</v>
      </c>
      <c r="BA1434" t="str">
        <f t="shared" si="342"/>
        <v>11-18</v>
      </c>
      <c r="BB1434">
        <v>6</v>
      </c>
      <c r="BC1434" t="str">
        <f t="shared" si="343"/>
        <v>6-10</v>
      </c>
      <c r="BD1434">
        <v>8</v>
      </c>
      <c r="BE1434" t="str">
        <f t="shared" si="344"/>
        <v>6-10</v>
      </c>
    </row>
    <row r="1435" spans="1:57" x14ac:dyDescent="0.3">
      <c r="A1435">
        <v>2018</v>
      </c>
      <c r="B1435">
        <v>25</v>
      </c>
      <c r="C1435" t="str">
        <f t="shared" si="331"/>
        <v>18-25</v>
      </c>
      <c r="D1435" t="s">
        <v>71</v>
      </c>
      <c r="E1435">
        <f t="shared" si="332"/>
        <v>0</v>
      </c>
      <c r="F1435" t="s">
        <v>57</v>
      </c>
      <c r="G1435">
        <v>1382</v>
      </c>
      <c r="H1435" t="str">
        <f t="shared" si="333"/>
        <v>1001-1499</v>
      </c>
      <c r="I1435" t="s">
        <v>58</v>
      </c>
      <c r="J1435">
        <v>8</v>
      </c>
      <c r="K1435" t="str">
        <f t="shared" si="334"/>
        <v>6-10</v>
      </c>
      <c r="L1435">
        <v>2</v>
      </c>
      <c r="M1435" t="s">
        <v>59</v>
      </c>
      <c r="N1435" t="s">
        <v>80</v>
      </c>
      <c r="O1435">
        <v>1</v>
      </c>
      <c r="P1435">
        <v>1</v>
      </c>
      <c r="Q1435" t="s">
        <v>69</v>
      </c>
      <c r="R1435" t="s">
        <v>62</v>
      </c>
      <c r="S1435">
        <v>85</v>
      </c>
      <c r="T1435" t="str">
        <f t="shared" si="335"/>
        <v>76-100</v>
      </c>
      <c r="U1435">
        <v>3</v>
      </c>
      <c r="V1435" t="s">
        <v>63</v>
      </c>
      <c r="W1435">
        <v>2</v>
      </c>
      <c r="X1435" t="s">
        <v>64</v>
      </c>
      <c r="Y1435">
        <v>3</v>
      </c>
      <c r="Z1435" t="s">
        <v>63</v>
      </c>
      <c r="AA1435" t="s">
        <v>86</v>
      </c>
      <c r="AB1435" s="4">
        <v>4907</v>
      </c>
      <c r="AC1435" s="4" t="str">
        <f t="shared" si="336"/>
        <v>$4,000-$5,500</v>
      </c>
      <c r="AD1435">
        <v>13684</v>
      </c>
      <c r="AE1435" t="str">
        <f t="shared" si="337"/>
        <v>$8,001-$16,000</v>
      </c>
      <c r="AF1435">
        <v>0</v>
      </c>
      <c r="AG1435" t="str">
        <f t="shared" si="338"/>
        <v>0-1</v>
      </c>
      <c r="AH1435" t="s">
        <v>67</v>
      </c>
      <c r="AI1435" t="s">
        <v>56</v>
      </c>
      <c r="AJ1435">
        <v>22</v>
      </c>
      <c r="AK1435" t="str">
        <f t="shared" si="339"/>
        <v>18-19%</v>
      </c>
      <c r="AL1435">
        <v>4</v>
      </c>
      <c r="AM1435" t="s">
        <v>78</v>
      </c>
      <c r="AN1435">
        <v>2</v>
      </c>
      <c r="AO1435" t="s">
        <v>61</v>
      </c>
      <c r="AP1435">
        <v>80</v>
      </c>
      <c r="AQ1435">
        <v>1</v>
      </c>
      <c r="AR1435">
        <v>6</v>
      </c>
      <c r="AS1435" t="str">
        <f t="shared" si="340"/>
        <v>6-10</v>
      </c>
      <c r="AT1435">
        <v>3</v>
      </c>
      <c r="AU1435" t="str">
        <f t="shared" si="341"/>
        <v>3-4</v>
      </c>
      <c r="AV1435">
        <v>2</v>
      </c>
      <c r="AW1435" t="s">
        <v>84</v>
      </c>
      <c r="AX1435">
        <v>5</v>
      </c>
      <c r="AY1435" t="str">
        <f t="shared" si="330"/>
        <v>2-5</v>
      </c>
      <c r="AZ1435">
        <v>3</v>
      </c>
      <c r="BA1435" t="str">
        <f t="shared" si="342"/>
        <v>2-5</v>
      </c>
      <c r="BB1435">
        <v>0</v>
      </c>
      <c r="BC1435" t="str">
        <f t="shared" si="343"/>
        <v>0-1</v>
      </c>
      <c r="BD1435">
        <v>4</v>
      </c>
      <c r="BE1435" t="str">
        <f t="shared" si="344"/>
        <v>2-5</v>
      </c>
    </row>
    <row r="1436" spans="1:57" x14ac:dyDescent="0.3">
      <c r="A1436">
        <v>2019</v>
      </c>
      <c r="B1436">
        <v>52</v>
      </c>
      <c r="C1436" t="str">
        <f t="shared" si="331"/>
        <v>46-55</v>
      </c>
      <c r="D1436" t="s">
        <v>71</v>
      </c>
      <c r="E1436">
        <f t="shared" si="332"/>
        <v>0</v>
      </c>
      <c r="F1436" t="s">
        <v>89</v>
      </c>
      <c r="G1436">
        <v>585</v>
      </c>
      <c r="H1436" t="str">
        <f t="shared" si="333"/>
        <v>501-1000</v>
      </c>
      <c r="I1436" t="s">
        <v>58</v>
      </c>
      <c r="J1436">
        <v>29</v>
      </c>
      <c r="K1436" t="str">
        <f t="shared" si="334"/>
        <v>21-29</v>
      </c>
      <c r="L1436">
        <v>4</v>
      </c>
      <c r="M1436" t="s">
        <v>82</v>
      </c>
      <c r="N1436" t="s">
        <v>60</v>
      </c>
      <c r="O1436">
        <v>1</v>
      </c>
      <c r="P1436">
        <v>1</v>
      </c>
      <c r="Q1436" t="s">
        <v>69</v>
      </c>
      <c r="R1436" t="s">
        <v>75</v>
      </c>
      <c r="S1436">
        <v>40</v>
      </c>
      <c r="T1436" t="str">
        <f t="shared" si="335"/>
        <v>30-50</v>
      </c>
      <c r="U1436">
        <v>3</v>
      </c>
      <c r="V1436" t="s">
        <v>63</v>
      </c>
      <c r="W1436">
        <v>1</v>
      </c>
      <c r="X1436" t="s">
        <v>91</v>
      </c>
      <c r="Y1436">
        <v>4</v>
      </c>
      <c r="Z1436" t="s">
        <v>65</v>
      </c>
      <c r="AA1436" t="s">
        <v>86</v>
      </c>
      <c r="AB1436" s="4">
        <v>3482</v>
      </c>
      <c r="AC1436" s="4" t="str">
        <f t="shared" si="336"/>
        <v>$2,500-$4,000</v>
      </c>
      <c r="AD1436">
        <v>19788</v>
      </c>
      <c r="AE1436" t="str">
        <f t="shared" si="337"/>
        <v>$16,001-$22,000</v>
      </c>
      <c r="AF1436">
        <v>2</v>
      </c>
      <c r="AG1436" t="str">
        <f t="shared" si="338"/>
        <v>2-3</v>
      </c>
      <c r="AH1436" t="s">
        <v>67</v>
      </c>
      <c r="AI1436" t="s">
        <v>71</v>
      </c>
      <c r="AJ1436">
        <v>15</v>
      </c>
      <c r="AK1436" t="str">
        <f t="shared" si="339"/>
        <v>13-15%</v>
      </c>
      <c r="AL1436">
        <v>3</v>
      </c>
      <c r="AM1436" t="s">
        <v>68</v>
      </c>
      <c r="AN1436">
        <v>2</v>
      </c>
      <c r="AO1436" t="s">
        <v>61</v>
      </c>
      <c r="AP1436">
        <v>80</v>
      </c>
      <c r="AQ1436">
        <v>2</v>
      </c>
      <c r="AR1436">
        <v>16</v>
      </c>
      <c r="AS1436" t="str">
        <f t="shared" si="340"/>
        <v>11-20</v>
      </c>
      <c r="AT1436">
        <v>3</v>
      </c>
      <c r="AU1436" t="str">
        <f t="shared" si="341"/>
        <v>3-4</v>
      </c>
      <c r="AV1436">
        <v>2</v>
      </c>
      <c r="AW1436" t="s">
        <v>84</v>
      </c>
      <c r="AX1436">
        <v>9</v>
      </c>
      <c r="AY1436" t="str">
        <f t="shared" si="330"/>
        <v>6-10</v>
      </c>
      <c r="AZ1436">
        <v>8</v>
      </c>
      <c r="BA1436" t="str">
        <f t="shared" si="342"/>
        <v>6-10</v>
      </c>
      <c r="BB1436">
        <v>0</v>
      </c>
      <c r="BC1436" t="str">
        <f t="shared" si="343"/>
        <v>0-1</v>
      </c>
      <c r="BD1436">
        <v>0</v>
      </c>
      <c r="BE1436" t="str">
        <f t="shared" si="344"/>
        <v>0-1</v>
      </c>
    </row>
    <row r="1437" spans="1:57" x14ac:dyDescent="0.3">
      <c r="A1437">
        <v>2020</v>
      </c>
      <c r="B1437">
        <v>44</v>
      </c>
      <c r="C1437" t="str">
        <f t="shared" si="331"/>
        <v>36-45</v>
      </c>
      <c r="D1437" t="s">
        <v>71</v>
      </c>
      <c r="E1437">
        <f t="shared" si="332"/>
        <v>0</v>
      </c>
      <c r="F1437" t="s">
        <v>57</v>
      </c>
      <c r="G1437">
        <v>1037</v>
      </c>
      <c r="H1437" t="str">
        <f t="shared" si="333"/>
        <v>1001-1499</v>
      </c>
      <c r="I1437" t="s">
        <v>73</v>
      </c>
      <c r="J1437">
        <v>1</v>
      </c>
      <c r="K1437" t="str">
        <f t="shared" si="334"/>
        <v>1-5</v>
      </c>
      <c r="L1437">
        <v>3</v>
      </c>
      <c r="M1437" t="s">
        <v>85</v>
      </c>
      <c r="N1437" t="s">
        <v>83</v>
      </c>
      <c r="O1437">
        <v>1</v>
      </c>
      <c r="P1437">
        <v>2</v>
      </c>
      <c r="Q1437" t="s">
        <v>61</v>
      </c>
      <c r="R1437" t="s">
        <v>75</v>
      </c>
      <c r="S1437">
        <v>42</v>
      </c>
      <c r="T1437" t="str">
        <f t="shared" si="335"/>
        <v>30-50</v>
      </c>
      <c r="U1437">
        <v>3</v>
      </c>
      <c r="V1437" t="s">
        <v>63</v>
      </c>
      <c r="W1437">
        <v>1</v>
      </c>
      <c r="X1437" t="s">
        <v>76</v>
      </c>
      <c r="Y1437">
        <v>4</v>
      </c>
      <c r="Z1437" t="s">
        <v>65</v>
      </c>
      <c r="AA1437" t="s">
        <v>66</v>
      </c>
      <c r="AB1437" s="4">
        <v>2436</v>
      </c>
      <c r="AC1437" s="4" t="str">
        <f t="shared" si="336"/>
        <v>$1,000-$2,500</v>
      </c>
      <c r="AD1437">
        <v>13422</v>
      </c>
      <c r="AE1437" t="str">
        <f t="shared" si="337"/>
        <v>$8,001-$16,000</v>
      </c>
      <c r="AF1437">
        <v>6</v>
      </c>
      <c r="AG1437" t="str">
        <f t="shared" si="338"/>
        <v>4-6</v>
      </c>
      <c r="AH1437" t="s">
        <v>67</v>
      </c>
      <c r="AI1437" t="s">
        <v>56</v>
      </c>
      <c r="AJ1437">
        <v>12</v>
      </c>
      <c r="AK1437" t="str">
        <f t="shared" si="339"/>
        <v>11-12%</v>
      </c>
      <c r="AL1437">
        <v>3</v>
      </c>
      <c r="AM1437" t="s">
        <v>68</v>
      </c>
      <c r="AN1437">
        <v>3</v>
      </c>
      <c r="AO1437" t="s">
        <v>63</v>
      </c>
      <c r="AP1437">
        <v>80</v>
      </c>
      <c r="AQ1437">
        <v>0</v>
      </c>
      <c r="AR1437">
        <v>6</v>
      </c>
      <c r="AS1437" t="str">
        <f t="shared" si="340"/>
        <v>6-10</v>
      </c>
      <c r="AT1437">
        <v>2</v>
      </c>
      <c r="AU1437" t="str">
        <f t="shared" si="341"/>
        <v>0-2</v>
      </c>
      <c r="AV1437">
        <v>3</v>
      </c>
      <c r="AW1437" t="s">
        <v>79</v>
      </c>
      <c r="AX1437">
        <v>4</v>
      </c>
      <c r="AY1437" t="str">
        <f t="shared" si="330"/>
        <v>2-5</v>
      </c>
      <c r="AZ1437">
        <v>3</v>
      </c>
      <c r="BA1437" t="str">
        <f t="shared" si="342"/>
        <v>2-5</v>
      </c>
      <c r="BB1437">
        <v>1</v>
      </c>
      <c r="BC1437" t="str">
        <f t="shared" si="343"/>
        <v>0-1</v>
      </c>
      <c r="BD1437">
        <v>2</v>
      </c>
      <c r="BE1437" t="str">
        <f t="shared" si="344"/>
        <v>2-5</v>
      </c>
    </row>
    <row r="1438" spans="1:57" x14ac:dyDescent="0.3">
      <c r="A1438">
        <v>2021</v>
      </c>
      <c r="B1438">
        <v>21</v>
      </c>
      <c r="C1438" t="str">
        <f t="shared" si="331"/>
        <v>18-25</v>
      </c>
      <c r="D1438" t="s">
        <v>71</v>
      </c>
      <c r="E1438">
        <f t="shared" si="332"/>
        <v>0</v>
      </c>
      <c r="F1438" t="s">
        <v>57</v>
      </c>
      <c r="G1438">
        <v>501</v>
      </c>
      <c r="H1438" t="str">
        <f t="shared" si="333"/>
        <v>501-1000</v>
      </c>
      <c r="I1438" t="s">
        <v>58</v>
      </c>
      <c r="J1438">
        <v>5</v>
      </c>
      <c r="K1438" t="str">
        <f t="shared" si="334"/>
        <v>1-5</v>
      </c>
      <c r="L1438">
        <v>1</v>
      </c>
      <c r="M1438" t="s">
        <v>74</v>
      </c>
      <c r="N1438" t="s">
        <v>83</v>
      </c>
      <c r="O1438">
        <v>1</v>
      </c>
      <c r="P1438">
        <v>3</v>
      </c>
      <c r="Q1438" t="s">
        <v>63</v>
      </c>
      <c r="R1438" t="s">
        <v>75</v>
      </c>
      <c r="S1438">
        <v>58</v>
      </c>
      <c r="T1438" t="str">
        <f t="shared" si="335"/>
        <v>51-75</v>
      </c>
      <c r="U1438">
        <v>3</v>
      </c>
      <c r="V1438" t="s">
        <v>63</v>
      </c>
      <c r="W1438">
        <v>1</v>
      </c>
      <c r="X1438" t="s">
        <v>91</v>
      </c>
      <c r="Y1438">
        <v>1</v>
      </c>
      <c r="Z1438" t="s">
        <v>69</v>
      </c>
      <c r="AA1438" t="s">
        <v>66</v>
      </c>
      <c r="AB1438" s="4">
        <v>2380</v>
      </c>
      <c r="AC1438" s="4" t="str">
        <f t="shared" si="336"/>
        <v>$1,000-$2,500</v>
      </c>
      <c r="AD1438">
        <v>25479</v>
      </c>
      <c r="AE1438" t="str">
        <f t="shared" si="337"/>
        <v>$22,001-$26,999</v>
      </c>
      <c r="AF1438">
        <v>1</v>
      </c>
      <c r="AG1438" t="str">
        <f t="shared" si="338"/>
        <v>0-1</v>
      </c>
      <c r="AH1438" t="s">
        <v>67</v>
      </c>
      <c r="AI1438" t="s">
        <v>56</v>
      </c>
      <c r="AJ1438">
        <v>11</v>
      </c>
      <c r="AK1438" t="str">
        <f t="shared" si="339"/>
        <v>11-12%</v>
      </c>
      <c r="AL1438">
        <v>3</v>
      </c>
      <c r="AM1438" t="s">
        <v>68</v>
      </c>
      <c r="AN1438">
        <v>4</v>
      </c>
      <c r="AO1438" t="s">
        <v>65</v>
      </c>
      <c r="AP1438">
        <v>80</v>
      </c>
      <c r="AQ1438">
        <v>0</v>
      </c>
      <c r="AR1438">
        <v>2</v>
      </c>
      <c r="AS1438" t="str">
        <f t="shared" si="340"/>
        <v>0-2</v>
      </c>
      <c r="AT1438">
        <v>6</v>
      </c>
      <c r="AU1438" t="str">
        <f t="shared" si="341"/>
        <v>5-6</v>
      </c>
      <c r="AV1438">
        <v>3</v>
      </c>
      <c r="AW1438" t="s">
        <v>79</v>
      </c>
      <c r="AX1438">
        <v>2</v>
      </c>
      <c r="AY1438" t="str">
        <f t="shared" si="330"/>
        <v>2-5</v>
      </c>
      <c r="AZ1438">
        <v>2</v>
      </c>
      <c r="BA1438" t="str">
        <f t="shared" si="342"/>
        <v>2-5</v>
      </c>
      <c r="BB1438">
        <v>1</v>
      </c>
      <c r="BC1438" t="str">
        <f t="shared" si="343"/>
        <v>0-1</v>
      </c>
      <c r="BD1438">
        <v>2</v>
      </c>
      <c r="BE1438" t="str">
        <f t="shared" si="344"/>
        <v>2-5</v>
      </c>
    </row>
    <row r="1439" spans="1:57" x14ac:dyDescent="0.3">
      <c r="A1439">
        <v>2022</v>
      </c>
      <c r="B1439">
        <v>39</v>
      </c>
      <c r="C1439" t="str">
        <f t="shared" si="331"/>
        <v>36-45</v>
      </c>
      <c r="D1439" t="s">
        <v>71</v>
      </c>
      <c r="E1439">
        <f t="shared" si="332"/>
        <v>0</v>
      </c>
      <c r="F1439" t="s">
        <v>89</v>
      </c>
      <c r="G1439">
        <v>105</v>
      </c>
      <c r="H1439" t="str">
        <f t="shared" si="333"/>
        <v>102-500</v>
      </c>
      <c r="I1439" t="s">
        <v>73</v>
      </c>
      <c r="J1439">
        <v>9</v>
      </c>
      <c r="K1439" t="str">
        <f t="shared" si="334"/>
        <v>6-10</v>
      </c>
      <c r="L1439">
        <v>3</v>
      </c>
      <c r="M1439" t="s">
        <v>85</v>
      </c>
      <c r="N1439" t="s">
        <v>60</v>
      </c>
      <c r="O1439">
        <v>1</v>
      </c>
      <c r="P1439">
        <v>4</v>
      </c>
      <c r="Q1439" t="s">
        <v>65</v>
      </c>
      <c r="R1439" t="s">
        <v>75</v>
      </c>
      <c r="S1439">
        <v>87</v>
      </c>
      <c r="T1439" t="str">
        <f t="shared" si="335"/>
        <v>76-100</v>
      </c>
      <c r="U1439">
        <v>3</v>
      </c>
      <c r="V1439" t="s">
        <v>63</v>
      </c>
      <c r="W1439">
        <v>5</v>
      </c>
      <c r="X1439" t="s">
        <v>90</v>
      </c>
      <c r="Y1439">
        <v>4</v>
      </c>
      <c r="Z1439" t="s">
        <v>65</v>
      </c>
      <c r="AA1439" t="s">
        <v>66</v>
      </c>
      <c r="AB1439" s="4">
        <v>19431</v>
      </c>
      <c r="AC1439" s="4" t="str">
        <f t="shared" si="336"/>
        <v>$19,000-$20,500</v>
      </c>
      <c r="AD1439">
        <v>15302</v>
      </c>
      <c r="AE1439" t="str">
        <f t="shared" si="337"/>
        <v>$8,001-$16,000</v>
      </c>
      <c r="AF1439">
        <v>2</v>
      </c>
      <c r="AG1439" t="str">
        <f t="shared" si="338"/>
        <v>2-3</v>
      </c>
      <c r="AH1439" t="s">
        <v>67</v>
      </c>
      <c r="AI1439" t="s">
        <v>71</v>
      </c>
      <c r="AJ1439">
        <v>13</v>
      </c>
      <c r="AK1439" t="str">
        <f t="shared" si="339"/>
        <v>13-15%</v>
      </c>
      <c r="AL1439">
        <v>3</v>
      </c>
      <c r="AM1439" t="s">
        <v>68</v>
      </c>
      <c r="AN1439">
        <v>3</v>
      </c>
      <c r="AO1439" t="s">
        <v>63</v>
      </c>
      <c r="AP1439">
        <v>80</v>
      </c>
      <c r="AQ1439">
        <v>0</v>
      </c>
      <c r="AR1439">
        <v>21</v>
      </c>
      <c r="AS1439" t="str">
        <f t="shared" si="340"/>
        <v>21-40</v>
      </c>
      <c r="AT1439">
        <v>3</v>
      </c>
      <c r="AU1439" t="str">
        <f t="shared" si="341"/>
        <v>3-4</v>
      </c>
      <c r="AV1439">
        <v>2</v>
      </c>
      <c r="AW1439" t="s">
        <v>84</v>
      </c>
      <c r="AX1439">
        <v>6</v>
      </c>
      <c r="AY1439" t="str">
        <f t="shared" si="330"/>
        <v>6-10</v>
      </c>
      <c r="AZ1439">
        <v>0</v>
      </c>
      <c r="BA1439" t="str">
        <f t="shared" si="342"/>
        <v>0-1</v>
      </c>
      <c r="BB1439">
        <v>1</v>
      </c>
      <c r="BC1439" t="str">
        <f t="shared" si="343"/>
        <v>0-1</v>
      </c>
      <c r="BD1439">
        <v>3</v>
      </c>
      <c r="BE1439" t="str">
        <f t="shared" si="344"/>
        <v>2-5</v>
      </c>
    </row>
    <row r="1440" spans="1:57" x14ac:dyDescent="0.3">
      <c r="A1440">
        <v>2023</v>
      </c>
      <c r="B1440">
        <v>23</v>
      </c>
      <c r="C1440" t="str">
        <f t="shared" si="331"/>
        <v>18-25</v>
      </c>
      <c r="D1440" t="s">
        <v>56</v>
      </c>
      <c r="E1440">
        <f t="shared" si="332"/>
        <v>1</v>
      </c>
      <c r="F1440" t="s">
        <v>72</v>
      </c>
      <c r="G1440">
        <v>638</v>
      </c>
      <c r="H1440" t="str">
        <f t="shared" si="333"/>
        <v>501-1000</v>
      </c>
      <c r="I1440" t="s">
        <v>58</v>
      </c>
      <c r="J1440">
        <v>9</v>
      </c>
      <c r="K1440" t="str">
        <f t="shared" si="334"/>
        <v>6-10</v>
      </c>
      <c r="L1440">
        <v>3</v>
      </c>
      <c r="M1440" t="s">
        <v>85</v>
      </c>
      <c r="N1440" t="s">
        <v>93</v>
      </c>
      <c r="O1440">
        <v>1</v>
      </c>
      <c r="P1440">
        <v>4</v>
      </c>
      <c r="Q1440" t="s">
        <v>65</v>
      </c>
      <c r="R1440" t="s">
        <v>75</v>
      </c>
      <c r="S1440">
        <v>33</v>
      </c>
      <c r="T1440" t="str">
        <f t="shared" si="335"/>
        <v>30-50</v>
      </c>
      <c r="U1440">
        <v>3</v>
      </c>
      <c r="V1440" t="s">
        <v>63</v>
      </c>
      <c r="W1440">
        <v>1</v>
      </c>
      <c r="X1440" t="s">
        <v>91</v>
      </c>
      <c r="Y1440">
        <v>1</v>
      </c>
      <c r="Z1440" t="s">
        <v>69</v>
      </c>
      <c r="AA1440" t="s">
        <v>77</v>
      </c>
      <c r="AB1440" s="4">
        <v>1790</v>
      </c>
      <c r="AC1440" s="4" t="str">
        <f t="shared" si="336"/>
        <v>$1,000-$2,500</v>
      </c>
      <c r="AD1440">
        <v>26956</v>
      </c>
      <c r="AE1440" t="str">
        <f t="shared" si="337"/>
        <v>$22,001-$26,999</v>
      </c>
      <c r="AF1440">
        <v>1</v>
      </c>
      <c r="AG1440" t="str">
        <f t="shared" si="338"/>
        <v>0-1</v>
      </c>
      <c r="AH1440" t="s">
        <v>67</v>
      </c>
      <c r="AI1440" t="s">
        <v>71</v>
      </c>
      <c r="AJ1440">
        <v>19</v>
      </c>
      <c r="AK1440" t="str">
        <f t="shared" si="339"/>
        <v>18-19%</v>
      </c>
      <c r="AL1440">
        <v>3</v>
      </c>
      <c r="AM1440" t="s">
        <v>68</v>
      </c>
      <c r="AN1440">
        <v>1</v>
      </c>
      <c r="AO1440" t="s">
        <v>69</v>
      </c>
      <c r="AP1440">
        <v>80</v>
      </c>
      <c r="AQ1440">
        <v>1</v>
      </c>
      <c r="AR1440">
        <v>1</v>
      </c>
      <c r="AS1440" t="str">
        <f t="shared" si="340"/>
        <v>0-2</v>
      </c>
      <c r="AT1440">
        <v>3</v>
      </c>
      <c r="AU1440" t="str">
        <f t="shared" si="341"/>
        <v>3-4</v>
      </c>
      <c r="AV1440">
        <v>2</v>
      </c>
      <c r="AW1440" t="s">
        <v>84</v>
      </c>
      <c r="AX1440">
        <v>1</v>
      </c>
      <c r="AY1440" t="str">
        <f t="shared" si="330"/>
        <v>0-1</v>
      </c>
      <c r="AZ1440">
        <v>0</v>
      </c>
      <c r="BA1440" t="str">
        <f t="shared" si="342"/>
        <v>0-1</v>
      </c>
      <c r="BB1440">
        <v>1</v>
      </c>
      <c r="BC1440" t="str">
        <f t="shared" si="343"/>
        <v>0-1</v>
      </c>
      <c r="BD1440">
        <v>0</v>
      </c>
      <c r="BE1440" t="str">
        <f t="shared" si="344"/>
        <v>0-1</v>
      </c>
    </row>
    <row r="1441" spans="1:57" x14ac:dyDescent="0.3">
      <c r="A1441">
        <v>2024</v>
      </c>
      <c r="B1441">
        <v>36</v>
      </c>
      <c r="C1441" t="str">
        <f t="shared" si="331"/>
        <v>36-45</v>
      </c>
      <c r="D1441" t="s">
        <v>71</v>
      </c>
      <c r="E1441">
        <f t="shared" si="332"/>
        <v>0</v>
      </c>
      <c r="F1441" t="s">
        <v>57</v>
      </c>
      <c r="G1441">
        <v>557</v>
      </c>
      <c r="H1441" t="str">
        <f t="shared" si="333"/>
        <v>501-1000</v>
      </c>
      <c r="I1441" t="s">
        <v>58</v>
      </c>
      <c r="J1441">
        <v>3</v>
      </c>
      <c r="K1441" t="str">
        <f t="shared" si="334"/>
        <v>1-5</v>
      </c>
      <c r="L1441">
        <v>3</v>
      </c>
      <c r="M1441" t="s">
        <v>85</v>
      </c>
      <c r="N1441" t="s">
        <v>83</v>
      </c>
      <c r="O1441">
        <v>1</v>
      </c>
      <c r="P1441">
        <v>1</v>
      </c>
      <c r="Q1441" t="s">
        <v>69</v>
      </c>
      <c r="R1441" t="s">
        <v>62</v>
      </c>
      <c r="S1441">
        <v>94</v>
      </c>
      <c r="T1441" t="str">
        <f t="shared" si="335"/>
        <v>76-100</v>
      </c>
      <c r="U1441">
        <v>2</v>
      </c>
      <c r="V1441" t="s">
        <v>61</v>
      </c>
      <c r="W1441">
        <v>3</v>
      </c>
      <c r="X1441" t="s">
        <v>64</v>
      </c>
      <c r="Y1441">
        <v>4</v>
      </c>
      <c r="Z1441" t="s">
        <v>65</v>
      </c>
      <c r="AA1441" t="s">
        <v>77</v>
      </c>
      <c r="AB1441" s="4">
        <v>7644</v>
      </c>
      <c r="AC1441" s="4" t="str">
        <f t="shared" si="336"/>
        <v>$7,000-$8,500</v>
      </c>
      <c r="AD1441">
        <v>12695</v>
      </c>
      <c r="AE1441" t="str">
        <f t="shared" si="337"/>
        <v>$8,001-$16,000</v>
      </c>
      <c r="AF1441">
        <v>0</v>
      </c>
      <c r="AG1441" t="str">
        <f t="shared" si="338"/>
        <v>0-1</v>
      </c>
      <c r="AH1441" t="s">
        <v>67</v>
      </c>
      <c r="AI1441" t="s">
        <v>71</v>
      </c>
      <c r="AJ1441">
        <v>19</v>
      </c>
      <c r="AK1441" t="str">
        <f t="shared" si="339"/>
        <v>18-19%</v>
      </c>
      <c r="AL1441">
        <v>3</v>
      </c>
      <c r="AM1441" t="s">
        <v>68</v>
      </c>
      <c r="AN1441">
        <v>3</v>
      </c>
      <c r="AO1441" t="s">
        <v>63</v>
      </c>
      <c r="AP1441">
        <v>80</v>
      </c>
      <c r="AQ1441">
        <v>2</v>
      </c>
      <c r="AR1441">
        <v>10</v>
      </c>
      <c r="AS1441" t="str">
        <f t="shared" si="340"/>
        <v>6-10</v>
      </c>
      <c r="AT1441">
        <v>2</v>
      </c>
      <c r="AU1441" t="str">
        <f t="shared" si="341"/>
        <v>0-2</v>
      </c>
      <c r="AV1441">
        <v>3</v>
      </c>
      <c r="AW1441" t="s">
        <v>79</v>
      </c>
      <c r="AX1441">
        <v>9</v>
      </c>
      <c r="AY1441" t="str">
        <f t="shared" si="330"/>
        <v>6-10</v>
      </c>
      <c r="AZ1441">
        <v>7</v>
      </c>
      <c r="BA1441" t="str">
        <f t="shared" si="342"/>
        <v>6-10</v>
      </c>
      <c r="BB1441">
        <v>3</v>
      </c>
      <c r="BC1441" t="str">
        <f t="shared" si="343"/>
        <v>2-5</v>
      </c>
      <c r="BD1441">
        <v>4</v>
      </c>
      <c r="BE1441" t="str">
        <f t="shared" si="344"/>
        <v>2-5</v>
      </c>
    </row>
    <row r="1442" spans="1:57" x14ac:dyDescent="0.3">
      <c r="A1442">
        <v>2025</v>
      </c>
      <c r="B1442">
        <v>36</v>
      </c>
      <c r="C1442" t="str">
        <f t="shared" si="331"/>
        <v>36-45</v>
      </c>
      <c r="D1442" t="s">
        <v>71</v>
      </c>
      <c r="E1442">
        <f t="shared" si="332"/>
        <v>0</v>
      </c>
      <c r="F1442" t="s">
        <v>72</v>
      </c>
      <c r="G1442">
        <v>688</v>
      </c>
      <c r="H1442" t="str">
        <f t="shared" si="333"/>
        <v>501-1000</v>
      </c>
      <c r="I1442" t="s">
        <v>73</v>
      </c>
      <c r="J1442">
        <v>4</v>
      </c>
      <c r="K1442" t="str">
        <f t="shared" si="334"/>
        <v>1-5</v>
      </c>
      <c r="L1442">
        <v>2</v>
      </c>
      <c r="M1442" t="s">
        <v>59</v>
      </c>
      <c r="N1442" t="s">
        <v>60</v>
      </c>
      <c r="O1442">
        <v>1</v>
      </c>
      <c r="P1442">
        <v>4</v>
      </c>
      <c r="Q1442" t="s">
        <v>65</v>
      </c>
      <c r="R1442" t="s">
        <v>62</v>
      </c>
      <c r="S1442">
        <v>97</v>
      </c>
      <c r="T1442" t="str">
        <f t="shared" si="335"/>
        <v>76-100</v>
      </c>
      <c r="U1442">
        <v>3</v>
      </c>
      <c r="V1442" t="s">
        <v>63</v>
      </c>
      <c r="W1442">
        <v>2</v>
      </c>
      <c r="X1442" t="s">
        <v>87</v>
      </c>
      <c r="Y1442">
        <v>2</v>
      </c>
      <c r="Z1442" t="s">
        <v>61</v>
      </c>
      <c r="AA1442" t="s">
        <v>86</v>
      </c>
      <c r="AB1442" s="4">
        <v>5131</v>
      </c>
      <c r="AC1442" s="4" t="str">
        <f t="shared" si="336"/>
        <v>$4,000-$5,500</v>
      </c>
      <c r="AD1442">
        <v>9192</v>
      </c>
      <c r="AE1442" t="str">
        <f t="shared" si="337"/>
        <v>$8,001-$16,000</v>
      </c>
      <c r="AF1442">
        <v>7</v>
      </c>
      <c r="AG1442" t="str">
        <f t="shared" si="338"/>
        <v>7-9</v>
      </c>
      <c r="AH1442" t="s">
        <v>67</v>
      </c>
      <c r="AI1442" t="s">
        <v>71</v>
      </c>
      <c r="AJ1442">
        <v>13</v>
      </c>
      <c r="AK1442" t="str">
        <f t="shared" si="339"/>
        <v>13-15%</v>
      </c>
      <c r="AL1442">
        <v>3</v>
      </c>
      <c r="AM1442" t="s">
        <v>68</v>
      </c>
      <c r="AN1442">
        <v>2</v>
      </c>
      <c r="AO1442" t="s">
        <v>61</v>
      </c>
      <c r="AP1442">
        <v>80</v>
      </c>
      <c r="AQ1442">
        <v>3</v>
      </c>
      <c r="AR1442">
        <v>18</v>
      </c>
      <c r="AS1442" t="str">
        <f t="shared" si="340"/>
        <v>11-20</v>
      </c>
      <c r="AT1442">
        <v>3</v>
      </c>
      <c r="AU1442" t="str">
        <f t="shared" si="341"/>
        <v>3-4</v>
      </c>
      <c r="AV1442">
        <v>3</v>
      </c>
      <c r="AW1442" t="s">
        <v>79</v>
      </c>
      <c r="AX1442">
        <v>4</v>
      </c>
      <c r="AY1442" t="str">
        <f t="shared" si="330"/>
        <v>2-5</v>
      </c>
      <c r="AZ1442">
        <v>2</v>
      </c>
      <c r="BA1442" t="str">
        <f t="shared" si="342"/>
        <v>2-5</v>
      </c>
      <c r="BB1442">
        <v>0</v>
      </c>
      <c r="BC1442" t="str">
        <f t="shared" si="343"/>
        <v>0-1</v>
      </c>
      <c r="BD1442">
        <v>2</v>
      </c>
      <c r="BE1442" t="str">
        <f t="shared" si="344"/>
        <v>2-5</v>
      </c>
    </row>
    <row r="1443" spans="1:57" x14ac:dyDescent="0.3">
      <c r="A1443">
        <v>2026</v>
      </c>
      <c r="B1443">
        <v>56</v>
      </c>
      <c r="C1443" t="str">
        <f t="shared" si="331"/>
        <v>56+</v>
      </c>
      <c r="D1443" t="s">
        <v>71</v>
      </c>
      <c r="E1443">
        <f t="shared" si="332"/>
        <v>0</v>
      </c>
      <c r="F1443" t="s">
        <v>89</v>
      </c>
      <c r="G1443">
        <v>667</v>
      </c>
      <c r="H1443" t="str">
        <f t="shared" si="333"/>
        <v>501-1000</v>
      </c>
      <c r="I1443" t="s">
        <v>73</v>
      </c>
      <c r="J1443">
        <v>1</v>
      </c>
      <c r="K1443" t="str">
        <f t="shared" si="334"/>
        <v>1-5</v>
      </c>
      <c r="L1443">
        <v>4</v>
      </c>
      <c r="M1443" t="s">
        <v>82</v>
      </c>
      <c r="N1443" t="s">
        <v>60</v>
      </c>
      <c r="O1443">
        <v>1</v>
      </c>
      <c r="P1443">
        <v>3</v>
      </c>
      <c r="Q1443" t="s">
        <v>63</v>
      </c>
      <c r="R1443" t="s">
        <v>75</v>
      </c>
      <c r="S1443">
        <v>57</v>
      </c>
      <c r="T1443" t="str">
        <f t="shared" si="335"/>
        <v>51-75</v>
      </c>
      <c r="U1443">
        <v>3</v>
      </c>
      <c r="V1443" t="s">
        <v>63</v>
      </c>
      <c r="W1443">
        <v>2</v>
      </c>
      <c r="X1443" t="s">
        <v>88</v>
      </c>
      <c r="Y1443">
        <v>3</v>
      </c>
      <c r="Z1443" t="s">
        <v>63</v>
      </c>
      <c r="AA1443" t="s">
        <v>86</v>
      </c>
      <c r="AB1443" s="4">
        <v>6306</v>
      </c>
      <c r="AC1443" s="4" t="str">
        <f t="shared" si="336"/>
        <v>$5,500-$7,000</v>
      </c>
      <c r="AD1443">
        <v>26236</v>
      </c>
      <c r="AE1443" t="str">
        <f t="shared" si="337"/>
        <v>$22,001-$26,999</v>
      </c>
      <c r="AF1443">
        <v>1</v>
      </c>
      <c r="AG1443" t="str">
        <f t="shared" si="338"/>
        <v>0-1</v>
      </c>
      <c r="AH1443" t="s">
        <v>67</v>
      </c>
      <c r="AI1443" t="s">
        <v>71</v>
      </c>
      <c r="AJ1443">
        <v>21</v>
      </c>
      <c r="AK1443" t="str">
        <f t="shared" si="339"/>
        <v>18-19%</v>
      </c>
      <c r="AL1443">
        <v>4</v>
      </c>
      <c r="AM1443" t="s">
        <v>78</v>
      </c>
      <c r="AN1443">
        <v>1</v>
      </c>
      <c r="AO1443" t="s">
        <v>69</v>
      </c>
      <c r="AP1443">
        <v>80</v>
      </c>
      <c r="AQ1443">
        <v>1</v>
      </c>
      <c r="AR1443">
        <v>13</v>
      </c>
      <c r="AS1443" t="str">
        <f t="shared" si="340"/>
        <v>11-20</v>
      </c>
      <c r="AT1443">
        <v>2</v>
      </c>
      <c r="AU1443" t="str">
        <f t="shared" si="341"/>
        <v>0-2</v>
      </c>
      <c r="AV1443">
        <v>2</v>
      </c>
      <c r="AW1443" t="s">
        <v>84</v>
      </c>
      <c r="AX1443">
        <v>13</v>
      </c>
      <c r="AY1443" t="str">
        <f t="shared" si="330"/>
        <v>11-20</v>
      </c>
      <c r="AZ1443">
        <v>12</v>
      </c>
      <c r="BA1443" t="str">
        <f t="shared" si="342"/>
        <v>11-18</v>
      </c>
      <c r="BB1443">
        <v>1</v>
      </c>
      <c r="BC1443" t="str">
        <f t="shared" si="343"/>
        <v>0-1</v>
      </c>
      <c r="BD1443">
        <v>9</v>
      </c>
      <c r="BE1443" t="str">
        <f t="shared" si="344"/>
        <v>6-10</v>
      </c>
    </row>
    <row r="1444" spans="1:57" x14ac:dyDescent="0.3">
      <c r="A1444">
        <v>2027</v>
      </c>
      <c r="B1444">
        <v>29</v>
      </c>
      <c r="C1444" t="str">
        <f t="shared" si="331"/>
        <v>26-35</v>
      </c>
      <c r="D1444" t="s">
        <v>56</v>
      </c>
      <c r="E1444">
        <f t="shared" si="332"/>
        <v>1</v>
      </c>
      <c r="F1444" t="s">
        <v>57</v>
      </c>
      <c r="G1444">
        <v>1092</v>
      </c>
      <c r="H1444" t="str">
        <f t="shared" si="333"/>
        <v>1001-1499</v>
      </c>
      <c r="I1444" t="s">
        <v>73</v>
      </c>
      <c r="J1444">
        <v>1</v>
      </c>
      <c r="K1444" t="str">
        <f t="shared" si="334"/>
        <v>1-5</v>
      </c>
      <c r="L1444">
        <v>4</v>
      </c>
      <c r="M1444" t="s">
        <v>82</v>
      </c>
      <c r="N1444" t="s">
        <v>83</v>
      </c>
      <c r="O1444">
        <v>1</v>
      </c>
      <c r="P1444">
        <v>1</v>
      </c>
      <c r="Q1444" t="s">
        <v>69</v>
      </c>
      <c r="R1444" t="s">
        <v>75</v>
      </c>
      <c r="S1444">
        <v>36</v>
      </c>
      <c r="T1444" t="str">
        <f t="shared" si="335"/>
        <v>30-50</v>
      </c>
      <c r="U1444">
        <v>3</v>
      </c>
      <c r="V1444" t="s">
        <v>63</v>
      </c>
      <c r="W1444">
        <v>1</v>
      </c>
      <c r="X1444" t="s">
        <v>76</v>
      </c>
      <c r="Y1444">
        <v>4</v>
      </c>
      <c r="Z1444" t="s">
        <v>65</v>
      </c>
      <c r="AA1444" t="s">
        <v>77</v>
      </c>
      <c r="AB1444" s="4">
        <v>4787</v>
      </c>
      <c r="AC1444" s="4" t="str">
        <f t="shared" si="336"/>
        <v>$4,000-$5,500</v>
      </c>
      <c r="AD1444">
        <v>26124</v>
      </c>
      <c r="AE1444" t="str">
        <f t="shared" si="337"/>
        <v>$22,001-$26,999</v>
      </c>
      <c r="AF1444">
        <v>9</v>
      </c>
      <c r="AG1444" t="str">
        <f t="shared" si="338"/>
        <v>7-9</v>
      </c>
      <c r="AH1444" t="s">
        <v>67</v>
      </c>
      <c r="AI1444" t="s">
        <v>56</v>
      </c>
      <c r="AJ1444">
        <v>14</v>
      </c>
      <c r="AK1444" t="str">
        <f t="shared" si="339"/>
        <v>13-15%</v>
      </c>
      <c r="AL1444">
        <v>3</v>
      </c>
      <c r="AM1444" t="s">
        <v>68</v>
      </c>
      <c r="AN1444">
        <v>2</v>
      </c>
      <c r="AO1444" t="s">
        <v>61</v>
      </c>
      <c r="AP1444">
        <v>80</v>
      </c>
      <c r="AQ1444">
        <v>3</v>
      </c>
      <c r="AR1444">
        <v>4</v>
      </c>
      <c r="AS1444" t="str">
        <f t="shared" si="340"/>
        <v>3-5</v>
      </c>
      <c r="AT1444">
        <v>3</v>
      </c>
      <c r="AU1444" t="str">
        <f t="shared" si="341"/>
        <v>3-4</v>
      </c>
      <c r="AV1444">
        <v>4</v>
      </c>
      <c r="AW1444" t="s">
        <v>94</v>
      </c>
      <c r="AX1444">
        <v>2</v>
      </c>
      <c r="AY1444" t="str">
        <f t="shared" si="330"/>
        <v>2-5</v>
      </c>
      <c r="AZ1444">
        <v>2</v>
      </c>
      <c r="BA1444" t="str">
        <f t="shared" si="342"/>
        <v>2-5</v>
      </c>
      <c r="BB1444">
        <v>2</v>
      </c>
      <c r="BC1444" t="str">
        <f t="shared" si="343"/>
        <v>2-5</v>
      </c>
      <c r="BD1444">
        <v>2</v>
      </c>
      <c r="BE1444" t="str">
        <f t="shared" si="344"/>
        <v>2-5</v>
      </c>
    </row>
    <row r="1445" spans="1:57" x14ac:dyDescent="0.3">
      <c r="A1445">
        <v>2031</v>
      </c>
      <c r="B1445">
        <v>42</v>
      </c>
      <c r="C1445" t="str">
        <f t="shared" si="331"/>
        <v>36-45</v>
      </c>
      <c r="D1445" t="s">
        <v>71</v>
      </c>
      <c r="E1445">
        <f t="shared" si="332"/>
        <v>0</v>
      </c>
      <c r="F1445" t="s">
        <v>57</v>
      </c>
      <c r="G1445">
        <v>300</v>
      </c>
      <c r="H1445" t="str">
        <f t="shared" si="333"/>
        <v>102-500</v>
      </c>
      <c r="I1445" t="s">
        <v>73</v>
      </c>
      <c r="J1445">
        <v>2</v>
      </c>
      <c r="K1445" t="str">
        <f t="shared" si="334"/>
        <v>1-5</v>
      </c>
      <c r="L1445">
        <v>3</v>
      </c>
      <c r="M1445" t="s">
        <v>85</v>
      </c>
      <c r="N1445" t="s">
        <v>60</v>
      </c>
      <c r="O1445">
        <v>1</v>
      </c>
      <c r="P1445">
        <v>1</v>
      </c>
      <c r="Q1445" t="s">
        <v>69</v>
      </c>
      <c r="R1445" t="s">
        <v>75</v>
      </c>
      <c r="S1445">
        <v>56</v>
      </c>
      <c r="T1445" t="str">
        <f t="shared" si="335"/>
        <v>51-75</v>
      </c>
      <c r="U1445">
        <v>3</v>
      </c>
      <c r="V1445" t="s">
        <v>63</v>
      </c>
      <c r="W1445">
        <v>5</v>
      </c>
      <c r="X1445" t="s">
        <v>90</v>
      </c>
      <c r="Y1445">
        <v>3</v>
      </c>
      <c r="Z1445" t="s">
        <v>63</v>
      </c>
      <c r="AA1445" t="s">
        <v>77</v>
      </c>
      <c r="AB1445" s="4">
        <v>18880</v>
      </c>
      <c r="AC1445" s="4" t="str">
        <f t="shared" si="336"/>
        <v>$17,500-$19,000</v>
      </c>
      <c r="AD1445">
        <v>17312</v>
      </c>
      <c r="AE1445" t="str">
        <f t="shared" si="337"/>
        <v>$16,001-$22,000</v>
      </c>
      <c r="AF1445">
        <v>5</v>
      </c>
      <c r="AG1445" t="str">
        <f t="shared" si="338"/>
        <v>4-6</v>
      </c>
      <c r="AH1445" t="s">
        <v>67</v>
      </c>
      <c r="AI1445" t="s">
        <v>71</v>
      </c>
      <c r="AJ1445">
        <v>11</v>
      </c>
      <c r="AK1445" t="str">
        <f t="shared" si="339"/>
        <v>11-12%</v>
      </c>
      <c r="AL1445">
        <v>3</v>
      </c>
      <c r="AM1445" t="s">
        <v>68</v>
      </c>
      <c r="AN1445">
        <v>1</v>
      </c>
      <c r="AO1445" t="s">
        <v>69</v>
      </c>
      <c r="AP1445">
        <v>80</v>
      </c>
      <c r="AQ1445">
        <v>0</v>
      </c>
      <c r="AR1445">
        <v>24</v>
      </c>
      <c r="AS1445" t="str">
        <f t="shared" si="340"/>
        <v>21-40</v>
      </c>
      <c r="AT1445">
        <v>2</v>
      </c>
      <c r="AU1445" t="str">
        <f t="shared" si="341"/>
        <v>0-2</v>
      </c>
      <c r="AV1445">
        <v>2</v>
      </c>
      <c r="AW1445" t="s">
        <v>84</v>
      </c>
      <c r="AX1445">
        <v>22</v>
      </c>
      <c r="AY1445" t="str">
        <f t="shared" si="330"/>
        <v>21-40</v>
      </c>
      <c r="AZ1445">
        <v>6</v>
      </c>
      <c r="BA1445" t="str">
        <f t="shared" si="342"/>
        <v>6-10</v>
      </c>
      <c r="BB1445">
        <v>4</v>
      </c>
      <c r="BC1445" t="str">
        <f t="shared" si="343"/>
        <v>2-5</v>
      </c>
      <c r="BD1445">
        <v>14</v>
      </c>
      <c r="BE1445" t="str">
        <f t="shared" si="344"/>
        <v>11-17</v>
      </c>
    </row>
    <row r="1446" spans="1:57" x14ac:dyDescent="0.3">
      <c r="A1446">
        <v>2032</v>
      </c>
      <c r="B1446">
        <v>56</v>
      </c>
      <c r="C1446" t="str">
        <f t="shared" si="331"/>
        <v>56+</v>
      </c>
      <c r="D1446" t="s">
        <v>56</v>
      </c>
      <c r="E1446">
        <f t="shared" si="332"/>
        <v>1</v>
      </c>
      <c r="F1446" t="s">
        <v>57</v>
      </c>
      <c r="G1446">
        <v>310</v>
      </c>
      <c r="H1446" t="str">
        <f t="shared" si="333"/>
        <v>102-500</v>
      </c>
      <c r="I1446" t="s">
        <v>73</v>
      </c>
      <c r="J1446">
        <v>7</v>
      </c>
      <c r="K1446" t="str">
        <f t="shared" si="334"/>
        <v>6-10</v>
      </c>
      <c r="L1446">
        <v>2</v>
      </c>
      <c r="M1446" t="s">
        <v>59</v>
      </c>
      <c r="N1446" t="s">
        <v>95</v>
      </c>
      <c r="O1446">
        <v>1</v>
      </c>
      <c r="P1446">
        <v>4</v>
      </c>
      <c r="Q1446" t="s">
        <v>65</v>
      </c>
      <c r="R1446" t="s">
        <v>75</v>
      </c>
      <c r="S1446">
        <v>72</v>
      </c>
      <c r="T1446" t="str">
        <f t="shared" si="335"/>
        <v>51-75</v>
      </c>
      <c r="U1446">
        <v>3</v>
      </c>
      <c r="V1446" t="s">
        <v>63</v>
      </c>
      <c r="W1446">
        <v>1</v>
      </c>
      <c r="X1446" t="s">
        <v>81</v>
      </c>
      <c r="Y1446">
        <v>3</v>
      </c>
      <c r="Z1446" t="s">
        <v>63</v>
      </c>
      <c r="AA1446" t="s">
        <v>77</v>
      </c>
      <c r="AB1446" s="4">
        <v>2339</v>
      </c>
      <c r="AC1446" s="4" t="str">
        <f t="shared" si="336"/>
        <v>$1,000-$2,500</v>
      </c>
      <c r="AD1446">
        <v>3666</v>
      </c>
      <c r="AE1446" t="str">
        <f t="shared" si="337"/>
        <v>$2,094-$8,000</v>
      </c>
      <c r="AF1446">
        <v>8</v>
      </c>
      <c r="AG1446" t="str">
        <f t="shared" si="338"/>
        <v>7-9</v>
      </c>
      <c r="AH1446" t="s">
        <v>67</v>
      </c>
      <c r="AI1446" t="s">
        <v>71</v>
      </c>
      <c r="AJ1446">
        <v>11</v>
      </c>
      <c r="AK1446" t="str">
        <f t="shared" si="339"/>
        <v>11-12%</v>
      </c>
      <c r="AL1446">
        <v>3</v>
      </c>
      <c r="AM1446" t="s">
        <v>68</v>
      </c>
      <c r="AN1446">
        <v>4</v>
      </c>
      <c r="AO1446" t="s">
        <v>65</v>
      </c>
      <c r="AP1446">
        <v>80</v>
      </c>
      <c r="AQ1446">
        <v>1</v>
      </c>
      <c r="AR1446">
        <v>14</v>
      </c>
      <c r="AS1446" t="str">
        <f t="shared" si="340"/>
        <v>11-20</v>
      </c>
      <c r="AT1446">
        <v>4</v>
      </c>
      <c r="AU1446" t="str">
        <f t="shared" si="341"/>
        <v>3-4</v>
      </c>
      <c r="AV1446">
        <v>1</v>
      </c>
      <c r="AW1446" t="s">
        <v>70</v>
      </c>
      <c r="AX1446">
        <v>10</v>
      </c>
      <c r="AY1446" t="str">
        <f t="shared" si="330"/>
        <v>6-10</v>
      </c>
      <c r="AZ1446">
        <v>9</v>
      </c>
      <c r="BA1446" t="str">
        <f t="shared" si="342"/>
        <v>6-10</v>
      </c>
      <c r="BB1446">
        <v>9</v>
      </c>
      <c r="BC1446" t="str">
        <f t="shared" si="343"/>
        <v>6-10</v>
      </c>
      <c r="BD1446">
        <v>8</v>
      </c>
      <c r="BE1446" t="str">
        <f t="shared" si="344"/>
        <v>6-10</v>
      </c>
    </row>
    <row r="1447" spans="1:57" x14ac:dyDescent="0.3">
      <c r="A1447">
        <v>2034</v>
      </c>
      <c r="B1447">
        <v>41</v>
      </c>
      <c r="C1447" t="str">
        <f t="shared" si="331"/>
        <v>36-45</v>
      </c>
      <c r="D1447" t="s">
        <v>71</v>
      </c>
      <c r="E1447">
        <f t="shared" si="332"/>
        <v>0</v>
      </c>
      <c r="F1447" t="s">
        <v>57</v>
      </c>
      <c r="G1447">
        <v>582</v>
      </c>
      <c r="H1447" t="str">
        <f t="shared" si="333"/>
        <v>501-1000</v>
      </c>
      <c r="I1447" t="s">
        <v>73</v>
      </c>
      <c r="J1447">
        <v>28</v>
      </c>
      <c r="K1447" t="str">
        <f t="shared" si="334"/>
        <v>21-29</v>
      </c>
      <c r="L1447">
        <v>4</v>
      </c>
      <c r="M1447" t="s">
        <v>82</v>
      </c>
      <c r="N1447" t="s">
        <v>60</v>
      </c>
      <c r="O1447">
        <v>1</v>
      </c>
      <c r="P1447">
        <v>1</v>
      </c>
      <c r="Q1447" t="s">
        <v>69</v>
      </c>
      <c r="R1447" t="s">
        <v>62</v>
      </c>
      <c r="S1447">
        <v>60</v>
      </c>
      <c r="T1447" t="str">
        <f t="shared" si="335"/>
        <v>51-75</v>
      </c>
      <c r="U1447">
        <v>2</v>
      </c>
      <c r="V1447" t="s">
        <v>61</v>
      </c>
      <c r="W1447">
        <v>4</v>
      </c>
      <c r="X1447" t="s">
        <v>87</v>
      </c>
      <c r="Y1447">
        <v>2</v>
      </c>
      <c r="Z1447" t="s">
        <v>61</v>
      </c>
      <c r="AA1447" t="s">
        <v>77</v>
      </c>
      <c r="AB1447" s="4">
        <v>13570</v>
      </c>
      <c r="AC1447" s="4" t="str">
        <f t="shared" si="336"/>
        <v>$13,000-$14,500</v>
      </c>
      <c r="AD1447">
        <v>5640</v>
      </c>
      <c r="AE1447" t="str">
        <f t="shared" si="337"/>
        <v>$2,094-$8,000</v>
      </c>
      <c r="AF1447">
        <v>0</v>
      </c>
      <c r="AG1447" t="str">
        <f t="shared" si="338"/>
        <v>0-1</v>
      </c>
      <c r="AH1447" t="s">
        <v>67</v>
      </c>
      <c r="AI1447" t="s">
        <v>71</v>
      </c>
      <c r="AJ1447">
        <v>23</v>
      </c>
      <c r="AK1447" t="str">
        <f t="shared" si="339"/>
        <v>18-19%</v>
      </c>
      <c r="AL1447">
        <v>4</v>
      </c>
      <c r="AM1447" t="s">
        <v>78</v>
      </c>
      <c r="AN1447">
        <v>3</v>
      </c>
      <c r="AO1447" t="s">
        <v>63</v>
      </c>
      <c r="AP1447">
        <v>80</v>
      </c>
      <c r="AQ1447">
        <v>1</v>
      </c>
      <c r="AR1447">
        <v>21</v>
      </c>
      <c r="AS1447" t="str">
        <f t="shared" si="340"/>
        <v>21-40</v>
      </c>
      <c r="AT1447">
        <v>3</v>
      </c>
      <c r="AU1447" t="str">
        <f t="shared" si="341"/>
        <v>3-4</v>
      </c>
      <c r="AV1447">
        <v>3</v>
      </c>
      <c r="AW1447" t="s">
        <v>79</v>
      </c>
      <c r="AX1447">
        <v>20</v>
      </c>
      <c r="AY1447" t="str">
        <f t="shared" si="330"/>
        <v>11-20</v>
      </c>
      <c r="AZ1447">
        <v>7</v>
      </c>
      <c r="BA1447" t="str">
        <f t="shared" si="342"/>
        <v>6-10</v>
      </c>
      <c r="BB1447">
        <v>0</v>
      </c>
      <c r="BC1447" t="str">
        <f t="shared" si="343"/>
        <v>0-1</v>
      </c>
      <c r="BD1447">
        <v>10</v>
      </c>
      <c r="BE1447" t="str">
        <f t="shared" si="344"/>
        <v>6-10</v>
      </c>
    </row>
    <row r="1448" spans="1:57" x14ac:dyDescent="0.3">
      <c r="A1448">
        <v>2035</v>
      </c>
      <c r="B1448">
        <v>34</v>
      </c>
      <c r="C1448" t="str">
        <f t="shared" si="331"/>
        <v>26-35</v>
      </c>
      <c r="D1448" t="s">
        <v>71</v>
      </c>
      <c r="E1448">
        <f t="shared" si="332"/>
        <v>0</v>
      </c>
      <c r="F1448" t="s">
        <v>57</v>
      </c>
      <c r="G1448">
        <v>704</v>
      </c>
      <c r="H1448" t="str">
        <f t="shared" si="333"/>
        <v>501-1000</v>
      </c>
      <c r="I1448" t="s">
        <v>58</v>
      </c>
      <c r="J1448">
        <v>28</v>
      </c>
      <c r="K1448" t="str">
        <f t="shared" si="334"/>
        <v>21-29</v>
      </c>
      <c r="L1448">
        <v>3</v>
      </c>
      <c r="M1448" t="s">
        <v>85</v>
      </c>
      <c r="N1448" t="s">
        <v>93</v>
      </c>
      <c r="O1448">
        <v>1</v>
      </c>
      <c r="P1448">
        <v>4</v>
      </c>
      <c r="Q1448" t="s">
        <v>65</v>
      </c>
      <c r="R1448" t="s">
        <v>62</v>
      </c>
      <c r="S1448">
        <v>95</v>
      </c>
      <c r="T1448" t="str">
        <f t="shared" si="335"/>
        <v>76-100</v>
      </c>
      <c r="U1448">
        <v>2</v>
      </c>
      <c r="V1448" t="s">
        <v>61</v>
      </c>
      <c r="W1448">
        <v>2</v>
      </c>
      <c r="X1448" t="s">
        <v>64</v>
      </c>
      <c r="Y1448">
        <v>3</v>
      </c>
      <c r="Z1448" t="s">
        <v>63</v>
      </c>
      <c r="AA1448" t="s">
        <v>77</v>
      </c>
      <c r="AB1448" s="4">
        <v>6712</v>
      </c>
      <c r="AC1448" s="4" t="str">
        <f t="shared" si="336"/>
        <v>$5,500-$7,000</v>
      </c>
      <c r="AD1448">
        <v>8978</v>
      </c>
      <c r="AE1448" t="str">
        <f t="shared" si="337"/>
        <v>$8,001-$16,000</v>
      </c>
      <c r="AF1448">
        <v>1</v>
      </c>
      <c r="AG1448" t="str">
        <f t="shared" si="338"/>
        <v>0-1</v>
      </c>
      <c r="AH1448" t="s">
        <v>67</v>
      </c>
      <c r="AI1448" t="s">
        <v>71</v>
      </c>
      <c r="AJ1448">
        <v>21</v>
      </c>
      <c r="AK1448" t="str">
        <f t="shared" si="339"/>
        <v>18-19%</v>
      </c>
      <c r="AL1448">
        <v>4</v>
      </c>
      <c r="AM1448" t="s">
        <v>78</v>
      </c>
      <c r="AN1448">
        <v>4</v>
      </c>
      <c r="AO1448" t="s">
        <v>65</v>
      </c>
      <c r="AP1448">
        <v>80</v>
      </c>
      <c r="AQ1448">
        <v>2</v>
      </c>
      <c r="AR1448">
        <v>8</v>
      </c>
      <c r="AS1448" t="str">
        <f t="shared" si="340"/>
        <v>6-10</v>
      </c>
      <c r="AT1448">
        <v>2</v>
      </c>
      <c r="AU1448" t="str">
        <f t="shared" si="341"/>
        <v>0-2</v>
      </c>
      <c r="AV1448">
        <v>3</v>
      </c>
      <c r="AW1448" t="s">
        <v>79</v>
      </c>
      <c r="AX1448">
        <v>8</v>
      </c>
      <c r="AY1448" t="str">
        <f t="shared" si="330"/>
        <v>6-10</v>
      </c>
      <c r="AZ1448">
        <v>7</v>
      </c>
      <c r="BA1448" t="str">
        <f t="shared" si="342"/>
        <v>6-10</v>
      </c>
      <c r="BB1448">
        <v>1</v>
      </c>
      <c r="BC1448" t="str">
        <f t="shared" si="343"/>
        <v>0-1</v>
      </c>
      <c r="BD1448">
        <v>7</v>
      </c>
      <c r="BE1448" t="str">
        <f t="shared" si="344"/>
        <v>6-10</v>
      </c>
    </row>
    <row r="1449" spans="1:57" x14ac:dyDescent="0.3">
      <c r="A1449">
        <v>2036</v>
      </c>
      <c r="B1449">
        <v>36</v>
      </c>
      <c r="C1449" t="str">
        <f t="shared" si="331"/>
        <v>36-45</v>
      </c>
      <c r="D1449" t="s">
        <v>71</v>
      </c>
      <c r="E1449">
        <f t="shared" si="332"/>
        <v>0</v>
      </c>
      <c r="F1449" t="s">
        <v>89</v>
      </c>
      <c r="G1449">
        <v>301</v>
      </c>
      <c r="H1449" t="str">
        <f t="shared" si="333"/>
        <v>102-500</v>
      </c>
      <c r="I1449" t="s">
        <v>58</v>
      </c>
      <c r="J1449">
        <v>15</v>
      </c>
      <c r="K1449" t="str">
        <f t="shared" si="334"/>
        <v>11-20</v>
      </c>
      <c r="L1449">
        <v>4</v>
      </c>
      <c r="M1449" t="s">
        <v>82</v>
      </c>
      <c r="N1449" t="s">
        <v>93</v>
      </c>
      <c r="O1449">
        <v>1</v>
      </c>
      <c r="P1449">
        <v>4</v>
      </c>
      <c r="Q1449" t="s">
        <v>65</v>
      </c>
      <c r="R1449" t="s">
        <v>75</v>
      </c>
      <c r="S1449">
        <v>88</v>
      </c>
      <c r="T1449" t="str">
        <f t="shared" si="335"/>
        <v>76-100</v>
      </c>
      <c r="U1449">
        <v>1</v>
      </c>
      <c r="V1449" t="s">
        <v>69</v>
      </c>
      <c r="W1449">
        <v>2</v>
      </c>
      <c r="X1449" t="s">
        <v>64</v>
      </c>
      <c r="Y1449">
        <v>4</v>
      </c>
      <c r="Z1449" t="s">
        <v>65</v>
      </c>
      <c r="AA1449" t="s">
        <v>86</v>
      </c>
      <c r="AB1449" s="4">
        <v>5406</v>
      </c>
      <c r="AC1449" s="4" t="str">
        <f t="shared" si="336"/>
        <v>$4,000-$5,500</v>
      </c>
      <c r="AD1449">
        <v>10436</v>
      </c>
      <c r="AE1449" t="str">
        <f t="shared" si="337"/>
        <v>$8,001-$16,000</v>
      </c>
      <c r="AF1449">
        <v>1</v>
      </c>
      <c r="AG1449" t="str">
        <f t="shared" si="338"/>
        <v>0-1</v>
      </c>
      <c r="AH1449" t="s">
        <v>67</v>
      </c>
      <c r="AI1449" t="s">
        <v>71</v>
      </c>
      <c r="AJ1449">
        <v>24</v>
      </c>
      <c r="AK1449" t="str">
        <f t="shared" si="339"/>
        <v>18-19%</v>
      </c>
      <c r="AL1449">
        <v>4</v>
      </c>
      <c r="AM1449" t="s">
        <v>78</v>
      </c>
      <c r="AN1449">
        <v>1</v>
      </c>
      <c r="AO1449" t="s">
        <v>69</v>
      </c>
      <c r="AP1449">
        <v>80</v>
      </c>
      <c r="AQ1449">
        <v>1</v>
      </c>
      <c r="AR1449">
        <v>15</v>
      </c>
      <c r="AS1449" t="str">
        <f t="shared" si="340"/>
        <v>11-20</v>
      </c>
      <c r="AT1449">
        <v>4</v>
      </c>
      <c r="AU1449" t="str">
        <f t="shared" si="341"/>
        <v>3-4</v>
      </c>
      <c r="AV1449">
        <v>2</v>
      </c>
      <c r="AW1449" t="s">
        <v>84</v>
      </c>
      <c r="AX1449">
        <v>15</v>
      </c>
      <c r="AY1449" t="str">
        <f t="shared" si="330"/>
        <v>11-20</v>
      </c>
      <c r="AZ1449">
        <v>12</v>
      </c>
      <c r="BA1449" t="str">
        <f t="shared" si="342"/>
        <v>11-18</v>
      </c>
      <c r="BB1449">
        <v>11</v>
      </c>
      <c r="BC1449" t="str">
        <f t="shared" si="343"/>
        <v>11-15</v>
      </c>
      <c r="BD1449">
        <v>11</v>
      </c>
      <c r="BE1449" t="str">
        <f t="shared" si="344"/>
        <v>11-17</v>
      </c>
    </row>
    <row r="1450" spans="1:57" x14ac:dyDescent="0.3">
      <c r="A1450">
        <v>2037</v>
      </c>
      <c r="B1450">
        <v>41</v>
      </c>
      <c r="C1450" t="str">
        <f t="shared" si="331"/>
        <v>36-45</v>
      </c>
      <c r="D1450" t="s">
        <v>71</v>
      </c>
      <c r="E1450">
        <f t="shared" si="332"/>
        <v>0</v>
      </c>
      <c r="F1450" t="s">
        <v>57</v>
      </c>
      <c r="G1450">
        <v>930</v>
      </c>
      <c r="H1450" t="str">
        <f t="shared" si="333"/>
        <v>501-1000</v>
      </c>
      <c r="I1450" t="s">
        <v>58</v>
      </c>
      <c r="J1450">
        <v>3</v>
      </c>
      <c r="K1450" t="str">
        <f t="shared" si="334"/>
        <v>1-5</v>
      </c>
      <c r="L1450">
        <v>3</v>
      </c>
      <c r="M1450" t="s">
        <v>85</v>
      </c>
      <c r="N1450" t="s">
        <v>60</v>
      </c>
      <c r="O1450">
        <v>1</v>
      </c>
      <c r="P1450">
        <v>3</v>
      </c>
      <c r="Q1450" t="s">
        <v>63</v>
      </c>
      <c r="R1450" t="s">
        <v>75</v>
      </c>
      <c r="S1450">
        <v>57</v>
      </c>
      <c r="T1450" t="str">
        <f t="shared" si="335"/>
        <v>51-75</v>
      </c>
      <c r="U1450">
        <v>2</v>
      </c>
      <c r="V1450" t="s">
        <v>61</v>
      </c>
      <c r="W1450">
        <v>2</v>
      </c>
      <c r="X1450" t="s">
        <v>64</v>
      </c>
      <c r="Y1450">
        <v>2</v>
      </c>
      <c r="Z1450" t="s">
        <v>61</v>
      </c>
      <c r="AA1450" t="s">
        <v>86</v>
      </c>
      <c r="AB1450" s="4">
        <v>8938</v>
      </c>
      <c r="AC1450" s="4" t="str">
        <f t="shared" si="336"/>
        <v>$8,500-$10,000</v>
      </c>
      <c r="AD1450">
        <v>12227</v>
      </c>
      <c r="AE1450" t="str">
        <f t="shared" si="337"/>
        <v>$8,001-$16,000</v>
      </c>
      <c r="AF1450">
        <v>2</v>
      </c>
      <c r="AG1450" t="str">
        <f t="shared" si="338"/>
        <v>2-3</v>
      </c>
      <c r="AH1450" t="s">
        <v>67</v>
      </c>
      <c r="AI1450" t="s">
        <v>71</v>
      </c>
      <c r="AJ1450">
        <v>11</v>
      </c>
      <c r="AK1450" t="str">
        <f t="shared" si="339"/>
        <v>11-12%</v>
      </c>
      <c r="AL1450">
        <v>3</v>
      </c>
      <c r="AM1450" t="s">
        <v>68</v>
      </c>
      <c r="AN1450">
        <v>3</v>
      </c>
      <c r="AO1450" t="s">
        <v>63</v>
      </c>
      <c r="AP1450">
        <v>80</v>
      </c>
      <c r="AQ1450">
        <v>1</v>
      </c>
      <c r="AR1450">
        <v>14</v>
      </c>
      <c r="AS1450" t="str">
        <f t="shared" si="340"/>
        <v>11-20</v>
      </c>
      <c r="AT1450">
        <v>5</v>
      </c>
      <c r="AU1450" t="str">
        <f t="shared" si="341"/>
        <v>5-6</v>
      </c>
      <c r="AV1450">
        <v>3</v>
      </c>
      <c r="AW1450" t="s">
        <v>79</v>
      </c>
      <c r="AX1450">
        <v>5</v>
      </c>
      <c r="AY1450" t="str">
        <f t="shared" si="330"/>
        <v>2-5</v>
      </c>
      <c r="AZ1450">
        <v>4</v>
      </c>
      <c r="BA1450" t="str">
        <f t="shared" si="342"/>
        <v>2-5</v>
      </c>
      <c r="BB1450">
        <v>0</v>
      </c>
      <c r="BC1450" t="str">
        <f t="shared" si="343"/>
        <v>0-1</v>
      </c>
      <c r="BD1450">
        <v>4</v>
      </c>
      <c r="BE1450" t="str">
        <f t="shared" si="344"/>
        <v>2-5</v>
      </c>
    </row>
    <row r="1451" spans="1:57" x14ac:dyDescent="0.3">
      <c r="A1451">
        <v>2038</v>
      </c>
      <c r="B1451">
        <v>32</v>
      </c>
      <c r="C1451" t="str">
        <f t="shared" si="331"/>
        <v>26-35</v>
      </c>
      <c r="D1451" t="s">
        <v>71</v>
      </c>
      <c r="E1451">
        <f t="shared" si="332"/>
        <v>0</v>
      </c>
      <c r="F1451" t="s">
        <v>57</v>
      </c>
      <c r="G1451">
        <v>529</v>
      </c>
      <c r="H1451" t="str">
        <f t="shared" si="333"/>
        <v>501-1000</v>
      </c>
      <c r="I1451" t="s">
        <v>73</v>
      </c>
      <c r="J1451">
        <v>2</v>
      </c>
      <c r="K1451" t="str">
        <f t="shared" si="334"/>
        <v>1-5</v>
      </c>
      <c r="L1451">
        <v>3</v>
      </c>
      <c r="M1451" t="s">
        <v>85</v>
      </c>
      <c r="N1451" t="s">
        <v>95</v>
      </c>
      <c r="O1451">
        <v>1</v>
      </c>
      <c r="P1451">
        <v>4</v>
      </c>
      <c r="Q1451" t="s">
        <v>65</v>
      </c>
      <c r="R1451" t="s">
        <v>75</v>
      </c>
      <c r="S1451">
        <v>78</v>
      </c>
      <c r="T1451" t="str">
        <f t="shared" si="335"/>
        <v>76-100</v>
      </c>
      <c r="U1451">
        <v>3</v>
      </c>
      <c r="V1451" t="s">
        <v>63</v>
      </c>
      <c r="W1451">
        <v>1</v>
      </c>
      <c r="X1451" t="s">
        <v>76</v>
      </c>
      <c r="Y1451">
        <v>1</v>
      </c>
      <c r="Z1451" t="s">
        <v>69</v>
      </c>
      <c r="AA1451" t="s">
        <v>66</v>
      </c>
      <c r="AB1451" s="4">
        <v>2439</v>
      </c>
      <c r="AC1451" s="4" t="str">
        <f t="shared" si="336"/>
        <v>$1,000-$2,500</v>
      </c>
      <c r="AD1451">
        <v>11288</v>
      </c>
      <c r="AE1451" t="str">
        <f t="shared" si="337"/>
        <v>$8,001-$16,000</v>
      </c>
      <c r="AF1451">
        <v>1</v>
      </c>
      <c r="AG1451" t="str">
        <f t="shared" si="338"/>
        <v>0-1</v>
      </c>
      <c r="AH1451" t="s">
        <v>67</v>
      </c>
      <c r="AI1451" t="s">
        <v>71</v>
      </c>
      <c r="AJ1451">
        <v>14</v>
      </c>
      <c r="AK1451" t="str">
        <f t="shared" si="339"/>
        <v>13-15%</v>
      </c>
      <c r="AL1451">
        <v>3</v>
      </c>
      <c r="AM1451" t="s">
        <v>68</v>
      </c>
      <c r="AN1451">
        <v>4</v>
      </c>
      <c r="AO1451" t="s">
        <v>65</v>
      </c>
      <c r="AP1451">
        <v>80</v>
      </c>
      <c r="AQ1451">
        <v>0</v>
      </c>
      <c r="AR1451">
        <v>4</v>
      </c>
      <c r="AS1451" t="str">
        <f t="shared" si="340"/>
        <v>3-5</v>
      </c>
      <c r="AT1451">
        <v>4</v>
      </c>
      <c r="AU1451" t="str">
        <f t="shared" si="341"/>
        <v>3-4</v>
      </c>
      <c r="AV1451">
        <v>3</v>
      </c>
      <c r="AW1451" t="s">
        <v>79</v>
      </c>
      <c r="AX1451">
        <v>4</v>
      </c>
      <c r="AY1451" t="str">
        <f t="shared" si="330"/>
        <v>2-5</v>
      </c>
      <c r="AZ1451">
        <v>2</v>
      </c>
      <c r="BA1451" t="str">
        <f t="shared" si="342"/>
        <v>2-5</v>
      </c>
      <c r="BB1451">
        <v>1</v>
      </c>
      <c r="BC1451" t="str">
        <f t="shared" si="343"/>
        <v>0-1</v>
      </c>
      <c r="BD1451">
        <v>2</v>
      </c>
      <c r="BE1451" t="str">
        <f t="shared" si="344"/>
        <v>2-5</v>
      </c>
    </row>
    <row r="1452" spans="1:57" x14ac:dyDescent="0.3">
      <c r="A1452">
        <v>2040</v>
      </c>
      <c r="B1452">
        <v>35</v>
      </c>
      <c r="C1452" t="str">
        <f t="shared" si="331"/>
        <v>26-35</v>
      </c>
      <c r="D1452" t="s">
        <v>71</v>
      </c>
      <c r="E1452">
        <f t="shared" si="332"/>
        <v>0</v>
      </c>
      <c r="F1452" t="s">
        <v>57</v>
      </c>
      <c r="G1452">
        <v>1146</v>
      </c>
      <c r="H1452" t="str">
        <f t="shared" si="333"/>
        <v>1001-1499</v>
      </c>
      <c r="I1452" t="s">
        <v>97</v>
      </c>
      <c r="J1452">
        <v>26</v>
      </c>
      <c r="K1452" t="str">
        <f t="shared" si="334"/>
        <v>21-29</v>
      </c>
      <c r="L1452">
        <v>4</v>
      </c>
      <c r="M1452" t="s">
        <v>82</v>
      </c>
      <c r="N1452" t="s">
        <v>60</v>
      </c>
      <c r="O1452">
        <v>1</v>
      </c>
      <c r="P1452">
        <v>3</v>
      </c>
      <c r="Q1452" t="s">
        <v>63</v>
      </c>
      <c r="R1452" t="s">
        <v>62</v>
      </c>
      <c r="S1452">
        <v>31</v>
      </c>
      <c r="T1452" t="str">
        <f t="shared" si="335"/>
        <v>30-50</v>
      </c>
      <c r="U1452">
        <v>3</v>
      </c>
      <c r="V1452" t="s">
        <v>63</v>
      </c>
      <c r="W1452">
        <v>3</v>
      </c>
      <c r="X1452" t="s">
        <v>97</v>
      </c>
      <c r="Y1452">
        <v>4</v>
      </c>
      <c r="Z1452" t="s">
        <v>65</v>
      </c>
      <c r="AA1452" t="s">
        <v>66</v>
      </c>
      <c r="AB1452" s="4">
        <v>8837</v>
      </c>
      <c r="AC1452" s="4" t="str">
        <f t="shared" si="336"/>
        <v>$8,500-$10,000</v>
      </c>
      <c r="AD1452">
        <v>16642</v>
      </c>
      <c r="AE1452" t="str">
        <f t="shared" si="337"/>
        <v>$16,001-$22,000</v>
      </c>
      <c r="AF1452">
        <v>1</v>
      </c>
      <c r="AG1452" t="str">
        <f t="shared" si="338"/>
        <v>0-1</v>
      </c>
      <c r="AH1452" t="s">
        <v>67</v>
      </c>
      <c r="AI1452" t="s">
        <v>56</v>
      </c>
      <c r="AJ1452">
        <v>16</v>
      </c>
      <c r="AK1452" t="str">
        <f t="shared" si="339"/>
        <v>16-17%</v>
      </c>
      <c r="AL1452">
        <v>3</v>
      </c>
      <c r="AM1452" t="s">
        <v>68</v>
      </c>
      <c r="AN1452">
        <v>3</v>
      </c>
      <c r="AO1452" t="s">
        <v>63</v>
      </c>
      <c r="AP1452">
        <v>80</v>
      </c>
      <c r="AQ1452">
        <v>0</v>
      </c>
      <c r="AR1452">
        <v>9</v>
      </c>
      <c r="AS1452" t="str">
        <f t="shared" si="340"/>
        <v>6-10</v>
      </c>
      <c r="AT1452">
        <v>2</v>
      </c>
      <c r="AU1452" t="str">
        <f t="shared" si="341"/>
        <v>0-2</v>
      </c>
      <c r="AV1452">
        <v>3</v>
      </c>
      <c r="AW1452" t="s">
        <v>79</v>
      </c>
      <c r="AX1452">
        <v>9</v>
      </c>
      <c r="AY1452" t="str">
        <f t="shared" si="330"/>
        <v>6-10</v>
      </c>
      <c r="AZ1452">
        <v>0</v>
      </c>
      <c r="BA1452" t="str">
        <f t="shared" si="342"/>
        <v>0-1</v>
      </c>
      <c r="BB1452">
        <v>1</v>
      </c>
      <c r="BC1452" t="str">
        <f t="shared" si="343"/>
        <v>0-1</v>
      </c>
      <c r="BD1452">
        <v>7</v>
      </c>
      <c r="BE1452" t="str">
        <f t="shared" si="344"/>
        <v>6-10</v>
      </c>
    </row>
    <row r="1453" spans="1:57" x14ac:dyDescent="0.3">
      <c r="A1453">
        <v>2041</v>
      </c>
      <c r="B1453">
        <v>38</v>
      </c>
      <c r="C1453" t="str">
        <f t="shared" si="331"/>
        <v>36-45</v>
      </c>
      <c r="D1453" t="s">
        <v>71</v>
      </c>
      <c r="E1453">
        <f t="shared" si="332"/>
        <v>0</v>
      </c>
      <c r="F1453" t="s">
        <v>57</v>
      </c>
      <c r="G1453">
        <v>345</v>
      </c>
      <c r="H1453" t="str">
        <f t="shared" si="333"/>
        <v>102-500</v>
      </c>
      <c r="I1453" t="s">
        <v>58</v>
      </c>
      <c r="J1453">
        <v>10</v>
      </c>
      <c r="K1453" t="str">
        <f t="shared" si="334"/>
        <v>6-10</v>
      </c>
      <c r="L1453">
        <v>2</v>
      </c>
      <c r="M1453" t="s">
        <v>59</v>
      </c>
      <c r="N1453" t="s">
        <v>60</v>
      </c>
      <c r="O1453">
        <v>1</v>
      </c>
      <c r="P1453">
        <v>1</v>
      </c>
      <c r="Q1453" t="s">
        <v>69</v>
      </c>
      <c r="R1453" t="s">
        <v>62</v>
      </c>
      <c r="S1453">
        <v>100</v>
      </c>
      <c r="T1453" t="str">
        <f t="shared" si="335"/>
        <v>76-100</v>
      </c>
      <c r="U1453">
        <v>3</v>
      </c>
      <c r="V1453" t="s">
        <v>63</v>
      </c>
      <c r="W1453">
        <v>2</v>
      </c>
      <c r="X1453" t="s">
        <v>64</v>
      </c>
      <c r="Y1453">
        <v>4</v>
      </c>
      <c r="Z1453" t="s">
        <v>65</v>
      </c>
      <c r="AA1453" t="s">
        <v>77</v>
      </c>
      <c r="AB1453" s="4">
        <v>5343</v>
      </c>
      <c r="AC1453" s="4" t="str">
        <f t="shared" si="336"/>
        <v>$4,000-$5,500</v>
      </c>
      <c r="AD1453">
        <v>5982</v>
      </c>
      <c r="AE1453" t="str">
        <f t="shared" si="337"/>
        <v>$2,094-$8,000</v>
      </c>
      <c r="AF1453">
        <v>1</v>
      </c>
      <c r="AG1453" t="str">
        <f t="shared" si="338"/>
        <v>0-1</v>
      </c>
      <c r="AH1453" t="s">
        <v>67</v>
      </c>
      <c r="AI1453" t="s">
        <v>71</v>
      </c>
      <c r="AJ1453">
        <v>11</v>
      </c>
      <c r="AK1453" t="str">
        <f t="shared" si="339"/>
        <v>11-12%</v>
      </c>
      <c r="AL1453">
        <v>3</v>
      </c>
      <c r="AM1453" t="s">
        <v>68</v>
      </c>
      <c r="AN1453">
        <v>3</v>
      </c>
      <c r="AO1453" t="s">
        <v>63</v>
      </c>
      <c r="AP1453">
        <v>80</v>
      </c>
      <c r="AQ1453">
        <v>1</v>
      </c>
      <c r="AR1453">
        <v>10</v>
      </c>
      <c r="AS1453" t="str">
        <f t="shared" si="340"/>
        <v>6-10</v>
      </c>
      <c r="AT1453">
        <v>1</v>
      </c>
      <c r="AU1453" t="str">
        <f t="shared" si="341"/>
        <v>0-2</v>
      </c>
      <c r="AV1453">
        <v>3</v>
      </c>
      <c r="AW1453" t="s">
        <v>79</v>
      </c>
      <c r="AX1453">
        <v>10</v>
      </c>
      <c r="AY1453" t="str">
        <f t="shared" si="330"/>
        <v>6-10</v>
      </c>
      <c r="AZ1453">
        <v>7</v>
      </c>
      <c r="BA1453" t="str">
        <f t="shared" si="342"/>
        <v>6-10</v>
      </c>
      <c r="BB1453">
        <v>1</v>
      </c>
      <c r="BC1453" t="str">
        <f t="shared" si="343"/>
        <v>0-1</v>
      </c>
      <c r="BD1453">
        <v>9</v>
      </c>
      <c r="BE1453" t="str">
        <f t="shared" si="344"/>
        <v>6-10</v>
      </c>
    </row>
    <row r="1454" spans="1:57" x14ac:dyDescent="0.3">
      <c r="A1454">
        <v>2044</v>
      </c>
      <c r="B1454">
        <v>50</v>
      </c>
      <c r="C1454" t="str">
        <f t="shared" si="331"/>
        <v>46-55</v>
      </c>
      <c r="D1454" t="s">
        <v>56</v>
      </c>
      <c r="E1454">
        <f t="shared" si="332"/>
        <v>1</v>
      </c>
      <c r="F1454" t="s">
        <v>72</v>
      </c>
      <c r="G1454">
        <v>878</v>
      </c>
      <c r="H1454" t="str">
        <f t="shared" si="333"/>
        <v>501-1000</v>
      </c>
      <c r="I1454" t="s">
        <v>58</v>
      </c>
      <c r="J1454">
        <v>1</v>
      </c>
      <c r="K1454" t="str">
        <f t="shared" si="334"/>
        <v>1-5</v>
      </c>
      <c r="L1454">
        <v>4</v>
      </c>
      <c r="M1454" t="s">
        <v>82</v>
      </c>
      <c r="N1454" t="s">
        <v>60</v>
      </c>
      <c r="O1454">
        <v>1</v>
      </c>
      <c r="P1454">
        <v>2</v>
      </c>
      <c r="Q1454" t="s">
        <v>61</v>
      </c>
      <c r="R1454" t="s">
        <v>75</v>
      </c>
      <c r="S1454">
        <v>94</v>
      </c>
      <c r="T1454" t="str">
        <f t="shared" si="335"/>
        <v>76-100</v>
      </c>
      <c r="U1454">
        <v>3</v>
      </c>
      <c r="V1454" t="s">
        <v>63</v>
      </c>
      <c r="W1454">
        <v>2</v>
      </c>
      <c r="X1454" t="s">
        <v>64</v>
      </c>
      <c r="Y1454">
        <v>3</v>
      </c>
      <c r="Z1454" t="s">
        <v>63</v>
      </c>
      <c r="AA1454" t="s">
        <v>86</v>
      </c>
      <c r="AB1454" s="4">
        <v>6728</v>
      </c>
      <c r="AC1454" s="4" t="str">
        <f t="shared" si="336"/>
        <v>$5,500-$7,000</v>
      </c>
      <c r="AD1454">
        <v>14255</v>
      </c>
      <c r="AE1454" t="str">
        <f t="shared" si="337"/>
        <v>$8,001-$16,000</v>
      </c>
      <c r="AF1454">
        <v>7</v>
      </c>
      <c r="AG1454" t="str">
        <f t="shared" si="338"/>
        <v>7-9</v>
      </c>
      <c r="AH1454" t="s">
        <v>67</v>
      </c>
      <c r="AI1454" t="s">
        <v>71</v>
      </c>
      <c r="AJ1454">
        <v>12</v>
      </c>
      <c r="AK1454" t="str">
        <f t="shared" si="339"/>
        <v>11-12%</v>
      </c>
      <c r="AL1454">
        <v>3</v>
      </c>
      <c r="AM1454" t="s">
        <v>68</v>
      </c>
      <c r="AN1454">
        <v>4</v>
      </c>
      <c r="AO1454" t="s">
        <v>65</v>
      </c>
      <c r="AP1454">
        <v>80</v>
      </c>
      <c r="AQ1454">
        <v>2</v>
      </c>
      <c r="AR1454">
        <v>12</v>
      </c>
      <c r="AS1454" t="str">
        <f t="shared" si="340"/>
        <v>11-20</v>
      </c>
      <c r="AT1454">
        <v>3</v>
      </c>
      <c r="AU1454" t="str">
        <f t="shared" si="341"/>
        <v>3-4</v>
      </c>
      <c r="AV1454">
        <v>3</v>
      </c>
      <c r="AW1454" t="s">
        <v>79</v>
      </c>
      <c r="AX1454">
        <v>6</v>
      </c>
      <c r="AY1454" t="str">
        <f t="shared" si="330"/>
        <v>6-10</v>
      </c>
      <c r="AZ1454">
        <v>3</v>
      </c>
      <c r="BA1454" t="str">
        <f t="shared" si="342"/>
        <v>2-5</v>
      </c>
      <c r="BB1454">
        <v>0</v>
      </c>
      <c r="BC1454" t="str">
        <f t="shared" si="343"/>
        <v>0-1</v>
      </c>
      <c r="BD1454">
        <v>1</v>
      </c>
      <c r="BE1454" t="str">
        <f t="shared" si="344"/>
        <v>0-1</v>
      </c>
    </row>
    <row r="1455" spans="1:57" x14ac:dyDescent="0.3">
      <c r="A1455">
        <v>2045</v>
      </c>
      <c r="B1455">
        <v>36</v>
      </c>
      <c r="C1455" t="str">
        <f t="shared" si="331"/>
        <v>36-45</v>
      </c>
      <c r="D1455" t="s">
        <v>71</v>
      </c>
      <c r="E1455">
        <f t="shared" si="332"/>
        <v>0</v>
      </c>
      <c r="F1455" t="s">
        <v>57</v>
      </c>
      <c r="G1455">
        <v>1120</v>
      </c>
      <c r="H1455" t="str">
        <f t="shared" si="333"/>
        <v>1001-1499</v>
      </c>
      <c r="I1455" t="s">
        <v>58</v>
      </c>
      <c r="J1455">
        <v>11</v>
      </c>
      <c r="K1455" t="str">
        <f t="shared" si="334"/>
        <v>11-20</v>
      </c>
      <c r="L1455">
        <v>4</v>
      </c>
      <c r="M1455" t="s">
        <v>82</v>
      </c>
      <c r="N1455" t="s">
        <v>93</v>
      </c>
      <c r="O1455">
        <v>1</v>
      </c>
      <c r="P1455">
        <v>2</v>
      </c>
      <c r="Q1455" t="s">
        <v>61</v>
      </c>
      <c r="R1455" t="s">
        <v>62</v>
      </c>
      <c r="S1455">
        <v>100</v>
      </c>
      <c r="T1455" t="str">
        <f t="shared" si="335"/>
        <v>76-100</v>
      </c>
      <c r="U1455">
        <v>2</v>
      </c>
      <c r="V1455" t="s">
        <v>61</v>
      </c>
      <c r="W1455">
        <v>2</v>
      </c>
      <c r="X1455" t="s">
        <v>64</v>
      </c>
      <c r="Y1455">
        <v>4</v>
      </c>
      <c r="Z1455" t="s">
        <v>65</v>
      </c>
      <c r="AA1455" t="s">
        <v>77</v>
      </c>
      <c r="AB1455" s="4">
        <v>6652</v>
      </c>
      <c r="AC1455" s="4" t="str">
        <f t="shared" si="336"/>
        <v>$5,500-$7,000</v>
      </c>
      <c r="AD1455">
        <v>14369</v>
      </c>
      <c r="AE1455" t="str">
        <f t="shared" si="337"/>
        <v>$8,001-$16,000</v>
      </c>
      <c r="AF1455">
        <v>4</v>
      </c>
      <c r="AG1455" t="str">
        <f t="shared" si="338"/>
        <v>4-6</v>
      </c>
      <c r="AH1455" t="s">
        <v>67</v>
      </c>
      <c r="AI1455" t="s">
        <v>71</v>
      </c>
      <c r="AJ1455">
        <v>13</v>
      </c>
      <c r="AK1455" t="str">
        <f t="shared" si="339"/>
        <v>13-15%</v>
      </c>
      <c r="AL1455">
        <v>3</v>
      </c>
      <c r="AM1455" t="s">
        <v>68</v>
      </c>
      <c r="AN1455">
        <v>1</v>
      </c>
      <c r="AO1455" t="s">
        <v>69</v>
      </c>
      <c r="AP1455">
        <v>80</v>
      </c>
      <c r="AQ1455">
        <v>1</v>
      </c>
      <c r="AR1455">
        <v>8</v>
      </c>
      <c r="AS1455" t="str">
        <f t="shared" si="340"/>
        <v>6-10</v>
      </c>
      <c r="AT1455">
        <v>2</v>
      </c>
      <c r="AU1455" t="str">
        <f t="shared" si="341"/>
        <v>0-2</v>
      </c>
      <c r="AV1455">
        <v>2</v>
      </c>
      <c r="AW1455" t="s">
        <v>84</v>
      </c>
      <c r="AX1455">
        <v>6</v>
      </c>
      <c r="AY1455" t="str">
        <f t="shared" si="330"/>
        <v>6-10</v>
      </c>
      <c r="AZ1455">
        <v>3</v>
      </c>
      <c r="BA1455" t="str">
        <f t="shared" si="342"/>
        <v>2-5</v>
      </c>
      <c r="BB1455">
        <v>0</v>
      </c>
      <c r="BC1455" t="str">
        <f t="shared" si="343"/>
        <v>0-1</v>
      </c>
      <c r="BD1455">
        <v>0</v>
      </c>
      <c r="BE1455" t="str">
        <f t="shared" si="344"/>
        <v>0-1</v>
      </c>
    </row>
    <row r="1456" spans="1:57" x14ac:dyDescent="0.3">
      <c r="A1456">
        <v>2046</v>
      </c>
      <c r="B1456">
        <v>45</v>
      </c>
      <c r="C1456" t="str">
        <f t="shared" si="331"/>
        <v>36-45</v>
      </c>
      <c r="D1456" t="s">
        <v>71</v>
      </c>
      <c r="E1456">
        <f t="shared" si="332"/>
        <v>0</v>
      </c>
      <c r="F1456" t="s">
        <v>57</v>
      </c>
      <c r="G1456">
        <v>374</v>
      </c>
      <c r="H1456" t="str">
        <f t="shared" si="333"/>
        <v>102-500</v>
      </c>
      <c r="I1456" t="s">
        <v>58</v>
      </c>
      <c r="J1456">
        <v>20</v>
      </c>
      <c r="K1456" t="str">
        <f t="shared" si="334"/>
        <v>11-20</v>
      </c>
      <c r="L1456">
        <v>3</v>
      </c>
      <c r="M1456" t="s">
        <v>85</v>
      </c>
      <c r="N1456" t="s">
        <v>60</v>
      </c>
      <c r="O1456">
        <v>1</v>
      </c>
      <c r="P1456">
        <v>4</v>
      </c>
      <c r="Q1456" t="s">
        <v>65</v>
      </c>
      <c r="R1456" t="s">
        <v>62</v>
      </c>
      <c r="S1456">
        <v>50</v>
      </c>
      <c r="T1456" t="str">
        <f t="shared" si="335"/>
        <v>30-50</v>
      </c>
      <c r="U1456">
        <v>3</v>
      </c>
      <c r="V1456" t="s">
        <v>63</v>
      </c>
      <c r="W1456">
        <v>2</v>
      </c>
      <c r="X1456" t="s">
        <v>64</v>
      </c>
      <c r="Y1456">
        <v>3</v>
      </c>
      <c r="Z1456" t="s">
        <v>63</v>
      </c>
      <c r="AA1456" t="s">
        <v>66</v>
      </c>
      <c r="AB1456" s="4">
        <v>4850</v>
      </c>
      <c r="AC1456" s="4" t="str">
        <f t="shared" si="336"/>
        <v>$4,000-$5,500</v>
      </c>
      <c r="AD1456">
        <v>23333</v>
      </c>
      <c r="AE1456" t="str">
        <f t="shared" si="337"/>
        <v>$22,001-$26,999</v>
      </c>
      <c r="AF1456">
        <v>8</v>
      </c>
      <c r="AG1456" t="str">
        <f t="shared" si="338"/>
        <v>7-9</v>
      </c>
      <c r="AH1456" t="s">
        <v>67</v>
      </c>
      <c r="AI1456" t="s">
        <v>71</v>
      </c>
      <c r="AJ1456">
        <v>15</v>
      </c>
      <c r="AK1456" t="str">
        <f t="shared" si="339"/>
        <v>13-15%</v>
      </c>
      <c r="AL1456">
        <v>3</v>
      </c>
      <c r="AM1456" t="s">
        <v>68</v>
      </c>
      <c r="AN1456">
        <v>3</v>
      </c>
      <c r="AO1456" t="s">
        <v>63</v>
      </c>
      <c r="AP1456">
        <v>80</v>
      </c>
      <c r="AQ1456">
        <v>0</v>
      </c>
      <c r="AR1456">
        <v>8</v>
      </c>
      <c r="AS1456" t="str">
        <f t="shared" si="340"/>
        <v>6-10</v>
      </c>
      <c r="AT1456">
        <v>3</v>
      </c>
      <c r="AU1456" t="str">
        <f t="shared" si="341"/>
        <v>3-4</v>
      </c>
      <c r="AV1456">
        <v>3</v>
      </c>
      <c r="AW1456" t="s">
        <v>79</v>
      </c>
      <c r="AX1456">
        <v>5</v>
      </c>
      <c r="AY1456" t="str">
        <f t="shared" si="330"/>
        <v>2-5</v>
      </c>
      <c r="AZ1456">
        <v>3</v>
      </c>
      <c r="BA1456" t="str">
        <f t="shared" si="342"/>
        <v>2-5</v>
      </c>
      <c r="BB1456">
        <v>0</v>
      </c>
      <c r="BC1456" t="str">
        <f t="shared" si="343"/>
        <v>0-1</v>
      </c>
      <c r="BD1456">
        <v>1</v>
      </c>
      <c r="BE1456" t="str">
        <f t="shared" si="344"/>
        <v>0-1</v>
      </c>
    </row>
    <row r="1457" spans="1:57" x14ac:dyDescent="0.3">
      <c r="A1457">
        <v>2048</v>
      </c>
      <c r="B1457">
        <v>40</v>
      </c>
      <c r="C1457" t="str">
        <f t="shared" si="331"/>
        <v>36-45</v>
      </c>
      <c r="D1457" t="s">
        <v>71</v>
      </c>
      <c r="E1457">
        <f t="shared" si="332"/>
        <v>0</v>
      </c>
      <c r="F1457" t="s">
        <v>57</v>
      </c>
      <c r="G1457">
        <v>1322</v>
      </c>
      <c r="H1457" t="str">
        <f t="shared" si="333"/>
        <v>1001-1499</v>
      </c>
      <c r="I1457" t="s">
        <v>73</v>
      </c>
      <c r="J1457">
        <v>2</v>
      </c>
      <c r="K1457" t="str">
        <f t="shared" si="334"/>
        <v>1-5</v>
      </c>
      <c r="L1457">
        <v>4</v>
      </c>
      <c r="M1457" t="s">
        <v>82</v>
      </c>
      <c r="N1457" t="s">
        <v>60</v>
      </c>
      <c r="O1457">
        <v>1</v>
      </c>
      <c r="P1457">
        <v>3</v>
      </c>
      <c r="Q1457" t="s">
        <v>63</v>
      </c>
      <c r="R1457" t="s">
        <v>75</v>
      </c>
      <c r="S1457">
        <v>52</v>
      </c>
      <c r="T1457" t="str">
        <f t="shared" si="335"/>
        <v>51-75</v>
      </c>
      <c r="U1457">
        <v>2</v>
      </c>
      <c r="V1457" t="s">
        <v>61</v>
      </c>
      <c r="W1457">
        <v>1</v>
      </c>
      <c r="X1457" t="s">
        <v>76</v>
      </c>
      <c r="Y1457">
        <v>3</v>
      </c>
      <c r="Z1457" t="s">
        <v>63</v>
      </c>
      <c r="AA1457" t="s">
        <v>66</v>
      </c>
      <c r="AB1457" s="4">
        <v>2809</v>
      </c>
      <c r="AC1457" s="4" t="str">
        <f t="shared" si="336"/>
        <v>$2,500-$4,000</v>
      </c>
      <c r="AD1457">
        <v>2725</v>
      </c>
      <c r="AE1457" t="str">
        <f t="shared" si="337"/>
        <v>$2,094-$8,000</v>
      </c>
      <c r="AF1457">
        <v>2</v>
      </c>
      <c r="AG1457" t="str">
        <f t="shared" si="338"/>
        <v>2-3</v>
      </c>
      <c r="AH1457" t="s">
        <v>67</v>
      </c>
      <c r="AI1457" t="s">
        <v>71</v>
      </c>
      <c r="AJ1457">
        <v>14</v>
      </c>
      <c r="AK1457" t="str">
        <f t="shared" si="339"/>
        <v>13-15%</v>
      </c>
      <c r="AL1457">
        <v>3</v>
      </c>
      <c r="AM1457" t="s">
        <v>68</v>
      </c>
      <c r="AN1457">
        <v>4</v>
      </c>
      <c r="AO1457" t="s">
        <v>65</v>
      </c>
      <c r="AP1457">
        <v>80</v>
      </c>
      <c r="AQ1457">
        <v>0</v>
      </c>
      <c r="AR1457">
        <v>8</v>
      </c>
      <c r="AS1457" t="str">
        <f t="shared" si="340"/>
        <v>6-10</v>
      </c>
      <c r="AT1457">
        <v>2</v>
      </c>
      <c r="AU1457" t="str">
        <f t="shared" si="341"/>
        <v>0-2</v>
      </c>
      <c r="AV1457">
        <v>3</v>
      </c>
      <c r="AW1457" t="s">
        <v>79</v>
      </c>
      <c r="AX1457">
        <v>2</v>
      </c>
      <c r="AY1457" t="str">
        <f t="shared" si="330"/>
        <v>2-5</v>
      </c>
      <c r="AZ1457">
        <v>2</v>
      </c>
      <c r="BA1457" t="str">
        <f t="shared" si="342"/>
        <v>2-5</v>
      </c>
      <c r="BB1457">
        <v>2</v>
      </c>
      <c r="BC1457" t="str">
        <f t="shared" si="343"/>
        <v>2-5</v>
      </c>
      <c r="BD1457">
        <v>2</v>
      </c>
      <c r="BE1457" t="str">
        <f t="shared" si="344"/>
        <v>2-5</v>
      </c>
    </row>
    <row r="1458" spans="1:57" x14ac:dyDescent="0.3">
      <c r="A1458">
        <v>2049</v>
      </c>
      <c r="B1458">
        <v>35</v>
      </c>
      <c r="C1458" t="str">
        <f t="shared" si="331"/>
        <v>26-35</v>
      </c>
      <c r="D1458" t="s">
        <v>71</v>
      </c>
      <c r="E1458">
        <f t="shared" si="332"/>
        <v>0</v>
      </c>
      <c r="F1458" t="s">
        <v>72</v>
      </c>
      <c r="G1458">
        <v>1199</v>
      </c>
      <c r="H1458" t="str">
        <f t="shared" si="333"/>
        <v>1001-1499</v>
      </c>
      <c r="I1458" t="s">
        <v>73</v>
      </c>
      <c r="J1458">
        <v>18</v>
      </c>
      <c r="K1458" t="str">
        <f t="shared" si="334"/>
        <v>11-20</v>
      </c>
      <c r="L1458">
        <v>4</v>
      </c>
      <c r="M1458" t="s">
        <v>82</v>
      </c>
      <c r="N1458" t="s">
        <v>60</v>
      </c>
      <c r="O1458">
        <v>1</v>
      </c>
      <c r="P1458">
        <v>3</v>
      </c>
      <c r="Q1458" t="s">
        <v>63</v>
      </c>
      <c r="R1458" t="s">
        <v>75</v>
      </c>
      <c r="S1458">
        <v>80</v>
      </c>
      <c r="T1458" t="str">
        <f t="shared" si="335"/>
        <v>76-100</v>
      </c>
      <c r="U1458">
        <v>3</v>
      </c>
      <c r="V1458" t="s">
        <v>63</v>
      </c>
      <c r="W1458">
        <v>2</v>
      </c>
      <c r="X1458" t="s">
        <v>88</v>
      </c>
      <c r="Y1458">
        <v>3</v>
      </c>
      <c r="Z1458" t="s">
        <v>63</v>
      </c>
      <c r="AA1458" t="s">
        <v>77</v>
      </c>
      <c r="AB1458" s="4">
        <v>5689</v>
      </c>
      <c r="AC1458" s="4" t="str">
        <f t="shared" si="336"/>
        <v>$5,500-$7,000</v>
      </c>
      <c r="AD1458">
        <v>24594</v>
      </c>
      <c r="AE1458" t="str">
        <f t="shared" si="337"/>
        <v>$22,001-$26,999</v>
      </c>
      <c r="AF1458">
        <v>1</v>
      </c>
      <c r="AG1458" t="str">
        <f t="shared" si="338"/>
        <v>0-1</v>
      </c>
      <c r="AH1458" t="s">
        <v>67</v>
      </c>
      <c r="AI1458" t="s">
        <v>56</v>
      </c>
      <c r="AJ1458">
        <v>14</v>
      </c>
      <c r="AK1458" t="str">
        <f t="shared" si="339"/>
        <v>13-15%</v>
      </c>
      <c r="AL1458">
        <v>3</v>
      </c>
      <c r="AM1458" t="s">
        <v>68</v>
      </c>
      <c r="AN1458">
        <v>4</v>
      </c>
      <c r="AO1458" t="s">
        <v>65</v>
      </c>
      <c r="AP1458">
        <v>80</v>
      </c>
      <c r="AQ1458">
        <v>2</v>
      </c>
      <c r="AR1458">
        <v>10</v>
      </c>
      <c r="AS1458" t="str">
        <f t="shared" si="340"/>
        <v>6-10</v>
      </c>
      <c r="AT1458">
        <v>2</v>
      </c>
      <c r="AU1458" t="str">
        <f t="shared" si="341"/>
        <v>0-2</v>
      </c>
      <c r="AV1458">
        <v>4</v>
      </c>
      <c r="AW1458" t="s">
        <v>94</v>
      </c>
      <c r="AX1458">
        <v>10</v>
      </c>
      <c r="AY1458" t="str">
        <f t="shared" si="330"/>
        <v>6-10</v>
      </c>
      <c r="AZ1458">
        <v>2</v>
      </c>
      <c r="BA1458" t="str">
        <f t="shared" si="342"/>
        <v>2-5</v>
      </c>
      <c r="BB1458">
        <v>0</v>
      </c>
      <c r="BC1458" t="str">
        <f t="shared" si="343"/>
        <v>0-1</v>
      </c>
      <c r="BD1458">
        <v>2</v>
      </c>
      <c r="BE1458" t="str">
        <f t="shared" si="344"/>
        <v>2-5</v>
      </c>
    </row>
    <row r="1459" spans="1:57" x14ac:dyDescent="0.3">
      <c r="A1459">
        <v>2051</v>
      </c>
      <c r="B1459">
        <v>40</v>
      </c>
      <c r="C1459" t="str">
        <f t="shared" si="331"/>
        <v>36-45</v>
      </c>
      <c r="D1459" t="s">
        <v>71</v>
      </c>
      <c r="E1459">
        <f t="shared" si="332"/>
        <v>0</v>
      </c>
      <c r="F1459" t="s">
        <v>57</v>
      </c>
      <c r="G1459">
        <v>1194</v>
      </c>
      <c r="H1459" t="str">
        <f t="shared" si="333"/>
        <v>1001-1499</v>
      </c>
      <c r="I1459" t="s">
        <v>73</v>
      </c>
      <c r="J1459">
        <v>2</v>
      </c>
      <c r="K1459" t="str">
        <f t="shared" si="334"/>
        <v>1-5</v>
      </c>
      <c r="L1459">
        <v>4</v>
      </c>
      <c r="M1459" t="s">
        <v>82</v>
      </c>
      <c r="N1459" t="s">
        <v>83</v>
      </c>
      <c r="O1459">
        <v>1</v>
      </c>
      <c r="P1459">
        <v>3</v>
      </c>
      <c r="Q1459" t="s">
        <v>63</v>
      </c>
      <c r="R1459" t="s">
        <v>62</v>
      </c>
      <c r="S1459">
        <v>98</v>
      </c>
      <c r="T1459" t="str">
        <f t="shared" si="335"/>
        <v>76-100</v>
      </c>
      <c r="U1459">
        <v>3</v>
      </c>
      <c r="V1459" t="s">
        <v>63</v>
      </c>
      <c r="W1459">
        <v>1</v>
      </c>
      <c r="X1459" t="s">
        <v>76</v>
      </c>
      <c r="Y1459">
        <v>3</v>
      </c>
      <c r="Z1459" t="s">
        <v>63</v>
      </c>
      <c r="AA1459" t="s">
        <v>77</v>
      </c>
      <c r="AB1459" s="4">
        <v>2001</v>
      </c>
      <c r="AC1459" s="4" t="str">
        <f t="shared" si="336"/>
        <v>$1,000-$2,500</v>
      </c>
      <c r="AD1459">
        <v>12549</v>
      </c>
      <c r="AE1459" t="str">
        <f t="shared" si="337"/>
        <v>$8,001-$16,000</v>
      </c>
      <c r="AF1459">
        <v>2</v>
      </c>
      <c r="AG1459" t="str">
        <f t="shared" si="338"/>
        <v>2-3</v>
      </c>
      <c r="AH1459" t="s">
        <v>67</v>
      </c>
      <c r="AI1459" t="s">
        <v>71</v>
      </c>
      <c r="AJ1459">
        <v>14</v>
      </c>
      <c r="AK1459" t="str">
        <f t="shared" si="339"/>
        <v>13-15%</v>
      </c>
      <c r="AL1459">
        <v>3</v>
      </c>
      <c r="AM1459" t="s">
        <v>68</v>
      </c>
      <c r="AN1459">
        <v>2</v>
      </c>
      <c r="AO1459" t="s">
        <v>61</v>
      </c>
      <c r="AP1459">
        <v>80</v>
      </c>
      <c r="AQ1459">
        <v>3</v>
      </c>
      <c r="AR1459">
        <v>20</v>
      </c>
      <c r="AS1459" t="str">
        <f t="shared" si="340"/>
        <v>11-20</v>
      </c>
      <c r="AT1459">
        <v>2</v>
      </c>
      <c r="AU1459" t="str">
        <f t="shared" si="341"/>
        <v>0-2</v>
      </c>
      <c r="AV1459">
        <v>3</v>
      </c>
      <c r="AW1459" t="s">
        <v>79</v>
      </c>
      <c r="AX1459">
        <v>5</v>
      </c>
      <c r="AY1459" t="str">
        <f t="shared" si="330"/>
        <v>2-5</v>
      </c>
      <c r="AZ1459">
        <v>3</v>
      </c>
      <c r="BA1459" t="str">
        <f t="shared" si="342"/>
        <v>2-5</v>
      </c>
      <c r="BB1459">
        <v>0</v>
      </c>
      <c r="BC1459" t="str">
        <f t="shared" si="343"/>
        <v>0-1</v>
      </c>
      <c r="BD1459">
        <v>2</v>
      </c>
      <c r="BE1459" t="str">
        <f t="shared" si="344"/>
        <v>2-5</v>
      </c>
    </row>
    <row r="1460" spans="1:57" x14ac:dyDescent="0.3">
      <c r="A1460">
        <v>2052</v>
      </c>
      <c r="B1460">
        <v>35</v>
      </c>
      <c r="C1460" t="str">
        <f t="shared" si="331"/>
        <v>26-35</v>
      </c>
      <c r="D1460" t="s">
        <v>71</v>
      </c>
      <c r="E1460">
        <f t="shared" si="332"/>
        <v>0</v>
      </c>
      <c r="F1460" t="s">
        <v>57</v>
      </c>
      <c r="G1460">
        <v>287</v>
      </c>
      <c r="H1460" t="str">
        <f t="shared" si="333"/>
        <v>102-500</v>
      </c>
      <c r="I1460" t="s">
        <v>73</v>
      </c>
      <c r="J1460">
        <v>1</v>
      </c>
      <c r="K1460" t="str">
        <f t="shared" si="334"/>
        <v>1-5</v>
      </c>
      <c r="L1460">
        <v>4</v>
      </c>
      <c r="M1460" t="s">
        <v>82</v>
      </c>
      <c r="N1460" t="s">
        <v>60</v>
      </c>
      <c r="O1460">
        <v>1</v>
      </c>
      <c r="P1460">
        <v>3</v>
      </c>
      <c r="Q1460" t="s">
        <v>63</v>
      </c>
      <c r="R1460" t="s">
        <v>62</v>
      </c>
      <c r="S1460">
        <v>62</v>
      </c>
      <c r="T1460" t="str">
        <f t="shared" si="335"/>
        <v>51-75</v>
      </c>
      <c r="U1460">
        <v>1</v>
      </c>
      <c r="V1460" t="s">
        <v>69</v>
      </c>
      <c r="W1460">
        <v>1</v>
      </c>
      <c r="X1460" t="s">
        <v>76</v>
      </c>
      <c r="Y1460">
        <v>4</v>
      </c>
      <c r="Z1460" t="s">
        <v>65</v>
      </c>
      <c r="AA1460" t="s">
        <v>77</v>
      </c>
      <c r="AB1460" s="4">
        <v>2977</v>
      </c>
      <c r="AC1460" s="4" t="str">
        <f t="shared" si="336"/>
        <v>$2,500-$4,000</v>
      </c>
      <c r="AD1460">
        <v>8952</v>
      </c>
      <c r="AE1460" t="str">
        <f t="shared" si="337"/>
        <v>$8,001-$16,000</v>
      </c>
      <c r="AF1460">
        <v>1</v>
      </c>
      <c r="AG1460" t="str">
        <f t="shared" si="338"/>
        <v>0-1</v>
      </c>
      <c r="AH1460" t="s">
        <v>67</v>
      </c>
      <c r="AI1460" t="s">
        <v>71</v>
      </c>
      <c r="AJ1460">
        <v>12</v>
      </c>
      <c r="AK1460" t="str">
        <f t="shared" si="339"/>
        <v>11-12%</v>
      </c>
      <c r="AL1460">
        <v>3</v>
      </c>
      <c r="AM1460" t="s">
        <v>68</v>
      </c>
      <c r="AN1460">
        <v>4</v>
      </c>
      <c r="AO1460" t="s">
        <v>65</v>
      </c>
      <c r="AP1460">
        <v>80</v>
      </c>
      <c r="AQ1460">
        <v>1</v>
      </c>
      <c r="AR1460">
        <v>4</v>
      </c>
      <c r="AS1460" t="str">
        <f t="shared" si="340"/>
        <v>3-5</v>
      </c>
      <c r="AT1460">
        <v>5</v>
      </c>
      <c r="AU1460" t="str">
        <f t="shared" si="341"/>
        <v>5-6</v>
      </c>
      <c r="AV1460">
        <v>3</v>
      </c>
      <c r="AW1460" t="s">
        <v>79</v>
      </c>
      <c r="AX1460">
        <v>4</v>
      </c>
      <c r="AY1460" t="str">
        <f t="shared" si="330"/>
        <v>2-5</v>
      </c>
      <c r="AZ1460">
        <v>3</v>
      </c>
      <c r="BA1460" t="str">
        <f t="shared" si="342"/>
        <v>2-5</v>
      </c>
      <c r="BB1460">
        <v>1</v>
      </c>
      <c r="BC1460" t="str">
        <f t="shared" si="343"/>
        <v>0-1</v>
      </c>
      <c r="BD1460">
        <v>1</v>
      </c>
      <c r="BE1460" t="str">
        <f t="shared" si="344"/>
        <v>0-1</v>
      </c>
    </row>
    <row r="1461" spans="1:57" x14ac:dyDescent="0.3">
      <c r="A1461">
        <v>2053</v>
      </c>
      <c r="B1461">
        <v>29</v>
      </c>
      <c r="C1461" t="str">
        <f t="shared" si="331"/>
        <v>26-35</v>
      </c>
      <c r="D1461" t="s">
        <v>71</v>
      </c>
      <c r="E1461">
        <f t="shared" si="332"/>
        <v>0</v>
      </c>
      <c r="F1461" t="s">
        <v>57</v>
      </c>
      <c r="G1461">
        <v>1378</v>
      </c>
      <c r="H1461" t="str">
        <f t="shared" si="333"/>
        <v>1001-1499</v>
      </c>
      <c r="I1461" t="s">
        <v>73</v>
      </c>
      <c r="J1461">
        <v>13</v>
      </c>
      <c r="K1461" t="str">
        <f t="shared" si="334"/>
        <v>11-20</v>
      </c>
      <c r="L1461">
        <v>2</v>
      </c>
      <c r="M1461" t="s">
        <v>59</v>
      </c>
      <c r="N1461" t="s">
        <v>80</v>
      </c>
      <c r="O1461">
        <v>1</v>
      </c>
      <c r="P1461">
        <v>4</v>
      </c>
      <c r="Q1461" t="s">
        <v>65</v>
      </c>
      <c r="R1461" t="s">
        <v>75</v>
      </c>
      <c r="S1461">
        <v>46</v>
      </c>
      <c r="T1461" t="str">
        <f t="shared" si="335"/>
        <v>30-50</v>
      </c>
      <c r="U1461">
        <v>2</v>
      </c>
      <c r="V1461" t="s">
        <v>61</v>
      </c>
      <c r="W1461">
        <v>2</v>
      </c>
      <c r="X1461" t="s">
        <v>81</v>
      </c>
      <c r="Y1461">
        <v>2</v>
      </c>
      <c r="Z1461" t="s">
        <v>61</v>
      </c>
      <c r="AA1461" t="s">
        <v>77</v>
      </c>
      <c r="AB1461" s="4">
        <v>4025</v>
      </c>
      <c r="AC1461" s="4" t="str">
        <f t="shared" si="336"/>
        <v>$4,000-$5,500</v>
      </c>
      <c r="AD1461">
        <v>23679</v>
      </c>
      <c r="AE1461" t="str">
        <f t="shared" si="337"/>
        <v>$22,001-$26,999</v>
      </c>
      <c r="AF1461">
        <v>4</v>
      </c>
      <c r="AG1461" t="str">
        <f t="shared" si="338"/>
        <v>4-6</v>
      </c>
      <c r="AH1461" t="s">
        <v>67</v>
      </c>
      <c r="AI1461" t="s">
        <v>56</v>
      </c>
      <c r="AJ1461">
        <v>13</v>
      </c>
      <c r="AK1461" t="str">
        <f t="shared" si="339"/>
        <v>13-15%</v>
      </c>
      <c r="AL1461">
        <v>3</v>
      </c>
      <c r="AM1461" t="s">
        <v>68</v>
      </c>
      <c r="AN1461">
        <v>1</v>
      </c>
      <c r="AO1461" t="s">
        <v>69</v>
      </c>
      <c r="AP1461">
        <v>80</v>
      </c>
      <c r="AQ1461">
        <v>1</v>
      </c>
      <c r="AR1461">
        <v>10</v>
      </c>
      <c r="AS1461" t="str">
        <f t="shared" si="340"/>
        <v>6-10</v>
      </c>
      <c r="AT1461">
        <v>2</v>
      </c>
      <c r="AU1461" t="str">
        <f t="shared" si="341"/>
        <v>0-2</v>
      </c>
      <c r="AV1461">
        <v>3</v>
      </c>
      <c r="AW1461" t="s">
        <v>79</v>
      </c>
      <c r="AX1461">
        <v>4</v>
      </c>
      <c r="AY1461" t="str">
        <f t="shared" si="330"/>
        <v>2-5</v>
      </c>
      <c r="AZ1461">
        <v>3</v>
      </c>
      <c r="BA1461" t="str">
        <f t="shared" si="342"/>
        <v>2-5</v>
      </c>
      <c r="BB1461">
        <v>0</v>
      </c>
      <c r="BC1461" t="str">
        <f t="shared" si="343"/>
        <v>0-1</v>
      </c>
      <c r="BD1461">
        <v>3</v>
      </c>
      <c r="BE1461" t="str">
        <f t="shared" si="344"/>
        <v>2-5</v>
      </c>
    </row>
    <row r="1462" spans="1:57" x14ac:dyDescent="0.3">
      <c r="A1462">
        <v>2054</v>
      </c>
      <c r="B1462">
        <v>29</v>
      </c>
      <c r="C1462" t="str">
        <f t="shared" si="331"/>
        <v>26-35</v>
      </c>
      <c r="D1462" t="s">
        <v>71</v>
      </c>
      <c r="E1462">
        <f t="shared" si="332"/>
        <v>0</v>
      </c>
      <c r="F1462" t="s">
        <v>57</v>
      </c>
      <c r="G1462">
        <v>468</v>
      </c>
      <c r="H1462" t="str">
        <f t="shared" si="333"/>
        <v>102-500</v>
      </c>
      <c r="I1462" t="s">
        <v>73</v>
      </c>
      <c r="J1462">
        <v>28</v>
      </c>
      <c r="K1462" t="str">
        <f t="shared" si="334"/>
        <v>21-29</v>
      </c>
      <c r="L1462">
        <v>4</v>
      </c>
      <c r="M1462" t="s">
        <v>82</v>
      </c>
      <c r="N1462" t="s">
        <v>83</v>
      </c>
      <c r="O1462">
        <v>1</v>
      </c>
      <c r="P1462">
        <v>4</v>
      </c>
      <c r="Q1462" t="s">
        <v>65</v>
      </c>
      <c r="R1462" t="s">
        <v>62</v>
      </c>
      <c r="S1462">
        <v>73</v>
      </c>
      <c r="T1462" t="str">
        <f t="shared" si="335"/>
        <v>51-75</v>
      </c>
      <c r="U1462">
        <v>2</v>
      </c>
      <c r="V1462" t="s">
        <v>61</v>
      </c>
      <c r="W1462">
        <v>1</v>
      </c>
      <c r="X1462" t="s">
        <v>76</v>
      </c>
      <c r="Y1462">
        <v>1</v>
      </c>
      <c r="Z1462" t="s">
        <v>69</v>
      </c>
      <c r="AA1462" t="s">
        <v>66</v>
      </c>
      <c r="AB1462" s="4">
        <v>3785</v>
      </c>
      <c r="AC1462" s="4" t="str">
        <f t="shared" si="336"/>
        <v>$2,500-$4,000</v>
      </c>
      <c r="AD1462">
        <v>8489</v>
      </c>
      <c r="AE1462" t="str">
        <f t="shared" si="337"/>
        <v>$8,001-$16,000</v>
      </c>
      <c r="AF1462">
        <v>1</v>
      </c>
      <c r="AG1462" t="str">
        <f t="shared" si="338"/>
        <v>0-1</v>
      </c>
      <c r="AH1462" t="s">
        <v>67</v>
      </c>
      <c r="AI1462" t="s">
        <v>71</v>
      </c>
      <c r="AJ1462">
        <v>14</v>
      </c>
      <c r="AK1462" t="str">
        <f t="shared" si="339"/>
        <v>13-15%</v>
      </c>
      <c r="AL1462">
        <v>3</v>
      </c>
      <c r="AM1462" t="s">
        <v>68</v>
      </c>
      <c r="AN1462">
        <v>2</v>
      </c>
      <c r="AO1462" t="s">
        <v>61</v>
      </c>
      <c r="AP1462">
        <v>80</v>
      </c>
      <c r="AQ1462">
        <v>0</v>
      </c>
      <c r="AR1462">
        <v>5</v>
      </c>
      <c r="AS1462" t="str">
        <f t="shared" si="340"/>
        <v>3-5</v>
      </c>
      <c r="AT1462">
        <v>3</v>
      </c>
      <c r="AU1462" t="str">
        <f t="shared" si="341"/>
        <v>3-4</v>
      </c>
      <c r="AV1462">
        <v>1</v>
      </c>
      <c r="AW1462" t="s">
        <v>70</v>
      </c>
      <c r="AX1462">
        <v>5</v>
      </c>
      <c r="AY1462" t="str">
        <f t="shared" si="330"/>
        <v>2-5</v>
      </c>
      <c r="AZ1462">
        <v>4</v>
      </c>
      <c r="BA1462" t="str">
        <f t="shared" si="342"/>
        <v>2-5</v>
      </c>
      <c r="BB1462">
        <v>0</v>
      </c>
      <c r="BC1462" t="str">
        <f t="shared" si="343"/>
        <v>0-1</v>
      </c>
      <c r="BD1462">
        <v>4</v>
      </c>
      <c r="BE1462" t="str">
        <f t="shared" si="344"/>
        <v>2-5</v>
      </c>
    </row>
    <row r="1463" spans="1:57" x14ac:dyDescent="0.3">
      <c r="A1463">
        <v>2055</v>
      </c>
      <c r="B1463">
        <v>50</v>
      </c>
      <c r="C1463" t="str">
        <f t="shared" si="331"/>
        <v>46-55</v>
      </c>
      <c r="D1463" t="s">
        <v>56</v>
      </c>
      <c r="E1463">
        <f t="shared" si="332"/>
        <v>1</v>
      </c>
      <c r="F1463" t="s">
        <v>57</v>
      </c>
      <c r="G1463">
        <v>410</v>
      </c>
      <c r="H1463" t="str">
        <f t="shared" si="333"/>
        <v>102-500</v>
      </c>
      <c r="I1463" t="s">
        <v>58</v>
      </c>
      <c r="J1463">
        <v>28</v>
      </c>
      <c r="K1463" t="str">
        <f t="shared" si="334"/>
        <v>21-29</v>
      </c>
      <c r="L1463">
        <v>3</v>
      </c>
      <c r="M1463" t="s">
        <v>85</v>
      </c>
      <c r="N1463" t="s">
        <v>93</v>
      </c>
      <c r="O1463">
        <v>1</v>
      </c>
      <c r="P1463">
        <v>4</v>
      </c>
      <c r="Q1463" t="s">
        <v>65</v>
      </c>
      <c r="R1463" t="s">
        <v>75</v>
      </c>
      <c r="S1463">
        <v>39</v>
      </c>
      <c r="T1463" t="str">
        <f t="shared" si="335"/>
        <v>30-50</v>
      </c>
      <c r="U1463">
        <v>2</v>
      </c>
      <c r="V1463" t="s">
        <v>61</v>
      </c>
      <c r="W1463">
        <v>3</v>
      </c>
      <c r="X1463" t="s">
        <v>64</v>
      </c>
      <c r="Y1463">
        <v>1</v>
      </c>
      <c r="Z1463" t="s">
        <v>69</v>
      </c>
      <c r="AA1463" t="s">
        <v>86</v>
      </c>
      <c r="AB1463" s="4">
        <v>10854</v>
      </c>
      <c r="AC1463" s="4" t="str">
        <f t="shared" si="336"/>
        <v>$10,000-$11,500</v>
      </c>
      <c r="AD1463">
        <v>16586</v>
      </c>
      <c r="AE1463" t="str">
        <f t="shared" si="337"/>
        <v>$16,001-$22,000</v>
      </c>
      <c r="AF1463">
        <v>4</v>
      </c>
      <c r="AG1463" t="str">
        <f t="shared" si="338"/>
        <v>4-6</v>
      </c>
      <c r="AH1463" t="s">
        <v>67</v>
      </c>
      <c r="AI1463" t="s">
        <v>56</v>
      </c>
      <c r="AJ1463">
        <v>13</v>
      </c>
      <c r="AK1463" t="str">
        <f t="shared" si="339"/>
        <v>13-15%</v>
      </c>
      <c r="AL1463">
        <v>3</v>
      </c>
      <c r="AM1463" t="s">
        <v>68</v>
      </c>
      <c r="AN1463">
        <v>2</v>
      </c>
      <c r="AO1463" t="s">
        <v>61</v>
      </c>
      <c r="AP1463">
        <v>80</v>
      </c>
      <c r="AQ1463">
        <v>1</v>
      </c>
      <c r="AR1463">
        <v>20</v>
      </c>
      <c r="AS1463" t="str">
        <f t="shared" si="340"/>
        <v>11-20</v>
      </c>
      <c r="AT1463">
        <v>3</v>
      </c>
      <c r="AU1463" t="str">
        <f t="shared" si="341"/>
        <v>3-4</v>
      </c>
      <c r="AV1463">
        <v>3</v>
      </c>
      <c r="AW1463" t="s">
        <v>79</v>
      </c>
      <c r="AX1463">
        <v>3</v>
      </c>
      <c r="AY1463" t="str">
        <f t="shared" si="330"/>
        <v>2-5</v>
      </c>
      <c r="AZ1463">
        <v>2</v>
      </c>
      <c r="BA1463" t="str">
        <f t="shared" si="342"/>
        <v>2-5</v>
      </c>
      <c r="BB1463">
        <v>2</v>
      </c>
      <c r="BC1463" t="str">
        <f t="shared" si="343"/>
        <v>2-5</v>
      </c>
      <c r="BD1463">
        <v>0</v>
      </c>
      <c r="BE1463" t="str">
        <f t="shared" si="344"/>
        <v>0-1</v>
      </c>
    </row>
    <row r="1464" spans="1:57" x14ac:dyDescent="0.3">
      <c r="A1464">
        <v>2056</v>
      </c>
      <c r="B1464">
        <v>39</v>
      </c>
      <c r="C1464" t="str">
        <f t="shared" si="331"/>
        <v>36-45</v>
      </c>
      <c r="D1464" t="s">
        <v>71</v>
      </c>
      <c r="E1464">
        <f t="shared" si="332"/>
        <v>0</v>
      </c>
      <c r="F1464" t="s">
        <v>57</v>
      </c>
      <c r="G1464">
        <v>722</v>
      </c>
      <c r="H1464" t="str">
        <f t="shared" si="333"/>
        <v>501-1000</v>
      </c>
      <c r="I1464" t="s">
        <v>58</v>
      </c>
      <c r="J1464">
        <v>24</v>
      </c>
      <c r="K1464" t="str">
        <f t="shared" si="334"/>
        <v>21-29</v>
      </c>
      <c r="L1464">
        <v>1</v>
      </c>
      <c r="M1464" t="s">
        <v>74</v>
      </c>
      <c r="N1464" t="s">
        <v>93</v>
      </c>
      <c r="O1464">
        <v>1</v>
      </c>
      <c r="P1464">
        <v>2</v>
      </c>
      <c r="Q1464" t="s">
        <v>61</v>
      </c>
      <c r="R1464" t="s">
        <v>62</v>
      </c>
      <c r="S1464">
        <v>60</v>
      </c>
      <c r="T1464" t="str">
        <f t="shared" si="335"/>
        <v>51-75</v>
      </c>
      <c r="U1464">
        <v>2</v>
      </c>
      <c r="V1464" t="s">
        <v>61</v>
      </c>
      <c r="W1464">
        <v>4</v>
      </c>
      <c r="X1464" t="s">
        <v>64</v>
      </c>
      <c r="Y1464">
        <v>4</v>
      </c>
      <c r="Z1464" t="s">
        <v>65</v>
      </c>
      <c r="AA1464" t="s">
        <v>77</v>
      </c>
      <c r="AB1464" s="4">
        <v>12031</v>
      </c>
      <c r="AC1464" s="4" t="str">
        <f t="shared" si="336"/>
        <v>$11,500-$13,000</v>
      </c>
      <c r="AD1464">
        <v>8828</v>
      </c>
      <c r="AE1464" t="str">
        <f t="shared" si="337"/>
        <v>$8,001-$16,000</v>
      </c>
      <c r="AF1464">
        <v>0</v>
      </c>
      <c r="AG1464" t="str">
        <f t="shared" si="338"/>
        <v>0-1</v>
      </c>
      <c r="AH1464" t="s">
        <v>67</v>
      </c>
      <c r="AI1464" t="s">
        <v>71</v>
      </c>
      <c r="AJ1464">
        <v>11</v>
      </c>
      <c r="AK1464" t="str">
        <f t="shared" si="339"/>
        <v>11-12%</v>
      </c>
      <c r="AL1464">
        <v>3</v>
      </c>
      <c r="AM1464" t="s">
        <v>68</v>
      </c>
      <c r="AN1464">
        <v>1</v>
      </c>
      <c r="AO1464" t="s">
        <v>69</v>
      </c>
      <c r="AP1464">
        <v>80</v>
      </c>
      <c r="AQ1464">
        <v>1</v>
      </c>
      <c r="AR1464">
        <v>21</v>
      </c>
      <c r="AS1464" t="str">
        <f t="shared" si="340"/>
        <v>21-40</v>
      </c>
      <c r="AT1464">
        <v>2</v>
      </c>
      <c r="AU1464" t="str">
        <f t="shared" si="341"/>
        <v>0-2</v>
      </c>
      <c r="AV1464">
        <v>2</v>
      </c>
      <c r="AW1464" t="s">
        <v>84</v>
      </c>
      <c r="AX1464">
        <v>20</v>
      </c>
      <c r="AY1464" t="str">
        <f t="shared" si="330"/>
        <v>11-20</v>
      </c>
      <c r="AZ1464">
        <v>9</v>
      </c>
      <c r="BA1464" t="str">
        <f t="shared" si="342"/>
        <v>6-10</v>
      </c>
      <c r="BB1464">
        <v>9</v>
      </c>
      <c r="BC1464" t="str">
        <f t="shared" si="343"/>
        <v>6-10</v>
      </c>
      <c r="BD1464">
        <v>6</v>
      </c>
      <c r="BE1464" t="str">
        <f t="shared" si="344"/>
        <v>6-10</v>
      </c>
    </row>
    <row r="1465" spans="1:57" x14ac:dyDescent="0.3">
      <c r="A1465">
        <v>2057</v>
      </c>
      <c r="B1465">
        <v>31</v>
      </c>
      <c r="C1465" t="str">
        <f t="shared" si="331"/>
        <v>26-35</v>
      </c>
      <c r="D1465" t="s">
        <v>71</v>
      </c>
      <c r="E1465">
        <f t="shared" si="332"/>
        <v>0</v>
      </c>
      <c r="F1465" t="s">
        <v>89</v>
      </c>
      <c r="G1465">
        <v>325</v>
      </c>
      <c r="H1465" t="str">
        <f t="shared" si="333"/>
        <v>102-500</v>
      </c>
      <c r="I1465" t="s">
        <v>73</v>
      </c>
      <c r="J1465">
        <v>5</v>
      </c>
      <c r="K1465" t="str">
        <f t="shared" si="334"/>
        <v>1-5</v>
      </c>
      <c r="L1465">
        <v>3</v>
      </c>
      <c r="M1465" t="s">
        <v>85</v>
      </c>
      <c r="N1465" t="s">
        <v>83</v>
      </c>
      <c r="O1465">
        <v>1</v>
      </c>
      <c r="P1465">
        <v>2</v>
      </c>
      <c r="Q1465" t="s">
        <v>61</v>
      </c>
      <c r="R1465" t="s">
        <v>75</v>
      </c>
      <c r="S1465">
        <v>74</v>
      </c>
      <c r="T1465" t="str">
        <f t="shared" si="335"/>
        <v>51-75</v>
      </c>
      <c r="U1465">
        <v>3</v>
      </c>
      <c r="V1465" t="s">
        <v>63</v>
      </c>
      <c r="W1465">
        <v>2</v>
      </c>
      <c r="X1465" t="s">
        <v>87</v>
      </c>
      <c r="Y1465">
        <v>1</v>
      </c>
      <c r="Z1465" t="s">
        <v>69</v>
      </c>
      <c r="AA1465" t="s">
        <v>66</v>
      </c>
      <c r="AB1465" s="4">
        <v>9936</v>
      </c>
      <c r="AC1465" s="4" t="str">
        <f t="shared" si="336"/>
        <v>$8,500-$10,000</v>
      </c>
      <c r="AD1465">
        <v>3787</v>
      </c>
      <c r="AE1465" t="str">
        <f t="shared" si="337"/>
        <v>$2,094-$8,000</v>
      </c>
      <c r="AF1465">
        <v>0</v>
      </c>
      <c r="AG1465" t="str">
        <f t="shared" si="338"/>
        <v>0-1</v>
      </c>
      <c r="AH1465" t="s">
        <v>67</v>
      </c>
      <c r="AI1465" t="s">
        <v>71</v>
      </c>
      <c r="AJ1465">
        <v>19</v>
      </c>
      <c r="AK1465" t="str">
        <f t="shared" si="339"/>
        <v>18-19%</v>
      </c>
      <c r="AL1465">
        <v>3</v>
      </c>
      <c r="AM1465" t="s">
        <v>68</v>
      </c>
      <c r="AN1465">
        <v>2</v>
      </c>
      <c r="AO1465" t="s">
        <v>61</v>
      </c>
      <c r="AP1465">
        <v>80</v>
      </c>
      <c r="AQ1465">
        <v>0</v>
      </c>
      <c r="AR1465">
        <v>10</v>
      </c>
      <c r="AS1465" t="str">
        <f t="shared" si="340"/>
        <v>6-10</v>
      </c>
      <c r="AT1465">
        <v>2</v>
      </c>
      <c r="AU1465" t="str">
        <f t="shared" si="341"/>
        <v>0-2</v>
      </c>
      <c r="AV1465">
        <v>3</v>
      </c>
      <c r="AW1465" t="s">
        <v>79</v>
      </c>
      <c r="AX1465">
        <v>9</v>
      </c>
      <c r="AY1465" t="str">
        <f t="shared" si="330"/>
        <v>6-10</v>
      </c>
      <c r="AZ1465">
        <v>4</v>
      </c>
      <c r="BA1465" t="str">
        <f t="shared" si="342"/>
        <v>2-5</v>
      </c>
      <c r="BB1465">
        <v>1</v>
      </c>
      <c r="BC1465" t="str">
        <f t="shared" si="343"/>
        <v>0-1</v>
      </c>
      <c r="BD1465">
        <v>7</v>
      </c>
      <c r="BE1465" t="str">
        <f t="shared" si="344"/>
        <v>6-10</v>
      </c>
    </row>
    <row r="1466" spans="1:57" x14ac:dyDescent="0.3">
      <c r="A1466">
        <v>2060</v>
      </c>
      <c r="B1466">
        <v>26</v>
      </c>
      <c r="C1466" t="str">
        <f t="shared" si="331"/>
        <v>26-35</v>
      </c>
      <c r="D1466" t="s">
        <v>71</v>
      </c>
      <c r="E1466">
        <f t="shared" si="332"/>
        <v>0</v>
      </c>
      <c r="F1466" t="s">
        <v>57</v>
      </c>
      <c r="G1466">
        <v>1167</v>
      </c>
      <c r="H1466" t="str">
        <f t="shared" si="333"/>
        <v>1001-1499</v>
      </c>
      <c r="I1466" t="s">
        <v>58</v>
      </c>
      <c r="J1466">
        <v>5</v>
      </c>
      <c r="K1466" t="str">
        <f t="shared" si="334"/>
        <v>1-5</v>
      </c>
      <c r="L1466">
        <v>3</v>
      </c>
      <c r="M1466" t="s">
        <v>85</v>
      </c>
      <c r="N1466" t="s">
        <v>80</v>
      </c>
      <c r="O1466">
        <v>1</v>
      </c>
      <c r="P1466">
        <v>4</v>
      </c>
      <c r="Q1466" t="s">
        <v>65</v>
      </c>
      <c r="R1466" t="s">
        <v>62</v>
      </c>
      <c r="S1466">
        <v>30</v>
      </c>
      <c r="T1466" t="str">
        <f t="shared" si="335"/>
        <v>30-50</v>
      </c>
      <c r="U1466">
        <v>2</v>
      </c>
      <c r="V1466" t="s">
        <v>61</v>
      </c>
      <c r="W1466">
        <v>1</v>
      </c>
      <c r="X1466" t="s">
        <v>91</v>
      </c>
      <c r="Y1466">
        <v>3</v>
      </c>
      <c r="Z1466" t="s">
        <v>63</v>
      </c>
      <c r="AA1466" t="s">
        <v>66</v>
      </c>
      <c r="AB1466" s="4">
        <v>2966</v>
      </c>
      <c r="AC1466" s="4" t="str">
        <f t="shared" si="336"/>
        <v>$2,500-$4,000</v>
      </c>
      <c r="AD1466">
        <v>21378</v>
      </c>
      <c r="AE1466" t="str">
        <f t="shared" si="337"/>
        <v>$16,001-$22,000</v>
      </c>
      <c r="AF1466">
        <v>0</v>
      </c>
      <c r="AG1466" t="str">
        <f t="shared" si="338"/>
        <v>0-1</v>
      </c>
      <c r="AH1466" t="s">
        <v>67</v>
      </c>
      <c r="AI1466" t="s">
        <v>71</v>
      </c>
      <c r="AJ1466">
        <v>18</v>
      </c>
      <c r="AK1466" t="str">
        <f t="shared" si="339"/>
        <v>18-19%</v>
      </c>
      <c r="AL1466">
        <v>3</v>
      </c>
      <c r="AM1466" t="s">
        <v>68</v>
      </c>
      <c r="AN1466">
        <v>4</v>
      </c>
      <c r="AO1466" t="s">
        <v>65</v>
      </c>
      <c r="AP1466">
        <v>80</v>
      </c>
      <c r="AQ1466">
        <v>0</v>
      </c>
      <c r="AR1466">
        <v>5</v>
      </c>
      <c r="AS1466" t="str">
        <f t="shared" si="340"/>
        <v>3-5</v>
      </c>
      <c r="AT1466">
        <v>2</v>
      </c>
      <c r="AU1466" t="str">
        <f t="shared" si="341"/>
        <v>0-2</v>
      </c>
      <c r="AV1466">
        <v>3</v>
      </c>
      <c r="AW1466" t="s">
        <v>79</v>
      </c>
      <c r="AX1466">
        <v>4</v>
      </c>
      <c r="AY1466" t="str">
        <f t="shared" si="330"/>
        <v>2-5</v>
      </c>
      <c r="AZ1466">
        <v>2</v>
      </c>
      <c r="BA1466" t="str">
        <f t="shared" si="342"/>
        <v>2-5</v>
      </c>
      <c r="BB1466">
        <v>0</v>
      </c>
      <c r="BC1466" t="str">
        <f t="shared" si="343"/>
        <v>0-1</v>
      </c>
      <c r="BD1466">
        <v>0</v>
      </c>
      <c r="BE1466" t="str">
        <f t="shared" si="344"/>
        <v>0-1</v>
      </c>
    </row>
    <row r="1467" spans="1:57" x14ac:dyDescent="0.3">
      <c r="A1467">
        <v>2061</v>
      </c>
      <c r="B1467">
        <v>36</v>
      </c>
      <c r="C1467" t="str">
        <f t="shared" si="331"/>
        <v>36-45</v>
      </c>
      <c r="D1467" t="s">
        <v>71</v>
      </c>
      <c r="E1467">
        <f t="shared" si="332"/>
        <v>0</v>
      </c>
      <c r="F1467" t="s">
        <v>72</v>
      </c>
      <c r="G1467">
        <v>884</v>
      </c>
      <c r="H1467" t="str">
        <f t="shared" si="333"/>
        <v>501-1000</v>
      </c>
      <c r="I1467" t="s">
        <v>73</v>
      </c>
      <c r="J1467">
        <v>23</v>
      </c>
      <c r="K1467" t="str">
        <f t="shared" si="334"/>
        <v>21-29</v>
      </c>
      <c r="L1467">
        <v>2</v>
      </c>
      <c r="M1467" t="s">
        <v>59</v>
      </c>
      <c r="N1467" t="s">
        <v>83</v>
      </c>
      <c r="O1467">
        <v>1</v>
      </c>
      <c r="P1467">
        <v>3</v>
      </c>
      <c r="Q1467" t="s">
        <v>63</v>
      </c>
      <c r="R1467" t="s">
        <v>75</v>
      </c>
      <c r="S1467">
        <v>41</v>
      </c>
      <c r="T1467" t="str">
        <f t="shared" si="335"/>
        <v>30-50</v>
      </c>
      <c r="U1467">
        <v>4</v>
      </c>
      <c r="V1467" t="s">
        <v>65</v>
      </c>
      <c r="W1467">
        <v>2</v>
      </c>
      <c r="X1467" t="s">
        <v>81</v>
      </c>
      <c r="Y1467">
        <v>4</v>
      </c>
      <c r="Z1467" t="s">
        <v>65</v>
      </c>
      <c r="AA1467" t="s">
        <v>77</v>
      </c>
      <c r="AB1467" s="4">
        <v>2571</v>
      </c>
      <c r="AC1467" s="4" t="str">
        <f t="shared" si="336"/>
        <v>$2,500-$4,000</v>
      </c>
      <c r="AD1467">
        <v>12290</v>
      </c>
      <c r="AE1467" t="str">
        <f t="shared" si="337"/>
        <v>$8,001-$16,000</v>
      </c>
      <c r="AF1467">
        <v>4</v>
      </c>
      <c r="AG1467" t="str">
        <f t="shared" si="338"/>
        <v>4-6</v>
      </c>
      <c r="AH1467" t="s">
        <v>67</v>
      </c>
      <c r="AI1467" t="s">
        <v>71</v>
      </c>
      <c r="AJ1467">
        <v>17</v>
      </c>
      <c r="AK1467" t="str">
        <f t="shared" si="339"/>
        <v>16-17%</v>
      </c>
      <c r="AL1467">
        <v>3</v>
      </c>
      <c r="AM1467" t="s">
        <v>68</v>
      </c>
      <c r="AN1467">
        <v>3</v>
      </c>
      <c r="AO1467" t="s">
        <v>63</v>
      </c>
      <c r="AP1467">
        <v>80</v>
      </c>
      <c r="AQ1467">
        <v>1</v>
      </c>
      <c r="AR1467">
        <v>17</v>
      </c>
      <c r="AS1467" t="str">
        <f t="shared" si="340"/>
        <v>11-20</v>
      </c>
      <c r="AT1467">
        <v>3</v>
      </c>
      <c r="AU1467" t="str">
        <f t="shared" si="341"/>
        <v>3-4</v>
      </c>
      <c r="AV1467">
        <v>3</v>
      </c>
      <c r="AW1467" t="s">
        <v>79</v>
      </c>
      <c r="AX1467">
        <v>5</v>
      </c>
      <c r="AY1467" t="str">
        <f t="shared" si="330"/>
        <v>2-5</v>
      </c>
      <c r="AZ1467">
        <v>2</v>
      </c>
      <c r="BA1467" t="str">
        <f t="shared" si="342"/>
        <v>2-5</v>
      </c>
      <c r="BB1467">
        <v>0</v>
      </c>
      <c r="BC1467" t="str">
        <f t="shared" si="343"/>
        <v>0-1</v>
      </c>
      <c r="BD1467">
        <v>3</v>
      </c>
      <c r="BE1467" t="str">
        <f t="shared" si="344"/>
        <v>2-5</v>
      </c>
    </row>
    <row r="1468" spans="1:57" x14ac:dyDescent="0.3">
      <c r="A1468">
        <v>2062</v>
      </c>
      <c r="B1468">
        <v>39</v>
      </c>
      <c r="C1468" t="str">
        <f t="shared" si="331"/>
        <v>36-45</v>
      </c>
      <c r="D1468" t="s">
        <v>71</v>
      </c>
      <c r="E1468">
        <f t="shared" si="332"/>
        <v>0</v>
      </c>
      <c r="F1468" t="s">
        <v>57</v>
      </c>
      <c r="G1468">
        <v>613</v>
      </c>
      <c r="H1468" t="str">
        <f t="shared" si="333"/>
        <v>501-1000</v>
      </c>
      <c r="I1468" t="s">
        <v>73</v>
      </c>
      <c r="J1468">
        <v>6</v>
      </c>
      <c r="K1468" t="str">
        <f t="shared" si="334"/>
        <v>6-10</v>
      </c>
      <c r="L1468">
        <v>1</v>
      </c>
      <c r="M1468" t="s">
        <v>74</v>
      </c>
      <c r="N1468" t="s">
        <v>83</v>
      </c>
      <c r="O1468">
        <v>1</v>
      </c>
      <c r="P1468">
        <v>4</v>
      </c>
      <c r="Q1468" t="s">
        <v>65</v>
      </c>
      <c r="R1468" t="s">
        <v>75</v>
      </c>
      <c r="S1468">
        <v>42</v>
      </c>
      <c r="T1468" t="str">
        <f t="shared" si="335"/>
        <v>30-50</v>
      </c>
      <c r="U1468">
        <v>2</v>
      </c>
      <c r="V1468" t="s">
        <v>61</v>
      </c>
      <c r="W1468">
        <v>3</v>
      </c>
      <c r="X1468" t="s">
        <v>88</v>
      </c>
      <c r="Y1468">
        <v>1</v>
      </c>
      <c r="Z1468" t="s">
        <v>69</v>
      </c>
      <c r="AA1468" t="s">
        <v>77</v>
      </c>
      <c r="AB1468" s="4">
        <v>9991</v>
      </c>
      <c r="AC1468" s="4" t="str">
        <f t="shared" si="336"/>
        <v>$8,500-$10,000</v>
      </c>
      <c r="AD1468">
        <v>21457</v>
      </c>
      <c r="AE1468" t="str">
        <f t="shared" si="337"/>
        <v>$16,001-$22,000</v>
      </c>
      <c r="AF1468">
        <v>4</v>
      </c>
      <c r="AG1468" t="str">
        <f t="shared" si="338"/>
        <v>4-6</v>
      </c>
      <c r="AH1468" t="s">
        <v>67</v>
      </c>
      <c r="AI1468" t="s">
        <v>71</v>
      </c>
      <c r="AJ1468">
        <v>15</v>
      </c>
      <c r="AK1468" t="str">
        <f t="shared" si="339"/>
        <v>13-15%</v>
      </c>
      <c r="AL1468">
        <v>3</v>
      </c>
      <c r="AM1468" t="s">
        <v>68</v>
      </c>
      <c r="AN1468">
        <v>1</v>
      </c>
      <c r="AO1468" t="s">
        <v>69</v>
      </c>
      <c r="AP1468">
        <v>80</v>
      </c>
      <c r="AQ1468">
        <v>1</v>
      </c>
      <c r="AR1468">
        <v>9</v>
      </c>
      <c r="AS1468" t="str">
        <f t="shared" si="340"/>
        <v>6-10</v>
      </c>
      <c r="AT1468">
        <v>5</v>
      </c>
      <c r="AU1468" t="str">
        <f t="shared" si="341"/>
        <v>5-6</v>
      </c>
      <c r="AV1468">
        <v>3</v>
      </c>
      <c r="AW1468" t="s">
        <v>79</v>
      </c>
      <c r="AX1468">
        <v>7</v>
      </c>
      <c r="AY1468" t="str">
        <f t="shared" si="330"/>
        <v>6-10</v>
      </c>
      <c r="AZ1468">
        <v>7</v>
      </c>
      <c r="BA1468" t="str">
        <f t="shared" si="342"/>
        <v>6-10</v>
      </c>
      <c r="BB1468">
        <v>1</v>
      </c>
      <c r="BC1468" t="str">
        <f t="shared" si="343"/>
        <v>0-1</v>
      </c>
      <c r="BD1468">
        <v>7</v>
      </c>
      <c r="BE1468" t="str">
        <f t="shared" si="344"/>
        <v>6-10</v>
      </c>
    </row>
    <row r="1469" spans="1:57" x14ac:dyDescent="0.3">
      <c r="A1469">
        <v>2064</v>
      </c>
      <c r="B1469">
        <v>27</v>
      </c>
      <c r="C1469" t="str">
        <f t="shared" si="331"/>
        <v>26-35</v>
      </c>
      <c r="D1469" t="s">
        <v>71</v>
      </c>
      <c r="E1469">
        <f t="shared" si="332"/>
        <v>0</v>
      </c>
      <c r="F1469" t="s">
        <v>57</v>
      </c>
      <c r="G1469">
        <v>155</v>
      </c>
      <c r="H1469" t="str">
        <f t="shared" si="333"/>
        <v>102-500</v>
      </c>
      <c r="I1469" t="s">
        <v>73</v>
      </c>
      <c r="J1469">
        <v>4</v>
      </c>
      <c r="K1469" t="str">
        <f t="shared" si="334"/>
        <v>1-5</v>
      </c>
      <c r="L1469">
        <v>3</v>
      </c>
      <c r="M1469" t="s">
        <v>85</v>
      </c>
      <c r="N1469" t="s">
        <v>60</v>
      </c>
      <c r="O1469">
        <v>1</v>
      </c>
      <c r="P1469">
        <v>2</v>
      </c>
      <c r="Q1469" t="s">
        <v>61</v>
      </c>
      <c r="R1469" t="s">
        <v>75</v>
      </c>
      <c r="S1469">
        <v>87</v>
      </c>
      <c r="T1469" t="str">
        <f t="shared" si="335"/>
        <v>76-100</v>
      </c>
      <c r="U1469">
        <v>4</v>
      </c>
      <c r="V1469" t="s">
        <v>65</v>
      </c>
      <c r="W1469">
        <v>2</v>
      </c>
      <c r="X1469" t="s">
        <v>87</v>
      </c>
      <c r="Y1469">
        <v>2</v>
      </c>
      <c r="Z1469" t="s">
        <v>61</v>
      </c>
      <c r="AA1469" t="s">
        <v>77</v>
      </c>
      <c r="AB1469" s="4">
        <v>6142</v>
      </c>
      <c r="AC1469" s="4" t="str">
        <f t="shared" si="336"/>
        <v>$5,500-$7,000</v>
      </c>
      <c r="AD1469">
        <v>5174</v>
      </c>
      <c r="AE1469" t="str">
        <f t="shared" si="337"/>
        <v>$2,094-$8,000</v>
      </c>
      <c r="AF1469">
        <v>1</v>
      </c>
      <c r="AG1469" t="str">
        <f t="shared" si="338"/>
        <v>0-1</v>
      </c>
      <c r="AH1469" t="s">
        <v>67</v>
      </c>
      <c r="AI1469" t="s">
        <v>56</v>
      </c>
      <c r="AJ1469">
        <v>20</v>
      </c>
      <c r="AK1469" t="str">
        <f t="shared" si="339"/>
        <v>18-19%</v>
      </c>
      <c r="AL1469">
        <v>4</v>
      </c>
      <c r="AM1469" t="s">
        <v>78</v>
      </c>
      <c r="AN1469">
        <v>2</v>
      </c>
      <c r="AO1469" t="s">
        <v>61</v>
      </c>
      <c r="AP1469">
        <v>80</v>
      </c>
      <c r="AQ1469">
        <v>1</v>
      </c>
      <c r="AR1469">
        <v>6</v>
      </c>
      <c r="AS1469" t="str">
        <f t="shared" si="340"/>
        <v>6-10</v>
      </c>
      <c r="AT1469">
        <v>0</v>
      </c>
      <c r="AU1469" t="str">
        <f t="shared" si="341"/>
        <v>0-2</v>
      </c>
      <c r="AV1469">
        <v>3</v>
      </c>
      <c r="AW1469" t="s">
        <v>79</v>
      </c>
      <c r="AX1469">
        <v>6</v>
      </c>
      <c r="AY1469" t="str">
        <f t="shared" si="330"/>
        <v>6-10</v>
      </c>
      <c r="AZ1469">
        <v>2</v>
      </c>
      <c r="BA1469" t="str">
        <f t="shared" si="342"/>
        <v>2-5</v>
      </c>
      <c r="BB1469">
        <v>0</v>
      </c>
      <c r="BC1469" t="str">
        <f t="shared" si="343"/>
        <v>0-1</v>
      </c>
      <c r="BD1469">
        <v>3</v>
      </c>
      <c r="BE1469" t="str">
        <f t="shared" si="344"/>
        <v>2-5</v>
      </c>
    </row>
    <row r="1470" spans="1:57" x14ac:dyDescent="0.3">
      <c r="A1470">
        <v>2065</v>
      </c>
      <c r="B1470">
        <v>49</v>
      </c>
      <c r="C1470" t="str">
        <f t="shared" si="331"/>
        <v>46-55</v>
      </c>
      <c r="D1470" t="s">
        <v>71</v>
      </c>
      <c r="E1470">
        <f t="shared" si="332"/>
        <v>0</v>
      </c>
      <c r="F1470" t="s">
        <v>72</v>
      </c>
      <c r="G1470">
        <v>1023</v>
      </c>
      <c r="H1470" t="str">
        <f t="shared" si="333"/>
        <v>1001-1499</v>
      </c>
      <c r="I1470" t="s">
        <v>58</v>
      </c>
      <c r="J1470">
        <v>2</v>
      </c>
      <c r="K1470" t="str">
        <f t="shared" si="334"/>
        <v>1-5</v>
      </c>
      <c r="L1470">
        <v>3</v>
      </c>
      <c r="M1470" t="s">
        <v>85</v>
      </c>
      <c r="N1470" t="s">
        <v>83</v>
      </c>
      <c r="O1470">
        <v>1</v>
      </c>
      <c r="P1470">
        <v>4</v>
      </c>
      <c r="Q1470" t="s">
        <v>65</v>
      </c>
      <c r="R1470" t="s">
        <v>75</v>
      </c>
      <c r="S1470">
        <v>63</v>
      </c>
      <c r="T1470" t="str">
        <f t="shared" si="335"/>
        <v>51-75</v>
      </c>
      <c r="U1470">
        <v>2</v>
      </c>
      <c r="V1470" t="s">
        <v>61</v>
      </c>
      <c r="W1470">
        <v>2</v>
      </c>
      <c r="X1470" t="s">
        <v>64</v>
      </c>
      <c r="Y1470">
        <v>2</v>
      </c>
      <c r="Z1470" t="s">
        <v>61</v>
      </c>
      <c r="AA1470" t="s">
        <v>77</v>
      </c>
      <c r="AB1470" s="4">
        <v>5390</v>
      </c>
      <c r="AC1470" s="4" t="str">
        <f t="shared" si="336"/>
        <v>$4,000-$5,500</v>
      </c>
      <c r="AD1470">
        <v>13243</v>
      </c>
      <c r="AE1470" t="str">
        <f t="shared" si="337"/>
        <v>$8,001-$16,000</v>
      </c>
      <c r="AF1470">
        <v>2</v>
      </c>
      <c r="AG1470" t="str">
        <f t="shared" si="338"/>
        <v>2-3</v>
      </c>
      <c r="AH1470" t="s">
        <v>67</v>
      </c>
      <c r="AI1470" t="s">
        <v>71</v>
      </c>
      <c r="AJ1470">
        <v>14</v>
      </c>
      <c r="AK1470" t="str">
        <f t="shared" si="339"/>
        <v>13-15%</v>
      </c>
      <c r="AL1470">
        <v>3</v>
      </c>
      <c r="AM1470" t="s">
        <v>68</v>
      </c>
      <c r="AN1470">
        <v>4</v>
      </c>
      <c r="AO1470" t="s">
        <v>65</v>
      </c>
      <c r="AP1470">
        <v>80</v>
      </c>
      <c r="AQ1470">
        <v>0</v>
      </c>
      <c r="AR1470">
        <v>17</v>
      </c>
      <c r="AS1470" t="str">
        <f t="shared" si="340"/>
        <v>11-20</v>
      </c>
      <c r="AT1470">
        <v>3</v>
      </c>
      <c r="AU1470" t="str">
        <f t="shared" si="341"/>
        <v>3-4</v>
      </c>
      <c r="AV1470">
        <v>2</v>
      </c>
      <c r="AW1470" t="s">
        <v>84</v>
      </c>
      <c r="AX1470">
        <v>9</v>
      </c>
      <c r="AY1470" t="str">
        <f t="shared" si="330"/>
        <v>6-10</v>
      </c>
      <c r="AZ1470">
        <v>6</v>
      </c>
      <c r="BA1470" t="str">
        <f t="shared" si="342"/>
        <v>6-10</v>
      </c>
      <c r="BB1470">
        <v>0</v>
      </c>
      <c r="BC1470" t="str">
        <f t="shared" si="343"/>
        <v>0-1</v>
      </c>
      <c r="BD1470">
        <v>8</v>
      </c>
      <c r="BE1470" t="str">
        <f t="shared" si="344"/>
        <v>6-10</v>
      </c>
    </row>
    <row r="1471" spans="1:57" x14ac:dyDescent="0.3">
      <c r="A1471">
        <v>2068</v>
      </c>
      <c r="B1471">
        <v>34</v>
      </c>
      <c r="C1471" t="str">
        <f t="shared" si="331"/>
        <v>26-35</v>
      </c>
      <c r="D1471" t="s">
        <v>71</v>
      </c>
      <c r="E1471">
        <f t="shared" si="332"/>
        <v>0</v>
      </c>
      <c r="F1471" t="s">
        <v>57</v>
      </c>
      <c r="G1471">
        <v>628</v>
      </c>
      <c r="H1471" t="str">
        <f t="shared" si="333"/>
        <v>501-1000</v>
      </c>
      <c r="I1471" t="s">
        <v>73</v>
      </c>
      <c r="J1471">
        <v>8</v>
      </c>
      <c r="K1471" t="str">
        <f t="shared" si="334"/>
        <v>6-10</v>
      </c>
      <c r="L1471">
        <v>3</v>
      </c>
      <c r="M1471" t="s">
        <v>85</v>
      </c>
      <c r="N1471" t="s">
        <v>83</v>
      </c>
      <c r="O1471">
        <v>1</v>
      </c>
      <c r="P1471">
        <v>2</v>
      </c>
      <c r="Q1471" t="s">
        <v>61</v>
      </c>
      <c r="R1471" t="s">
        <v>75</v>
      </c>
      <c r="S1471">
        <v>82</v>
      </c>
      <c r="T1471" t="str">
        <f t="shared" si="335"/>
        <v>76-100</v>
      </c>
      <c r="U1471">
        <v>4</v>
      </c>
      <c r="V1471" t="s">
        <v>65</v>
      </c>
      <c r="W1471">
        <v>2</v>
      </c>
      <c r="X1471" t="s">
        <v>81</v>
      </c>
      <c r="Y1471">
        <v>3</v>
      </c>
      <c r="Z1471" t="s">
        <v>63</v>
      </c>
      <c r="AA1471" t="s">
        <v>77</v>
      </c>
      <c r="AB1471" s="4">
        <v>4404</v>
      </c>
      <c r="AC1471" s="4" t="str">
        <f t="shared" si="336"/>
        <v>$4,000-$5,500</v>
      </c>
      <c r="AD1471">
        <v>10228</v>
      </c>
      <c r="AE1471" t="str">
        <f t="shared" si="337"/>
        <v>$8,001-$16,000</v>
      </c>
      <c r="AF1471">
        <v>2</v>
      </c>
      <c r="AG1471" t="str">
        <f t="shared" si="338"/>
        <v>2-3</v>
      </c>
      <c r="AH1471" t="s">
        <v>67</v>
      </c>
      <c r="AI1471" t="s">
        <v>71</v>
      </c>
      <c r="AJ1471">
        <v>12</v>
      </c>
      <c r="AK1471" t="str">
        <f t="shared" si="339"/>
        <v>11-12%</v>
      </c>
      <c r="AL1471">
        <v>3</v>
      </c>
      <c r="AM1471" t="s">
        <v>68</v>
      </c>
      <c r="AN1471">
        <v>1</v>
      </c>
      <c r="AO1471" t="s">
        <v>69</v>
      </c>
      <c r="AP1471">
        <v>80</v>
      </c>
      <c r="AQ1471">
        <v>0</v>
      </c>
      <c r="AR1471">
        <v>6</v>
      </c>
      <c r="AS1471" t="str">
        <f t="shared" si="340"/>
        <v>6-10</v>
      </c>
      <c r="AT1471">
        <v>3</v>
      </c>
      <c r="AU1471" t="str">
        <f t="shared" si="341"/>
        <v>3-4</v>
      </c>
      <c r="AV1471">
        <v>4</v>
      </c>
      <c r="AW1471" t="s">
        <v>94</v>
      </c>
      <c r="AX1471">
        <v>4</v>
      </c>
      <c r="AY1471" t="str">
        <f t="shared" si="330"/>
        <v>2-5</v>
      </c>
      <c r="AZ1471">
        <v>3</v>
      </c>
      <c r="BA1471" t="str">
        <f t="shared" si="342"/>
        <v>2-5</v>
      </c>
      <c r="BB1471">
        <v>1</v>
      </c>
      <c r="BC1471" t="str">
        <f t="shared" si="343"/>
        <v>0-1</v>
      </c>
      <c r="BD1471">
        <v>2</v>
      </c>
      <c r="BE1471" t="str">
        <f t="shared" si="344"/>
        <v>2-5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2068-EBAC-4186-B54B-BE1A432A5E07}">
  <sheetPr>
    <tabColor rgb="FFC00000"/>
  </sheetPr>
  <dimension ref="A1:C283"/>
  <sheetViews>
    <sheetView zoomScale="136" workbookViewId="0">
      <selection activeCell="B21" sqref="B21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7.21875" bestFit="1" customWidth="1"/>
    <col min="4" max="4" width="10.77734375" bestFit="1" customWidth="1"/>
    <col min="8" max="8" width="32.44140625" bestFit="1" customWidth="1"/>
  </cols>
  <sheetData>
    <row r="1" spans="1:3" ht="18" x14ac:dyDescent="0.35">
      <c r="A1" s="6" t="s">
        <v>98</v>
      </c>
    </row>
    <row r="2" spans="1:3" x14ac:dyDescent="0.3">
      <c r="A2" s="7" t="s">
        <v>107</v>
      </c>
      <c r="B2" s="7" t="s">
        <v>106</v>
      </c>
    </row>
    <row r="3" spans="1:3" x14ac:dyDescent="0.3">
      <c r="A3" s="7" t="s">
        <v>99</v>
      </c>
      <c r="B3" t="s">
        <v>71</v>
      </c>
      <c r="C3" t="s">
        <v>56</v>
      </c>
    </row>
    <row r="4" spans="1:3" x14ac:dyDescent="0.3">
      <c r="A4" s="8" t="s">
        <v>104</v>
      </c>
      <c r="B4" s="9">
        <v>0.82978723404255317</v>
      </c>
      <c r="C4" s="9">
        <v>0.1702127659574468</v>
      </c>
    </row>
    <row r="5" spans="1:3" x14ac:dyDescent="0.3">
      <c r="A5" s="8" t="s">
        <v>100</v>
      </c>
      <c r="B5" s="9">
        <v>0.64227642276422769</v>
      </c>
      <c r="C5" s="9">
        <v>0.35772357723577236</v>
      </c>
    </row>
    <row r="6" spans="1:3" x14ac:dyDescent="0.3">
      <c r="A6" s="8" t="s">
        <v>103</v>
      </c>
      <c r="B6" s="9">
        <v>0.88495575221238942</v>
      </c>
      <c r="C6" s="9">
        <v>0.11504424778761062</v>
      </c>
    </row>
    <row r="7" spans="1:3" x14ac:dyDescent="0.3">
      <c r="A7" s="8" t="s">
        <v>102</v>
      </c>
      <c r="B7" s="9">
        <v>0.90811965811965811</v>
      </c>
      <c r="C7" s="9">
        <v>9.1880341880341887E-2</v>
      </c>
    </row>
    <row r="8" spans="1:3" x14ac:dyDescent="0.3">
      <c r="A8" s="8" t="s">
        <v>101</v>
      </c>
      <c r="B8" s="9">
        <v>0.8085808580858086</v>
      </c>
      <c r="C8" s="9">
        <v>0.19141914191419143</v>
      </c>
    </row>
    <row r="9" spans="1:3" x14ac:dyDescent="0.3">
      <c r="A9" s="8" t="s">
        <v>105</v>
      </c>
      <c r="B9" s="9">
        <v>0.83877551020408159</v>
      </c>
      <c r="C9" s="9">
        <v>0.16122448979591836</v>
      </c>
    </row>
    <row r="12" spans="1:3" ht="18" x14ac:dyDescent="0.35">
      <c r="A12" s="6" t="s">
        <v>108</v>
      </c>
    </row>
    <row r="13" spans="1:3" x14ac:dyDescent="0.3">
      <c r="A13" s="7" t="s">
        <v>107</v>
      </c>
      <c r="B13" s="7" t="s">
        <v>106</v>
      </c>
    </row>
    <row r="14" spans="1:3" x14ac:dyDescent="0.3">
      <c r="A14" s="7" t="s">
        <v>99</v>
      </c>
      <c r="B14" t="s">
        <v>71</v>
      </c>
      <c r="C14" t="s">
        <v>56</v>
      </c>
    </row>
    <row r="15" spans="1:3" x14ac:dyDescent="0.3">
      <c r="A15" s="8" t="s">
        <v>62</v>
      </c>
      <c r="B15" s="9">
        <v>0.85204081632653061</v>
      </c>
      <c r="C15" s="9">
        <v>0.14795918367346939</v>
      </c>
    </row>
    <row r="16" spans="1:3" x14ac:dyDescent="0.3">
      <c r="A16" s="8" t="s">
        <v>75</v>
      </c>
      <c r="B16" s="9">
        <v>0.82993197278911568</v>
      </c>
      <c r="C16" s="9">
        <v>0.17006802721088435</v>
      </c>
    </row>
    <row r="17" spans="1:3" x14ac:dyDescent="0.3">
      <c r="A17" s="8" t="s">
        <v>105</v>
      </c>
      <c r="B17" s="9">
        <v>0.83877551020408159</v>
      </c>
      <c r="C17" s="9">
        <v>0.16122448979591836</v>
      </c>
    </row>
    <row r="19" spans="1:3" ht="18" x14ac:dyDescent="0.35">
      <c r="A19" s="6" t="s">
        <v>109</v>
      </c>
    </row>
    <row r="20" spans="1:3" x14ac:dyDescent="0.3">
      <c r="A20" s="7" t="s">
        <v>107</v>
      </c>
      <c r="B20" s="7" t="s">
        <v>106</v>
      </c>
    </row>
    <row r="21" spans="1:3" x14ac:dyDescent="0.3">
      <c r="A21" s="7" t="s">
        <v>99</v>
      </c>
      <c r="B21" t="s">
        <v>71</v>
      </c>
      <c r="C21" t="s">
        <v>56</v>
      </c>
    </row>
    <row r="22" spans="1:3" x14ac:dyDescent="0.3">
      <c r="A22" s="8" t="s">
        <v>89</v>
      </c>
      <c r="B22" s="9">
        <v>0.92</v>
      </c>
      <c r="C22" s="9">
        <v>0.08</v>
      </c>
    </row>
    <row r="23" spans="1:3" x14ac:dyDescent="0.3">
      <c r="A23" s="8" t="s">
        <v>72</v>
      </c>
      <c r="B23" s="9">
        <v>0.75090252707581229</v>
      </c>
      <c r="C23" s="9">
        <v>0.24909747292418771</v>
      </c>
    </row>
    <row r="24" spans="1:3" x14ac:dyDescent="0.3">
      <c r="A24" s="8" t="s">
        <v>57</v>
      </c>
      <c r="B24" s="9">
        <v>0.85043144774688395</v>
      </c>
      <c r="C24" s="9">
        <v>0.14956855225311602</v>
      </c>
    </row>
    <row r="25" spans="1:3" x14ac:dyDescent="0.3">
      <c r="A25" s="8" t="s">
        <v>105</v>
      </c>
      <c r="B25" s="9">
        <v>0.83877551020408159</v>
      </c>
      <c r="C25" s="9">
        <v>0.16122448979591836</v>
      </c>
    </row>
    <row r="28" spans="1:3" ht="18" x14ac:dyDescent="0.35">
      <c r="A28" s="6" t="s">
        <v>113</v>
      </c>
    </row>
    <row r="29" spans="1:3" x14ac:dyDescent="0.3">
      <c r="A29" s="7" t="s">
        <v>107</v>
      </c>
      <c r="B29" s="7" t="s">
        <v>106</v>
      </c>
    </row>
    <row r="30" spans="1:3" x14ac:dyDescent="0.3">
      <c r="A30" s="7" t="s">
        <v>99</v>
      </c>
      <c r="B30" t="s">
        <v>71</v>
      </c>
      <c r="C30" t="s">
        <v>56</v>
      </c>
    </row>
    <row r="31" spans="1:3" x14ac:dyDescent="0.3">
      <c r="A31" s="8" t="s">
        <v>110</v>
      </c>
      <c r="B31" s="9">
        <v>0.86424474187380496</v>
      </c>
      <c r="C31" s="9">
        <v>0.13575525812619502</v>
      </c>
    </row>
    <row r="32" spans="1:3" x14ac:dyDescent="0.3">
      <c r="A32" s="8" t="s">
        <v>111</v>
      </c>
      <c r="B32" s="9">
        <v>0.80740740740740746</v>
      </c>
      <c r="C32" s="9">
        <v>0.19259259259259259</v>
      </c>
    </row>
    <row r="33" spans="1:3" x14ac:dyDescent="0.3">
      <c r="A33" s="8" t="s">
        <v>112</v>
      </c>
      <c r="B33" s="9">
        <v>0.83763837638376382</v>
      </c>
      <c r="C33" s="9">
        <v>0.16236162361623616</v>
      </c>
    </row>
    <row r="34" spans="1:3" x14ac:dyDescent="0.3">
      <c r="A34" s="8" t="s">
        <v>105</v>
      </c>
      <c r="B34" s="9">
        <v>0.83877551020408159</v>
      </c>
      <c r="C34" s="9">
        <v>0.16122448979591836</v>
      </c>
    </row>
    <row r="37" spans="1:3" ht="18" x14ac:dyDescent="0.35">
      <c r="A37" s="6" t="s">
        <v>114</v>
      </c>
    </row>
    <row r="38" spans="1:3" x14ac:dyDescent="0.3">
      <c r="A38" s="7" t="s">
        <v>107</v>
      </c>
      <c r="B38" s="7" t="s">
        <v>106</v>
      </c>
    </row>
    <row r="39" spans="1:3" x14ac:dyDescent="0.3">
      <c r="A39" s="7" t="s">
        <v>99</v>
      </c>
      <c r="B39" t="s">
        <v>71</v>
      </c>
      <c r="C39" t="s">
        <v>56</v>
      </c>
    </row>
    <row r="40" spans="1:3" x14ac:dyDescent="0.3">
      <c r="A40" s="8" t="s">
        <v>97</v>
      </c>
      <c r="B40" s="9">
        <v>0.80952380952380953</v>
      </c>
      <c r="C40" s="9">
        <v>0.19047619047619047</v>
      </c>
    </row>
    <row r="41" spans="1:3" x14ac:dyDescent="0.3">
      <c r="A41" s="8" t="s">
        <v>73</v>
      </c>
      <c r="B41" s="9">
        <v>0.86160249739854322</v>
      </c>
      <c r="C41" s="9">
        <v>0.13839750260145681</v>
      </c>
    </row>
    <row r="42" spans="1:3" x14ac:dyDescent="0.3">
      <c r="A42" s="8" t="s">
        <v>58</v>
      </c>
      <c r="B42" s="9">
        <v>0.79372197309417036</v>
      </c>
      <c r="C42" s="9">
        <v>0.20627802690582961</v>
      </c>
    </row>
    <row r="43" spans="1:3" x14ac:dyDescent="0.3">
      <c r="A43" s="8" t="s">
        <v>105</v>
      </c>
      <c r="B43" s="9">
        <v>0.83877551020408159</v>
      </c>
      <c r="C43" s="9">
        <v>0.16122448979591836</v>
      </c>
    </row>
    <row r="46" spans="1:3" ht="18" x14ac:dyDescent="0.35">
      <c r="A46" s="6" t="s">
        <v>115</v>
      </c>
    </row>
    <row r="47" spans="1:3" x14ac:dyDescent="0.3">
      <c r="A47" s="7" t="s">
        <v>107</v>
      </c>
      <c r="B47" s="7" t="s">
        <v>106</v>
      </c>
    </row>
    <row r="48" spans="1:3" x14ac:dyDescent="0.3">
      <c r="A48" s="7" t="s">
        <v>99</v>
      </c>
      <c r="B48" t="s">
        <v>71</v>
      </c>
      <c r="C48" t="s">
        <v>56</v>
      </c>
    </row>
    <row r="49" spans="1:3" x14ac:dyDescent="0.3">
      <c r="A49" s="8" t="s">
        <v>116</v>
      </c>
      <c r="B49" s="9">
        <v>0.8</v>
      </c>
      <c r="C49" s="9">
        <v>0.2</v>
      </c>
    </row>
    <row r="50" spans="1:3" x14ac:dyDescent="0.3">
      <c r="A50" s="8" t="s">
        <v>117</v>
      </c>
      <c r="B50" s="9">
        <v>0.86234177215189878</v>
      </c>
      <c r="C50" s="9">
        <v>0.13765822784810128</v>
      </c>
    </row>
    <row r="51" spans="1:3" x14ac:dyDescent="0.3">
      <c r="A51" s="8" t="s">
        <v>118</v>
      </c>
      <c r="B51" s="9">
        <v>0.77941176470588236</v>
      </c>
      <c r="C51" s="9">
        <v>0.22058823529411764</v>
      </c>
    </row>
    <row r="52" spans="1:3" x14ac:dyDescent="0.3">
      <c r="A52" s="8" t="s">
        <v>119</v>
      </c>
      <c r="B52" s="9">
        <v>0.85532994923857864</v>
      </c>
      <c r="C52" s="9">
        <v>0.14467005076142131</v>
      </c>
    </row>
    <row r="53" spans="1:3" x14ac:dyDescent="0.3">
      <c r="A53" s="8" t="s">
        <v>105</v>
      </c>
      <c r="B53" s="9">
        <v>0.83877551020408159</v>
      </c>
      <c r="C53" s="9">
        <v>0.16122448979591836</v>
      </c>
    </row>
    <row r="56" spans="1:3" ht="18" x14ac:dyDescent="0.35">
      <c r="A56" s="6" t="s">
        <v>120</v>
      </c>
    </row>
    <row r="57" spans="1:3" x14ac:dyDescent="0.3">
      <c r="A57" s="7" t="s">
        <v>107</v>
      </c>
      <c r="B57" s="7" t="s">
        <v>106</v>
      </c>
    </row>
    <row r="58" spans="1:3" x14ac:dyDescent="0.3">
      <c r="A58" s="7" t="s">
        <v>99</v>
      </c>
      <c r="B58" t="s">
        <v>71</v>
      </c>
      <c r="C58" t="s">
        <v>56</v>
      </c>
    </row>
    <row r="59" spans="1:3" x14ac:dyDescent="0.3">
      <c r="A59" s="8" t="s">
        <v>85</v>
      </c>
      <c r="B59" s="9">
        <v>0.82692307692307687</v>
      </c>
      <c r="C59" s="9">
        <v>0.17307692307692307</v>
      </c>
    </row>
    <row r="60" spans="1:3" x14ac:dyDescent="0.3">
      <c r="A60" s="8" t="s">
        <v>74</v>
      </c>
      <c r="B60" s="9">
        <v>0.81764705882352939</v>
      </c>
      <c r="C60" s="9">
        <v>0.18235294117647058</v>
      </c>
    </row>
    <row r="61" spans="1:3" x14ac:dyDescent="0.3">
      <c r="A61" s="8" t="s">
        <v>59</v>
      </c>
      <c r="B61" s="9">
        <v>0.84397163120567376</v>
      </c>
      <c r="C61" s="9">
        <v>0.15602836879432624</v>
      </c>
    </row>
    <row r="62" spans="1:3" x14ac:dyDescent="0.3">
      <c r="A62" s="8" t="s">
        <v>96</v>
      </c>
      <c r="B62" s="9">
        <v>0.89583333333333337</v>
      </c>
      <c r="C62" s="9">
        <v>0.10416666666666667</v>
      </c>
    </row>
    <row r="63" spans="1:3" x14ac:dyDescent="0.3">
      <c r="A63" s="8" t="s">
        <v>82</v>
      </c>
      <c r="B63" s="9">
        <v>0.85427135678391963</v>
      </c>
      <c r="C63" s="9">
        <v>0.14572864321608039</v>
      </c>
    </row>
    <row r="64" spans="1:3" x14ac:dyDescent="0.3">
      <c r="A64" s="8" t="s">
        <v>105</v>
      </c>
      <c r="B64" s="9">
        <v>0.83877551020408159</v>
      </c>
      <c r="C64" s="9">
        <v>0.16122448979591836</v>
      </c>
    </row>
    <row r="67" spans="1:3" ht="18" x14ac:dyDescent="0.35">
      <c r="A67" s="6" t="s">
        <v>121</v>
      </c>
    </row>
    <row r="68" spans="1:3" x14ac:dyDescent="0.3">
      <c r="A68" s="7" t="s">
        <v>107</v>
      </c>
      <c r="B68" s="7" t="s">
        <v>106</v>
      </c>
    </row>
    <row r="69" spans="1:3" x14ac:dyDescent="0.3">
      <c r="A69" s="7" t="s">
        <v>99</v>
      </c>
      <c r="B69" t="s">
        <v>71</v>
      </c>
      <c r="C69" t="s">
        <v>56</v>
      </c>
    </row>
    <row r="70" spans="1:3" x14ac:dyDescent="0.3">
      <c r="A70" s="8" t="s">
        <v>97</v>
      </c>
      <c r="B70" s="9">
        <v>0.7407407407407407</v>
      </c>
      <c r="C70" s="9">
        <v>0.25925925925925924</v>
      </c>
    </row>
    <row r="71" spans="1:3" x14ac:dyDescent="0.3">
      <c r="A71" s="8" t="s">
        <v>60</v>
      </c>
      <c r="B71" s="9">
        <v>0.85313531353135319</v>
      </c>
      <c r="C71" s="9">
        <v>0.14686468646864687</v>
      </c>
    </row>
    <row r="72" spans="1:3" x14ac:dyDescent="0.3">
      <c r="A72" s="8" t="s">
        <v>93</v>
      </c>
      <c r="B72" s="9">
        <v>0.77987421383647804</v>
      </c>
      <c r="C72" s="9">
        <v>0.22012578616352202</v>
      </c>
    </row>
    <row r="73" spans="1:3" x14ac:dyDescent="0.3">
      <c r="A73" s="8" t="s">
        <v>83</v>
      </c>
      <c r="B73" s="9">
        <v>0.86422413793103448</v>
      </c>
      <c r="C73" s="9">
        <v>0.13577586206896552</v>
      </c>
    </row>
    <row r="74" spans="1:3" x14ac:dyDescent="0.3">
      <c r="A74" s="8" t="s">
        <v>80</v>
      </c>
      <c r="B74" s="9">
        <v>0.86585365853658536</v>
      </c>
      <c r="C74" s="9">
        <v>0.13414634146341464</v>
      </c>
    </row>
    <row r="75" spans="1:3" x14ac:dyDescent="0.3">
      <c r="A75" s="8" t="s">
        <v>95</v>
      </c>
      <c r="B75" s="9">
        <v>0.75757575757575757</v>
      </c>
      <c r="C75" s="9">
        <v>0.24242424242424243</v>
      </c>
    </row>
    <row r="76" spans="1:3" x14ac:dyDescent="0.3">
      <c r="A76" s="8" t="s">
        <v>105</v>
      </c>
      <c r="B76" s="9">
        <v>0.83877551020408159</v>
      </c>
      <c r="C76" s="9">
        <v>0.16122448979591836</v>
      </c>
    </row>
    <row r="79" spans="1:3" ht="18" x14ac:dyDescent="0.35">
      <c r="A79" s="6" t="s">
        <v>122</v>
      </c>
    </row>
    <row r="80" spans="1:3" x14ac:dyDescent="0.3">
      <c r="A80" s="7" t="s">
        <v>107</v>
      </c>
      <c r="B80" s="7" t="s">
        <v>106</v>
      </c>
    </row>
    <row r="81" spans="1:3" x14ac:dyDescent="0.3">
      <c r="A81" s="7" t="s">
        <v>99</v>
      </c>
      <c r="B81" t="s">
        <v>71</v>
      </c>
      <c r="C81" t="s">
        <v>56</v>
      </c>
    </row>
    <row r="82" spans="1:3" x14ac:dyDescent="0.3">
      <c r="A82" s="8" t="s">
        <v>63</v>
      </c>
      <c r="B82" s="9">
        <v>0.86313465783664456</v>
      </c>
      <c r="C82" s="9">
        <v>0.13686534216335541</v>
      </c>
    </row>
    <row r="83" spans="1:3" x14ac:dyDescent="0.3">
      <c r="A83" s="8" t="s">
        <v>69</v>
      </c>
      <c r="B83" s="9">
        <v>0.74647887323943662</v>
      </c>
      <c r="C83" s="9">
        <v>0.25352112676056338</v>
      </c>
    </row>
    <row r="84" spans="1:3" x14ac:dyDescent="0.3">
      <c r="A84" s="8" t="s">
        <v>61</v>
      </c>
      <c r="B84" s="9">
        <v>0.85017421602787457</v>
      </c>
      <c r="C84" s="9">
        <v>0.14982578397212543</v>
      </c>
    </row>
    <row r="85" spans="1:3" x14ac:dyDescent="0.3">
      <c r="A85" s="8" t="s">
        <v>65</v>
      </c>
      <c r="B85" s="9">
        <v>0.86547085201793716</v>
      </c>
      <c r="C85" s="9">
        <v>0.13452914798206278</v>
      </c>
    </row>
    <row r="86" spans="1:3" x14ac:dyDescent="0.3">
      <c r="A86" s="8" t="s">
        <v>105</v>
      </c>
      <c r="B86" s="9">
        <v>0.83877551020408159</v>
      </c>
      <c r="C86" s="9">
        <v>0.16122448979591836</v>
      </c>
    </row>
    <row r="89" spans="1:3" ht="18" x14ac:dyDescent="0.35">
      <c r="A89" s="6" t="s">
        <v>123</v>
      </c>
    </row>
    <row r="90" spans="1:3" x14ac:dyDescent="0.3">
      <c r="A90" s="7" t="s">
        <v>107</v>
      </c>
      <c r="B90" s="7" t="s">
        <v>106</v>
      </c>
    </row>
    <row r="91" spans="1:3" x14ac:dyDescent="0.3">
      <c r="A91" s="7" t="s">
        <v>99</v>
      </c>
      <c r="B91" t="s">
        <v>71</v>
      </c>
      <c r="C91" t="s">
        <v>56</v>
      </c>
    </row>
    <row r="92" spans="1:3" x14ac:dyDescent="0.3">
      <c r="A92" s="8" t="s">
        <v>124</v>
      </c>
      <c r="B92" s="9">
        <v>0.84107579462102688</v>
      </c>
      <c r="C92" s="9">
        <v>0.15892420537897312</v>
      </c>
    </row>
    <row r="93" spans="1:3" x14ac:dyDescent="0.3">
      <c r="A93" s="8" t="s">
        <v>125</v>
      </c>
      <c r="B93" s="9">
        <v>0.8233009708737864</v>
      </c>
      <c r="C93" s="9">
        <v>0.1766990291262136</v>
      </c>
    </row>
    <row r="94" spans="1:3" x14ac:dyDescent="0.3">
      <c r="A94" s="8" t="s">
        <v>126</v>
      </c>
      <c r="B94" s="9">
        <v>0.85164835164835162</v>
      </c>
      <c r="C94" s="9">
        <v>0.14835164835164835</v>
      </c>
    </row>
    <row r="95" spans="1:3" x14ac:dyDescent="0.3">
      <c r="A95" s="8" t="s">
        <v>105</v>
      </c>
      <c r="B95" s="9">
        <v>0.83877551020408159</v>
      </c>
      <c r="C95" s="9">
        <v>0.16122448979591836</v>
      </c>
    </row>
    <row r="99" spans="1:3" ht="18" x14ac:dyDescent="0.35">
      <c r="A99" s="6" t="s">
        <v>127</v>
      </c>
    </row>
    <row r="100" spans="1:3" x14ac:dyDescent="0.3">
      <c r="A100" s="7" t="s">
        <v>107</v>
      </c>
      <c r="B100" s="7" t="s">
        <v>106</v>
      </c>
    </row>
    <row r="101" spans="1:3" x14ac:dyDescent="0.3">
      <c r="A101" s="7" t="s">
        <v>99</v>
      </c>
      <c r="B101" t="s">
        <v>71</v>
      </c>
      <c r="C101" t="s">
        <v>56</v>
      </c>
    </row>
    <row r="102" spans="1:3" x14ac:dyDescent="0.3">
      <c r="A102" s="8" t="s">
        <v>63</v>
      </c>
      <c r="B102" s="9">
        <v>0.85599078341013823</v>
      </c>
      <c r="C102" s="9">
        <v>0.14400921658986174</v>
      </c>
    </row>
    <row r="103" spans="1:3" x14ac:dyDescent="0.3">
      <c r="A103" s="8" t="s">
        <v>69</v>
      </c>
      <c r="B103" s="9">
        <v>0.66265060240963858</v>
      </c>
      <c r="C103" s="9">
        <v>0.33734939759036142</v>
      </c>
    </row>
    <row r="104" spans="1:3" x14ac:dyDescent="0.3">
      <c r="A104" s="8" t="s">
        <v>61</v>
      </c>
      <c r="B104" s="9">
        <v>0.81066666666666665</v>
      </c>
      <c r="C104" s="9">
        <v>0.18933333333333333</v>
      </c>
    </row>
    <row r="105" spans="1:3" x14ac:dyDescent="0.3">
      <c r="A105" s="8" t="s">
        <v>65</v>
      </c>
      <c r="B105" s="9">
        <v>0.90972222222222221</v>
      </c>
      <c r="C105" s="9">
        <v>9.0277777777777776E-2</v>
      </c>
    </row>
    <row r="106" spans="1:3" x14ac:dyDescent="0.3">
      <c r="A106" s="8" t="s">
        <v>105</v>
      </c>
      <c r="B106" s="9">
        <v>0.83877551020408159</v>
      </c>
      <c r="C106" s="9">
        <v>0.16122448979591836</v>
      </c>
    </row>
    <row r="110" spans="1:3" ht="18" x14ac:dyDescent="0.35">
      <c r="A110" s="6" t="s">
        <v>128</v>
      </c>
    </row>
    <row r="111" spans="1:3" x14ac:dyDescent="0.3">
      <c r="A111" s="7" t="s">
        <v>107</v>
      </c>
      <c r="B111" s="7" t="s">
        <v>106</v>
      </c>
    </row>
    <row r="112" spans="1:3" x14ac:dyDescent="0.3">
      <c r="A112" s="7" t="s">
        <v>99</v>
      </c>
      <c r="B112" t="s">
        <v>71</v>
      </c>
      <c r="C112" t="s">
        <v>56</v>
      </c>
    </row>
    <row r="113" spans="1:3" x14ac:dyDescent="0.3">
      <c r="A113" s="8" t="s">
        <v>88</v>
      </c>
      <c r="B113" s="9">
        <v>0.93129770992366412</v>
      </c>
      <c r="C113" s="9">
        <v>6.8702290076335881E-2</v>
      </c>
    </row>
    <row r="114" spans="1:3" x14ac:dyDescent="0.3">
      <c r="A114" s="8" t="s">
        <v>97</v>
      </c>
      <c r="B114" s="9">
        <v>0.76923076923076927</v>
      </c>
      <c r="C114" s="9">
        <v>0.23076923076923078</v>
      </c>
    </row>
    <row r="115" spans="1:3" x14ac:dyDescent="0.3">
      <c r="A115" s="8" t="s">
        <v>81</v>
      </c>
      <c r="B115" s="9">
        <v>0.76061776061776065</v>
      </c>
      <c r="C115" s="9">
        <v>0.23938223938223938</v>
      </c>
    </row>
    <row r="116" spans="1:3" x14ac:dyDescent="0.3">
      <c r="A116" s="8" t="s">
        <v>90</v>
      </c>
      <c r="B116" s="9">
        <v>0.9509803921568627</v>
      </c>
      <c r="C116" s="9">
        <v>4.9019607843137254E-2</v>
      </c>
    </row>
    <row r="117" spans="1:3" x14ac:dyDescent="0.3">
      <c r="A117" s="8" t="s">
        <v>87</v>
      </c>
      <c r="B117" s="9">
        <v>0.93103448275862066</v>
      </c>
      <c r="C117" s="9">
        <v>6.8965517241379309E-2</v>
      </c>
    </row>
    <row r="118" spans="1:3" x14ac:dyDescent="0.3">
      <c r="A118" s="8" t="s">
        <v>92</v>
      </c>
      <c r="B118" s="9">
        <v>0.97499999999999998</v>
      </c>
      <c r="C118" s="9">
        <v>2.5000000000000001E-2</v>
      </c>
    </row>
    <row r="119" spans="1:3" x14ac:dyDescent="0.3">
      <c r="A119" s="8" t="s">
        <v>76</v>
      </c>
      <c r="B119" s="9">
        <v>0.83904109589041098</v>
      </c>
      <c r="C119" s="9">
        <v>0.16095890410958905</v>
      </c>
    </row>
    <row r="120" spans="1:3" x14ac:dyDescent="0.3">
      <c r="A120" s="8" t="s">
        <v>64</v>
      </c>
      <c r="B120" s="9">
        <v>0.82515337423312884</v>
      </c>
      <c r="C120" s="9">
        <v>0.17484662576687116</v>
      </c>
    </row>
    <row r="121" spans="1:3" x14ac:dyDescent="0.3">
      <c r="A121" s="8" t="s">
        <v>91</v>
      </c>
      <c r="B121" s="9">
        <v>0.60240963855421692</v>
      </c>
      <c r="C121" s="9">
        <v>0.39759036144578314</v>
      </c>
    </row>
    <row r="122" spans="1:3" x14ac:dyDescent="0.3">
      <c r="A122" s="8" t="s">
        <v>105</v>
      </c>
      <c r="B122" s="9">
        <v>0.83877551020408159</v>
      </c>
      <c r="C122" s="9">
        <v>0.16122448979591836</v>
      </c>
    </row>
    <row r="126" spans="1:3" ht="18" x14ac:dyDescent="0.35">
      <c r="A126" s="6" t="s">
        <v>129</v>
      </c>
    </row>
    <row r="127" spans="1:3" x14ac:dyDescent="0.3">
      <c r="A127" s="7" t="s">
        <v>107</v>
      </c>
      <c r="B127" s="7" t="s">
        <v>106</v>
      </c>
    </row>
    <row r="128" spans="1:3" x14ac:dyDescent="0.3">
      <c r="A128" s="7" t="s">
        <v>99</v>
      </c>
      <c r="B128" t="s">
        <v>71</v>
      </c>
      <c r="C128" t="s">
        <v>56</v>
      </c>
    </row>
    <row r="129" spans="1:3" x14ac:dyDescent="0.3">
      <c r="A129" s="8" t="s">
        <v>63</v>
      </c>
      <c r="B129" s="9">
        <v>0.83484162895927605</v>
      </c>
      <c r="C129" s="9">
        <v>0.16515837104072398</v>
      </c>
    </row>
    <row r="130" spans="1:3" x14ac:dyDescent="0.3">
      <c r="A130" s="8" t="s">
        <v>69</v>
      </c>
      <c r="B130" s="9">
        <v>0.77162629757785473</v>
      </c>
      <c r="C130" s="9">
        <v>0.22837370242214533</v>
      </c>
    </row>
    <row r="131" spans="1:3" x14ac:dyDescent="0.3">
      <c r="A131" s="8" t="s">
        <v>61</v>
      </c>
      <c r="B131" s="9">
        <v>0.83571428571428574</v>
      </c>
      <c r="C131" s="9">
        <v>0.16428571428571428</v>
      </c>
    </row>
    <row r="132" spans="1:3" x14ac:dyDescent="0.3">
      <c r="A132" s="8" t="s">
        <v>65</v>
      </c>
      <c r="B132" s="9">
        <v>0.88671023965141615</v>
      </c>
      <c r="C132" s="9">
        <v>0.11328976034858387</v>
      </c>
    </row>
    <row r="133" spans="1:3" x14ac:dyDescent="0.3">
      <c r="A133" s="8" t="s">
        <v>105</v>
      </c>
      <c r="B133" s="9">
        <v>0.83877551020408159</v>
      </c>
      <c r="C133" s="9">
        <v>0.16122448979591836</v>
      </c>
    </row>
    <row r="136" spans="1:3" ht="18" x14ac:dyDescent="0.35">
      <c r="A136" s="6" t="s">
        <v>130</v>
      </c>
    </row>
    <row r="137" spans="1:3" x14ac:dyDescent="0.3">
      <c r="A137" s="7" t="s">
        <v>107</v>
      </c>
      <c r="B137" s="7" t="s">
        <v>106</v>
      </c>
    </row>
    <row r="138" spans="1:3" x14ac:dyDescent="0.3">
      <c r="A138" s="7" t="s">
        <v>99</v>
      </c>
      <c r="B138" t="s">
        <v>71</v>
      </c>
      <c r="C138" t="s">
        <v>56</v>
      </c>
    </row>
    <row r="139" spans="1:3" x14ac:dyDescent="0.3">
      <c r="A139" s="8" t="s">
        <v>86</v>
      </c>
      <c r="B139" s="9">
        <v>0.8990825688073395</v>
      </c>
      <c r="C139" s="9">
        <v>0.10091743119266056</v>
      </c>
    </row>
    <row r="140" spans="1:3" x14ac:dyDescent="0.3">
      <c r="A140" s="8" t="s">
        <v>77</v>
      </c>
      <c r="B140" s="9">
        <v>0.87518573551263001</v>
      </c>
      <c r="C140" s="9">
        <v>0.12481426448736999</v>
      </c>
    </row>
    <row r="141" spans="1:3" x14ac:dyDescent="0.3">
      <c r="A141" s="8" t="s">
        <v>66</v>
      </c>
      <c r="B141" s="9">
        <v>0.74468085106382975</v>
      </c>
      <c r="C141" s="9">
        <v>0.25531914893617019</v>
      </c>
    </row>
    <row r="142" spans="1:3" x14ac:dyDescent="0.3">
      <c r="A142" s="8" t="s">
        <v>105</v>
      </c>
      <c r="B142" s="9">
        <v>0.83877551020408159</v>
      </c>
      <c r="C142" s="9">
        <v>0.16122448979591836</v>
      </c>
    </row>
    <row r="146" spans="1:3" ht="18" x14ac:dyDescent="0.35">
      <c r="A146" s="6" t="s">
        <v>131</v>
      </c>
    </row>
    <row r="147" spans="1:3" x14ac:dyDescent="0.3">
      <c r="A147" s="9" t="e" vm="1">
        <v>#VALUE!</v>
      </c>
    </row>
    <row r="157" spans="1:3" ht="18" x14ac:dyDescent="0.35">
      <c r="A157" s="6" t="s">
        <v>132</v>
      </c>
    </row>
    <row r="158" spans="1:3" x14ac:dyDescent="0.3">
      <c r="A158" s="7" t="s">
        <v>107</v>
      </c>
      <c r="B158" s="7" t="s">
        <v>106</v>
      </c>
    </row>
    <row r="159" spans="1:3" x14ac:dyDescent="0.3">
      <c r="A159" s="7" t="s">
        <v>99</v>
      </c>
      <c r="B159" t="s">
        <v>71</v>
      </c>
      <c r="C159" t="s">
        <v>56</v>
      </c>
    </row>
    <row r="160" spans="1:3" x14ac:dyDescent="0.3">
      <c r="A160" s="8" t="s">
        <v>133</v>
      </c>
      <c r="B160" s="9">
        <v>0.84269662921348309</v>
      </c>
      <c r="C160" s="9">
        <v>0.15730337078651685</v>
      </c>
    </row>
    <row r="161" spans="1:3" x14ac:dyDescent="0.3">
      <c r="A161" s="8" t="s">
        <v>134</v>
      </c>
      <c r="B161" s="9">
        <v>0.85674931129476584</v>
      </c>
      <c r="C161" s="9">
        <v>0.14325068870523416</v>
      </c>
    </row>
    <row r="162" spans="1:3" x14ac:dyDescent="0.3">
      <c r="A162" s="8" t="s">
        <v>135</v>
      </c>
      <c r="B162" s="9">
        <v>0.82795698924731187</v>
      </c>
      <c r="C162" s="9">
        <v>0.17204301075268819</v>
      </c>
    </row>
    <row r="163" spans="1:3" x14ac:dyDescent="0.3">
      <c r="A163" s="8" t="s">
        <v>136</v>
      </c>
      <c r="B163" s="9">
        <v>0.82838983050847459</v>
      </c>
      <c r="C163" s="9">
        <v>0.17161016949152541</v>
      </c>
    </row>
    <row r="164" spans="1:3" x14ac:dyDescent="0.3">
      <c r="A164" s="8" t="s">
        <v>105</v>
      </c>
      <c r="B164" s="9">
        <v>0.83877551020408159</v>
      </c>
      <c r="C164" s="9">
        <v>0.16122448979591836</v>
      </c>
    </row>
    <row r="167" spans="1:3" ht="18" x14ac:dyDescent="0.35">
      <c r="A167" s="6" t="s">
        <v>137</v>
      </c>
    </row>
    <row r="168" spans="1:3" x14ac:dyDescent="0.3">
      <c r="A168" s="7" t="s">
        <v>107</v>
      </c>
      <c r="B168" s="7" t="s">
        <v>106</v>
      </c>
    </row>
    <row r="169" spans="1:3" x14ac:dyDescent="0.3">
      <c r="A169" s="7" t="s">
        <v>99</v>
      </c>
      <c r="B169" t="s">
        <v>71</v>
      </c>
      <c r="C169" t="s">
        <v>56</v>
      </c>
    </row>
    <row r="170" spans="1:3" x14ac:dyDescent="0.3">
      <c r="A170" s="8" t="s">
        <v>138</v>
      </c>
      <c r="B170" s="9">
        <v>0.83147632311977715</v>
      </c>
      <c r="C170" s="9">
        <v>0.16852367688022285</v>
      </c>
    </row>
    <row r="171" spans="1:3" x14ac:dyDescent="0.3">
      <c r="A171" s="8" t="s">
        <v>139</v>
      </c>
      <c r="B171" s="9">
        <v>0.89508196721311473</v>
      </c>
      <c r="C171" s="9">
        <v>0.10491803278688525</v>
      </c>
    </row>
    <row r="172" spans="1:3" x14ac:dyDescent="0.3">
      <c r="A172" s="8" t="s">
        <v>140</v>
      </c>
      <c r="B172" s="9">
        <v>0.81985294117647056</v>
      </c>
      <c r="C172" s="9">
        <v>0.18014705882352941</v>
      </c>
    </row>
    <row r="173" spans="1:3" x14ac:dyDescent="0.3">
      <c r="A173" s="8" t="s">
        <v>141</v>
      </c>
      <c r="B173" s="9">
        <v>0.8</v>
      </c>
      <c r="C173" s="9">
        <v>0.2</v>
      </c>
    </row>
    <row r="174" spans="1:3" x14ac:dyDescent="0.3">
      <c r="A174" s="8" t="s">
        <v>105</v>
      </c>
      <c r="B174" s="9">
        <v>0.83877551020408159</v>
      </c>
      <c r="C174" s="9">
        <v>0.16122448979591836</v>
      </c>
    </row>
    <row r="177" spans="1:3" ht="18" x14ac:dyDescent="0.35">
      <c r="A177" s="6" t="s">
        <v>142</v>
      </c>
    </row>
    <row r="178" spans="1:3" x14ac:dyDescent="0.3">
      <c r="A178" s="7" t="s">
        <v>107</v>
      </c>
      <c r="B178" s="7" t="s">
        <v>106</v>
      </c>
    </row>
    <row r="179" spans="1:3" x14ac:dyDescent="0.3">
      <c r="A179" s="7" t="s">
        <v>99</v>
      </c>
      <c r="B179" t="s">
        <v>71</v>
      </c>
      <c r="C179" t="s">
        <v>56</v>
      </c>
    </row>
    <row r="180" spans="1:3" x14ac:dyDescent="0.3">
      <c r="A180" s="8" t="s">
        <v>71</v>
      </c>
      <c r="B180" s="9">
        <v>0.89563567362428842</v>
      </c>
      <c r="C180" s="9">
        <v>0.10436432637571158</v>
      </c>
    </row>
    <row r="181" spans="1:3" x14ac:dyDescent="0.3">
      <c r="A181" s="8" t="s">
        <v>56</v>
      </c>
      <c r="B181" s="9">
        <v>0.69471153846153844</v>
      </c>
      <c r="C181" s="9">
        <v>0.30528846153846156</v>
      </c>
    </row>
    <row r="182" spans="1:3" x14ac:dyDescent="0.3">
      <c r="A182" s="8" t="s">
        <v>105</v>
      </c>
      <c r="B182" s="9">
        <v>0.83877551020408159</v>
      </c>
      <c r="C182" s="9">
        <v>0.16122448979591836</v>
      </c>
    </row>
    <row r="185" spans="1:3" ht="18" x14ac:dyDescent="0.35">
      <c r="A185" s="6" t="s">
        <v>143</v>
      </c>
    </row>
    <row r="186" spans="1:3" x14ac:dyDescent="0.3">
      <c r="A186" s="7" t="s">
        <v>107</v>
      </c>
      <c r="B186" s="7" t="s">
        <v>106</v>
      </c>
    </row>
    <row r="187" spans="1:3" x14ac:dyDescent="0.3">
      <c r="A187" s="7" t="s">
        <v>99</v>
      </c>
      <c r="B187" t="s">
        <v>71</v>
      </c>
      <c r="C187" t="s">
        <v>56</v>
      </c>
    </row>
    <row r="188" spans="1:3" x14ac:dyDescent="0.3">
      <c r="A188" s="8" t="s">
        <v>144</v>
      </c>
      <c r="B188" s="9">
        <v>0.81862745098039214</v>
      </c>
      <c r="C188" s="9">
        <v>0.18137254901960784</v>
      </c>
    </row>
    <row r="189" spans="1:3" x14ac:dyDescent="0.3">
      <c r="A189" s="8" t="s">
        <v>145</v>
      </c>
      <c r="B189" s="9">
        <v>0.85127201565557731</v>
      </c>
      <c r="C189" s="9">
        <v>0.14872798434442269</v>
      </c>
    </row>
    <row r="190" spans="1:3" x14ac:dyDescent="0.3">
      <c r="A190" s="8" t="s">
        <v>146</v>
      </c>
      <c r="B190" s="9">
        <v>0.82499999999999996</v>
      </c>
      <c r="C190" s="9">
        <v>0.17499999999999999</v>
      </c>
    </row>
    <row r="191" spans="1:3" x14ac:dyDescent="0.3">
      <c r="A191" s="8" t="s">
        <v>147</v>
      </c>
      <c r="B191" s="9">
        <v>0.84910485933503832</v>
      </c>
      <c r="C191" s="9">
        <v>0.15089514066496162</v>
      </c>
    </row>
    <row r="192" spans="1:3" x14ac:dyDescent="0.3">
      <c r="A192" s="8" t="s">
        <v>105</v>
      </c>
      <c r="B192" s="9">
        <v>0.83877551020408159</v>
      </c>
      <c r="C192" s="9">
        <v>0.16122448979591836</v>
      </c>
    </row>
    <row r="195" spans="1:3" ht="18" x14ac:dyDescent="0.35">
      <c r="A195" s="6" t="s">
        <v>148</v>
      </c>
    </row>
    <row r="196" spans="1:3" x14ac:dyDescent="0.3">
      <c r="A196" s="7" t="s">
        <v>107</v>
      </c>
      <c r="B196" s="7" t="s">
        <v>106</v>
      </c>
    </row>
    <row r="197" spans="1:3" x14ac:dyDescent="0.3">
      <c r="A197" s="7" t="s">
        <v>99</v>
      </c>
      <c r="B197" t="s">
        <v>71</v>
      </c>
      <c r="C197" t="s">
        <v>56</v>
      </c>
    </row>
    <row r="198" spans="1:3" x14ac:dyDescent="0.3">
      <c r="A198" s="8" t="s">
        <v>68</v>
      </c>
      <c r="B198" s="9">
        <v>0.83922829581993574</v>
      </c>
      <c r="C198" s="9">
        <v>0.16077170418006431</v>
      </c>
    </row>
    <row r="199" spans="1:3" x14ac:dyDescent="0.3">
      <c r="A199" s="8" t="s">
        <v>78</v>
      </c>
      <c r="B199" s="9">
        <v>0.83628318584070793</v>
      </c>
      <c r="C199" s="9">
        <v>0.16371681415929204</v>
      </c>
    </row>
    <row r="200" spans="1:3" x14ac:dyDescent="0.3">
      <c r="A200" s="8" t="s">
        <v>105</v>
      </c>
      <c r="B200" s="9">
        <v>0.83877551020408159</v>
      </c>
      <c r="C200" s="9">
        <v>0.16122448979591836</v>
      </c>
    </row>
    <row r="203" spans="1:3" ht="18" x14ac:dyDescent="0.35">
      <c r="A203" s="6" t="s">
        <v>149</v>
      </c>
    </row>
    <row r="204" spans="1:3" x14ac:dyDescent="0.3">
      <c r="A204" s="7" t="s">
        <v>107</v>
      </c>
      <c r="B204" s="7" t="s">
        <v>106</v>
      </c>
    </row>
    <row r="205" spans="1:3" x14ac:dyDescent="0.3">
      <c r="A205" s="7" t="s">
        <v>99</v>
      </c>
      <c r="B205" t="s">
        <v>71</v>
      </c>
      <c r="C205" t="s">
        <v>56</v>
      </c>
    </row>
    <row r="206" spans="1:3" x14ac:dyDescent="0.3">
      <c r="A206" s="8" t="s">
        <v>63</v>
      </c>
      <c r="B206" s="9">
        <v>0.84531590413943358</v>
      </c>
      <c r="C206" s="9">
        <v>0.15468409586056645</v>
      </c>
    </row>
    <row r="207" spans="1:3" x14ac:dyDescent="0.3">
      <c r="A207" s="8" t="s">
        <v>69</v>
      </c>
      <c r="B207" s="9">
        <v>0.79347826086956519</v>
      </c>
      <c r="C207" s="9">
        <v>0.20652173913043478</v>
      </c>
    </row>
    <row r="208" spans="1:3" x14ac:dyDescent="0.3">
      <c r="A208" s="8" t="s">
        <v>61</v>
      </c>
      <c r="B208" s="9">
        <v>0.85430463576158944</v>
      </c>
      <c r="C208" s="9">
        <v>0.14569536423841059</v>
      </c>
    </row>
    <row r="209" spans="1:3" x14ac:dyDescent="0.3">
      <c r="A209" s="8" t="s">
        <v>38</v>
      </c>
      <c r="B209" s="9">
        <v>0</v>
      </c>
      <c r="C209" s="9">
        <v>1</v>
      </c>
    </row>
    <row r="210" spans="1:3" x14ac:dyDescent="0.3">
      <c r="A210" s="8" t="s">
        <v>65</v>
      </c>
      <c r="B210" s="9">
        <v>0.85185185185185186</v>
      </c>
      <c r="C210" s="9">
        <v>0.14814814814814814</v>
      </c>
    </row>
    <row r="211" spans="1:3" x14ac:dyDescent="0.3">
      <c r="A211" s="8" t="s">
        <v>105</v>
      </c>
      <c r="B211" s="9">
        <v>0.83877551020408159</v>
      </c>
      <c r="C211" s="9">
        <v>0.16122448979591836</v>
      </c>
    </row>
    <row r="215" spans="1:3" ht="18" x14ac:dyDescent="0.35">
      <c r="A215" s="6" t="s">
        <v>150</v>
      </c>
    </row>
    <row r="216" spans="1:3" x14ac:dyDescent="0.3">
      <c r="A216" s="7" t="s">
        <v>107</v>
      </c>
      <c r="B216" s="7" t="s">
        <v>106</v>
      </c>
    </row>
    <row r="217" spans="1:3" x14ac:dyDescent="0.3">
      <c r="A217" s="7" t="s">
        <v>99</v>
      </c>
      <c r="B217" t="s">
        <v>71</v>
      </c>
      <c r="C217" t="s">
        <v>56</v>
      </c>
    </row>
    <row r="218" spans="1:3" x14ac:dyDescent="0.3">
      <c r="A218" s="8" t="s">
        <v>151</v>
      </c>
      <c r="B218" s="9">
        <v>0.56097560975609762</v>
      </c>
      <c r="C218" s="9">
        <v>0.43902439024390244</v>
      </c>
    </row>
    <row r="219" spans="1:3" x14ac:dyDescent="0.3">
      <c r="A219" s="8" t="s">
        <v>116</v>
      </c>
      <c r="B219" s="9">
        <v>0.88529411764705879</v>
      </c>
      <c r="C219" s="9">
        <v>0.11470588235294117</v>
      </c>
    </row>
    <row r="220" spans="1:3" x14ac:dyDescent="0.3">
      <c r="A220" s="8" t="s">
        <v>152</v>
      </c>
      <c r="B220" s="9">
        <v>0.92270531400966183</v>
      </c>
      <c r="C220" s="9">
        <v>7.7294685990338161E-2</v>
      </c>
    </row>
    <row r="221" spans="1:3" x14ac:dyDescent="0.3">
      <c r="A221" s="8" t="s">
        <v>153</v>
      </c>
      <c r="B221" s="9">
        <v>0.80829015544041449</v>
      </c>
      <c r="C221" s="9">
        <v>0.19170984455958548</v>
      </c>
    </row>
    <row r="222" spans="1:3" x14ac:dyDescent="0.3">
      <c r="A222" s="8" t="s">
        <v>119</v>
      </c>
      <c r="B222" s="9">
        <v>0.85008237232289952</v>
      </c>
      <c r="C222" s="9">
        <v>0.14991762767710048</v>
      </c>
    </row>
    <row r="223" spans="1:3" x14ac:dyDescent="0.3">
      <c r="A223" s="8" t="s">
        <v>105</v>
      </c>
      <c r="B223" s="9">
        <v>0.83877551020408159</v>
      </c>
      <c r="C223" s="9">
        <v>0.16122448979591836</v>
      </c>
    </row>
    <row r="226" spans="1:3" ht="18" x14ac:dyDescent="0.35">
      <c r="A226" s="6" t="s">
        <v>154</v>
      </c>
    </row>
    <row r="227" spans="1:3" x14ac:dyDescent="0.3">
      <c r="A227" s="7" t="s">
        <v>107</v>
      </c>
      <c r="B227" s="7" t="s">
        <v>106</v>
      </c>
    </row>
    <row r="228" spans="1:3" x14ac:dyDescent="0.3">
      <c r="A228" s="7" t="s">
        <v>99</v>
      </c>
      <c r="B228" t="s">
        <v>71</v>
      </c>
      <c r="C228" t="s">
        <v>56</v>
      </c>
    </row>
    <row r="229" spans="1:3" x14ac:dyDescent="0.3">
      <c r="A229" s="8" t="s">
        <v>151</v>
      </c>
      <c r="B229" s="9">
        <v>0.81845238095238093</v>
      </c>
      <c r="C229" s="9">
        <v>0.18154761904761904</v>
      </c>
    </row>
    <row r="230" spans="1:3" x14ac:dyDescent="0.3">
      <c r="A230" s="8" t="s">
        <v>155</v>
      </c>
      <c r="B230" s="9">
        <v>0.84527687296416942</v>
      </c>
      <c r="C230" s="9">
        <v>0.15472312703583063</v>
      </c>
    </row>
    <row r="231" spans="1:3" x14ac:dyDescent="0.3">
      <c r="A231" s="8" t="s">
        <v>156</v>
      </c>
      <c r="B231" s="9">
        <v>0.89130434782608692</v>
      </c>
      <c r="C231" s="9">
        <v>0.10869565217391304</v>
      </c>
    </row>
    <row r="232" spans="1:3" x14ac:dyDescent="0.3">
      <c r="A232" s="8" t="s">
        <v>105</v>
      </c>
      <c r="B232" s="9">
        <v>0.83877551020408159</v>
      </c>
      <c r="C232" s="9">
        <v>0.16122448979591836</v>
      </c>
    </row>
    <row r="235" spans="1:3" ht="18" x14ac:dyDescent="0.35">
      <c r="A235" s="6" t="s">
        <v>157</v>
      </c>
    </row>
    <row r="236" spans="1:3" x14ac:dyDescent="0.3">
      <c r="A236" s="7" t="s">
        <v>107</v>
      </c>
      <c r="B236" s="7" t="s">
        <v>106</v>
      </c>
    </row>
    <row r="237" spans="1:3" x14ac:dyDescent="0.3">
      <c r="A237" s="7" t="s">
        <v>99</v>
      </c>
      <c r="B237" t="s">
        <v>71</v>
      </c>
      <c r="C237" t="s">
        <v>56</v>
      </c>
    </row>
    <row r="238" spans="1:3" x14ac:dyDescent="0.3">
      <c r="A238" s="8" t="s">
        <v>70</v>
      </c>
      <c r="B238" s="9">
        <v>0.6875</v>
      </c>
      <c r="C238" s="9">
        <v>0.3125</v>
      </c>
    </row>
    <row r="239" spans="1:3" x14ac:dyDescent="0.3">
      <c r="A239" s="8" t="s">
        <v>94</v>
      </c>
      <c r="B239" s="9">
        <v>0.82352941176470584</v>
      </c>
      <c r="C239" s="9">
        <v>0.17647058823529413</v>
      </c>
    </row>
    <row r="240" spans="1:3" x14ac:dyDescent="0.3">
      <c r="A240" s="8" t="s">
        <v>79</v>
      </c>
      <c r="B240" s="9">
        <v>0.85778275475923849</v>
      </c>
      <c r="C240" s="9">
        <v>0.14221724524076149</v>
      </c>
    </row>
    <row r="241" spans="1:3" x14ac:dyDescent="0.3">
      <c r="A241" s="8" t="s">
        <v>84</v>
      </c>
      <c r="B241" s="9">
        <v>0.83139534883720934</v>
      </c>
      <c r="C241" s="9">
        <v>0.16860465116279069</v>
      </c>
    </row>
    <row r="242" spans="1:3" x14ac:dyDescent="0.3">
      <c r="A242" s="8" t="s">
        <v>105</v>
      </c>
      <c r="B242" s="9">
        <v>0.83877551020408159</v>
      </c>
      <c r="C242" s="9">
        <v>0.16122448979591836</v>
      </c>
    </row>
    <row r="245" spans="1:3" ht="18" x14ac:dyDescent="0.35">
      <c r="A245" s="6" t="s">
        <v>158</v>
      </c>
    </row>
    <row r="246" spans="1:3" x14ac:dyDescent="0.3">
      <c r="A246" s="7" t="s">
        <v>107</v>
      </c>
      <c r="B246" s="7" t="s">
        <v>106</v>
      </c>
    </row>
    <row r="247" spans="1:3" x14ac:dyDescent="0.3">
      <c r="A247" s="7" t="s">
        <v>99</v>
      </c>
      <c r="B247" t="s">
        <v>71</v>
      </c>
      <c r="C247" t="s">
        <v>56</v>
      </c>
    </row>
    <row r="248" spans="1:3" x14ac:dyDescent="0.3">
      <c r="A248" s="8" t="s">
        <v>138</v>
      </c>
      <c r="B248" s="9">
        <v>0.65116279069767447</v>
      </c>
      <c r="C248" s="9">
        <v>0.34883720930232559</v>
      </c>
    </row>
    <row r="249" spans="1:3" x14ac:dyDescent="0.3">
      <c r="A249" s="8" t="s">
        <v>116</v>
      </c>
      <c r="B249" s="9">
        <v>0.93333333333333335</v>
      </c>
      <c r="C249" s="9">
        <v>6.6666666666666666E-2</v>
      </c>
    </row>
    <row r="250" spans="1:3" x14ac:dyDescent="0.3">
      <c r="A250" s="8" t="s">
        <v>152</v>
      </c>
      <c r="B250" s="9">
        <v>0.87878787878787878</v>
      </c>
      <c r="C250" s="9">
        <v>0.12121212121212122</v>
      </c>
    </row>
    <row r="251" spans="1:3" x14ac:dyDescent="0.3">
      <c r="A251" s="8" t="s">
        <v>159</v>
      </c>
      <c r="B251" s="9">
        <v>0.84491978609625673</v>
      </c>
      <c r="C251" s="9">
        <v>0.15508021390374332</v>
      </c>
    </row>
    <row r="252" spans="1:3" x14ac:dyDescent="0.3">
      <c r="A252" s="8" t="s">
        <v>119</v>
      </c>
      <c r="B252" s="9">
        <v>0.8772321428571429</v>
      </c>
      <c r="C252" s="9">
        <v>0.12276785714285714</v>
      </c>
    </row>
    <row r="253" spans="1:3" x14ac:dyDescent="0.3">
      <c r="A253" s="8" t="s">
        <v>105</v>
      </c>
      <c r="B253" s="9">
        <v>0.83877551020408159</v>
      </c>
      <c r="C253" s="9">
        <v>0.16122448979591836</v>
      </c>
    </row>
    <row r="256" spans="1:3" ht="18" x14ac:dyDescent="0.35">
      <c r="A256" s="6" t="s">
        <v>160</v>
      </c>
    </row>
    <row r="257" spans="1:3" x14ac:dyDescent="0.3">
      <c r="A257" s="7" t="s">
        <v>107</v>
      </c>
      <c r="B257" s="7" t="s">
        <v>106</v>
      </c>
    </row>
    <row r="258" spans="1:3" x14ac:dyDescent="0.3">
      <c r="A258" s="7" t="s">
        <v>99</v>
      </c>
      <c r="B258" t="s">
        <v>71</v>
      </c>
      <c r="C258" t="s">
        <v>56</v>
      </c>
    </row>
    <row r="259" spans="1:3" x14ac:dyDescent="0.3">
      <c r="A259" s="8" t="s">
        <v>138</v>
      </c>
      <c r="B259" s="9">
        <v>0.72093023255813948</v>
      </c>
      <c r="C259" s="9">
        <v>0.27906976744186046</v>
      </c>
    </row>
    <row r="260" spans="1:3" x14ac:dyDescent="0.3">
      <c r="A260" s="8" t="s">
        <v>161</v>
      </c>
      <c r="B260" s="9">
        <v>0.9358974358974359</v>
      </c>
      <c r="C260" s="9">
        <v>6.4102564102564097E-2</v>
      </c>
    </row>
    <row r="261" spans="1:3" x14ac:dyDescent="0.3">
      <c r="A261" s="8" t="s">
        <v>159</v>
      </c>
      <c r="B261" s="9">
        <v>0.84544049459041726</v>
      </c>
      <c r="C261" s="9">
        <v>0.15455950540958269</v>
      </c>
    </row>
    <row r="262" spans="1:3" x14ac:dyDescent="0.3">
      <c r="A262" s="8" t="s">
        <v>119</v>
      </c>
      <c r="B262" s="9">
        <v>0.89189189189189189</v>
      </c>
      <c r="C262" s="9">
        <v>0.10810810810810811</v>
      </c>
    </row>
    <row r="263" spans="1:3" x14ac:dyDescent="0.3">
      <c r="A263" s="8" t="s">
        <v>105</v>
      </c>
      <c r="B263" s="9">
        <v>0.83877551020408159</v>
      </c>
      <c r="C263" s="9">
        <v>0.16122448979591836</v>
      </c>
    </row>
    <row r="266" spans="1:3" ht="18" x14ac:dyDescent="0.35">
      <c r="A266" s="6" t="s">
        <v>162</v>
      </c>
    </row>
    <row r="267" spans="1:3" x14ac:dyDescent="0.3">
      <c r="A267" s="7" t="s">
        <v>107</v>
      </c>
      <c r="B267" s="7" t="s">
        <v>106</v>
      </c>
    </row>
    <row r="268" spans="1:3" x14ac:dyDescent="0.3">
      <c r="A268" s="7" t="s">
        <v>99</v>
      </c>
      <c r="B268" t="s">
        <v>71</v>
      </c>
      <c r="C268" t="s">
        <v>56</v>
      </c>
    </row>
    <row r="269" spans="1:3" x14ac:dyDescent="0.3">
      <c r="A269" s="8" t="s">
        <v>138</v>
      </c>
      <c r="B269" s="9">
        <v>0.83049040511727079</v>
      </c>
      <c r="C269" s="9">
        <v>0.16950959488272921</v>
      </c>
    </row>
    <row r="270" spans="1:3" x14ac:dyDescent="0.3">
      <c r="A270" s="8" t="s">
        <v>163</v>
      </c>
      <c r="B270" s="9">
        <v>0.87878787878787878</v>
      </c>
      <c r="C270" s="9">
        <v>0.12121212121212122</v>
      </c>
    </row>
    <row r="271" spans="1:3" x14ac:dyDescent="0.3">
      <c r="A271" s="8" t="s">
        <v>159</v>
      </c>
      <c r="B271" s="9">
        <v>0.86435331230283907</v>
      </c>
      <c r="C271" s="9">
        <v>0.13564668769716087</v>
      </c>
    </row>
    <row r="272" spans="1:3" x14ac:dyDescent="0.3">
      <c r="A272" s="8" t="s">
        <v>119</v>
      </c>
      <c r="B272" s="9">
        <v>0.81879194630872487</v>
      </c>
      <c r="C272" s="9">
        <v>0.18120805369127516</v>
      </c>
    </row>
    <row r="273" spans="1:3" x14ac:dyDescent="0.3">
      <c r="A273" s="8" t="s">
        <v>105</v>
      </c>
      <c r="B273" s="9">
        <v>0.83877551020408159</v>
      </c>
      <c r="C273" s="9">
        <v>0.16122448979591836</v>
      </c>
    </row>
    <row r="276" spans="1:3" ht="18" x14ac:dyDescent="0.35">
      <c r="A276" s="6" t="s">
        <v>164</v>
      </c>
    </row>
    <row r="277" spans="1:3" x14ac:dyDescent="0.3">
      <c r="A277" s="7" t="s">
        <v>107</v>
      </c>
      <c r="B277" s="7" t="s">
        <v>106</v>
      </c>
    </row>
    <row r="278" spans="1:3" x14ac:dyDescent="0.3">
      <c r="A278" s="7" t="s">
        <v>99</v>
      </c>
      <c r="B278" t="s">
        <v>71</v>
      </c>
      <c r="C278" t="s">
        <v>56</v>
      </c>
    </row>
    <row r="279" spans="1:3" x14ac:dyDescent="0.3">
      <c r="A279" s="8" t="s">
        <v>138</v>
      </c>
      <c r="B279" s="9">
        <v>0.7168141592920354</v>
      </c>
      <c r="C279" s="9">
        <v>0.2831858407079646</v>
      </c>
    </row>
    <row r="280" spans="1:3" x14ac:dyDescent="0.3">
      <c r="A280" s="8" t="s">
        <v>165</v>
      </c>
      <c r="B280" s="9">
        <v>0.95890410958904104</v>
      </c>
      <c r="C280" s="9">
        <v>4.1095890410958902E-2</v>
      </c>
    </row>
    <row r="281" spans="1:3" x14ac:dyDescent="0.3">
      <c r="A281" s="8" t="s">
        <v>159</v>
      </c>
      <c r="B281" s="9">
        <v>0.86341463414634145</v>
      </c>
      <c r="C281" s="9">
        <v>0.13658536585365855</v>
      </c>
    </row>
    <row r="282" spans="1:3" x14ac:dyDescent="0.3">
      <c r="A282" s="8" t="s">
        <v>119</v>
      </c>
      <c r="B282" s="9">
        <v>0.87810383747178333</v>
      </c>
      <c r="C282" s="9">
        <v>0.12189616252821671</v>
      </c>
    </row>
    <row r="283" spans="1:3" x14ac:dyDescent="0.3">
      <c r="A283" s="8" t="s">
        <v>105</v>
      </c>
      <c r="B283" s="9">
        <v>0.83877551020408159</v>
      </c>
      <c r="C283" s="9"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9BE5-AF6F-4598-A22E-3F8BF9935D29}">
  <sheetPr>
    <tabColor rgb="FF92D050"/>
  </sheetPr>
  <dimension ref="A1:I98"/>
  <sheetViews>
    <sheetView zoomScale="103" workbookViewId="0">
      <selection activeCell="H43" sqref="H43"/>
    </sheetView>
  </sheetViews>
  <sheetFormatPr defaultRowHeight="14.4" x14ac:dyDescent="0.3"/>
  <cols>
    <col min="1" max="1" width="22.109375" bestFit="1" customWidth="1"/>
    <col min="2" max="2" width="24.77734375" bestFit="1" customWidth="1"/>
    <col min="3" max="3" width="18.44140625" bestFit="1" customWidth="1"/>
    <col min="4" max="4" width="12" style="9" bestFit="1" customWidth="1"/>
    <col min="5" max="5" width="6.6640625" bestFit="1" customWidth="1"/>
    <col min="6" max="6" width="28.109375" bestFit="1" customWidth="1"/>
    <col min="7" max="7" width="24.77734375" bestFit="1" customWidth="1"/>
    <col min="8" max="8" width="17.88671875" bestFit="1" customWidth="1"/>
    <col min="9" max="9" width="12.21875" bestFit="1" customWidth="1"/>
    <col min="10" max="10" width="4" bestFit="1" customWidth="1"/>
    <col min="11" max="11" width="6.6640625" bestFit="1" customWidth="1"/>
    <col min="12" max="12" width="4" bestFit="1" customWidth="1"/>
    <col min="13" max="13" width="6.6640625" bestFit="1" customWidth="1"/>
    <col min="14" max="14" width="5" bestFit="1" customWidth="1"/>
    <col min="15" max="15" width="7.6640625" bestFit="1" customWidth="1"/>
    <col min="16" max="16" width="5" bestFit="1" customWidth="1"/>
    <col min="17" max="17" width="7.6640625" bestFit="1" customWidth="1"/>
    <col min="18" max="18" width="5" bestFit="1" customWidth="1"/>
    <col min="19" max="19" width="7.6640625" bestFit="1" customWidth="1"/>
    <col min="20" max="20" width="5" bestFit="1" customWidth="1"/>
    <col min="21" max="21" width="7.6640625" bestFit="1" customWidth="1"/>
    <col min="22" max="22" width="5" bestFit="1" customWidth="1"/>
    <col min="23" max="23" width="7.6640625" bestFit="1" customWidth="1"/>
    <col min="24" max="24" width="5" bestFit="1" customWidth="1"/>
    <col min="25" max="25" width="7.6640625" bestFit="1" customWidth="1"/>
    <col min="26" max="26" width="5" bestFit="1" customWidth="1"/>
    <col min="27" max="27" width="7.6640625" bestFit="1" customWidth="1"/>
    <col min="28" max="28" width="5" bestFit="1" customWidth="1"/>
    <col min="29" max="29" width="7.6640625" bestFit="1" customWidth="1"/>
    <col min="30" max="30" width="5" bestFit="1" customWidth="1"/>
    <col min="31" max="31" width="7.6640625" bestFit="1" customWidth="1"/>
    <col min="32" max="32" width="5" bestFit="1" customWidth="1"/>
    <col min="33" max="33" width="7.6640625" bestFit="1" customWidth="1"/>
    <col min="34" max="34" width="5" bestFit="1" customWidth="1"/>
    <col min="35" max="35" width="7.6640625" bestFit="1" customWidth="1"/>
    <col min="36" max="36" width="5" bestFit="1" customWidth="1"/>
    <col min="37" max="37" width="7.6640625" bestFit="1" customWidth="1"/>
    <col min="38" max="38" width="5" bestFit="1" customWidth="1"/>
    <col min="39" max="39" width="7.6640625" bestFit="1" customWidth="1"/>
    <col min="40" max="40" width="5" bestFit="1" customWidth="1"/>
    <col min="41" max="41" width="7.6640625" bestFit="1" customWidth="1"/>
    <col min="42" max="42" width="5" bestFit="1" customWidth="1"/>
    <col min="43" max="43" width="7.6640625" bestFit="1" customWidth="1"/>
    <col min="44" max="44" width="5" bestFit="1" customWidth="1"/>
    <col min="45" max="45" width="7.6640625" bestFit="1" customWidth="1"/>
    <col min="46" max="46" width="5" bestFit="1" customWidth="1"/>
    <col min="47" max="47" width="7.6640625" bestFit="1" customWidth="1"/>
    <col min="48" max="48" width="5" bestFit="1" customWidth="1"/>
    <col min="49" max="49" width="7.6640625" bestFit="1" customWidth="1"/>
    <col min="50" max="50" width="5" bestFit="1" customWidth="1"/>
    <col min="51" max="51" width="7.6640625" bestFit="1" customWidth="1"/>
    <col min="52" max="52" width="5" bestFit="1" customWidth="1"/>
    <col min="53" max="53" width="7.6640625" bestFit="1" customWidth="1"/>
    <col min="54" max="54" width="5" bestFit="1" customWidth="1"/>
    <col min="55" max="55" width="7.6640625" bestFit="1" customWidth="1"/>
    <col min="56" max="56" width="5" bestFit="1" customWidth="1"/>
    <col min="57" max="57" width="7.6640625" bestFit="1" customWidth="1"/>
    <col min="58" max="58" width="5" bestFit="1" customWidth="1"/>
    <col min="59" max="59" width="7.6640625" bestFit="1" customWidth="1"/>
    <col min="60" max="60" width="5" bestFit="1" customWidth="1"/>
    <col min="61" max="61" width="7.6640625" bestFit="1" customWidth="1"/>
    <col min="62" max="62" width="5" bestFit="1" customWidth="1"/>
    <col min="63" max="63" width="7.6640625" bestFit="1" customWidth="1"/>
    <col min="64" max="64" width="5" bestFit="1" customWidth="1"/>
    <col min="65" max="65" width="7.6640625" bestFit="1" customWidth="1"/>
    <col min="66" max="66" width="5" bestFit="1" customWidth="1"/>
    <col min="67" max="67" width="7.6640625" bestFit="1" customWidth="1"/>
    <col min="68" max="68" width="5" bestFit="1" customWidth="1"/>
    <col min="69" max="69" width="7.6640625" bestFit="1" customWidth="1"/>
    <col min="70" max="70" width="5" bestFit="1" customWidth="1"/>
    <col min="71" max="71" width="7.6640625" bestFit="1" customWidth="1"/>
    <col min="72" max="72" width="5" bestFit="1" customWidth="1"/>
    <col min="73" max="73" width="7.6640625" bestFit="1" customWidth="1"/>
    <col min="74" max="74" width="5" bestFit="1" customWidth="1"/>
    <col min="75" max="75" width="7.6640625" bestFit="1" customWidth="1"/>
    <col min="76" max="76" width="5" bestFit="1" customWidth="1"/>
    <col min="77" max="77" width="7.6640625" bestFit="1" customWidth="1"/>
    <col min="78" max="78" width="5" bestFit="1" customWidth="1"/>
    <col min="79" max="79" width="7.6640625" bestFit="1" customWidth="1"/>
    <col min="80" max="80" width="5" bestFit="1" customWidth="1"/>
    <col min="81" max="81" width="7.6640625" bestFit="1" customWidth="1"/>
    <col min="82" max="82" width="5" bestFit="1" customWidth="1"/>
    <col min="83" max="83" width="7.6640625" bestFit="1" customWidth="1"/>
    <col min="84" max="84" width="5" bestFit="1" customWidth="1"/>
    <col min="85" max="85" width="7.6640625" bestFit="1" customWidth="1"/>
    <col min="86" max="86" width="5" bestFit="1" customWidth="1"/>
    <col min="87" max="87" width="7.6640625" bestFit="1" customWidth="1"/>
    <col min="88" max="88" width="5" bestFit="1" customWidth="1"/>
    <col min="89" max="89" width="7.6640625" bestFit="1" customWidth="1"/>
    <col min="90" max="90" width="5" bestFit="1" customWidth="1"/>
    <col min="91" max="91" width="7.6640625" bestFit="1" customWidth="1"/>
    <col min="92" max="92" width="5" bestFit="1" customWidth="1"/>
    <col min="93" max="93" width="7.6640625" bestFit="1" customWidth="1"/>
    <col min="94" max="94" width="5" bestFit="1" customWidth="1"/>
    <col min="95" max="95" width="7.6640625" bestFit="1" customWidth="1"/>
    <col min="96" max="96" width="5" bestFit="1" customWidth="1"/>
    <col min="97" max="97" width="7.6640625" bestFit="1" customWidth="1"/>
    <col min="98" max="98" width="5" bestFit="1" customWidth="1"/>
    <col min="99" max="99" width="7.6640625" bestFit="1" customWidth="1"/>
    <col min="100" max="100" width="5" bestFit="1" customWidth="1"/>
    <col min="101" max="101" width="7.6640625" bestFit="1" customWidth="1"/>
    <col min="102" max="102" width="5" bestFit="1" customWidth="1"/>
    <col min="103" max="103" width="7.6640625" bestFit="1" customWidth="1"/>
    <col min="104" max="104" width="5" bestFit="1" customWidth="1"/>
    <col min="105" max="105" width="7.6640625" bestFit="1" customWidth="1"/>
    <col min="106" max="106" width="5" bestFit="1" customWidth="1"/>
    <col min="107" max="107" width="7.6640625" bestFit="1" customWidth="1"/>
    <col min="108" max="108" width="5" bestFit="1" customWidth="1"/>
    <col min="109" max="109" width="7.6640625" bestFit="1" customWidth="1"/>
    <col min="110" max="110" width="5" bestFit="1" customWidth="1"/>
    <col min="111" max="111" width="7.6640625" bestFit="1" customWidth="1"/>
    <col min="112" max="112" width="5" bestFit="1" customWidth="1"/>
    <col min="113" max="113" width="7.6640625" bestFit="1" customWidth="1"/>
    <col min="114" max="114" width="5" bestFit="1" customWidth="1"/>
    <col min="115" max="115" width="7.6640625" bestFit="1" customWidth="1"/>
    <col min="116" max="116" width="5" bestFit="1" customWidth="1"/>
    <col min="117" max="117" width="7.6640625" bestFit="1" customWidth="1"/>
    <col min="118" max="118" width="5" bestFit="1" customWidth="1"/>
    <col min="119" max="119" width="7.6640625" bestFit="1" customWidth="1"/>
    <col min="120" max="120" width="5" bestFit="1" customWidth="1"/>
    <col min="121" max="121" width="7.6640625" bestFit="1" customWidth="1"/>
    <col min="122" max="122" width="5" bestFit="1" customWidth="1"/>
    <col min="123" max="123" width="7.6640625" bestFit="1" customWidth="1"/>
    <col min="124" max="124" width="5" bestFit="1" customWidth="1"/>
    <col min="125" max="125" width="7.6640625" bestFit="1" customWidth="1"/>
    <col min="126" max="126" width="5" bestFit="1" customWidth="1"/>
    <col min="127" max="127" width="7.6640625" bestFit="1" customWidth="1"/>
    <col min="128" max="128" width="5" bestFit="1" customWidth="1"/>
    <col min="129" max="129" width="7.6640625" bestFit="1" customWidth="1"/>
    <col min="130" max="130" width="5" bestFit="1" customWidth="1"/>
    <col min="131" max="131" width="7.6640625" bestFit="1" customWidth="1"/>
    <col min="132" max="132" width="5" bestFit="1" customWidth="1"/>
    <col min="133" max="133" width="7.6640625" bestFit="1" customWidth="1"/>
    <col min="134" max="134" width="5" bestFit="1" customWidth="1"/>
    <col min="135" max="135" width="7.6640625" bestFit="1" customWidth="1"/>
    <col min="136" max="136" width="5" bestFit="1" customWidth="1"/>
    <col min="137" max="137" width="7.6640625" bestFit="1" customWidth="1"/>
    <col min="138" max="138" width="5" bestFit="1" customWidth="1"/>
    <col min="139" max="139" width="7.6640625" bestFit="1" customWidth="1"/>
    <col min="140" max="140" width="5" bestFit="1" customWidth="1"/>
    <col min="141" max="141" width="7.6640625" bestFit="1" customWidth="1"/>
    <col min="142" max="142" width="5" bestFit="1" customWidth="1"/>
    <col min="143" max="143" width="7.6640625" bestFit="1" customWidth="1"/>
    <col min="144" max="144" width="5" bestFit="1" customWidth="1"/>
    <col min="145" max="145" width="7.6640625" bestFit="1" customWidth="1"/>
    <col min="146" max="146" width="5" bestFit="1" customWidth="1"/>
    <col min="147" max="147" width="7.6640625" bestFit="1" customWidth="1"/>
    <col min="148" max="148" width="5" bestFit="1" customWidth="1"/>
    <col min="149" max="149" width="7.6640625" bestFit="1" customWidth="1"/>
    <col min="150" max="150" width="5" bestFit="1" customWidth="1"/>
    <col min="151" max="151" width="7.6640625" bestFit="1" customWidth="1"/>
    <col min="152" max="152" width="5" bestFit="1" customWidth="1"/>
    <col min="153" max="153" width="7.6640625" bestFit="1" customWidth="1"/>
    <col min="154" max="154" width="6" bestFit="1" customWidth="1"/>
    <col min="155" max="155" width="8.6640625" bestFit="1" customWidth="1"/>
    <col min="156" max="156" width="6" bestFit="1" customWidth="1"/>
    <col min="157" max="157" width="8.6640625" bestFit="1" customWidth="1"/>
    <col min="158" max="158" width="6" bestFit="1" customWidth="1"/>
    <col min="159" max="159" width="8.6640625" bestFit="1" customWidth="1"/>
    <col min="160" max="160" width="6" bestFit="1" customWidth="1"/>
    <col min="161" max="161" width="8.6640625" bestFit="1" customWidth="1"/>
    <col min="162" max="162" width="6" bestFit="1" customWidth="1"/>
    <col min="163" max="163" width="8.6640625" bestFit="1" customWidth="1"/>
    <col min="164" max="164" width="6" bestFit="1" customWidth="1"/>
    <col min="165" max="165" width="8.6640625" bestFit="1" customWidth="1"/>
    <col min="166" max="166" width="6" bestFit="1" customWidth="1"/>
    <col min="167" max="167" width="8.6640625" bestFit="1" customWidth="1"/>
    <col min="168" max="168" width="6" bestFit="1" customWidth="1"/>
    <col min="169" max="169" width="8.6640625" bestFit="1" customWidth="1"/>
    <col min="170" max="170" width="6" bestFit="1" customWidth="1"/>
    <col min="171" max="171" width="8.6640625" bestFit="1" customWidth="1"/>
    <col min="172" max="172" width="6" bestFit="1" customWidth="1"/>
    <col min="173" max="173" width="8.6640625" bestFit="1" customWidth="1"/>
    <col min="174" max="174" width="6" bestFit="1" customWidth="1"/>
    <col min="175" max="175" width="8.6640625" bestFit="1" customWidth="1"/>
    <col min="176" max="176" width="6" bestFit="1" customWidth="1"/>
    <col min="177" max="177" width="8.6640625" bestFit="1" customWidth="1"/>
    <col min="178" max="178" width="6" bestFit="1" customWidth="1"/>
    <col min="179" max="179" width="8.6640625" bestFit="1" customWidth="1"/>
    <col min="180" max="180" width="6" bestFit="1" customWidth="1"/>
    <col min="181" max="181" width="8.6640625" bestFit="1" customWidth="1"/>
    <col min="182" max="182" width="6" bestFit="1" customWidth="1"/>
    <col min="183" max="183" width="8.6640625" bestFit="1" customWidth="1"/>
    <col min="184" max="184" width="6" bestFit="1" customWidth="1"/>
    <col min="185" max="185" width="8.6640625" bestFit="1" customWidth="1"/>
    <col min="186" max="186" width="6" bestFit="1" customWidth="1"/>
    <col min="187" max="187" width="8.6640625" bestFit="1" customWidth="1"/>
    <col min="188" max="188" width="6" bestFit="1" customWidth="1"/>
    <col min="189" max="189" width="8.6640625" bestFit="1" customWidth="1"/>
    <col min="190" max="190" width="6" bestFit="1" customWidth="1"/>
    <col min="191" max="191" width="8.6640625" bestFit="1" customWidth="1"/>
    <col min="192" max="192" width="6" bestFit="1" customWidth="1"/>
    <col min="193" max="193" width="8.6640625" bestFit="1" customWidth="1"/>
    <col min="194" max="194" width="6" bestFit="1" customWidth="1"/>
    <col min="195" max="195" width="8.6640625" bestFit="1" customWidth="1"/>
    <col min="196" max="196" width="6" bestFit="1" customWidth="1"/>
    <col min="197" max="197" width="8.6640625" bestFit="1" customWidth="1"/>
    <col min="198" max="198" width="6" bestFit="1" customWidth="1"/>
    <col min="199" max="199" width="8.6640625" bestFit="1" customWidth="1"/>
    <col min="200" max="200" width="6" bestFit="1" customWidth="1"/>
    <col min="201" max="201" width="8.6640625" bestFit="1" customWidth="1"/>
    <col min="202" max="202" width="6" bestFit="1" customWidth="1"/>
    <col min="203" max="203" width="8.6640625" bestFit="1" customWidth="1"/>
    <col min="204" max="204" width="6" bestFit="1" customWidth="1"/>
    <col min="205" max="205" width="8.6640625" bestFit="1" customWidth="1"/>
    <col min="206" max="206" width="6" bestFit="1" customWidth="1"/>
    <col min="207" max="207" width="8.6640625" bestFit="1" customWidth="1"/>
    <col min="208" max="208" width="6" bestFit="1" customWidth="1"/>
    <col min="209" max="209" width="8.6640625" bestFit="1" customWidth="1"/>
    <col min="210" max="210" width="6" bestFit="1" customWidth="1"/>
    <col min="211" max="211" width="8.6640625" bestFit="1" customWidth="1"/>
    <col min="212" max="212" width="6" bestFit="1" customWidth="1"/>
    <col min="213" max="213" width="8.6640625" bestFit="1" customWidth="1"/>
    <col min="214" max="214" width="6" bestFit="1" customWidth="1"/>
    <col min="215" max="215" width="8.6640625" bestFit="1" customWidth="1"/>
    <col min="216" max="216" width="6" bestFit="1" customWidth="1"/>
    <col min="217" max="217" width="8.6640625" bestFit="1" customWidth="1"/>
    <col min="218" max="218" width="6" bestFit="1" customWidth="1"/>
    <col min="219" max="219" width="8.6640625" bestFit="1" customWidth="1"/>
    <col min="220" max="220" width="6" bestFit="1" customWidth="1"/>
    <col min="221" max="221" width="8.6640625" bestFit="1" customWidth="1"/>
    <col min="222" max="222" width="6" bestFit="1" customWidth="1"/>
    <col min="223" max="223" width="8.6640625" bestFit="1" customWidth="1"/>
    <col min="224" max="224" width="6" bestFit="1" customWidth="1"/>
    <col min="225" max="225" width="8.6640625" bestFit="1" customWidth="1"/>
    <col min="226" max="226" width="6" bestFit="1" customWidth="1"/>
    <col min="227" max="227" width="8.6640625" bestFit="1" customWidth="1"/>
    <col min="228" max="228" width="6" bestFit="1" customWidth="1"/>
    <col min="229" max="229" width="8.6640625" bestFit="1" customWidth="1"/>
    <col min="230" max="230" width="6" bestFit="1" customWidth="1"/>
    <col min="231" max="231" width="8.6640625" bestFit="1" customWidth="1"/>
    <col min="232" max="232" width="6" bestFit="1" customWidth="1"/>
    <col min="233" max="233" width="8.6640625" bestFit="1" customWidth="1"/>
    <col min="234" max="234" width="6" bestFit="1" customWidth="1"/>
    <col min="235" max="235" width="8.6640625" bestFit="1" customWidth="1"/>
    <col min="236" max="236" width="6" bestFit="1" customWidth="1"/>
    <col min="237" max="237" width="8.6640625" bestFit="1" customWidth="1"/>
    <col min="238" max="238" width="6" bestFit="1" customWidth="1"/>
    <col min="239" max="239" width="8.6640625" bestFit="1" customWidth="1"/>
    <col min="240" max="240" width="6" bestFit="1" customWidth="1"/>
    <col min="241" max="241" width="8.6640625" bestFit="1" customWidth="1"/>
    <col min="242" max="242" width="6" bestFit="1" customWidth="1"/>
    <col min="243" max="243" width="8.6640625" bestFit="1" customWidth="1"/>
    <col min="244" max="244" width="6" bestFit="1" customWidth="1"/>
    <col min="245" max="245" width="8.6640625" bestFit="1" customWidth="1"/>
    <col min="246" max="246" width="6" bestFit="1" customWidth="1"/>
    <col min="247" max="247" width="8.6640625" bestFit="1" customWidth="1"/>
    <col min="248" max="248" width="6" bestFit="1" customWidth="1"/>
    <col min="249" max="249" width="8.6640625" bestFit="1" customWidth="1"/>
    <col min="250" max="250" width="6" bestFit="1" customWidth="1"/>
    <col min="251" max="251" width="8.6640625" bestFit="1" customWidth="1"/>
    <col min="252" max="252" width="6" bestFit="1" customWidth="1"/>
    <col min="253" max="253" width="8.6640625" bestFit="1" customWidth="1"/>
    <col min="254" max="254" width="6" bestFit="1" customWidth="1"/>
    <col min="255" max="255" width="8.6640625" bestFit="1" customWidth="1"/>
    <col min="256" max="256" width="6" bestFit="1" customWidth="1"/>
    <col min="257" max="257" width="8.6640625" bestFit="1" customWidth="1"/>
    <col min="258" max="258" width="6" bestFit="1" customWidth="1"/>
    <col min="259" max="259" width="8.6640625" bestFit="1" customWidth="1"/>
    <col min="260" max="260" width="6" bestFit="1" customWidth="1"/>
    <col min="261" max="261" width="8.6640625" bestFit="1" customWidth="1"/>
    <col min="262" max="262" width="6" bestFit="1" customWidth="1"/>
    <col min="263" max="263" width="8.6640625" bestFit="1" customWidth="1"/>
    <col min="264" max="264" width="6" bestFit="1" customWidth="1"/>
    <col min="265" max="265" width="8.6640625" bestFit="1" customWidth="1"/>
    <col min="266" max="266" width="6" bestFit="1" customWidth="1"/>
    <col min="267" max="267" width="8.6640625" bestFit="1" customWidth="1"/>
    <col min="268" max="268" width="6" bestFit="1" customWidth="1"/>
    <col min="269" max="269" width="8.6640625" bestFit="1" customWidth="1"/>
    <col min="270" max="270" width="6" bestFit="1" customWidth="1"/>
    <col min="271" max="271" width="8.6640625" bestFit="1" customWidth="1"/>
    <col min="272" max="272" width="6" bestFit="1" customWidth="1"/>
    <col min="273" max="273" width="8.6640625" bestFit="1" customWidth="1"/>
    <col min="274" max="274" width="6" bestFit="1" customWidth="1"/>
    <col min="275" max="275" width="8.6640625" bestFit="1" customWidth="1"/>
    <col min="276" max="276" width="6" bestFit="1" customWidth="1"/>
    <col min="277" max="277" width="8.6640625" bestFit="1" customWidth="1"/>
    <col min="278" max="278" width="6" bestFit="1" customWidth="1"/>
    <col min="279" max="279" width="8.6640625" bestFit="1" customWidth="1"/>
    <col min="280" max="280" width="6" bestFit="1" customWidth="1"/>
    <col min="281" max="281" width="8.6640625" bestFit="1" customWidth="1"/>
    <col min="282" max="282" width="6" bestFit="1" customWidth="1"/>
    <col min="283" max="283" width="8.6640625" bestFit="1" customWidth="1"/>
    <col min="284" max="284" width="6" bestFit="1" customWidth="1"/>
    <col min="285" max="285" width="8.6640625" bestFit="1" customWidth="1"/>
    <col min="286" max="286" width="6" bestFit="1" customWidth="1"/>
    <col min="287" max="287" width="8.6640625" bestFit="1" customWidth="1"/>
    <col min="288" max="288" width="6" bestFit="1" customWidth="1"/>
    <col min="289" max="289" width="8.6640625" bestFit="1" customWidth="1"/>
    <col min="290" max="290" width="6" bestFit="1" customWidth="1"/>
    <col min="291" max="291" width="8.6640625" bestFit="1" customWidth="1"/>
    <col min="292" max="292" width="6" bestFit="1" customWidth="1"/>
    <col min="293" max="293" width="8.6640625" bestFit="1" customWidth="1"/>
    <col min="294" max="294" width="6" bestFit="1" customWidth="1"/>
    <col min="295" max="295" width="8.6640625" bestFit="1" customWidth="1"/>
    <col min="296" max="296" width="6" bestFit="1" customWidth="1"/>
    <col min="297" max="297" width="8.6640625" bestFit="1" customWidth="1"/>
    <col min="298" max="298" width="6" bestFit="1" customWidth="1"/>
    <col min="299" max="299" width="8.6640625" bestFit="1" customWidth="1"/>
    <col min="300" max="300" width="6" bestFit="1" customWidth="1"/>
    <col min="301" max="301" width="8.6640625" bestFit="1" customWidth="1"/>
    <col min="302" max="302" width="6" bestFit="1" customWidth="1"/>
    <col min="303" max="303" width="8.6640625" bestFit="1" customWidth="1"/>
    <col min="304" max="304" width="6" bestFit="1" customWidth="1"/>
    <col min="305" max="305" width="8.6640625" bestFit="1" customWidth="1"/>
    <col min="306" max="306" width="6" bestFit="1" customWidth="1"/>
    <col min="307" max="307" width="8.6640625" bestFit="1" customWidth="1"/>
    <col min="308" max="308" width="6" bestFit="1" customWidth="1"/>
    <col min="309" max="309" width="8.6640625" bestFit="1" customWidth="1"/>
    <col min="310" max="310" width="6" bestFit="1" customWidth="1"/>
    <col min="311" max="311" width="8.6640625" bestFit="1" customWidth="1"/>
    <col min="312" max="312" width="6" bestFit="1" customWidth="1"/>
    <col min="313" max="313" width="8.6640625" bestFit="1" customWidth="1"/>
    <col min="314" max="314" width="6" bestFit="1" customWidth="1"/>
    <col min="315" max="315" width="8.6640625" bestFit="1" customWidth="1"/>
    <col min="316" max="316" width="6" bestFit="1" customWidth="1"/>
    <col min="317" max="317" width="8.6640625" bestFit="1" customWidth="1"/>
    <col min="318" max="318" width="6" bestFit="1" customWidth="1"/>
    <col min="319" max="319" width="8.6640625" bestFit="1" customWidth="1"/>
    <col min="320" max="320" width="6" bestFit="1" customWidth="1"/>
    <col min="321" max="321" width="8.6640625" bestFit="1" customWidth="1"/>
    <col min="322" max="322" width="6" bestFit="1" customWidth="1"/>
    <col min="323" max="323" width="8.6640625" bestFit="1" customWidth="1"/>
    <col min="324" max="324" width="6" bestFit="1" customWidth="1"/>
    <col min="325" max="325" width="8.6640625" bestFit="1" customWidth="1"/>
    <col min="326" max="326" width="6" bestFit="1" customWidth="1"/>
    <col min="327" max="327" width="8.6640625" bestFit="1" customWidth="1"/>
    <col min="328" max="328" width="6" bestFit="1" customWidth="1"/>
    <col min="329" max="329" width="8.6640625" bestFit="1" customWidth="1"/>
    <col min="330" max="330" width="6" bestFit="1" customWidth="1"/>
    <col min="331" max="331" width="8.6640625" bestFit="1" customWidth="1"/>
    <col min="332" max="332" width="6" bestFit="1" customWidth="1"/>
    <col min="333" max="333" width="8.6640625" bestFit="1" customWidth="1"/>
    <col min="334" max="334" width="6" bestFit="1" customWidth="1"/>
    <col min="335" max="335" width="8.6640625" bestFit="1" customWidth="1"/>
    <col min="336" max="336" width="6" bestFit="1" customWidth="1"/>
    <col min="337" max="337" width="8.6640625" bestFit="1" customWidth="1"/>
    <col min="338" max="338" width="6" bestFit="1" customWidth="1"/>
    <col min="339" max="339" width="8.6640625" bestFit="1" customWidth="1"/>
    <col min="340" max="340" width="6" bestFit="1" customWidth="1"/>
    <col min="341" max="341" width="8.6640625" bestFit="1" customWidth="1"/>
    <col min="342" max="342" width="6" bestFit="1" customWidth="1"/>
    <col min="343" max="343" width="8.6640625" bestFit="1" customWidth="1"/>
    <col min="344" max="344" width="6" bestFit="1" customWidth="1"/>
    <col min="345" max="345" width="8.6640625" bestFit="1" customWidth="1"/>
    <col min="346" max="346" width="6" bestFit="1" customWidth="1"/>
    <col min="347" max="347" width="8.6640625" bestFit="1" customWidth="1"/>
    <col min="348" max="348" width="6" bestFit="1" customWidth="1"/>
    <col min="349" max="349" width="8.6640625" bestFit="1" customWidth="1"/>
    <col min="350" max="350" width="6" bestFit="1" customWidth="1"/>
    <col min="351" max="351" width="8.6640625" bestFit="1" customWidth="1"/>
    <col min="352" max="352" width="6" bestFit="1" customWidth="1"/>
    <col min="353" max="353" width="8.6640625" bestFit="1" customWidth="1"/>
    <col min="354" max="354" width="6" bestFit="1" customWidth="1"/>
    <col min="355" max="355" width="8.6640625" bestFit="1" customWidth="1"/>
    <col min="356" max="356" width="6" bestFit="1" customWidth="1"/>
    <col min="357" max="357" width="8.6640625" bestFit="1" customWidth="1"/>
    <col min="358" max="358" width="6" bestFit="1" customWidth="1"/>
    <col min="359" max="359" width="8.6640625" bestFit="1" customWidth="1"/>
    <col min="360" max="360" width="6" bestFit="1" customWidth="1"/>
    <col min="361" max="361" width="8.6640625" bestFit="1" customWidth="1"/>
    <col min="362" max="362" width="6" bestFit="1" customWidth="1"/>
    <col min="363" max="363" width="8.6640625" bestFit="1" customWidth="1"/>
    <col min="364" max="364" width="6" bestFit="1" customWidth="1"/>
    <col min="365" max="365" width="8.6640625" bestFit="1" customWidth="1"/>
    <col min="366" max="366" width="6" bestFit="1" customWidth="1"/>
    <col min="367" max="367" width="8.6640625" bestFit="1" customWidth="1"/>
    <col min="368" max="368" width="6" bestFit="1" customWidth="1"/>
    <col min="369" max="369" width="8.6640625" bestFit="1" customWidth="1"/>
    <col min="370" max="370" width="6" bestFit="1" customWidth="1"/>
    <col min="371" max="371" width="8.6640625" bestFit="1" customWidth="1"/>
    <col min="372" max="372" width="6" bestFit="1" customWidth="1"/>
    <col min="373" max="373" width="8.6640625" bestFit="1" customWidth="1"/>
    <col min="374" max="374" width="6" bestFit="1" customWidth="1"/>
    <col min="375" max="375" width="8.6640625" bestFit="1" customWidth="1"/>
    <col min="376" max="376" width="6" bestFit="1" customWidth="1"/>
    <col min="377" max="377" width="8.6640625" bestFit="1" customWidth="1"/>
    <col min="378" max="378" width="6" bestFit="1" customWidth="1"/>
    <col min="379" max="379" width="8.6640625" bestFit="1" customWidth="1"/>
    <col min="380" max="380" width="6" bestFit="1" customWidth="1"/>
    <col min="381" max="381" width="8.6640625" bestFit="1" customWidth="1"/>
    <col min="382" max="382" width="6" bestFit="1" customWidth="1"/>
    <col min="383" max="383" width="8.6640625" bestFit="1" customWidth="1"/>
    <col min="384" max="384" width="6" bestFit="1" customWidth="1"/>
    <col min="385" max="385" width="8.6640625" bestFit="1" customWidth="1"/>
    <col min="386" max="386" width="6" bestFit="1" customWidth="1"/>
    <col min="387" max="387" width="8.6640625" bestFit="1" customWidth="1"/>
    <col min="388" max="388" width="6" bestFit="1" customWidth="1"/>
    <col min="389" max="389" width="8.6640625" bestFit="1" customWidth="1"/>
    <col min="390" max="390" width="6" bestFit="1" customWidth="1"/>
    <col min="391" max="391" width="8.6640625" bestFit="1" customWidth="1"/>
    <col min="392" max="392" width="6" bestFit="1" customWidth="1"/>
    <col min="393" max="393" width="8.6640625" bestFit="1" customWidth="1"/>
    <col min="394" max="394" width="6" bestFit="1" customWidth="1"/>
    <col min="395" max="395" width="8.6640625" bestFit="1" customWidth="1"/>
    <col min="396" max="396" width="6" bestFit="1" customWidth="1"/>
    <col min="397" max="397" width="8.6640625" bestFit="1" customWidth="1"/>
    <col min="398" max="398" width="6" bestFit="1" customWidth="1"/>
    <col min="399" max="399" width="8.6640625" bestFit="1" customWidth="1"/>
    <col min="400" max="400" width="6" bestFit="1" customWidth="1"/>
    <col min="401" max="401" width="8.6640625" bestFit="1" customWidth="1"/>
    <col min="402" max="402" width="6" bestFit="1" customWidth="1"/>
    <col min="403" max="403" width="8.6640625" bestFit="1" customWidth="1"/>
    <col min="404" max="404" width="6" bestFit="1" customWidth="1"/>
    <col min="405" max="405" width="8.6640625" bestFit="1" customWidth="1"/>
    <col min="406" max="406" width="6" bestFit="1" customWidth="1"/>
    <col min="407" max="407" width="8.6640625" bestFit="1" customWidth="1"/>
    <col min="408" max="408" width="6" bestFit="1" customWidth="1"/>
    <col min="409" max="409" width="8.6640625" bestFit="1" customWidth="1"/>
    <col min="410" max="410" width="6" bestFit="1" customWidth="1"/>
    <col min="411" max="411" width="8.6640625" bestFit="1" customWidth="1"/>
    <col min="412" max="412" width="6" bestFit="1" customWidth="1"/>
    <col min="413" max="413" width="8.6640625" bestFit="1" customWidth="1"/>
    <col min="414" max="414" width="6" bestFit="1" customWidth="1"/>
    <col min="415" max="415" width="8.6640625" bestFit="1" customWidth="1"/>
    <col min="416" max="416" width="6" bestFit="1" customWidth="1"/>
    <col min="417" max="417" width="8.6640625" bestFit="1" customWidth="1"/>
    <col min="418" max="418" width="6" bestFit="1" customWidth="1"/>
    <col min="419" max="419" width="8.6640625" bestFit="1" customWidth="1"/>
    <col min="420" max="420" width="6" bestFit="1" customWidth="1"/>
    <col min="421" max="421" width="8.6640625" bestFit="1" customWidth="1"/>
    <col min="422" max="422" width="6" bestFit="1" customWidth="1"/>
    <col min="423" max="423" width="8.6640625" bestFit="1" customWidth="1"/>
    <col min="424" max="424" width="6" bestFit="1" customWidth="1"/>
    <col min="425" max="425" width="8.6640625" bestFit="1" customWidth="1"/>
    <col min="426" max="426" width="6" bestFit="1" customWidth="1"/>
    <col min="427" max="427" width="8.6640625" bestFit="1" customWidth="1"/>
    <col min="428" max="428" width="6" bestFit="1" customWidth="1"/>
    <col min="429" max="429" width="8.6640625" bestFit="1" customWidth="1"/>
    <col min="430" max="430" width="6" bestFit="1" customWidth="1"/>
    <col min="431" max="431" width="8.6640625" bestFit="1" customWidth="1"/>
    <col min="432" max="432" width="6" bestFit="1" customWidth="1"/>
    <col min="433" max="433" width="8.6640625" bestFit="1" customWidth="1"/>
    <col min="434" max="434" width="6" bestFit="1" customWidth="1"/>
    <col min="435" max="435" width="8.6640625" bestFit="1" customWidth="1"/>
    <col min="436" max="436" width="6" bestFit="1" customWidth="1"/>
    <col min="437" max="437" width="8.6640625" bestFit="1" customWidth="1"/>
    <col min="438" max="438" width="6" bestFit="1" customWidth="1"/>
    <col min="439" max="439" width="8.6640625" bestFit="1" customWidth="1"/>
    <col min="440" max="440" width="6" bestFit="1" customWidth="1"/>
    <col min="441" max="441" width="8.6640625" bestFit="1" customWidth="1"/>
    <col min="442" max="442" width="6" bestFit="1" customWidth="1"/>
    <col min="443" max="443" width="8.6640625" bestFit="1" customWidth="1"/>
    <col min="444" max="444" width="6" bestFit="1" customWidth="1"/>
    <col min="445" max="445" width="8.6640625" bestFit="1" customWidth="1"/>
    <col min="446" max="446" width="6" bestFit="1" customWidth="1"/>
    <col min="447" max="447" width="8.6640625" bestFit="1" customWidth="1"/>
    <col min="448" max="448" width="6" bestFit="1" customWidth="1"/>
    <col min="449" max="449" width="8.6640625" bestFit="1" customWidth="1"/>
    <col min="450" max="450" width="6" bestFit="1" customWidth="1"/>
    <col min="451" max="451" width="8.6640625" bestFit="1" customWidth="1"/>
    <col min="452" max="452" width="6" bestFit="1" customWidth="1"/>
    <col min="453" max="453" width="8.6640625" bestFit="1" customWidth="1"/>
    <col min="454" max="454" width="6" bestFit="1" customWidth="1"/>
    <col min="455" max="455" width="8.6640625" bestFit="1" customWidth="1"/>
    <col min="456" max="456" width="6" bestFit="1" customWidth="1"/>
    <col min="457" max="457" width="8.6640625" bestFit="1" customWidth="1"/>
    <col min="458" max="458" width="6" bestFit="1" customWidth="1"/>
    <col min="459" max="459" width="8.6640625" bestFit="1" customWidth="1"/>
    <col min="460" max="460" width="6" bestFit="1" customWidth="1"/>
    <col min="461" max="461" width="8.6640625" bestFit="1" customWidth="1"/>
    <col min="462" max="462" width="6" bestFit="1" customWidth="1"/>
    <col min="463" max="463" width="8.6640625" bestFit="1" customWidth="1"/>
    <col min="464" max="464" width="6" bestFit="1" customWidth="1"/>
    <col min="465" max="465" width="8.6640625" bestFit="1" customWidth="1"/>
    <col min="466" max="466" width="6" bestFit="1" customWidth="1"/>
    <col min="467" max="467" width="8.6640625" bestFit="1" customWidth="1"/>
    <col min="468" max="468" width="6" bestFit="1" customWidth="1"/>
    <col min="469" max="469" width="8.6640625" bestFit="1" customWidth="1"/>
    <col min="470" max="470" width="6" bestFit="1" customWidth="1"/>
    <col min="471" max="471" width="8.6640625" bestFit="1" customWidth="1"/>
    <col min="472" max="472" width="6" bestFit="1" customWidth="1"/>
    <col min="473" max="473" width="8.6640625" bestFit="1" customWidth="1"/>
    <col min="474" max="474" width="6" bestFit="1" customWidth="1"/>
    <col min="475" max="475" width="8.6640625" bestFit="1" customWidth="1"/>
    <col min="476" max="476" width="6" bestFit="1" customWidth="1"/>
    <col min="477" max="477" width="8.6640625" bestFit="1" customWidth="1"/>
    <col min="478" max="478" width="6" bestFit="1" customWidth="1"/>
    <col min="479" max="479" width="8.6640625" bestFit="1" customWidth="1"/>
    <col min="480" max="480" width="6" bestFit="1" customWidth="1"/>
    <col min="481" max="481" width="8.6640625" bestFit="1" customWidth="1"/>
    <col min="482" max="482" width="6" bestFit="1" customWidth="1"/>
    <col min="483" max="483" width="8.6640625" bestFit="1" customWidth="1"/>
    <col min="484" max="484" width="6" bestFit="1" customWidth="1"/>
    <col min="485" max="485" width="8.6640625" bestFit="1" customWidth="1"/>
    <col min="486" max="486" width="6" bestFit="1" customWidth="1"/>
    <col min="487" max="487" width="8.6640625" bestFit="1" customWidth="1"/>
    <col min="488" max="488" width="6" bestFit="1" customWidth="1"/>
    <col min="489" max="489" width="8.6640625" bestFit="1" customWidth="1"/>
    <col min="490" max="490" width="6" bestFit="1" customWidth="1"/>
    <col min="491" max="491" width="8.6640625" bestFit="1" customWidth="1"/>
    <col min="492" max="492" width="6" bestFit="1" customWidth="1"/>
    <col min="493" max="493" width="8.6640625" bestFit="1" customWidth="1"/>
    <col min="494" max="494" width="6" bestFit="1" customWidth="1"/>
    <col min="495" max="495" width="8.6640625" bestFit="1" customWidth="1"/>
    <col min="496" max="496" width="6" bestFit="1" customWidth="1"/>
    <col min="497" max="497" width="8.6640625" bestFit="1" customWidth="1"/>
    <col min="498" max="498" width="6" bestFit="1" customWidth="1"/>
    <col min="499" max="499" width="8.6640625" bestFit="1" customWidth="1"/>
    <col min="500" max="500" width="6" bestFit="1" customWidth="1"/>
    <col min="501" max="501" width="8.6640625" bestFit="1" customWidth="1"/>
    <col min="502" max="502" width="6" bestFit="1" customWidth="1"/>
    <col min="503" max="503" width="8.6640625" bestFit="1" customWidth="1"/>
    <col min="504" max="504" width="6" bestFit="1" customWidth="1"/>
    <col min="505" max="505" width="8.6640625" bestFit="1" customWidth="1"/>
    <col min="506" max="506" width="6" bestFit="1" customWidth="1"/>
    <col min="507" max="507" width="8.6640625" bestFit="1" customWidth="1"/>
    <col min="508" max="508" width="6" bestFit="1" customWidth="1"/>
    <col min="509" max="509" width="8.6640625" bestFit="1" customWidth="1"/>
    <col min="510" max="510" width="6" bestFit="1" customWidth="1"/>
    <col min="511" max="511" width="8.6640625" bestFit="1" customWidth="1"/>
    <col min="512" max="512" width="6" bestFit="1" customWidth="1"/>
    <col min="513" max="513" width="8.6640625" bestFit="1" customWidth="1"/>
    <col min="514" max="514" width="6" bestFit="1" customWidth="1"/>
    <col min="515" max="515" width="8.6640625" bestFit="1" customWidth="1"/>
    <col min="516" max="516" width="6" bestFit="1" customWidth="1"/>
    <col min="517" max="517" width="8.6640625" bestFit="1" customWidth="1"/>
    <col min="518" max="518" width="6" bestFit="1" customWidth="1"/>
    <col min="519" max="519" width="8.6640625" bestFit="1" customWidth="1"/>
    <col min="520" max="520" width="6" bestFit="1" customWidth="1"/>
    <col min="521" max="521" width="8.6640625" bestFit="1" customWidth="1"/>
    <col min="522" max="522" width="6" bestFit="1" customWidth="1"/>
    <col min="523" max="523" width="8.6640625" bestFit="1" customWidth="1"/>
    <col min="524" max="524" width="6" bestFit="1" customWidth="1"/>
    <col min="525" max="525" width="8.6640625" bestFit="1" customWidth="1"/>
    <col min="526" max="526" width="6" bestFit="1" customWidth="1"/>
    <col min="527" max="527" width="8.6640625" bestFit="1" customWidth="1"/>
    <col min="528" max="528" width="6" bestFit="1" customWidth="1"/>
    <col min="529" max="529" width="8.6640625" bestFit="1" customWidth="1"/>
    <col min="530" max="530" width="6" bestFit="1" customWidth="1"/>
    <col min="531" max="531" width="8.6640625" bestFit="1" customWidth="1"/>
    <col min="532" max="532" width="6" bestFit="1" customWidth="1"/>
    <col min="533" max="533" width="8.6640625" bestFit="1" customWidth="1"/>
    <col min="534" max="534" width="6" bestFit="1" customWidth="1"/>
    <col min="535" max="535" width="8.6640625" bestFit="1" customWidth="1"/>
    <col min="536" max="536" width="6" bestFit="1" customWidth="1"/>
    <col min="537" max="537" width="8.6640625" bestFit="1" customWidth="1"/>
    <col min="538" max="538" width="6" bestFit="1" customWidth="1"/>
    <col min="539" max="539" width="8.6640625" bestFit="1" customWidth="1"/>
    <col min="540" max="540" width="6" bestFit="1" customWidth="1"/>
    <col min="541" max="541" width="8.6640625" bestFit="1" customWidth="1"/>
    <col min="542" max="542" width="6" bestFit="1" customWidth="1"/>
    <col min="543" max="543" width="8.6640625" bestFit="1" customWidth="1"/>
    <col min="544" max="544" width="6" bestFit="1" customWidth="1"/>
    <col min="545" max="545" width="8.6640625" bestFit="1" customWidth="1"/>
    <col min="546" max="546" width="6" bestFit="1" customWidth="1"/>
    <col min="547" max="547" width="8.6640625" bestFit="1" customWidth="1"/>
    <col min="548" max="548" width="6" bestFit="1" customWidth="1"/>
    <col min="549" max="549" width="8.6640625" bestFit="1" customWidth="1"/>
    <col min="550" max="550" width="6" bestFit="1" customWidth="1"/>
    <col min="551" max="551" width="8.6640625" bestFit="1" customWidth="1"/>
    <col min="552" max="552" width="6" bestFit="1" customWidth="1"/>
    <col min="553" max="553" width="8.6640625" bestFit="1" customWidth="1"/>
    <col min="554" max="554" width="6" bestFit="1" customWidth="1"/>
    <col min="555" max="555" width="8.6640625" bestFit="1" customWidth="1"/>
    <col min="556" max="556" width="6" bestFit="1" customWidth="1"/>
    <col min="557" max="557" width="8.6640625" bestFit="1" customWidth="1"/>
    <col min="558" max="558" width="6" bestFit="1" customWidth="1"/>
    <col min="559" max="559" width="8.6640625" bestFit="1" customWidth="1"/>
    <col min="560" max="560" width="6" bestFit="1" customWidth="1"/>
    <col min="561" max="561" width="8.6640625" bestFit="1" customWidth="1"/>
    <col min="562" max="562" width="6" bestFit="1" customWidth="1"/>
    <col min="563" max="563" width="8.6640625" bestFit="1" customWidth="1"/>
    <col min="564" max="564" width="6" bestFit="1" customWidth="1"/>
    <col min="565" max="565" width="8.6640625" bestFit="1" customWidth="1"/>
    <col min="566" max="566" width="6" bestFit="1" customWidth="1"/>
    <col min="567" max="567" width="8.6640625" bestFit="1" customWidth="1"/>
    <col min="568" max="568" width="6" bestFit="1" customWidth="1"/>
    <col min="569" max="569" width="8.6640625" bestFit="1" customWidth="1"/>
    <col min="570" max="570" width="6" bestFit="1" customWidth="1"/>
    <col min="571" max="571" width="8.6640625" bestFit="1" customWidth="1"/>
    <col min="572" max="572" width="6" bestFit="1" customWidth="1"/>
    <col min="573" max="573" width="8.6640625" bestFit="1" customWidth="1"/>
    <col min="574" max="574" width="6" bestFit="1" customWidth="1"/>
    <col min="575" max="575" width="8.6640625" bestFit="1" customWidth="1"/>
    <col min="576" max="576" width="6" bestFit="1" customWidth="1"/>
    <col min="577" max="577" width="8.6640625" bestFit="1" customWidth="1"/>
    <col min="578" max="578" width="6" bestFit="1" customWidth="1"/>
    <col min="579" max="579" width="8.6640625" bestFit="1" customWidth="1"/>
    <col min="580" max="580" width="6" bestFit="1" customWidth="1"/>
    <col min="581" max="581" width="8.6640625" bestFit="1" customWidth="1"/>
    <col min="582" max="582" width="6" bestFit="1" customWidth="1"/>
    <col min="583" max="583" width="8.6640625" bestFit="1" customWidth="1"/>
    <col min="584" max="584" width="6" bestFit="1" customWidth="1"/>
    <col min="585" max="585" width="8.6640625" bestFit="1" customWidth="1"/>
    <col min="586" max="586" width="6" bestFit="1" customWidth="1"/>
    <col min="587" max="587" width="8.6640625" bestFit="1" customWidth="1"/>
    <col min="588" max="588" width="6" bestFit="1" customWidth="1"/>
    <col min="589" max="589" width="8.6640625" bestFit="1" customWidth="1"/>
    <col min="590" max="590" width="6" bestFit="1" customWidth="1"/>
    <col min="591" max="591" width="8.6640625" bestFit="1" customWidth="1"/>
    <col min="592" max="592" width="6" bestFit="1" customWidth="1"/>
    <col min="593" max="593" width="8.6640625" bestFit="1" customWidth="1"/>
    <col min="594" max="594" width="6" bestFit="1" customWidth="1"/>
    <col min="595" max="595" width="8.6640625" bestFit="1" customWidth="1"/>
    <col min="596" max="596" width="6" bestFit="1" customWidth="1"/>
    <col min="597" max="597" width="8.6640625" bestFit="1" customWidth="1"/>
    <col min="598" max="598" width="6" bestFit="1" customWidth="1"/>
    <col min="599" max="599" width="8.6640625" bestFit="1" customWidth="1"/>
    <col min="600" max="600" width="6" bestFit="1" customWidth="1"/>
    <col min="601" max="601" width="8.6640625" bestFit="1" customWidth="1"/>
    <col min="602" max="602" width="6" bestFit="1" customWidth="1"/>
    <col min="603" max="603" width="8.6640625" bestFit="1" customWidth="1"/>
    <col min="604" max="604" width="6" bestFit="1" customWidth="1"/>
    <col min="605" max="605" width="8.6640625" bestFit="1" customWidth="1"/>
    <col min="606" max="606" width="6" bestFit="1" customWidth="1"/>
    <col min="607" max="607" width="8.6640625" bestFit="1" customWidth="1"/>
    <col min="608" max="608" width="6" bestFit="1" customWidth="1"/>
    <col min="609" max="609" width="8.6640625" bestFit="1" customWidth="1"/>
    <col min="610" max="610" width="6" bestFit="1" customWidth="1"/>
    <col min="611" max="611" width="8.6640625" bestFit="1" customWidth="1"/>
    <col min="612" max="612" width="6" bestFit="1" customWidth="1"/>
    <col min="613" max="613" width="8.6640625" bestFit="1" customWidth="1"/>
    <col min="614" max="614" width="6" bestFit="1" customWidth="1"/>
    <col min="615" max="615" width="8.6640625" bestFit="1" customWidth="1"/>
    <col min="616" max="616" width="6" bestFit="1" customWidth="1"/>
    <col min="617" max="617" width="8.6640625" bestFit="1" customWidth="1"/>
    <col min="618" max="618" width="6" bestFit="1" customWidth="1"/>
    <col min="619" max="619" width="8.6640625" bestFit="1" customWidth="1"/>
    <col min="620" max="620" width="6" bestFit="1" customWidth="1"/>
    <col min="621" max="621" width="8.6640625" bestFit="1" customWidth="1"/>
    <col min="622" max="622" width="6" bestFit="1" customWidth="1"/>
    <col min="623" max="623" width="8.6640625" bestFit="1" customWidth="1"/>
    <col min="624" max="624" width="6" bestFit="1" customWidth="1"/>
    <col min="625" max="625" width="8.6640625" bestFit="1" customWidth="1"/>
    <col min="626" max="626" width="6" bestFit="1" customWidth="1"/>
    <col min="627" max="627" width="8.6640625" bestFit="1" customWidth="1"/>
    <col min="628" max="628" width="6" bestFit="1" customWidth="1"/>
    <col min="629" max="629" width="8.6640625" bestFit="1" customWidth="1"/>
    <col min="630" max="630" width="6" bestFit="1" customWidth="1"/>
    <col min="631" max="631" width="8.6640625" bestFit="1" customWidth="1"/>
    <col min="632" max="632" width="6" bestFit="1" customWidth="1"/>
    <col min="633" max="633" width="8.6640625" bestFit="1" customWidth="1"/>
    <col min="634" max="634" width="6" bestFit="1" customWidth="1"/>
    <col min="635" max="635" width="8.6640625" bestFit="1" customWidth="1"/>
    <col min="636" max="636" width="6" bestFit="1" customWidth="1"/>
    <col min="637" max="637" width="8.6640625" bestFit="1" customWidth="1"/>
    <col min="638" max="638" width="6" bestFit="1" customWidth="1"/>
    <col min="639" max="639" width="8.6640625" bestFit="1" customWidth="1"/>
    <col min="640" max="640" width="6" bestFit="1" customWidth="1"/>
    <col min="641" max="641" width="8.6640625" bestFit="1" customWidth="1"/>
    <col min="642" max="642" width="6" bestFit="1" customWidth="1"/>
    <col min="643" max="643" width="8.6640625" bestFit="1" customWidth="1"/>
    <col min="644" max="644" width="6" bestFit="1" customWidth="1"/>
    <col min="645" max="645" width="8.6640625" bestFit="1" customWidth="1"/>
    <col min="646" max="646" width="6" bestFit="1" customWidth="1"/>
    <col min="647" max="647" width="8.6640625" bestFit="1" customWidth="1"/>
    <col min="648" max="648" width="6" bestFit="1" customWidth="1"/>
    <col min="649" max="649" width="8.6640625" bestFit="1" customWidth="1"/>
    <col min="650" max="650" width="6" bestFit="1" customWidth="1"/>
    <col min="651" max="651" width="8.6640625" bestFit="1" customWidth="1"/>
    <col min="652" max="652" width="6" bestFit="1" customWidth="1"/>
    <col min="653" max="653" width="8.6640625" bestFit="1" customWidth="1"/>
    <col min="654" max="654" width="6" bestFit="1" customWidth="1"/>
    <col min="655" max="655" width="8.6640625" bestFit="1" customWidth="1"/>
    <col min="656" max="656" width="6" bestFit="1" customWidth="1"/>
    <col min="657" max="657" width="8.6640625" bestFit="1" customWidth="1"/>
    <col min="658" max="658" width="6" bestFit="1" customWidth="1"/>
    <col min="659" max="659" width="8.6640625" bestFit="1" customWidth="1"/>
    <col min="660" max="660" width="6" bestFit="1" customWidth="1"/>
    <col min="661" max="661" width="8.6640625" bestFit="1" customWidth="1"/>
    <col min="662" max="662" width="6" bestFit="1" customWidth="1"/>
    <col min="663" max="663" width="8.6640625" bestFit="1" customWidth="1"/>
    <col min="664" max="664" width="6" bestFit="1" customWidth="1"/>
    <col min="665" max="665" width="8.6640625" bestFit="1" customWidth="1"/>
    <col min="666" max="666" width="6" bestFit="1" customWidth="1"/>
    <col min="667" max="667" width="8.6640625" bestFit="1" customWidth="1"/>
    <col min="668" max="668" width="6" bestFit="1" customWidth="1"/>
    <col min="669" max="669" width="8.6640625" bestFit="1" customWidth="1"/>
    <col min="670" max="670" width="6" bestFit="1" customWidth="1"/>
    <col min="671" max="671" width="8.6640625" bestFit="1" customWidth="1"/>
    <col min="672" max="672" width="6" bestFit="1" customWidth="1"/>
    <col min="673" max="673" width="8.6640625" bestFit="1" customWidth="1"/>
    <col min="674" max="674" width="6" bestFit="1" customWidth="1"/>
    <col min="675" max="675" width="8.6640625" bestFit="1" customWidth="1"/>
    <col min="676" max="676" width="6" bestFit="1" customWidth="1"/>
    <col min="677" max="677" width="8.6640625" bestFit="1" customWidth="1"/>
    <col min="678" max="678" width="6" bestFit="1" customWidth="1"/>
    <col min="679" max="679" width="8.6640625" bestFit="1" customWidth="1"/>
    <col min="680" max="680" width="6" bestFit="1" customWidth="1"/>
    <col min="681" max="681" width="8.6640625" bestFit="1" customWidth="1"/>
    <col min="682" max="682" width="6" bestFit="1" customWidth="1"/>
    <col min="683" max="683" width="8.6640625" bestFit="1" customWidth="1"/>
    <col min="684" max="684" width="6" bestFit="1" customWidth="1"/>
    <col min="685" max="685" width="8.6640625" bestFit="1" customWidth="1"/>
    <col min="686" max="686" width="6" bestFit="1" customWidth="1"/>
    <col min="687" max="687" width="8.6640625" bestFit="1" customWidth="1"/>
    <col min="688" max="688" width="6" bestFit="1" customWidth="1"/>
    <col min="689" max="689" width="8.6640625" bestFit="1" customWidth="1"/>
    <col min="690" max="690" width="6" bestFit="1" customWidth="1"/>
    <col min="691" max="691" width="8.6640625" bestFit="1" customWidth="1"/>
    <col min="692" max="692" width="6" bestFit="1" customWidth="1"/>
    <col min="693" max="693" width="8.6640625" bestFit="1" customWidth="1"/>
    <col min="694" max="694" width="6" bestFit="1" customWidth="1"/>
    <col min="695" max="695" width="8.6640625" bestFit="1" customWidth="1"/>
    <col min="696" max="696" width="6" bestFit="1" customWidth="1"/>
    <col min="697" max="697" width="8.6640625" bestFit="1" customWidth="1"/>
    <col min="698" max="698" width="6" bestFit="1" customWidth="1"/>
    <col min="699" max="699" width="8.6640625" bestFit="1" customWidth="1"/>
    <col min="700" max="700" width="6" bestFit="1" customWidth="1"/>
    <col min="701" max="701" width="8.6640625" bestFit="1" customWidth="1"/>
    <col min="702" max="702" width="6" bestFit="1" customWidth="1"/>
    <col min="703" max="703" width="8.6640625" bestFit="1" customWidth="1"/>
    <col min="704" max="704" width="6" bestFit="1" customWidth="1"/>
    <col min="705" max="705" width="8.6640625" bestFit="1" customWidth="1"/>
    <col min="706" max="706" width="6" bestFit="1" customWidth="1"/>
    <col min="707" max="707" width="8.6640625" bestFit="1" customWidth="1"/>
    <col min="708" max="708" width="6" bestFit="1" customWidth="1"/>
    <col min="709" max="709" width="8.6640625" bestFit="1" customWidth="1"/>
    <col min="710" max="710" width="6" bestFit="1" customWidth="1"/>
    <col min="711" max="711" width="8.6640625" bestFit="1" customWidth="1"/>
    <col min="712" max="712" width="6" bestFit="1" customWidth="1"/>
    <col min="713" max="713" width="8.6640625" bestFit="1" customWidth="1"/>
    <col min="714" max="714" width="6" bestFit="1" customWidth="1"/>
    <col min="715" max="715" width="8.6640625" bestFit="1" customWidth="1"/>
    <col min="716" max="716" width="6" bestFit="1" customWidth="1"/>
    <col min="717" max="717" width="8.6640625" bestFit="1" customWidth="1"/>
    <col min="718" max="718" width="6" bestFit="1" customWidth="1"/>
    <col min="719" max="719" width="8.6640625" bestFit="1" customWidth="1"/>
    <col min="720" max="720" width="6" bestFit="1" customWidth="1"/>
    <col min="721" max="721" width="8.6640625" bestFit="1" customWidth="1"/>
    <col min="722" max="722" width="6" bestFit="1" customWidth="1"/>
    <col min="723" max="723" width="8.6640625" bestFit="1" customWidth="1"/>
    <col min="724" max="724" width="6" bestFit="1" customWidth="1"/>
    <col min="725" max="725" width="8.6640625" bestFit="1" customWidth="1"/>
    <col min="726" max="726" width="6" bestFit="1" customWidth="1"/>
    <col min="727" max="727" width="8.6640625" bestFit="1" customWidth="1"/>
    <col min="728" max="728" width="6" bestFit="1" customWidth="1"/>
    <col min="729" max="729" width="8.6640625" bestFit="1" customWidth="1"/>
    <col min="730" max="730" width="6" bestFit="1" customWidth="1"/>
    <col min="731" max="731" width="8.6640625" bestFit="1" customWidth="1"/>
    <col min="732" max="732" width="6" bestFit="1" customWidth="1"/>
    <col min="733" max="733" width="8.6640625" bestFit="1" customWidth="1"/>
    <col min="734" max="734" width="6" bestFit="1" customWidth="1"/>
    <col min="735" max="735" width="8.6640625" bestFit="1" customWidth="1"/>
    <col min="736" max="736" width="6" bestFit="1" customWidth="1"/>
    <col min="737" max="737" width="8.6640625" bestFit="1" customWidth="1"/>
    <col min="738" max="738" width="6" bestFit="1" customWidth="1"/>
    <col min="739" max="739" width="8.6640625" bestFit="1" customWidth="1"/>
    <col min="740" max="740" width="6" bestFit="1" customWidth="1"/>
    <col min="741" max="741" width="8.6640625" bestFit="1" customWidth="1"/>
    <col min="742" max="742" width="6" bestFit="1" customWidth="1"/>
    <col min="743" max="743" width="8.6640625" bestFit="1" customWidth="1"/>
    <col min="744" max="744" width="6" bestFit="1" customWidth="1"/>
    <col min="745" max="745" width="8.6640625" bestFit="1" customWidth="1"/>
    <col min="746" max="746" width="6" bestFit="1" customWidth="1"/>
    <col min="747" max="747" width="8.6640625" bestFit="1" customWidth="1"/>
    <col min="748" max="748" width="6" bestFit="1" customWidth="1"/>
    <col min="749" max="749" width="8.6640625" bestFit="1" customWidth="1"/>
    <col min="750" max="750" width="6" bestFit="1" customWidth="1"/>
    <col min="751" max="751" width="8.6640625" bestFit="1" customWidth="1"/>
    <col min="752" max="752" width="6" bestFit="1" customWidth="1"/>
    <col min="753" max="753" width="8.6640625" bestFit="1" customWidth="1"/>
    <col min="754" max="754" width="6" bestFit="1" customWidth="1"/>
    <col min="755" max="755" width="8.6640625" bestFit="1" customWidth="1"/>
    <col min="756" max="756" width="6" bestFit="1" customWidth="1"/>
    <col min="757" max="757" width="8.6640625" bestFit="1" customWidth="1"/>
    <col min="758" max="758" width="6" bestFit="1" customWidth="1"/>
    <col min="759" max="759" width="8.6640625" bestFit="1" customWidth="1"/>
    <col min="760" max="760" width="6" bestFit="1" customWidth="1"/>
    <col min="761" max="761" width="8.6640625" bestFit="1" customWidth="1"/>
    <col min="762" max="762" width="6" bestFit="1" customWidth="1"/>
    <col min="763" max="763" width="8.6640625" bestFit="1" customWidth="1"/>
    <col min="764" max="764" width="6" bestFit="1" customWidth="1"/>
    <col min="765" max="765" width="8.6640625" bestFit="1" customWidth="1"/>
    <col min="766" max="766" width="6" bestFit="1" customWidth="1"/>
    <col min="767" max="767" width="8.6640625" bestFit="1" customWidth="1"/>
    <col min="768" max="768" width="6" bestFit="1" customWidth="1"/>
    <col min="769" max="769" width="8.6640625" bestFit="1" customWidth="1"/>
    <col min="770" max="770" width="6" bestFit="1" customWidth="1"/>
    <col min="771" max="771" width="8.6640625" bestFit="1" customWidth="1"/>
    <col min="772" max="772" width="6" bestFit="1" customWidth="1"/>
    <col min="773" max="773" width="8.6640625" bestFit="1" customWidth="1"/>
    <col min="774" max="774" width="6" bestFit="1" customWidth="1"/>
    <col min="775" max="775" width="8.6640625" bestFit="1" customWidth="1"/>
    <col min="776" max="776" width="6" bestFit="1" customWidth="1"/>
    <col min="777" max="777" width="8.6640625" bestFit="1" customWidth="1"/>
    <col min="778" max="778" width="6" bestFit="1" customWidth="1"/>
    <col min="779" max="779" width="8.6640625" bestFit="1" customWidth="1"/>
    <col min="780" max="780" width="6" bestFit="1" customWidth="1"/>
    <col min="781" max="781" width="8.6640625" bestFit="1" customWidth="1"/>
    <col min="782" max="782" width="6" bestFit="1" customWidth="1"/>
    <col min="783" max="783" width="8.6640625" bestFit="1" customWidth="1"/>
    <col min="784" max="784" width="6" bestFit="1" customWidth="1"/>
    <col min="785" max="785" width="8.6640625" bestFit="1" customWidth="1"/>
    <col min="786" max="786" width="6" bestFit="1" customWidth="1"/>
    <col min="787" max="787" width="8.6640625" bestFit="1" customWidth="1"/>
    <col min="788" max="788" width="6" bestFit="1" customWidth="1"/>
    <col min="789" max="789" width="8.6640625" bestFit="1" customWidth="1"/>
    <col min="790" max="790" width="6" bestFit="1" customWidth="1"/>
    <col min="791" max="791" width="8.6640625" bestFit="1" customWidth="1"/>
    <col min="792" max="792" width="6" bestFit="1" customWidth="1"/>
    <col min="793" max="793" width="8.6640625" bestFit="1" customWidth="1"/>
    <col min="794" max="794" width="6" bestFit="1" customWidth="1"/>
    <col min="795" max="795" width="8.6640625" bestFit="1" customWidth="1"/>
    <col min="796" max="796" width="6" bestFit="1" customWidth="1"/>
    <col min="797" max="797" width="8.6640625" bestFit="1" customWidth="1"/>
    <col min="798" max="798" width="6" bestFit="1" customWidth="1"/>
    <col min="799" max="799" width="8.6640625" bestFit="1" customWidth="1"/>
    <col min="800" max="800" width="6" bestFit="1" customWidth="1"/>
    <col min="801" max="801" width="8.6640625" bestFit="1" customWidth="1"/>
    <col min="802" max="802" width="6" bestFit="1" customWidth="1"/>
    <col min="803" max="803" width="8.6640625" bestFit="1" customWidth="1"/>
    <col min="804" max="804" width="6" bestFit="1" customWidth="1"/>
    <col min="805" max="805" width="8.6640625" bestFit="1" customWidth="1"/>
    <col min="806" max="806" width="6" bestFit="1" customWidth="1"/>
    <col min="807" max="807" width="8.6640625" bestFit="1" customWidth="1"/>
    <col min="808" max="808" width="6" bestFit="1" customWidth="1"/>
    <col min="809" max="809" width="8.6640625" bestFit="1" customWidth="1"/>
    <col min="810" max="810" width="6" bestFit="1" customWidth="1"/>
    <col min="811" max="811" width="8.6640625" bestFit="1" customWidth="1"/>
    <col min="812" max="812" width="6" bestFit="1" customWidth="1"/>
    <col min="813" max="813" width="8.6640625" bestFit="1" customWidth="1"/>
    <col min="814" max="814" width="6" bestFit="1" customWidth="1"/>
    <col min="815" max="815" width="8.6640625" bestFit="1" customWidth="1"/>
    <col min="816" max="816" width="6" bestFit="1" customWidth="1"/>
    <col min="817" max="817" width="8.6640625" bestFit="1" customWidth="1"/>
    <col min="818" max="818" width="6" bestFit="1" customWidth="1"/>
    <col min="819" max="819" width="8.6640625" bestFit="1" customWidth="1"/>
    <col min="820" max="820" width="6" bestFit="1" customWidth="1"/>
    <col min="821" max="821" width="8.6640625" bestFit="1" customWidth="1"/>
    <col min="822" max="822" width="6" bestFit="1" customWidth="1"/>
    <col min="823" max="823" width="8.6640625" bestFit="1" customWidth="1"/>
    <col min="824" max="824" width="6" bestFit="1" customWidth="1"/>
    <col min="825" max="825" width="8.6640625" bestFit="1" customWidth="1"/>
    <col min="826" max="826" width="6" bestFit="1" customWidth="1"/>
    <col min="827" max="827" width="8.6640625" bestFit="1" customWidth="1"/>
    <col min="828" max="828" width="6" bestFit="1" customWidth="1"/>
    <col min="829" max="829" width="8.6640625" bestFit="1" customWidth="1"/>
    <col min="830" max="830" width="6" bestFit="1" customWidth="1"/>
    <col min="831" max="831" width="8.6640625" bestFit="1" customWidth="1"/>
    <col min="832" max="832" width="6" bestFit="1" customWidth="1"/>
    <col min="833" max="833" width="8.6640625" bestFit="1" customWidth="1"/>
    <col min="834" max="834" width="6" bestFit="1" customWidth="1"/>
    <col min="835" max="835" width="8.6640625" bestFit="1" customWidth="1"/>
    <col min="836" max="836" width="6" bestFit="1" customWidth="1"/>
    <col min="837" max="837" width="8.6640625" bestFit="1" customWidth="1"/>
    <col min="838" max="838" width="6" bestFit="1" customWidth="1"/>
    <col min="839" max="839" width="8.6640625" bestFit="1" customWidth="1"/>
    <col min="840" max="840" width="6" bestFit="1" customWidth="1"/>
    <col min="841" max="841" width="8.6640625" bestFit="1" customWidth="1"/>
    <col min="842" max="842" width="6" bestFit="1" customWidth="1"/>
    <col min="843" max="843" width="8.6640625" bestFit="1" customWidth="1"/>
    <col min="844" max="844" width="6" bestFit="1" customWidth="1"/>
    <col min="845" max="845" width="8.6640625" bestFit="1" customWidth="1"/>
    <col min="846" max="846" width="6" bestFit="1" customWidth="1"/>
    <col min="847" max="847" width="8.6640625" bestFit="1" customWidth="1"/>
    <col min="848" max="848" width="6" bestFit="1" customWidth="1"/>
    <col min="849" max="849" width="8.6640625" bestFit="1" customWidth="1"/>
    <col min="850" max="850" width="6" bestFit="1" customWidth="1"/>
    <col min="851" max="851" width="8.6640625" bestFit="1" customWidth="1"/>
    <col min="852" max="852" width="6" bestFit="1" customWidth="1"/>
    <col min="853" max="853" width="8.6640625" bestFit="1" customWidth="1"/>
    <col min="854" max="854" width="6" bestFit="1" customWidth="1"/>
    <col min="855" max="855" width="8.6640625" bestFit="1" customWidth="1"/>
    <col min="856" max="856" width="6" bestFit="1" customWidth="1"/>
    <col min="857" max="857" width="8.6640625" bestFit="1" customWidth="1"/>
    <col min="858" max="858" width="6" bestFit="1" customWidth="1"/>
    <col min="859" max="859" width="8.6640625" bestFit="1" customWidth="1"/>
    <col min="860" max="860" width="6" bestFit="1" customWidth="1"/>
    <col min="861" max="861" width="8.6640625" bestFit="1" customWidth="1"/>
    <col min="862" max="862" width="6" bestFit="1" customWidth="1"/>
    <col min="863" max="863" width="8.6640625" bestFit="1" customWidth="1"/>
    <col min="864" max="864" width="6" bestFit="1" customWidth="1"/>
    <col min="865" max="865" width="8.6640625" bestFit="1" customWidth="1"/>
    <col min="866" max="866" width="6" bestFit="1" customWidth="1"/>
    <col min="867" max="867" width="8.6640625" bestFit="1" customWidth="1"/>
    <col min="868" max="868" width="6" bestFit="1" customWidth="1"/>
    <col min="869" max="869" width="8.6640625" bestFit="1" customWidth="1"/>
    <col min="870" max="870" width="6" bestFit="1" customWidth="1"/>
    <col min="871" max="871" width="8.6640625" bestFit="1" customWidth="1"/>
    <col min="872" max="872" width="6" bestFit="1" customWidth="1"/>
    <col min="873" max="873" width="8.6640625" bestFit="1" customWidth="1"/>
    <col min="874" max="874" width="6" bestFit="1" customWidth="1"/>
    <col min="875" max="875" width="8.6640625" bestFit="1" customWidth="1"/>
    <col min="876" max="876" width="6" bestFit="1" customWidth="1"/>
    <col min="877" max="877" width="8.6640625" bestFit="1" customWidth="1"/>
    <col min="878" max="878" width="6" bestFit="1" customWidth="1"/>
    <col min="879" max="879" width="8.6640625" bestFit="1" customWidth="1"/>
    <col min="880" max="880" width="6" bestFit="1" customWidth="1"/>
    <col min="881" max="881" width="8.6640625" bestFit="1" customWidth="1"/>
    <col min="882" max="882" width="6" bestFit="1" customWidth="1"/>
    <col min="883" max="883" width="8.6640625" bestFit="1" customWidth="1"/>
    <col min="884" max="884" width="6" bestFit="1" customWidth="1"/>
    <col min="885" max="885" width="8.6640625" bestFit="1" customWidth="1"/>
    <col min="886" max="886" width="6" bestFit="1" customWidth="1"/>
    <col min="887" max="887" width="8.6640625" bestFit="1" customWidth="1"/>
    <col min="888" max="888" width="6" bestFit="1" customWidth="1"/>
    <col min="889" max="889" width="8.6640625" bestFit="1" customWidth="1"/>
    <col min="890" max="890" width="6" bestFit="1" customWidth="1"/>
    <col min="891" max="891" width="8.6640625" bestFit="1" customWidth="1"/>
    <col min="892" max="892" width="6" bestFit="1" customWidth="1"/>
    <col min="893" max="893" width="8.6640625" bestFit="1" customWidth="1"/>
    <col min="894" max="894" width="6" bestFit="1" customWidth="1"/>
    <col min="895" max="895" width="8.6640625" bestFit="1" customWidth="1"/>
    <col min="896" max="896" width="6" bestFit="1" customWidth="1"/>
    <col min="897" max="897" width="8.6640625" bestFit="1" customWidth="1"/>
    <col min="898" max="898" width="6" bestFit="1" customWidth="1"/>
    <col min="899" max="899" width="8.6640625" bestFit="1" customWidth="1"/>
    <col min="900" max="900" width="6" bestFit="1" customWidth="1"/>
    <col min="901" max="901" width="8.6640625" bestFit="1" customWidth="1"/>
    <col min="902" max="902" width="6" bestFit="1" customWidth="1"/>
    <col min="903" max="903" width="8.6640625" bestFit="1" customWidth="1"/>
    <col min="904" max="904" width="6" bestFit="1" customWidth="1"/>
    <col min="905" max="905" width="8.6640625" bestFit="1" customWidth="1"/>
    <col min="906" max="906" width="6" bestFit="1" customWidth="1"/>
    <col min="907" max="907" width="8.6640625" bestFit="1" customWidth="1"/>
    <col min="908" max="908" width="6" bestFit="1" customWidth="1"/>
    <col min="909" max="909" width="8.6640625" bestFit="1" customWidth="1"/>
    <col min="910" max="910" width="6" bestFit="1" customWidth="1"/>
    <col min="911" max="911" width="8.6640625" bestFit="1" customWidth="1"/>
    <col min="912" max="912" width="6" bestFit="1" customWidth="1"/>
    <col min="913" max="913" width="8.6640625" bestFit="1" customWidth="1"/>
    <col min="914" max="914" width="6" bestFit="1" customWidth="1"/>
    <col min="915" max="915" width="8.6640625" bestFit="1" customWidth="1"/>
    <col min="916" max="916" width="6" bestFit="1" customWidth="1"/>
    <col min="917" max="917" width="8.6640625" bestFit="1" customWidth="1"/>
    <col min="918" max="918" width="6" bestFit="1" customWidth="1"/>
    <col min="919" max="919" width="8.6640625" bestFit="1" customWidth="1"/>
    <col min="920" max="920" width="6" bestFit="1" customWidth="1"/>
    <col min="921" max="921" width="8.6640625" bestFit="1" customWidth="1"/>
    <col min="922" max="922" width="6" bestFit="1" customWidth="1"/>
    <col min="923" max="923" width="8.6640625" bestFit="1" customWidth="1"/>
    <col min="924" max="924" width="6" bestFit="1" customWidth="1"/>
    <col min="925" max="925" width="8.6640625" bestFit="1" customWidth="1"/>
    <col min="926" max="926" width="6" bestFit="1" customWidth="1"/>
    <col min="927" max="927" width="8.6640625" bestFit="1" customWidth="1"/>
    <col min="928" max="928" width="6" bestFit="1" customWidth="1"/>
    <col min="929" max="929" width="8.6640625" bestFit="1" customWidth="1"/>
    <col min="930" max="930" width="6" bestFit="1" customWidth="1"/>
    <col min="931" max="931" width="8.6640625" bestFit="1" customWidth="1"/>
    <col min="932" max="932" width="6" bestFit="1" customWidth="1"/>
    <col min="933" max="933" width="8.6640625" bestFit="1" customWidth="1"/>
    <col min="934" max="934" width="6" bestFit="1" customWidth="1"/>
    <col min="935" max="935" width="8.6640625" bestFit="1" customWidth="1"/>
    <col min="936" max="936" width="6" bestFit="1" customWidth="1"/>
    <col min="937" max="937" width="8.6640625" bestFit="1" customWidth="1"/>
    <col min="938" max="938" width="6" bestFit="1" customWidth="1"/>
    <col min="939" max="939" width="8.6640625" bestFit="1" customWidth="1"/>
    <col min="940" max="940" width="6" bestFit="1" customWidth="1"/>
    <col min="941" max="941" width="8.6640625" bestFit="1" customWidth="1"/>
    <col min="942" max="942" width="6" bestFit="1" customWidth="1"/>
    <col min="943" max="943" width="8.6640625" bestFit="1" customWidth="1"/>
    <col min="944" max="944" width="6" bestFit="1" customWidth="1"/>
    <col min="945" max="945" width="8.6640625" bestFit="1" customWidth="1"/>
    <col min="946" max="946" width="6" bestFit="1" customWidth="1"/>
    <col min="947" max="947" width="8.6640625" bestFit="1" customWidth="1"/>
    <col min="948" max="948" width="6" bestFit="1" customWidth="1"/>
    <col min="949" max="949" width="8.6640625" bestFit="1" customWidth="1"/>
    <col min="950" max="950" width="6" bestFit="1" customWidth="1"/>
    <col min="951" max="951" width="8.6640625" bestFit="1" customWidth="1"/>
    <col min="952" max="952" width="6" bestFit="1" customWidth="1"/>
    <col min="953" max="953" width="8.6640625" bestFit="1" customWidth="1"/>
    <col min="954" max="954" width="6" bestFit="1" customWidth="1"/>
    <col min="955" max="955" width="8.6640625" bestFit="1" customWidth="1"/>
    <col min="956" max="956" width="6" bestFit="1" customWidth="1"/>
    <col min="957" max="957" width="8.6640625" bestFit="1" customWidth="1"/>
    <col min="958" max="958" width="6" bestFit="1" customWidth="1"/>
    <col min="959" max="959" width="8.6640625" bestFit="1" customWidth="1"/>
    <col min="960" max="960" width="6" bestFit="1" customWidth="1"/>
    <col min="961" max="961" width="8.6640625" bestFit="1" customWidth="1"/>
    <col min="962" max="962" width="6" bestFit="1" customWidth="1"/>
    <col min="963" max="963" width="8.6640625" bestFit="1" customWidth="1"/>
    <col min="964" max="964" width="6" bestFit="1" customWidth="1"/>
    <col min="965" max="965" width="8.6640625" bestFit="1" customWidth="1"/>
    <col min="966" max="966" width="6" bestFit="1" customWidth="1"/>
    <col min="967" max="967" width="8.6640625" bestFit="1" customWidth="1"/>
    <col min="968" max="968" width="6" bestFit="1" customWidth="1"/>
    <col min="969" max="969" width="8.6640625" bestFit="1" customWidth="1"/>
    <col min="970" max="970" width="6" bestFit="1" customWidth="1"/>
    <col min="971" max="971" width="8.6640625" bestFit="1" customWidth="1"/>
    <col min="972" max="972" width="6" bestFit="1" customWidth="1"/>
    <col min="973" max="973" width="8.6640625" bestFit="1" customWidth="1"/>
    <col min="974" max="974" width="6" bestFit="1" customWidth="1"/>
    <col min="975" max="975" width="8.6640625" bestFit="1" customWidth="1"/>
    <col min="976" max="976" width="6" bestFit="1" customWidth="1"/>
    <col min="977" max="977" width="8.6640625" bestFit="1" customWidth="1"/>
    <col min="978" max="978" width="6" bestFit="1" customWidth="1"/>
    <col min="979" max="979" width="8.6640625" bestFit="1" customWidth="1"/>
    <col min="980" max="980" width="6" bestFit="1" customWidth="1"/>
    <col min="981" max="981" width="8.6640625" bestFit="1" customWidth="1"/>
    <col min="982" max="982" width="6" bestFit="1" customWidth="1"/>
    <col min="983" max="983" width="8.6640625" bestFit="1" customWidth="1"/>
    <col min="984" max="984" width="6" bestFit="1" customWidth="1"/>
    <col min="985" max="985" width="8.6640625" bestFit="1" customWidth="1"/>
    <col min="986" max="986" width="6" bestFit="1" customWidth="1"/>
    <col min="987" max="987" width="8.6640625" bestFit="1" customWidth="1"/>
    <col min="988" max="988" width="6" bestFit="1" customWidth="1"/>
    <col min="989" max="989" width="8.6640625" bestFit="1" customWidth="1"/>
    <col min="990" max="990" width="6" bestFit="1" customWidth="1"/>
    <col min="991" max="991" width="8.6640625" bestFit="1" customWidth="1"/>
    <col min="992" max="992" width="6" bestFit="1" customWidth="1"/>
    <col min="993" max="993" width="8.6640625" bestFit="1" customWidth="1"/>
    <col min="994" max="994" width="6" bestFit="1" customWidth="1"/>
    <col min="995" max="995" width="8.6640625" bestFit="1" customWidth="1"/>
    <col min="996" max="996" width="6" bestFit="1" customWidth="1"/>
    <col min="997" max="997" width="8.6640625" bestFit="1" customWidth="1"/>
    <col min="998" max="998" width="6" bestFit="1" customWidth="1"/>
    <col min="999" max="999" width="8.6640625" bestFit="1" customWidth="1"/>
    <col min="1000" max="1000" width="6" bestFit="1" customWidth="1"/>
    <col min="1001" max="1001" width="8.6640625" bestFit="1" customWidth="1"/>
    <col min="1002" max="1002" width="6" bestFit="1" customWidth="1"/>
    <col min="1003" max="1003" width="8.6640625" bestFit="1" customWidth="1"/>
    <col min="1004" max="1004" width="6" bestFit="1" customWidth="1"/>
    <col min="1005" max="1005" width="8.6640625" bestFit="1" customWidth="1"/>
    <col min="1006" max="1006" width="6" bestFit="1" customWidth="1"/>
    <col min="1007" max="1007" width="8.6640625" bestFit="1" customWidth="1"/>
    <col min="1008" max="1008" width="6" bestFit="1" customWidth="1"/>
    <col min="1009" max="1009" width="8.6640625" bestFit="1" customWidth="1"/>
    <col min="1010" max="1010" width="6" bestFit="1" customWidth="1"/>
    <col min="1011" max="1011" width="8.6640625" bestFit="1" customWidth="1"/>
    <col min="1012" max="1012" width="6" bestFit="1" customWidth="1"/>
    <col min="1013" max="1013" width="8.6640625" bestFit="1" customWidth="1"/>
    <col min="1014" max="1014" width="6" bestFit="1" customWidth="1"/>
    <col min="1015" max="1015" width="8.6640625" bestFit="1" customWidth="1"/>
    <col min="1016" max="1016" width="6" bestFit="1" customWidth="1"/>
    <col min="1017" max="1017" width="8.6640625" bestFit="1" customWidth="1"/>
    <col min="1018" max="1018" width="6" bestFit="1" customWidth="1"/>
    <col min="1019" max="1019" width="8.6640625" bestFit="1" customWidth="1"/>
    <col min="1020" max="1020" width="6" bestFit="1" customWidth="1"/>
    <col min="1021" max="1021" width="8.6640625" bestFit="1" customWidth="1"/>
    <col min="1022" max="1022" width="6" bestFit="1" customWidth="1"/>
    <col min="1023" max="1023" width="8.6640625" bestFit="1" customWidth="1"/>
    <col min="1024" max="1024" width="6" bestFit="1" customWidth="1"/>
    <col min="1025" max="1025" width="8.6640625" bestFit="1" customWidth="1"/>
    <col min="1026" max="1026" width="6" bestFit="1" customWidth="1"/>
    <col min="1027" max="1027" width="8.6640625" bestFit="1" customWidth="1"/>
    <col min="1028" max="1028" width="6" bestFit="1" customWidth="1"/>
    <col min="1029" max="1029" width="8.6640625" bestFit="1" customWidth="1"/>
    <col min="1030" max="1030" width="6" bestFit="1" customWidth="1"/>
    <col min="1031" max="1031" width="8.6640625" bestFit="1" customWidth="1"/>
    <col min="1032" max="1032" width="6" bestFit="1" customWidth="1"/>
    <col min="1033" max="1033" width="8.6640625" bestFit="1" customWidth="1"/>
    <col min="1034" max="1034" width="6" bestFit="1" customWidth="1"/>
    <col min="1035" max="1035" width="8.6640625" bestFit="1" customWidth="1"/>
    <col min="1036" max="1036" width="6" bestFit="1" customWidth="1"/>
    <col min="1037" max="1037" width="8.6640625" bestFit="1" customWidth="1"/>
    <col min="1038" max="1038" width="6" bestFit="1" customWidth="1"/>
    <col min="1039" max="1039" width="8.6640625" bestFit="1" customWidth="1"/>
    <col min="1040" max="1040" width="6" bestFit="1" customWidth="1"/>
    <col min="1041" max="1041" width="8.6640625" bestFit="1" customWidth="1"/>
    <col min="1042" max="1042" width="6" bestFit="1" customWidth="1"/>
    <col min="1043" max="1043" width="8.6640625" bestFit="1" customWidth="1"/>
    <col min="1044" max="1044" width="6" bestFit="1" customWidth="1"/>
    <col min="1045" max="1045" width="8.6640625" bestFit="1" customWidth="1"/>
    <col min="1046" max="1046" width="6" bestFit="1" customWidth="1"/>
    <col min="1047" max="1047" width="8.6640625" bestFit="1" customWidth="1"/>
    <col min="1048" max="1048" width="6" bestFit="1" customWidth="1"/>
    <col min="1049" max="1049" width="8.6640625" bestFit="1" customWidth="1"/>
    <col min="1050" max="1050" width="6" bestFit="1" customWidth="1"/>
    <col min="1051" max="1051" width="8.6640625" bestFit="1" customWidth="1"/>
    <col min="1052" max="1052" width="6" bestFit="1" customWidth="1"/>
    <col min="1053" max="1053" width="8.6640625" bestFit="1" customWidth="1"/>
    <col min="1054" max="1054" width="6" bestFit="1" customWidth="1"/>
    <col min="1055" max="1055" width="8.6640625" bestFit="1" customWidth="1"/>
    <col min="1056" max="1056" width="6" bestFit="1" customWidth="1"/>
    <col min="1057" max="1057" width="8.6640625" bestFit="1" customWidth="1"/>
    <col min="1058" max="1058" width="6" bestFit="1" customWidth="1"/>
    <col min="1059" max="1059" width="8.6640625" bestFit="1" customWidth="1"/>
    <col min="1060" max="1060" width="6" bestFit="1" customWidth="1"/>
    <col min="1061" max="1061" width="8.6640625" bestFit="1" customWidth="1"/>
    <col min="1062" max="1062" width="6" bestFit="1" customWidth="1"/>
    <col min="1063" max="1063" width="8.6640625" bestFit="1" customWidth="1"/>
    <col min="1064" max="1064" width="6" bestFit="1" customWidth="1"/>
    <col min="1065" max="1065" width="8.6640625" bestFit="1" customWidth="1"/>
    <col min="1066" max="1066" width="6" bestFit="1" customWidth="1"/>
    <col min="1067" max="1067" width="8.6640625" bestFit="1" customWidth="1"/>
    <col min="1068" max="1068" width="6" bestFit="1" customWidth="1"/>
    <col min="1069" max="1069" width="8.6640625" bestFit="1" customWidth="1"/>
    <col min="1070" max="1070" width="6" bestFit="1" customWidth="1"/>
    <col min="1071" max="1071" width="8.6640625" bestFit="1" customWidth="1"/>
    <col min="1072" max="1072" width="6" bestFit="1" customWidth="1"/>
    <col min="1073" max="1073" width="8.6640625" bestFit="1" customWidth="1"/>
    <col min="1074" max="1074" width="6" bestFit="1" customWidth="1"/>
    <col min="1075" max="1075" width="8.6640625" bestFit="1" customWidth="1"/>
    <col min="1076" max="1076" width="6" bestFit="1" customWidth="1"/>
    <col min="1077" max="1077" width="8.6640625" bestFit="1" customWidth="1"/>
    <col min="1078" max="1078" width="6" bestFit="1" customWidth="1"/>
    <col min="1079" max="1079" width="8.6640625" bestFit="1" customWidth="1"/>
    <col min="1080" max="1080" width="6" bestFit="1" customWidth="1"/>
    <col min="1081" max="1081" width="8.6640625" bestFit="1" customWidth="1"/>
    <col min="1082" max="1082" width="6" bestFit="1" customWidth="1"/>
    <col min="1083" max="1083" width="8.6640625" bestFit="1" customWidth="1"/>
    <col min="1084" max="1084" width="6" bestFit="1" customWidth="1"/>
    <col min="1085" max="1085" width="8.6640625" bestFit="1" customWidth="1"/>
    <col min="1086" max="1086" width="6" bestFit="1" customWidth="1"/>
    <col min="1087" max="1087" width="8.6640625" bestFit="1" customWidth="1"/>
    <col min="1088" max="1088" width="6" bestFit="1" customWidth="1"/>
    <col min="1089" max="1089" width="8.6640625" bestFit="1" customWidth="1"/>
    <col min="1090" max="1090" width="6" bestFit="1" customWidth="1"/>
    <col min="1091" max="1091" width="8.6640625" bestFit="1" customWidth="1"/>
    <col min="1092" max="1092" width="6" bestFit="1" customWidth="1"/>
    <col min="1093" max="1093" width="8.6640625" bestFit="1" customWidth="1"/>
    <col min="1094" max="1094" width="6" bestFit="1" customWidth="1"/>
    <col min="1095" max="1095" width="8.6640625" bestFit="1" customWidth="1"/>
    <col min="1096" max="1096" width="6" bestFit="1" customWidth="1"/>
    <col min="1097" max="1097" width="8.6640625" bestFit="1" customWidth="1"/>
    <col min="1098" max="1098" width="6" bestFit="1" customWidth="1"/>
    <col min="1099" max="1099" width="8.6640625" bestFit="1" customWidth="1"/>
    <col min="1100" max="1100" width="6" bestFit="1" customWidth="1"/>
    <col min="1101" max="1101" width="8.6640625" bestFit="1" customWidth="1"/>
    <col min="1102" max="1102" width="6" bestFit="1" customWidth="1"/>
    <col min="1103" max="1103" width="8.6640625" bestFit="1" customWidth="1"/>
    <col min="1104" max="1104" width="6" bestFit="1" customWidth="1"/>
    <col min="1105" max="1105" width="8.6640625" bestFit="1" customWidth="1"/>
    <col min="1106" max="1106" width="6" bestFit="1" customWidth="1"/>
    <col min="1107" max="1107" width="8.6640625" bestFit="1" customWidth="1"/>
    <col min="1108" max="1108" width="6" bestFit="1" customWidth="1"/>
    <col min="1109" max="1109" width="8.6640625" bestFit="1" customWidth="1"/>
    <col min="1110" max="1110" width="6" bestFit="1" customWidth="1"/>
    <col min="1111" max="1111" width="8.6640625" bestFit="1" customWidth="1"/>
    <col min="1112" max="1112" width="6" bestFit="1" customWidth="1"/>
    <col min="1113" max="1113" width="8.6640625" bestFit="1" customWidth="1"/>
    <col min="1114" max="1114" width="6" bestFit="1" customWidth="1"/>
    <col min="1115" max="1115" width="8.6640625" bestFit="1" customWidth="1"/>
    <col min="1116" max="1116" width="6" bestFit="1" customWidth="1"/>
    <col min="1117" max="1117" width="8.6640625" bestFit="1" customWidth="1"/>
    <col min="1118" max="1118" width="6" bestFit="1" customWidth="1"/>
    <col min="1119" max="1119" width="8.6640625" bestFit="1" customWidth="1"/>
    <col min="1120" max="1120" width="6" bestFit="1" customWidth="1"/>
    <col min="1121" max="1121" width="8.6640625" bestFit="1" customWidth="1"/>
    <col min="1122" max="1122" width="6" bestFit="1" customWidth="1"/>
    <col min="1123" max="1123" width="8.6640625" bestFit="1" customWidth="1"/>
    <col min="1124" max="1124" width="6" bestFit="1" customWidth="1"/>
    <col min="1125" max="1125" width="8.6640625" bestFit="1" customWidth="1"/>
    <col min="1126" max="1126" width="6" bestFit="1" customWidth="1"/>
    <col min="1127" max="1127" width="8.6640625" bestFit="1" customWidth="1"/>
    <col min="1128" max="1128" width="6" bestFit="1" customWidth="1"/>
    <col min="1129" max="1129" width="8.6640625" bestFit="1" customWidth="1"/>
    <col min="1130" max="1130" width="6" bestFit="1" customWidth="1"/>
    <col min="1131" max="1131" width="8.6640625" bestFit="1" customWidth="1"/>
    <col min="1132" max="1132" width="6" bestFit="1" customWidth="1"/>
    <col min="1133" max="1133" width="8.6640625" bestFit="1" customWidth="1"/>
    <col min="1134" max="1134" width="6" bestFit="1" customWidth="1"/>
    <col min="1135" max="1135" width="8.6640625" bestFit="1" customWidth="1"/>
    <col min="1136" max="1136" width="6" bestFit="1" customWidth="1"/>
    <col min="1137" max="1137" width="8.6640625" bestFit="1" customWidth="1"/>
    <col min="1138" max="1138" width="6" bestFit="1" customWidth="1"/>
    <col min="1139" max="1139" width="8.6640625" bestFit="1" customWidth="1"/>
    <col min="1140" max="1140" width="6" bestFit="1" customWidth="1"/>
    <col min="1141" max="1141" width="8.6640625" bestFit="1" customWidth="1"/>
    <col min="1142" max="1142" width="6" bestFit="1" customWidth="1"/>
    <col min="1143" max="1143" width="8.6640625" bestFit="1" customWidth="1"/>
    <col min="1144" max="1144" width="6" bestFit="1" customWidth="1"/>
    <col min="1145" max="1145" width="8.6640625" bestFit="1" customWidth="1"/>
    <col min="1146" max="1146" width="6" bestFit="1" customWidth="1"/>
    <col min="1147" max="1147" width="8.6640625" bestFit="1" customWidth="1"/>
    <col min="1148" max="1148" width="6" bestFit="1" customWidth="1"/>
    <col min="1149" max="1149" width="8.6640625" bestFit="1" customWidth="1"/>
    <col min="1150" max="1150" width="6" bestFit="1" customWidth="1"/>
    <col min="1151" max="1151" width="8.6640625" bestFit="1" customWidth="1"/>
    <col min="1152" max="1152" width="6" bestFit="1" customWidth="1"/>
    <col min="1153" max="1153" width="8.6640625" bestFit="1" customWidth="1"/>
    <col min="1154" max="1154" width="6" bestFit="1" customWidth="1"/>
    <col min="1155" max="1155" width="8.6640625" bestFit="1" customWidth="1"/>
    <col min="1156" max="1156" width="6" bestFit="1" customWidth="1"/>
    <col min="1157" max="1157" width="8.6640625" bestFit="1" customWidth="1"/>
    <col min="1158" max="1158" width="6" bestFit="1" customWidth="1"/>
    <col min="1159" max="1159" width="8.6640625" bestFit="1" customWidth="1"/>
    <col min="1160" max="1160" width="6" bestFit="1" customWidth="1"/>
    <col min="1161" max="1161" width="8.6640625" bestFit="1" customWidth="1"/>
    <col min="1162" max="1162" width="6" bestFit="1" customWidth="1"/>
    <col min="1163" max="1163" width="8.6640625" bestFit="1" customWidth="1"/>
    <col min="1164" max="1164" width="6" bestFit="1" customWidth="1"/>
    <col min="1165" max="1165" width="8.6640625" bestFit="1" customWidth="1"/>
    <col min="1166" max="1166" width="6" bestFit="1" customWidth="1"/>
    <col min="1167" max="1167" width="8.6640625" bestFit="1" customWidth="1"/>
    <col min="1168" max="1168" width="6" bestFit="1" customWidth="1"/>
    <col min="1169" max="1169" width="8.6640625" bestFit="1" customWidth="1"/>
    <col min="1170" max="1170" width="6" bestFit="1" customWidth="1"/>
    <col min="1171" max="1171" width="8.6640625" bestFit="1" customWidth="1"/>
    <col min="1172" max="1172" width="6" bestFit="1" customWidth="1"/>
    <col min="1173" max="1173" width="8.6640625" bestFit="1" customWidth="1"/>
    <col min="1174" max="1174" width="6" bestFit="1" customWidth="1"/>
    <col min="1175" max="1175" width="8.6640625" bestFit="1" customWidth="1"/>
    <col min="1176" max="1176" width="6" bestFit="1" customWidth="1"/>
    <col min="1177" max="1177" width="8.6640625" bestFit="1" customWidth="1"/>
    <col min="1178" max="1178" width="6" bestFit="1" customWidth="1"/>
    <col min="1179" max="1179" width="8.6640625" bestFit="1" customWidth="1"/>
    <col min="1180" max="1180" width="6" bestFit="1" customWidth="1"/>
    <col min="1181" max="1181" width="8.6640625" bestFit="1" customWidth="1"/>
    <col min="1182" max="1182" width="6" bestFit="1" customWidth="1"/>
    <col min="1183" max="1183" width="8.6640625" bestFit="1" customWidth="1"/>
    <col min="1184" max="1184" width="6" bestFit="1" customWidth="1"/>
    <col min="1185" max="1185" width="8.6640625" bestFit="1" customWidth="1"/>
    <col min="1186" max="1186" width="6" bestFit="1" customWidth="1"/>
    <col min="1187" max="1187" width="8.6640625" bestFit="1" customWidth="1"/>
    <col min="1188" max="1188" width="6" bestFit="1" customWidth="1"/>
    <col min="1189" max="1189" width="8.6640625" bestFit="1" customWidth="1"/>
    <col min="1190" max="1190" width="6" bestFit="1" customWidth="1"/>
    <col min="1191" max="1191" width="8.6640625" bestFit="1" customWidth="1"/>
    <col min="1192" max="1192" width="6" bestFit="1" customWidth="1"/>
    <col min="1193" max="1193" width="8.6640625" bestFit="1" customWidth="1"/>
    <col min="1194" max="1194" width="6" bestFit="1" customWidth="1"/>
    <col min="1195" max="1195" width="8.6640625" bestFit="1" customWidth="1"/>
    <col min="1196" max="1196" width="6" bestFit="1" customWidth="1"/>
    <col min="1197" max="1197" width="8.6640625" bestFit="1" customWidth="1"/>
    <col min="1198" max="1198" width="6" bestFit="1" customWidth="1"/>
    <col min="1199" max="1199" width="8.6640625" bestFit="1" customWidth="1"/>
    <col min="1200" max="1200" width="6" bestFit="1" customWidth="1"/>
    <col min="1201" max="1201" width="8.6640625" bestFit="1" customWidth="1"/>
    <col min="1202" max="1202" width="6" bestFit="1" customWidth="1"/>
    <col min="1203" max="1203" width="8.6640625" bestFit="1" customWidth="1"/>
    <col min="1204" max="1204" width="6" bestFit="1" customWidth="1"/>
    <col min="1205" max="1205" width="8.6640625" bestFit="1" customWidth="1"/>
    <col min="1206" max="1206" width="6" bestFit="1" customWidth="1"/>
    <col min="1207" max="1207" width="8.6640625" bestFit="1" customWidth="1"/>
    <col min="1208" max="1208" width="6" bestFit="1" customWidth="1"/>
    <col min="1209" max="1209" width="8.6640625" bestFit="1" customWidth="1"/>
    <col min="1210" max="1210" width="6" bestFit="1" customWidth="1"/>
    <col min="1211" max="1211" width="8.6640625" bestFit="1" customWidth="1"/>
    <col min="1212" max="1212" width="6" bestFit="1" customWidth="1"/>
    <col min="1213" max="1213" width="8.6640625" bestFit="1" customWidth="1"/>
    <col min="1214" max="1214" width="6" bestFit="1" customWidth="1"/>
    <col min="1215" max="1215" width="8.6640625" bestFit="1" customWidth="1"/>
    <col min="1216" max="1216" width="6" bestFit="1" customWidth="1"/>
    <col min="1217" max="1217" width="8.6640625" bestFit="1" customWidth="1"/>
    <col min="1218" max="1218" width="6" bestFit="1" customWidth="1"/>
    <col min="1219" max="1219" width="8.6640625" bestFit="1" customWidth="1"/>
    <col min="1220" max="1220" width="6" bestFit="1" customWidth="1"/>
    <col min="1221" max="1221" width="8.6640625" bestFit="1" customWidth="1"/>
    <col min="1222" max="1222" width="6" bestFit="1" customWidth="1"/>
    <col min="1223" max="1223" width="8.6640625" bestFit="1" customWidth="1"/>
    <col min="1224" max="1224" width="6" bestFit="1" customWidth="1"/>
    <col min="1225" max="1225" width="8.6640625" bestFit="1" customWidth="1"/>
    <col min="1226" max="1226" width="6" bestFit="1" customWidth="1"/>
    <col min="1227" max="1227" width="8.6640625" bestFit="1" customWidth="1"/>
    <col min="1228" max="1228" width="6" bestFit="1" customWidth="1"/>
    <col min="1229" max="1229" width="8.6640625" bestFit="1" customWidth="1"/>
    <col min="1230" max="1230" width="6" bestFit="1" customWidth="1"/>
    <col min="1231" max="1231" width="8.6640625" bestFit="1" customWidth="1"/>
    <col min="1232" max="1232" width="6" bestFit="1" customWidth="1"/>
    <col min="1233" max="1233" width="8.6640625" bestFit="1" customWidth="1"/>
    <col min="1234" max="1234" width="6" bestFit="1" customWidth="1"/>
    <col min="1235" max="1235" width="8.6640625" bestFit="1" customWidth="1"/>
    <col min="1236" max="1236" width="6" bestFit="1" customWidth="1"/>
    <col min="1237" max="1237" width="8.6640625" bestFit="1" customWidth="1"/>
    <col min="1238" max="1238" width="6" bestFit="1" customWidth="1"/>
    <col min="1239" max="1239" width="8.6640625" bestFit="1" customWidth="1"/>
    <col min="1240" max="1240" width="6" bestFit="1" customWidth="1"/>
    <col min="1241" max="1241" width="8.6640625" bestFit="1" customWidth="1"/>
    <col min="1242" max="1242" width="6" bestFit="1" customWidth="1"/>
    <col min="1243" max="1243" width="8.6640625" bestFit="1" customWidth="1"/>
    <col min="1244" max="1244" width="6" bestFit="1" customWidth="1"/>
    <col min="1245" max="1245" width="8.6640625" bestFit="1" customWidth="1"/>
    <col min="1246" max="1246" width="6" bestFit="1" customWidth="1"/>
    <col min="1247" max="1247" width="8.6640625" bestFit="1" customWidth="1"/>
    <col min="1248" max="1248" width="6" bestFit="1" customWidth="1"/>
    <col min="1249" max="1249" width="8.6640625" bestFit="1" customWidth="1"/>
    <col min="1250" max="1250" width="6" bestFit="1" customWidth="1"/>
    <col min="1251" max="1251" width="8.6640625" bestFit="1" customWidth="1"/>
    <col min="1252" max="1252" width="6" bestFit="1" customWidth="1"/>
    <col min="1253" max="1253" width="8.6640625" bestFit="1" customWidth="1"/>
    <col min="1254" max="1254" width="6" bestFit="1" customWidth="1"/>
    <col min="1255" max="1255" width="8.6640625" bestFit="1" customWidth="1"/>
    <col min="1256" max="1256" width="6" bestFit="1" customWidth="1"/>
    <col min="1257" max="1257" width="8.6640625" bestFit="1" customWidth="1"/>
    <col min="1258" max="1258" width="6" bestFit="1" customWidth="1"/>
    <col min="1259" max="1259" width="8.6640625" bestFit="1" customWidth="1"/>
    <col min="1260" max="1260" width="6" bestFit="1" customWidth="1"/>
    <col min="1261" max="1261" width="8.6640625" bestFit="1" customWidth="1"/>
    <col min="1262" max="1262" width="6" bestFit="1" customWidth="1"/>
    <col min="1263" max="1263" width="8.6640625" bestFit="1" customWidth="1"/>
    <col min="1264" max="1264" width="6" bestFit="1" customWidth="1"/>
    <col min="1265" max="1265" width="8.6640625" bestFit="1" customWidth="1"/>
    <col min="1266" max="1266" width="6" bestFit="1" customWidth="1"/>
    <col min="1267" max="1267" width="8.6640625" bestFit="1" customWidth="1"/>
    <col min="1268" max="1268" width="6" bestFit="1" customWidth="1"/>
    <col min="1269" max="1269" width="8.6640625" bestFit="1" customWidth="1"/>
    <col min="1270" max="1270" width="6" bestFit="1" customWidth="1"/>
    <col min="1271" max="1271" width="8.6640625" bestFit="1" customWidth="1"/>
    <col min="1272" max="1272" width="6" bestFit="1" customWidth="1"/>
    <col min="1273" max="1273" width="8.6640625" bestFit="1" customWidth="1"/>
    <col min="1274" max="1274" width="6" bestFit="1" customWidth="1"/>
    <col min="1275" max="1275" width="8.6640625" bestFit="1" customWidth="1"/>
    <col min="1276" max="1276" width="6" bestFit="1" customWidth="1"/>
    <col min="1277" max="1277" width="8.6640625" bestFit="1" customWidth="1"/>
    <col min="1278" max="1278" width="6" bestFit="1" customWidth="1"/>
    <col min="1279" max="1279" width="8.6640625" bestFit="1" customWidth="1"/>
    <col min="1280" max="1280" width="6" bestFit="1" customWidth="1"/>
    <col min="1281" max="1281" width="8.6640625" bestFit="1" customWidth="1"/>
    <col min="1282" max="1282" width="6" bestFit="1" customWidth="1"/>
    <col min="1283" max="1283" width="8.6640625" bestFit="1" customWidth="1"/>
    <col min="1284" max="1284" width="6" bestFit="1" customWidth="1"/>
    <col min="1285" max="1285" width="8.6640625" bestFit="1" customWidth="1"/>
    <col min="1286" max="1286" width="6" bestFit="1" customWidth="1"/>
    <col min="1287" max="1287" width="8.6640625" bestFit="1" customWidth="1"/>
    <col min="1288" max="1288" width="6" bestFit="1" customWidth="1"/>
    <col min="1289" max="1289" width="8.6640625" bestFit="1" customWidth="1"/>
    <col min="1290" max="1290" width="6" bestFit="1" customWidth="1"/>
    <col min="1291" max="1291" width="8.6640625" bestFit="1" customWidth="1"/>
    <col min="1292" max="1292" width="6" bestFit="1" customWidth="1"/>
    <col min="1293" max="1293" width="8.6640625" bestFit="1" customWidth="1"/>
    <col min="1294" max="1294" width="6" bestFit="1" customWidth="1"/>
    <col min="1295" max="1295" width="8.6640625" bestFit="1" customWidth="1"/>
    <col min="1296" max="1296" width="6" bestFit="1" customWidth="1"/>
    <col min="1297" max="1297" width="8.6640625" bestFit="1" customWidth="1"/>
    <col min="1298" max="1298" width="6" bestFit="1" customWidth="1"/>
    <col min="1299" max="1299" width="8.6640625" bestFit="1" customWidth="1"/>
    <col min="1300" max="1300" width="6" bestFit="1" customWidth="1"/>
    <col min="1301" max="1301" width="8.6640625" bestFit="1" customWidth="1"/>
    <col min="1302" max="1302" width="6" bestFit="1" customWidth="1"/>
    <col min="1303" max="1303" width="8.6640625" bestFit="1" customWidth="1"/>
    <col min="1304" max="1304" width="6" bestFit="1" customWidth="1"/>
    <col min="1305" max="1305" width="8.6640625" bestFit="1" customWidth="1"/>
    <col min="1306" max="1306" width="6" bestFit="1" customWidth="1"/>
    <col min="1307" max="1307" width="8.6640625" bestFit="1" customWidth="1"/>
    <col min="1308" max="1308" width="6" bestFit="1" customWidth="1"/>
    <col min="1309" max="1309" width="8.6640625" bestFit="1" customWidth="1"/>
    <col min="1310" max="1310" width="6" bestFit="1" customWidth="1"/>
    <col min="1311" max="1311" width="8.6640625" bestFit="1" customWidth="1"/>
    <col min="1312" max="1312" width="6" bestFit="1" customWidth="1"/>
    <col min="1313" max="1313" width="8.6640625" bestFit="1" customWidth="1"/>
    <col min="1314" max="1314" width="6" bestFit="1" customWidth="1"/>
    <col min="1315" max="1315" width="8.6640625" bestFit="1" customWidth="1"/>
    <col min="1316" max="1316" width="6" bestFit="1" customWidth="1"/>
    <col min="1317" max="1317" width="8.6640625" bestFit="1" customWidth="1"/>
    <col min="1318" max="1318" width="6" bestFit="1" customWidth="1"/>
    <col min="1319" max="1319" width="8.6640625" bestFit="1" customWidth="1"/>
    <col min="1320" max="1320" width="6" bestFit="1" customWidth="1"/>
    <col min="1321" max="1321" width="8.6640625" bestFit="1" customWidth="1"/>
    <col min="1322" max="1322" width="6" bestFit="1" customWidth="1"/>
    <col min="1323" max="1323" width="8.6640625" bestFit="1" customWidth="1"/>
    <col min="1324" max="1324" width="6" bestFit="1" customWidth="1"/>
    <col min="1325" max="1325" width="8.6640625" bestFit="1" customWidth="1"/>
    <col min="1326" max="1326" width="6" bestFit="1" customWidth="1"/>
    <col min="1327" max="1327" width="8.6640625" bestFit="1" customWidth="1"/>
    <col min="1328" max="1328" width="6" bestFit="1" customWidth="1"/>
    <col min="1329" max="1329" width="8.6640625" bestFit="1" customWidth="1"/>
    <col min="1330" max="1330" width="6" bestFit="1" customWidth="1"/>
    <col min="1331" max="1331" width="8.6640625" bestFit="1" customWidth="1"/>
    <col min="1332" max="1332" width="6" bestFit="1" customWidth="1"/>
    <col min="1333" max="1333" width="8.6640625" bestFit="1" customWidth="1"/>
    <col min="1334" max="1334" width="6" bestFit="1" customWidth="1"/>
    <col min="1335" max="1335" width="8.6640625" bestFit="1" customWidth="1"/>
    <col min="1336" max="1336" width="6" bestFit="1" customWidth="1"/>
    <col min="1337" max="1337" width="8.6640625" bestFit="1" customWidth="1"/>
    <col min="1338" max="1338" width="6" bestFit="1" customWidth="1"/>
    <col min="1339" max="1339" width="8.6640625" bestFit="1" customWidth="1"/>
    <col min="1340" max="1340" width="6" bestFit="1" customWidth="1"/>
    <col min="1341" max="1341" width="8.6640625" bestFit="1" customWidth="1"/>
    <col min="1342" max="1342" width="6" bestFit="1" customWidth="1"/>
    <col min="1343" max="1343" width="8.6640625" bestFit="1" customWidth="1"/>
    <col min="1344" max="1344" width="6" bestFit="1" customWidth="1"/>
    <col min="1345" max="1345" width="8.6640625" bestFit="1" customWidth="1"/>
    <col min="1346" max="1346" width="6" bestFit="1" customWidth="1"/>
    <col min="1347" max="1347" width="8.6640625" bestFit="1" customWidth="1"/>
    <col min="1348" max="1348" width="6" bestFit="1" customWidth="1"/>
    <col min="1349" max="1349" width="8.6640625" bestFit="1" customWidth="1"/>
    <col min="1350" max="1350" width="6" bestFit="1" customWidth="1"/>
    <col min="1351" max="1351" width="8.6640625" bestFit="1" customWidth="1"/>
    <col min="1352" max="1352" width="6" bestFit="1" customWidth="1"/>
    <col min="1353" max="1353" width="8.6640625" bestFit="1" customWidth="1"/>
    <col min="1354" max="1354" width="6" bestFit="1" customWidth="1"/>
    <col min="1355" max="1355" width="8.6640625" bestFit="1" customWidth="1"/>
    <col min="1356" max="1356" width="6" bestFit="1" customWidth="1"/>
    <col min="1357" max="1357" width="8.6640625" bestFit="1" customWidth="1"/>
    <col min="1358" max="1358" width="6" bestFit="1" customWidth="1"/>
    <col min="1359" max="1359" width="8.6640625" bestFit="1" customWidth="1"/>
    <col min="1360" max="1360" width="6" bestFit="1" customWidth="1"/>
    <col min="1361" max="1361" width="8.6640625" bestFit="1" customWidth="1"/>
    <col min="1362" max="1362" width="6" bestFit="1" customWidth="1"/>
    <col min="1363" max="1363" width="8.6640625" bestFit="1" customWidth="1"/>
    <col min="1364" max="1364" width="6" bestFit="1" customWidth="1"/>
    <col min="1365" max="1365" width="8.6640625" bestFit="1" customWidth="1"/>
    <col min="1366" max="1366" width="6" bestFit="1" customWidth="1"/>
    <col min="1367" max="1367" width="8.6640625" bestFit="1" customWidth="1"/>
    <col min="1368" max="1368" width="6" bestFit="1" customWidth="1"/>
    <col min="1369" max="1369" width="8.6640625" bestFit="1" customWidth="1"/>
    <col min="1370" max="1370" width="6" bestFit="1" customWidth="1"/>
    <col min="1371" max="1371" width="8.6640625" bestFit="1" customWidth="1"/>
    <col min="1372" max="1372" width="6" bestFit="1" customWidth="1"/>
    <col min="1373" max="1373" width="8.6640625" bestFit="1" customWidth="1"/>
    <col min="1374" max="1374" width="6" bestFit="1" customWidth="1"/>
    <col min="1375" max="1375" width="8.6640625" bestFit="1" customWidth="1"/>
    <col min="1376" max="1376" width="6" bestFit="1" customWidth="1"/>
    <col min="1377" max="1377" width="8.6640625" bestFit="1" customWidth="1"/>
    <col min="1378" max="1378" width="6" bestFit="1" customWidth="1"/>
    <col min="1379" max="1379" width="8.6640625" bestFit="1" customWidth="1"/>
    <col min="1380" max="1380" width="6" bestFit="1" customWidth="1"/>
    <col min="1381" max="1381" width="8.6640625" bestFit="1" customWidth="1"/>
    <col min="1382" max="1382" width="6" bestFit="1" customWidth="1"/>
    <col min="1383" max="1383" width="8.6640625" bestFit="1" customWidth="1"/>
    <col min="1384" max="1384" width="6" bestFit="1" customWidth="1"/>
    <col min="1385" max="1385" width="8.6640625" bestFit="1" customWidth="1"/>
    <col min="1386" max="1386" width="6" bestFit="1" customWidth="1"/>
    <col min="1387" max="1387" width="8.6640625" bestFit="1" customWidth="1"/>
    <col min="1388" max="1388" width="6" bestFit="1" customWidth="1"/>
    <col min="1389" max="1389" width="8.6640625" bestFit="1" customWidth="1"/>
    <col min="1390" max="1390" width="6" bestFit="1" customWidth="1"/>
    <col min="1391" max="1391" width="8.6640625" bestFit="1" customWidth="1"/>
    <col min="1392" max="1392" width="6" bestFit="1" customWidth="1"/>
    <col min="1393" max="1393" width="8.6640625" bestFit="1" customWidth="1"/>
    <col min="1394" max="1394" width="6" bestFit="1" customWidth="1"/>
    <col min="1395" max="1395" width="8.6640625" bestFit="1" customWidth="1"/>
    <col min="1396" max="1396" width="6" bestFit="1" customWidth="1"/>
    <col min="1397" max="1397" width="8.6640625" bestFit="1" customWidth="1"/>
    <col min="1398" max="1398" width="6" bestFit="1" customWidth="1"/>
    <col min="1399" max="1399" width="8.6640625" bestFit="1" customWidth="1"/>
    <col min="1400" max="1400" width="6" bestFit="1" customWidth="1"/>
    <col min="1401" max="1401" width="8.6640625" bestFit="1" customWidth="1"/>
    <col min="1402" max="1402" width="6" bestFit="1" customWidth="1"/>
    <col min="1403" max="1403" width="8.6640625" bestFit="1" customWidth="1"/>
    <col min="1404" max="1404" width="6" bestFit="1" customWidth="1"/>
    <col min="1405" max="1405" width="8.6640625" bestFit="1" customWidth="1"/>
    <col min="1406" max="1406" width="6" bestFit="1" customWidth="1"/>
    <col min="1407" max="1407" width="8.6640625" bestFit="1" customWidth="1"/>
    <col min="1408" max="1408" width="6" bestFit="1" customWidth="1"/>
    <col min="1409" max="1409" width="8.6640625" bestFit="1" customWidth="1"/>
    <col min="1410" max="1410" width="6" bestFit="1" customWidth="1"/>
    <col min="1411" max="1411" width="8.6640625" bestFit="1" customWidth="1"/>
    <col min="1412" max="1412" width="6" bestFit="1" customWidth="1"/>
    <col min="1413" max="1413" width="8.6640625" bestFit="1" customWidth="1"/>
    <col min="1414" max="1414" width="6" bestFit="1" customWidth="1"/>
    <col min="1415" max="1415" width="8.6640625" bestFit="1" customWidth="1"/>
    <col min="1416" max="1416" width="6" bestFit="1" customWidth="1"/>
    <col min="1417" max="1417" width="8.6640625" bestFit="1" customWidth="1"/>
    <col min="1418" max="1418" width="6" bestFit="1" customWidth="1"/>
    <col min="1419" max="1419" width="8.6640625" bestFit="1" customWidth="1"/>
    <col min="1420" max="1420" width="6" bestFit="1" customWidth="1"/>
    <col min="1421" max="1421" width="8.6640625" bestFit="1" customWidth="1"/>
    <col min="1422" max="1422" width="6" bestFit="1" customWidth="1"/>
    <col min="1423" max="1423" width="8.6640625" bestFit="1" customWidth="1"/>
    <col min="1424" max="1424" width="6" bestFit="1" customWidth="1"/>
    <col min="1425" max="1425" width="8.6640625" bestFit="1" customWidth="1"/>
    <col min="1426" max="1426" width="6" bestFit="1" customWidth="1"/>
    <col min="1427" max="1427" width="8.6640625" bestFit="1" customWidth="1"/>
    <col min="1428" max="1428" width="6" bestFit="1" customWidth="1"/>
    <col min="1429" max="1429" width="8.6640625" bestFit="1" customWidth="1"/>
    <col min="1430" max="1430" width="6" bestFit="1" customWidth="1"/>
    <col min="1431" max="1431" width="8.6640625" bestFit="1" customWidth="1"/>
    <col min="1432" max="1432" width="6" bestFit="1" customWidth="1"/>
    <col min="1433" max="1433" width="8.6640625" bestFit="1" customWidth="1"/>
    <col min="1434" max="1434" width="6" bestFit="1" customWidth="1"/>
    <col min="1435" max="1435" width="8.6640625" bestFit="1" customWidth="1"/>
    <col min="1436" max="1436" width="7" bestFit="1" customWidth="1"/>
    <col min="1437" max="1437" width="9.6640625" bestFit="1" customWidth="1"/>
    <col min="1438" max="1438" width="7" bestFit="1" customWidth="1"/>
    <col min="1439" max="1439" width="9.6640625" bestFit="1" customWidth="1"/>
    <col min="1440" max="1440" width="7" bestFit="1" customWidth="1"/>
    <col min="1441" max="1441" width="9.6640625" bestFit="1" customWidth="1"/>
    <col min="1442" max="1442" width="7" bestFit="1" customWidth="1"/>
    <col min="1443" max="1443" width="9.6640625" bestFit="1" customWidth="1"/>
    <col min="1444" max="1444" width="7" bestFit="1" customWidth="1"/>
    <col min="1445" max="1445" width="9.6640625" bestFit="1" customWidth="1"/>
    <col min="1446" max="1446" width="7" bestFit="1" customWidth="1"/>
    <col min="1447" max="1447" width="9.6640625" bestFit="1" customWidth="1"/>
    <col min="1448" max="1448" width="7" bestFit="1" customWidth="1"/>
    <col min="1449" max="1449" width="9.6640625" bestFit="1" customWidth="1"/>
    <col min="1450" max="1450" width="7" bestFit="1" customWidth="1"/>
    <col min="1451" max="1451" width="9.6640625" bestFit="1" customWidth="1"/>
    <col min="1452" max="1452" width="7" bestFit="1" customWidth="1"/>
    <col min="1453" max="1453" width="9.6640625" bestFit="1" customWidth="1"/>
    <col min="1454" max="1454" width="7" bestFit="1" customWidth="1"/>
    <col min="1455" max="1455" width="9.6640625" bestFit="1" customWidth="1"/>
    <col min="1456" max="1456" width="7" bestFit="1" customWidth="1"/>
    <col min="1457" max="1457" width="9.6640625" bestFit="1" customWidth="1"/>
    <col min="1458" max="1458" width="7" bestFit="1" customWidth="1"/>
    <col min="1459" max="1459" width="9.6640625" bestFit="1" customWidth="1"/>
    <col min="1460" max="1460" width="7" bestFit="1" customWidth="1"/>
    <col min="1461" max="1461" width="9.6640625" bestFit="1" customWidth="1"/>
    <col min="1462" max="1462" width="7" bestFit="1" customWidth="1"/>
    <col min="1463" max="1463" width="9.6640625" bestFit="1" customWidth="1"/>
    <col min="1464" max="1464" width="7" bestFit="1" customWidth="1"/>
    <col min="1465" max="1465" width="9.6640625" bestFit="1" customWidth="1"/>
    <col min="1466" max="1466" width="7" bestFit="1" customWidth="1"/>
    <col min="1467" max="1467" width="9.6640625" bestFit="1" customWidth="1"/>
    <col min="1468" max="1468" width="7" bestFit="1" customWidth="1"/>
    <col min="1469" max="1469" width="9.6640625" bestFit="1" customWidth="1"/>
    <col min="1470" max="1470" width="7" bestFit="1" customWidth="1"/>
    <col min="1471" max="1471" width="9.6640625" bestFit="1" customWidth="1"/>
    <col min="1472" max="1472" width="7" bestFit="1" customWidth="1"/>
    <col min="1473" max="1473" width="9.6640625" bestFit="1" customWidth="1"/>
    <col min="1474" max="1474" width="7" bestFit="1" customWidth="1"/>
    <col min="1475" max="1475" width="9.6640625" bestFit="1" customWidth="1"/>
    <col min="1476" max="1476" width="7" bestFit="1" customWidth="1"/>
    <col min="1477" max="1477" width="9.6640625" bestFit="1" customWidth="1"/>
    <col min="1478" max="1478" width="7" bestFit="1" customWidth="1"/>
    <col min="1479" max="1479" width="9.6640625" bestFit="1" customWidth="1"/>
    <col min="1480" max="1480" width="7" bestFit="1" customWidth="1"/>
    <col min="1481" max="1481" width="9.6640625" bestFit="1" customWidth="1"/>
    <col min="1482" max="1482" width="7" bestFit="1" customWidth="1"/>
    <col min="1483" max="1483" width="9.6640625" bestFit="1" customWidth="1"/>
    <col min="1484" max="1484" width="7" bestFit="1" customWidth="1"/>
    <col min="1485" max="1485" width="9.6640625" bestFit="1" customWidth="1"/>
    <col min="1486" max="1486" width="7" bestFit="1" customWidth="1"/>
    <col min="1487" max="1487" width="9.6640625" bestFit="1" customWidth="1"/>
    <col min="1488" max="1488" width="7" bestFit="1" customWidth="1"/>
    <col min="1489" max="1489" width="9.6640625" bestFit="1" customWidth="1"/>
    <col min="1490" max="1490" width="7" bestFit="1" customWidth="1"/>
    <col min="1491" max="1491" width="9.6640625" bestFit="1" customWidth="1"/>
    <col min="1492" max="1492" width="7" bestFit="1" customWidth="1"/>
    <col min="1493" max="1493" width="9.6640625" bestFit="1" customWidth="1"/>
    <col min="1494" max="1494" width="7" bestFit="1" customWidth="1"/>
    <col min="1495" max="1495" width="9.6640625" bestFit="1" customWidth="1"/>
    <col min="1496" max="1496" width="7" bestFit="1" customWidth="1"/>
    <col min="1497" max="1497" width="9.6640625" bestFit="1" customWidth="1"/>
    <col min="1498" max="1498" width="7" bestFit="1" customWidth="1"/>
    <col min="1499" max="1499" width="9.6640625" bestFit="1" customWidth="1"/>
    <col min="1500" max="1500" width="7" bestFit="1" customWidth="1"/>
    <col min="1501" max="1501" width="9.6640625" bestFit="1" customWidth="1"/>
    <col min="1502" max="1502" width="7" bestFit="1" customWidth="1"/>
    <col min="1503" max="1503" width="9.6640625" bestFit="1" customWidth="1"/>
    <col min="1504" max="1504" width="7" bestFit="1" customWidth="1"/>
    <col min="1505" max="1505" width="9.6640625" bestFit="1" customWidth="1"/>
    <col min="1506" max="1506" width="7" bestFit="1" customWidth="1"/>
    <col min="1507" max="1507" width="9.6640625" bestFit="1" customWidth="1"/>
    <col min="1508" max="1508" width="7" bestFit="1" customWidth="1"/>
    <col min="1509" max="1509" width="9.6640625" bestFit="1" customWidth="1"/>
    <col min="1510" max="1510" width="7" bestFit="1" customWidth="1"/>
    <col min="1511" max="1511" width="9.6640625" bestFit="1" customWidth="1"/>
    <col min="1512" max="1512" width="7" bestFit="1" customWidth="1"/>
    <col min="1513" max="1513" width="9.6640625" bestFit="1" customWidth="1"/>
    <col min="1514" max="1514" width="7" bestFit="1" customWidth="1"/>
    <col min="1515" max="1515" width="9.6640625" bestFit="1" customWidth="1"/>
    <col min="1516" max="1516" width="7" bestFit="1" customWidth="1"/>
    <col min="1517" max="1517" width="9.6640625" bestFit="1" customWidth="1"/>
    <col min="1518" max="1518" width="7" bestFit="1" customWidth="1"/>
    <col min="1519" max="1519" width="9.6640625" bestFit="1" customWidth="1"/>
    <col min="1520" max="1520" width="7" bestFit="1" customWidth="1"/>
    <col min="1521" max="1521" width="9.6640625" bestFit="1" customWidth="1"/>
    <col min="1522" max="1522" width="7" bestFit="1" customWidth="1"/>
    <col min="1523" max="1523" width="9.6640625" bestFit="1" customWidth="1"/>
    <col min="1524" max="1524" width="7" bestFit="1" customWidth="1"/>
    <col min="1525" max="1525" width="9.6640625" bestFit="1" customWidth="1"/>
    <col min="1526" max="1526" width="7" bestFit="1" customWidth="1"/>
    <col min="1527" max="1527" width="9.6640625" bestFit="1" customWidth="1"/>
    <col min="1528" max="1528" width="7" bestFit="1" customWidth="1"/>
    <col min="1529" max="1529" width="9.6640625" bestFit="1" customWidth="1"/>
    <col min="1530" max="1530" width="7" bestFit="1" customWidth="1"/>
    <col min="1531" max="1531" width="9.6640625" bestFit="1" customWidth="1"/>
    <col min="1532" max="1532" width="7" bestFit="1" customWidth="1"/>
    <col min="1533" max="1533" width="9.6640625" bestFit="1" customWidth="1"/>
    <col min="1534" max="1534" width="7" bestFit="1" customWidth="1"/>
    <col min="1535" max="1535" width="9.6640625" bestFit="1" customWidth="1"/>
    <col min="1536" max="1536" width="7" bestFit="1" customWidth="1"/>
    <col min="1537" max="1537" width="9.6640625" bestFit="1" customWidth="1"/>
    <col min="1538" max="1538" width="7" bestFit="1" customWidth="1"/>
    <col min="1539" max="1539" width="9.6640625" bestFit="1" customWidth="1"/>
    <col min="1540" max="1540" width="7" bestFit="1" customWidth="1"/>
    <col min="1541" max="1541" width="9.6640625" bestFit="1" customWidth="1"/>
    <col min="1542" max="1542" width="7" bestFit="1" customWidth="1"/>
    <col min="1543" max="1543" width="9.6640625" bestFit="1" customWidth="1"/>
    <col min="1544" max="1544" width="7" bestFit="1" customWidth="1"/>
    <col min="1545" max="1545" width="9.6640625" bestFit="1" customWidth="1"/>
    <col min="1546" max="1546" width="7" bestFit="1" customWidth="1"/>
    <col min="1547" max="1547" width="9.6640625" bestFit="1" customWidth="1"/>
    <col min="1548" max="1548" width="7" bestFit="1" customWidth="1"/>
    <col min="1549" max="1549" width="9.6640625" bestFit="1" customWidth="1"/>
    <col min="1550" max="1550" width="7" bestFit="1" customWidth="1"/>
    <col min="1551" max="1551" width="9.6640625" bestFit="1" customWidth="1"/>
    <col min="1552" max="1552" width="7" bestFit="1" customWidth="1"/>
    <col min="1553" max="1553" width="9.6640625" bestFit="1" customWidth="1"/>
    <col min="1554" max="1554" width="7" bestFit="1" customWidth="1"/>
    <col min="1555" max="1555" width="9.6640625" bestFit="1" customWidth="1"/>
    <col min="1556" max="1556" width="7" bestFit="1" customWidth="1"/>
    <col min="1557" max="1557" width="9.6640625" bestFit="1" customWidth="1"/>
    <col min="1558" max="1558" width="7" bestFit="1" customWidth="1"/>
    <col min="1559" max="1559" width="9.6640625" bestFit="1" customWidth="1"/>
    <col min="1560" max="1560" width="7" bestFit="1" customWidth="1"/>
    <col min="1561" max="1561" width="9.6640625" bestFit="1" customWidth="1"/>
    <col min="1562" max="1562" width="7" bestFit="1" customWidth="1"/>
    <col min="1563" max="1563" width="9.6640625" bestFit="1" customWidth="1"/>
    <col min="1564" max="1564" width="7" bestFit="1" customWidth="1"/>
    <col min="1565" max="1565" width="9.6640625" bestFit="1" customWidth="1"/>
    <col min="1566" max="1566" width="7" bestFit="1" customWidth="1"/>
    <col min="1567" max="1567" width="9.6640625" bestFit="1" customWidth="1"/>
    <col min="1568" max="1568" width="7" bestFit="1" customWidth="1"/>
    <col min="1569" max="1569" width="9.6640625" bestFit="1" customWidth="1"/>
    <col min="1570" max="1570" width="7" bestFit="1" customWidth="1"/>
    <col min="1571" max="1571" width="9.6640625" bestFit="1" customWidth="1"/>
    <col min="1572" max="1572" width="7" bestFit="1" customWidth="1"/>
    <col min="1573" max="1573" width="9.6640625" bestFit="1" customWidth="1"/>
    <col min="1574" max="1574" width="7" bestFit="1" customWidth="1"/>
    <col min="1575" max="1575" width="9.6640625" bestFit="1" customWidth="1"/>
    <col min="1576" max="1576" width="7" bestFit="1" customWidth="1"/>
    <col min="1577" max="1577" width="9.6640625" bestFit="1" customWidth="1"/>
    <col min="1578" max="1578" width="7" bestFit="1" customWidth="1"/>
    <col min="1579" max="1579" width="9.6640625" bestFit="1" customWidth="1"/>
    <col min="1580" max="1580" width="7" bestFit="1" customWidth="1"/>
    <col min="1581" max="1581" width="9.6640625" bestFit="1" customWidth="1"/>
    <col min="1582" max="1582" width="7" bestFit="1" customWidth="1"/>
    <col min="1583" max="1583" width="9.6640625" bestFit="1" customWidth="1"/>
    <col min="1584" max="1584" width="7" bestFit="1" customWidth="1"/>
    <col min="1585" max="1585" width="9.6640625" bestFit="1" customWidth="1"/>
    <col min="1586" max="1586" width="7" bestFit="1" customWidth="1"/>
    <col min="1587" max="1587" width="9.6640625" bestFit="1" customWidth="1"/>
    <col min="1588" max="1588" width="7" bestFit="1" customWidth="1"/>
    <col min="1589" max="1589" width="9.6640625" bestFit="1" customWidth="1"/>
    <col min="1590" max="1590" width="7" bestFit="1" customWidth="1"/>
    <col min="1591" max="1591" width="9.6640625" bestFit="1" customWidth="1"/>
    <col min="1592" max="1592" width="7" bestFit="1" customWidth="1"/>
    <col min="1593" max="1593" width="9.6640625" bestFit="1" customWidth="1"/>
    <col min="1594" max="1594" width="7" bestFit="1" customWidth="1"/>
    <col min="1595" max="1595" width="9.6640625" bestFit="1" customWidth="1"/>
    <col min="1596" max="1596" width="7" bestFit="1" customWidth="1"/>
    <col min="1597" max="1597" width="9.6640625" bestFit="1" customWidth="1"/>
    <col min="1598" max="1598" width="7" bestFit="1" customWidth="1"/>
    <col min="1599" max="1599" width="9.6640625" bestFit="1" customWidth="1"/>
    <col min="1600" max="1600" width="7" bestFit="1" customWidth="1"/>
    <col min="1601" max="1601" width="9.6640625" bestFit="1" customWidth="1"/>
    <col min="1602" max="1602" width="7" bestFit="1" customWidth="1"/>
    <col min="1603" max="1603" width="9.6640625" bestFit="1" customWidth="1"/>
    <col min="1604" max="1604" width="7" bestFit="1" customWidth="1"/>
    <col min="1605" max="1605" width="9.6640625" bestFit="1" customWidth="1"/>
    <col min="1606" max="1606" width="7" bestFit="1" customWidth="1"/>
    <col min="1607" max="1607" width="9.6640625" bestFit="1" customWidth="1"/>
    <col min="1608" max="1608" width="7" bestFit="1" customWidth="1"/>
    <col min="1609" max="1609" width="9.6640625" bestFit="1" customWidth="1"/>
    <col min="1610" max="1610" width="7" bestFit="1" customWidth="1"/>
    <col min="1611" max="1611" width="9.6640625" bestFit="1" customWidth="1"/>
    <col min="1612" max="1612" width="7" bestFit="1" customWidth="1"/>
    <col min="1613" max="1613" width="9.6640625" bestFit="1" customWidth="1"/>
    <col min="1614" max="1614" width="7" bestFit="1" customWidth="1"/>
    <col min="1615" max="1615" width="9.6640625" bestFit="1" customWidth="1"/>
    <col min="1616" max="1616" width="7" bestFit="1" customWidth="1"/>
    <col min="1617" max="1617" width="9.6640625" bestFit="1" customWidth="1"/>
    <col min="1618" max="1618" width="7" bestFit="1" customWidth="1"/>
    <col min="1619" max="1619" width="9.6640625" bestFit="1" customWidth="1"/>
    <col min="1620" max="1620" width="7" bestFit="1" customWidth="1"/>
    <col min="1621" max="1621" width="9.6640625" bestFit="1" customWidth="1"/>
    <col min="1622" max="1622" width="7" bestFit="1" customWidth="1"/>
    <col min="1623" max="1623" width="9.6640625" bestFit="1" customWidth="1"/>
    <col min="1624" max="1624" width="7" bestFit="1" customWidth="1"/>
    <col min="1625" max="1625" width="9.6640625" bestFit="1" customWidth="1"/>
    <col min="1626" max="1626" width="7" bestFit="1" customWidth="1"/>
    <col min="1627" max="1627" width="9.6640625" bestFit="1" customWidth="1"/>
    <col min="1628" max="1628" width="7" bestFit="1" customWidth="1"/>
    <col min="1629" max="1629" width="9.6640625" bestFit="1" customWidth="1"/>
    <col min="1630" max="1630" width="7" bestFit="1" customWidth="1"/>
    <col min="1631" max="1631" width="9.6640625" bestFit="1" customWidth="1"/>
    <col min="1632" max="1632" width="7" bestFit="1" customWidth="1"/>
    <col min="1633" max="1633" width="9.6640625" bestFit="1" customWidth="1"/>
    <col min="1634" max="1634" width="7" bestFit="1" customWidth="1"/>
    <col min="1635" max="1635" width="9.6640625" bestFit="1" customWidth="1"/>
    <col min="1636" max="1636" width="7" bestFit="1" customWidth="1"/>
    <col min="1637" max="1637" width="9.6640625" bestFit="1" customWidth="1"/>
    <col min="1638" max="1638" width="7" bestFit="1" customWidth="1"/>
    <col min="1639" max="1639" width="9.6640625" bestFit="1" customWidth="1"/>
    <col min="1640" max="1640" width="7" bestFit="1" customWidth="1"/>
    <col min="1641" max="1641" width="9.6640625" bestFit="1" customWidth="1"/>
    <col min="1642" max="1642" width="7" bestFit="1" customWidth="1"/>
    <col min="1643" max="1643" width="9.6640625" bestFit="1" customWidth="1"/>
    <col min="1644" max="1644" width="7" bestFit="1" customWidth="1"/>
    <col min="1645" max="1645" width="9.6640625" bestFit="1" customWidth="1"/>
    <col min="1646" max="1646" width="7" bestFit="1" customWidth="1"/>
    <col min="1647" max="1647" width="9.6640625" bestFit="1" customWidth="1"/>
    <col min="1648" max="1648" width="7" bestFit="1" customWidth="1"/>
    <col min="1649" max="1649" width="9.6640625" bestFit="1" customWidth="1"/>
    <col min="1650" max="1650" width="7" bestFit="1" customWidth="1"/>
    <col min="1651" max="1651" width="9.6640625" bestFit="1" customWidth="1"/>
    <col min="1652" max="1652" width="7" bestFit="1" customWidth="1"/>
    <col min="1653" max="1653" width="9.6640625" bestFit="1" customWidth="1"/>
    <col min="1654" max="1654" width="7" bestFit="1" customWidth="1"/>
    <col min="1655" max="1655" width="9.6640625" bestFit="1" customWidth="1"/>
    <col min="1656" max="1656" width="7" bestFit="1" customWidth="1"/>
    <col min="1657" max="1657" width="9.6640625" bestFit="1" customWidth="1"/>
    <col min="1658" max="1658" width="7" bestFit="1" customWidth="1"/>
    <col min="1659" max="1659" width="9.6640625" bestFit="1" customWidth="1"/>
    <col min="1660" max="1660" width="7" bestFit="1" customWidth="1"/>
    <col min="1661" max="1661" width="9.6640625" bestFit="1" customWidth="1"/>
    <col min="1662" max="1662" width="7" bestFit="1" customWidth="1"/>
    <col min="1663" max="1663" width="9.6640625" bestFit="1" customWidth="1"/>
    <col min="1664" max="1664" width="7" bestFit="1" customWidth="1"/>
    <col min="1665" max="1665" width="9.6640625" bestFit="1" customWidth="1"/>
    <col min="1666" max="1666" width="7" bestFit="1" customWidth="1"/>
    <col min="1667" max="1667" width="9.6640625" bestFit="1" customWidth="1"/>
    <col min="1668" max="1668" width="7" bestFit="1" customWidth="1"/>
    <col min="1669" max="1669" width="9.6640625" bestFit="1" customWidth="1"/>
    <col min="1670" max="1670" width="7" bestFit="1" customWidth="1"/>
    <col min="1671" max="1671" width="9.6640625" bestFit="1" customWidth="1"/>
    <col min="1672" max="1672" width="7" bestFit="1" customWidth="1"/>
    <col min="1673" max="1673" width="9.6640625" bestFit="1" customWidth="1"/>
    <col min="1674" max="1674" width="7" bestFit="1" customWidth="1"/>
    <col min="1675" max="1675" width="9.6640625" bestFit="1" customWidth="1"/>
    <col min="1676" max="1676" width="7" bestFit="1" customWidth="1"/>
    <col min="1677" max="1677" width="9.6640625" bestFit="1" customWidth="1"/>
    <col min="1678" max="1678" width="7" bestFit="1" customWidth="1"/>
    <col min="1679" max="1679" width="9.6640625" bestFit="1" customWidth="1"/>
    <col min="1680" max="1680" width="7" bestFit="1" customWidth="1"/>
    <col min="1681" max="1681" width="9.6640625" bestFit="1" customWidth="1"/>
    <col min="1682" max="1682" width="7" bestFit="1" customWidth="1"/>
    <col min="1683" max="1683" width="9.6640625" bestFit="1" customWidth="1"/>
    <col min="1684" max="1684" width="7" bestFit="1" customWidth="1"/>
    <col min="1685" max="1685" width="9.6640625" bestFit="1" customWidth="1"/>
    <col min="1686" max="1686" width="7" bestFit="1" customWidth="1"/>
    <col min="1687" max="1687" width="9.6640625" bestFit="1" customWidth="1"/>
    <col min="1688" max="1688" width="7" bestFit="1" customWidth="1"/>
    <col min="1689" max="1689" width="9.6640625" bestFit="1" customWidth="1"/>
    <col min="1690" max="1690" width="7" bestFit="1" customWidth="1"/>
    <col min="1691" max="1691" width="9.6640625" bestFit="1" customWidth="1"/>
    <col min="1692" max="1692" width="7" bestFit="1" customWidth="1"/>
    <col min="1693" max="1693" width="9.6640625" bestFit="1" customWidth="1"/>
    <col min="1694" max="1694" width="7" bestFit="1" customWidth="1"/>
    <col min="1695" max="1695" width="9.6640625" bestFit="1" customWidth="1"/>
    <col min="1696" max="1696" width="7" bestFit="1" customWidth="1"/>
    <col min="1697" max="1697" width="9.6640625" bestFit="1" customWidth="1"/>
    <col min="1698" max="1698" width="7" bestFit="1" customWidth="1"/>
    <col min="1699" max="1699" width="9.6640625" bestFit="1" customWidth="1"/>
    <col min="1700" max="1700" width="7" bestFit="1" customWidth="1"/>
    <col min="1701" max="1701" width="9.6640625" bestFit="1" customWidth="1"/>
    <col min="1702" max="1702" width="7" bestFit="1" customWidth="1"/>
    <col min="1703" max="1703" width="9.6640625" bestFit="1" customWidth="1"/>
    <col min="1704" max="1704" width="7" bestFit="1" customWidth="1"/>
    <col min="1705" max="1705" width="9.6640625" bestFit="1" customWidth="1"/>
    <col min="1706" max="1706" width="7" bestFit="1" customWidth="1"/>
    <col min="1707" max="1707" width="9.6640625" bestFit="1" customWidth="1"/>
    <col min="1708" max="1708" width="7" bestFit="1" customWidth="1"/>
    <col min="1709" max="1709" width="9.6640625" bestFit="1" customWidth="1"/>
    <col min="1710" max="1710" width="7" bestFit="1" customWidth="1"/>
    <col min="1711" max="1711" width="9.6640625" bestFit="1" customWidth="1"/>
    <col min="1712" max="1712" width="7" bestFit="1" customWidth="1"/>
    <col min="1713" max="1713" width="9.6640625" bestFit="1" customWidth="1"/>
    <col min="1714" max="1714" width="7" bestFit="1" customWidth="1"/>
    <col min="1715" max="1715" width="9.6640625" bestFit="1" customWidth="1"/>
    <col min="1716" max="1716" width="7" bestFit="1" customWidth="1"/>
    <col min="1717" max="1717" width="9.6640625" bestFit="1" customWidth="1"/>
    <col min="1718" max="1718" width="7" bestFit="1" customWidth="1"/>
    <col min="1719" max="1719" width="9.6640625" bestFit="1" customWidth="1"/>
    <col min="1720" max="1720" width="7" bestFit="1" customWidth="1"/>
    <col min="1721" max="1721" width="9.6640625" bestFit="1" customWidth="1"/>
    <col min="1722" max="1722" width="7" bestFit="1" customWidth="1"/>
    <col min="1723" max="1723" width="9.6640625" bestFit="1" customWidth="1"/>
    <col min="1724" max="1724" width="7" bestFit="1" customWidth="1"/>
    <col min="1725" max="1725" width="9.6640625" bestFit="1" customWidth="1"/>
    <col min="1726" max="1726" width="7" bestFit="1" customWidth="1"/>
    <col min="1727" max="1727" width="9.6640625" bestFit="1" customWidth="1"/>
    <col min="1728" max="1728" width="7" bestFit="1" customWidth="1"/>
    <col min="1729" max="1729" width="9.6640625" bestFit="1" customWidth="1"/>
    <col min="1730" max="1730" width="7" bestFit="1" customWidth="1"/>
    <col min="1731" max="1731" width="9.6640625" bestFit="1" customWidth="1"/>
    <col min="1732" max="1732" width="7" bestFit="1" customWidth="1"/>
    <col min="1733" max="1733" width="9.6640625" bestFit="1" customWidth="1"/>
    <col min="1734" max="1734" width="7" bestFit="1" customWidth="1"/>
    <col min="1735" max="1735" width="9.6640625" bestFit="1" customWidth="1"/>
    <col min="1736" max="1736" width="7" bestFit="1" customWidth="1"/>
    <col min="1737" max="1737" width="9.6640625" bestFit="1" customWidth="1"/>
    <col min="1738" max="1738" width="7" bestFit="1" customWidth="1"/>
    <col min="1739" max="1739" width="9.6640625" bestFit="1" customWidth="1"/>
    <col min="1740" max="1740" width="7" bestFit="1" customWidth="1"/>
    <col min="1741" max="1741" width="9.6640625" bestFit="1" customWidth="1"/>
    <col min="1742" max="1742" width="7" bestFit="1" customWidth="1"/>
    <col min="1743" max="1743" width="9.6640625" bestFit="1" customWidth="1"/>
    <col min="1744" max="1744" width="7" bestFit="1" customWidth="1"/>
    <col min="1745" max="1745" width="9.6640625" bestFit="1" customWidth="1"/>
    <col min="1746" max="1746" width="7" bestFit="1" customWidth="1"/>
    <col min="1747" max="1747" width="9.6640625" bestFit="1" customWidth="1"/>
    <col min="1748" max="1748" width="7" bestFit="1" customWidth="1"/>
    <col min="1749" max="1749" width="9.6640625" bestFit="1" customWidth="1"/>
    <col min="1750" max="1750" width="7" bestFit="1" customWidth="1"/>
    <col min="1751" max="1751" width="9.6640625" bestFit="1" customWidth="1"/>
    <col min="1752" max="1752" width="7" bestFit="1" customWidth="1"/>
    <col min="1753" max="1753" width="9.6640625" bestFit="1" customWidth="1"/>
    <col min="1754" max="1754" width="7" bestFit="1" customWidth="1"/>
    <col min="1755" max="1755" width="9.6640625" bestFit="1" customWidth="1"/>
    <col min="1756" max="1756" width="7" bestFit="1" customWidth="1"/>
    <col min="1757" max="1757" width="9.6640625" bestFit="1" customWidth="1"/>
    <col min="1758" max="1758" width="7" bestFit="1" customWidth="1"/>
    <col min="1759" max="1759" width="9.6640625" bestFit="1" customWidth="1"/>
    <col min="1760" max="1760" width="7" bestFit="1" customWidth="1"/>
    <col min="1761" max="1761" width="9.6640625" bestFit="1" customWidth="1"/>
    <col min="1762" max="1762" width="7" bestFit="1" customWidth="1"/>
    <col min="1763" max="1763" width="9.6640625" bestFit="1" customWidth="1"/>
    <col min="1764" max="1764" width="7" bestFit="1" customWidth="1"/>
    <col min="1765" max="1765" width="9.6640625" bestFit="1" customWidth="1"/>
    <col min="1766" max="1766" width="7" bestFit="1" customWidth="1"/>
    <col min="1767" max="1767" width="9.6640625" bestFit="1" customWidth="1"/>
    <col min="1768" max="1768" width="7" bestFit="1" customWidth="1"/>
    <col min="1769" max="1769" width="9.6640625" bestFit="1" customWidth="1"/>
    <col min="1770" max="1770" width="7" bestFit="1" customWidth="1"/>
    <col min="1771" max="1771" width="9.6640625" bestFit="1" customWidth="1"/>
    <col min="1772" max="1772" width="7" bestFit="1" customWidth="1"/>
    <col min="1773" max="1773" width="9.6640625" bestFit="1" customWidth="1"/>
    <col min="1774" max="1774" width="7" bestFit="1" customWidth="1"/>
    <col min="1775" max="1775" width="9.6640625" bestFit="1" customWidth="1"/>
    <col min="1776" max="1776" width="7" bestFit="1" customWidth="1"/>
    <col min="1777" max="1777" width="9.6640625" bestFit="1" customWidth="1"/>
    <col min="1778" max="1778" width="7" bestFit="1" customWidth="1"/>
    <col min="1779" max="1779" width="9.6640625" bestFit="1" customWidth="1"/>
    <col min="1780" max="1780" width="7" bestFit="1" customWidth="1"/>
    <col min="1781" max="1781" width="9.6640625" bestFit="1" customWidth="1"/>
    <col min="1782" max="1782" width="7" bestFit="1" customWidth="1"/>
    <col min="1783" max="1783" width="9.6640625" bestFit="1" customWidth="1"/>
    <col min="1784" max="1784" width="7" bestFit="1" customWidth="1"/>
    <col min="1785" max="1785" width="9.6640625" bestFit="1" customWidth="1"/>
    <col min="1786" max="1786" width="7" bestFit="1" customWidth="1"/>
    <col min="1787" max="1787" width="9.6640625" bestFit="1" customWidth="1"/>
    <col min="1788" max="1788" width="7" bestFit="1" customWidth="1"/>
    <col min="1789" max="1789" width="9.6640625" bestFit="1" customWidth="1"/>
    <col min="1790" max="1790" width="7" bestFit="1" customWidth="1"/>
    <col min="1791" max="1791" width="9.6640625" bestFit="1" customWidth="1"/>
    <col min="1792" max="1792" width="7" bestFit="1" customWidth="1"/>
    <col min="1793" max="1793" width="9.6640625" bestFit="1" customWidth="1"/>
    <col min="1794" max="1794" width="7" bestFit="1" customWidth="1"/>
    <col min="1795" max="1795" width="9.6640625" bestFit="1" customWidth="1"/>
    <col min="1796" max="1796" width="7" bestFit="1" customWidth="1"/>
    <col min="1797" max="1797" width="9.6640625" bestFit="1" customWidth="1"/>
    <col min="1798" max="1798" width="7" bestFit="1" customWidth="1"/>
    <col min="1799" max="1799" width="9.6640625" bestFit="1" customWidth="1"/>
    <col min="1800" max="1800" width="7" bestFit="1" customWidth="1"/>
    <col min="1801" max="1801" width="9.6640625" bestFit="1" customWidth="1"/>
    <col min="1802" max="1802" width="7" bestFit="1" customWidth="1"/>
    <col min="1803" max="1803" width="9.6640625" bestFit="1" customWidth="1"/>
    <col min="1804" max="1804" width="7" bestFit="1" customWidth="1"/>
    <col min="1805" max="1805" width="9.6640625" bestFit="1" customWidth="1"/>
    <col min="1806" max="1806" width="7" bestFit="1" customWidth="1"/>
    <col min="1807" max="1807" width="9.6640625" bestFit="1" customWidth="1"/>
    <col min="1808" max="1808" width="7" bestFit="1" customWidth="1"/>
    <col min="1809" max="1809" width="9.6640625" bestFit="1" customWidth="1"/>
    <col min="1810" max="1810" width="7" bestFit="1" customWidth="1"/>
    <col min="1811" max="1811" width="9.6640625" bestFit="1" customWidth="1"/>
    <col min="1812" max="1812" width="7" bestFit="1" customWidth="1"/>
    <col min="1813" max="1813" width="9.6640625" bestFit="1" customWidth="1"/>
    <col min="1814" max="1814" width="7" bestFit="1" customWidth="1"/>
    <col min="1815" max="1815" width="9.6640625" bestFit="1" customWidth="1"/>
    <col min="1816" max="1816" width="7" bestFit="1" customWidth="1"/>
    <col min="1817" max="1817" width="9.6640625" bestFit="1" customWidth="1"/>
    <col min="1818" max="1818" width="7" bestFit="1" customWidth="1"/>
    <col min="1819" max="1819" width="9.6640625" bestFit="1" customWidth="1"/>
    <col min="1820" max="1820" width="7" bestFit="1" customWidth="1"/>
    <col min="1821" max="1821" width="9.6640625" bestFit="1" customWidth="1"/>
    <col min="1822" max="1822" width="7" bestFit="1" customWidth="1"/>
    <col min="1823" max="1823" width="9.6640625" bestFit="1" customWidth="1"/>
    <col min="1824" max="1824" width="7" bestFit="1" customWidth="1"/>
    <col min="1825" max="1825" width="9.6640625" bestFit="1" customWidth="1"/>
    <col min="1826" max="1826" width="7" bestFit="1" customWidth="1"/>
    <col min="1827" max="1827" width="9.6640625" bestFit="1" customWidth="1"/>
    <col min="1828" max="1828" width="7" bestFit="1" customWidth="1"/>
    <col min="1829" max="1829" width="9.6640625" bestFit="1" customWidth="1"/>
    <col min="1830" max="1830" width="7" bestFit="1" customWidth="1"/>
    <col min="1831" max="1831" width="9.6640625" bestFit="1" customWidth="1"/>
    <col min="1832" max="1832" width="7" bestFit="1" customWidth="1"/>
    <col min="1833" max="1833" width="9.6640625" bestFit="1" customWidth="1"/>
    <col min="1834" max="1834" width="7" bestFit="1" customWidth="1"/>
    <col min="1835" max="1835" width="9.6640625" bestFit="1" customWidth="1"/>
    <col min="1836" max="1836" width="7" bestFit="1" customWidth="1"/>
    <col min="1837" max="1837" width="9.6640625" bestFit="1" customWidth="1"/>
    <col min="1838" max="1838" width="7" bestFit="1" customWidth="1"/>
    <col min="1839" max="1839" width="9.6640625" bestFit="1" customWidth="1"/>
    <col min="1840" max="1840" width="7" bestFit="1" customWidth="1"/>
    <col min="1841" max="1841" width="9.6640625" bestFit="1" customWidth="1"/>
    <col min="1842" max="1842" width="7" bestFit="1" customWidth="1"/>
    <col min="1843" max="1843" width="9.6640625" bestFit="1" customWidth="1"/>
    <col min="1844" max="1844" width="7" bestFit="1" customWidth="1"/>
    <col min="1845" max="1845" width="9.6640625" bestFit="1" customWidth="1"/>
    <col min="1846" max="1846" width="7" bestFit="1" customWidth="1"/>
    <col min="1847" max="1847" width="9.6640625" bestFit="1" customWidth="1"/>
    <col min="1848" max="1848" width="7" bestFit="1" customWidth="1"/>
    <col min="1849" max="1849" width="9.6640625" bestFit="1" customWidth="1"/>
    <col min="1850" max="1850" width="7" bestFit="1" customWidth="1"/>
    <col min="1851" max="1851" width="9.6640625" bestFit="1" customWidth="1"/>
    <col min="1852" max="1852" width="7" bestFit="1" customWidth="1"/>
    <col min="1853" max="1853" width="9.6640625" bestFit="1" customWidth="1"/>
    <col min="1854" max="1854" width="7" bestFit="1" customWidth="1"/>
    <col min="1855" max="1855" width="9.6640625" bestFit="1" customWidth="1"/>
    <col min="1856" max="1856" width="7" bestFit="1" customWidth="1"/>
    <col min="1857" max="1857" width="9.6640625" bestFit="1" customWidth="1"/>
    <col min="1858" max="1858" width="7" bestFit="1" customWidth="1"/>
    <col min="1859" max="1859" width="9.6640625" bestFit="1" customWidth="1"/>
    <col min="1860" max="1860" width="7" bestFit="1" customWidth="1"/>
    <col min="1861" max="1861" width="9.6640625" bestFit="1" customWidth="1"/>
    <col min="1862" max="1862" width="7" bestFit="1" customWidth="1"/>
    <col min="1863" max="1863" width="9.6640625" bestFit="1" customWidth="1"/>
    <col min="1864" max="1864" width="7" bestFit="1" customWidth="1"/>
    <col min="1865" max="1865" width="9.6640625" bestFit="1" customWidth="1"/>
    <col min="1866" max="1866" width="7" bestFit="1" customWidth="1"/>
    <col min="1867" max="1867" width="9.6640625" bestFit="1" customWidth="1"/>
    <col min="1868" max="1868" width="7" bestFit="1" customWidth="1"/>
    <col min="1869" max="1869" width="9.6640625" bestFit="1" customWidth="1"/>
    <col min="1870" max="1870" width="7" bestFit="1" customWidth="1"/>
    <col min="1871" max="1871" width="9.6640625" bestFit="1" customWidth="1"/>
    <col min="1872" max="1872" width="7" bestFit="1" customWidth="1"/>
    <col min="1873" max="1873" width="9.6640625" bestFit="1" customWidth="1"/>
    <col min="1874" max="1874" width="7" bestFit="1" customWidth="1"/>
    <col min="1875" max="1875" width="9.6640625" bestFit="1" customWidth="1"/>
    <col min="1876" max="1876" width="7" bestFit="1" customWidth="1"/>
    <col min="1877" max="1877" width="9.6640625" bestFit="1" customWidth="1"/>
    <col min="1878" max="1878" width="7" bestFit="1" customWidth="1"/>
    <col min="1879" max="1879" width="9.6640625" bestFit="1" customWidth="1"/>
    <col min="1880" max="1880" width="7" bestFit="1" customWidth="1"/>
    <col min="1881" max="1881" width="9.6640625" bestFit="1" customWidth="1"/>
    <col min="1882" max="1882" width="7" bestFit="1" customWidth="1"/>
    <col min="1883" max="1883" width="9.6640625" bestFit="1" customWidth="1"/>
    <col min="1884" max="1884" width="7" bestFit="1" customWidth="1"/>
    <col min="1885" max="1885" width="9.6640625" bestFit="1" customWidth="1"/>
    <col min="1886" max="1886" width="7" bestFit="1" customWidth="1"/>
    <col min="1887" max="1887" width="9.6640625" bestFit="1" customWidth="1"/>
    <col min="1888" max="1888" width="7" bestFit="1" customWidth="1"/>
    <col min="1889" max="1889" width="9.6640625" bestFit="1" customWidth="1"/>
    <col min="1890" max="1890" width="7" bestFit="1" customWidth="1"/>
    <col min="1891" max="1891" width="9.6640625" bestFit="1" customWidth="1"/>
    <col min="1892" max="1892" width="7" bestFit="1" customWidth="1"/>
    <col min="1893" max="1893" width="9.6640625" bestFit="1" customWidth="1"/>
    <col min="1894" max="1894" width="7" bestFit="1" customWidth="1"/>
    <col min="1895" max="1895" width="9.6640625" bestFit="1" customWidth="1"/>
    <col min="1896" max="1896" width="7" bestFit="1" customWidth="1"/>
    <col min="1897" max="1897" width="9.6640625" bestFit="1" customWidth="1"/>
    <col min="1898" max="1898" width="7" bestFit="1" customWidth="1"/>
    <col min="1899" max="1899" width="9.6640625" bestFit="1" customWidth="1"/>
    <col min="1900" max="1900" width="7" bestFit="1" customWidth="1"/>
    <col min="1901" max="1901" width="9.6640625" bestFit="1" customWidth="1"/>
    <col min="1902" max="1902" width="7" bestFit="1" customWidth="1"/>
    <col min="1903" max="1903" width="9.6640625" bestFit="1" customWidth="1"/>
    <col min="1904" max="1904" width="7" bestFit="1" customWidth="1"/>
    <col min="1905" max="1905" width="9.6640625" bestFit="1" customWidth="1"/>
    <col min="1906" max="1906" width="7" bestFit="1" customWidth="1"/>
    <col min="1907" max="1907" width="9.6640625" bestFit="1" customWidth="1"/>
    <col min="1908" max="1908" width="7" bestFit="1" customWidth="1"/>
    <col min="1909" max="1909" width="9.6640625" bestFit="1" customWidth="1"/>
    <col min="1910" max="1910" width="7" bestFit="1" customWidth="1"/>
    <col min="1911" max="1911" width="9.6640625" bestFit="1" customWidth="1"/>
    <col min="1912" max="1912" width="7" bestFit="1" customWidth="1"/>
    <col min="1913" max="1913" width="9.6640625" bestFit="1" customWidth="1"/>
    <col min="1914" max="1914" width="7" bestFit="1" customWidth="1"/>
    <col min="1915" max="1915" width="9.6640625" bestFit="1" customWidth="1"/>
    <col min="1916" max="1916" width="7" bestFit="1" customWidth="1"/>
    <col min="1917" max="1917" width="9.6640625" bestFit="1" customWidth="1"/>
    <col min="1918" max="1918" width="7" bestFit="1" customWidth="1"/>
    <col min="1919" max="1919" width="9.6640625" bestFit="1" customWidth="1"/>
    <col min="1920" max="1920" width="7" bestFit="1" customWidth="1"/>
    <col min="1921" max="1921" width="9.6640625" bestFit="1" customWidth="1"/>
    <col min="1922" max="1922" width="7" bestFit="1" customWidth="1"/>
    <col min="1923" max="1923" width="9.6640625" bestFit="1" customWidth="1"/>
    <col min="1924" max="1924" width="7" bestFit="1" customWidth="1"/>
    <col min="1925" max="1925" width="9.6640625" bestFit="1" customWidth="1"/>
    <col min="1926" max="1926" width="7" bestFit="1" customWidth="1"/>
    <col min="1927" max="1927" width="9.6640625" bestFit="1" customWidth="1"/>
    <col min="1928" max="1928" width="7" bestFit="1" customWidth="1"/>
    <col min="1929" max="1929" width="9.6640625" bestFit="1" customWidth="1"/>
    <col min="1930" max="1930" width="7" bestFit="1" customWidth="1"/>
    <col min="1931" max="1931" width="9.6640625" bestFit="1" customWidth="1"/>
    <col min="1932" max="1932" width="7" bestFit="1" customWidth="1"/>
    <col min="1933" max="1933" width="9.6640625" bestFit="1" customWidth="1"/>
    <col min="1934" max="1934" width="7" bestFit="1" customWidth="1"/>
    <col min="1935" max="1935" width="9.6640625" bestFit="1" customWidth="1"/>
    <col min="1936" max="1936" width="7" bestFit="1" customWidth="1"/>
    <col min="1937" max="1937" width="9.6640625" bestFit="1" customWidth="1"/>
    <col min="1938" max="1938" width="7" bestFit="1" customWidth="1"/>
    <col min="1939" max="1939" width="9.6640625" bestFit="1" customWidth="1"/>
    <col min="1940" max="1940" width="7" bestFit="1" customWidth="1"/>
    <col min="1941" max="1941" width="9.6640625" bestFit="1" customWidth="1"/>
    <col min="1942" max="1942" width="7" bestFit="1" customWidth="1"/>
    <col min="1943" max="1943" width="9.6640625" bestFit="1" customWidth="1"/>
    <col min="1944" max="1944" width="7" bestFit="1" customWidth="1"/>
    <col min="1945" max="1945" width="9.6640625" bestFit="1" customWidth="1"/>
    <col min="1946" max="1946" width="7" bestFit="1" customWidth="1"/>
    <col min="1947" max="1947" width="9.6640625" bestFit="1" customWidth="1"/>
    <col min="1948" max="1948" width="7" bestFit="1" customWidth="1"/>
    <col min="1949" max="1949" width="9.6640625" bestFit="1" customWidth="1"/>
    <col min="1950" max="1950" width="7" bestFit="1" customWidth="1"/>
    <col min="1951" max="1951" width="9.6640625" bestFit="1" customWidth="1"/>
    <col min="1952" max="1952" width="7" bestFit="1" customWidth="1"/>
    <col min="1953" max="1953" width="9.6640625" bestFit="1" customWidth="1"/>
    <col min="1954" max="1954" width="7" bestFit="1" customWidth="1"/>
    <col min="1955" max="1955" width="9.6640625" bestFit="1" customWidth="1"/>
    <col min="1956" max="1956" width="7" bestFit="1" customWidth="1"/>
    <col min="1957" max="1957" width="9.6640625" bestFit="1" customWidth="1"/>
    <col min="1958" max="1958" width="7" bestFit="1" customWidth="1"/>
    <col min="1959" max="1959" width="9.6640625" bestFit="1" customWidth="1"/>
    <col min="1960" max="1960" width="7" bestFit="1" customWidth="1"/>
    <col min="1961" max="1961" width="9.6640625" bestFit="1" customWidth="1"/>
    <col min="1962" max="1962" width="7" bestFit="1" customWidth="1"/>
    <col min="1963" max="1963" width="9.6640625" bestFit="1" customWidth="1"/>
    <col min="1964" max="1964" width="7" bestFit="1" customWidth="1"/>
    <col min="1965" max="1965" width="9.6640625" bestFit="1" customWidth="1"/>
    <col min="1966" max="1966" width="7" bestFit="1" customWidth="1"/>
    <col min="1967" max="1967" width="9.6640625" bestFit="1" customWidth="1"/>
    <col min="1968" max="1968" width="7" bestFit="1" customWidth="1"/>
    <col min="1969" max="1969" width="9.6640625" bestFit="1" customWidth="1"/>
    <col min="1970" max="1970" width="7" bestFit="1" customWidth="1"/>
    <col min="1971" max="1971" width="9.6640625" bestFit="1" customWidth="1"/>
    <col min="1972" max="1972" width="7" bestFit="1" customWidth="1"/>
    <col min="1973" max="1973" width="9.6640625" bestFit="1" customWidth="1"/>
    <col min="1974" max="1974" width="7" bestFit="1" customWidth="1"/>
    <col min="1975" max="1975" width="9.6640625" bestFit="1" customWidth="1"/>
    <col min="1976" max="1976" width="7" bestFit="1" customWidth="1"/>
    <col min="1977" max="1977" width="9.6640625" bestFit="1" customWidth="1"/>
    <col min="1978" max="1978" width="7" bestFit="1" customWidth="1"/>
    <col min="1979" max="1979" width="9.6640625" bestFit="1" customWidth="1"/>
    <col min="1980" max="1980" width="7" bestFit="1" customWidth="1"/>
    <col min="1981" max="1981" width="9.6640625" bestFit="1" customWidth="1"/>
    <col min="1982" max="1982" width="7" bestFit="1" customWidth="1"/>
    <col min="1983" max="1983" width="9.6640625" bestFit="1" customWidth="1"/>
    <col min="1984" max="1984" width="7" bestFit="1" customWidth="1"/>
    <col min="1985" max="1985" width="9.6640625" bestFit="1" customWidth="1"/>
    <col min="1986" max="1986" width="7" bestFit="1" customWidth="1"/>
    <col min="1987" max="1987" width="9.6640625" bestFit="1" customWidth="1"/>
    <col min="1988" max="1988" width="7" bestFit="1" customWidth="1"/>
    <col min="1989" max="1989" width="9.6640625" bestFit="1" customWidth="1"/>
    <col min="1990" max="1990" width="7" bestFit="1" customWidth="1"/>
    <col min="1991" max="1991" width="9.6640625" bestFit="1" customWidth="1"/>
    <col min="1992" max="1992" width="7" bestFit="1" customWidth="1"/>
    <col min="1993" max="1993" width="9.6640625" bestFit="1" customWidth="1"/>
    <col min="1994" max="1994" width="7" bestFit="1" customWidth="1"/>
    <col min="1995" max="1995" width="9.6640625" bestFit="1" customWidth="1"/>
    <col min="1996" max="1996" width="7" bestFit="1" customWidth="1"/>
    <col min="1997" max="1997" width="9.6640625" bestFit="1" customWidth="1"/>
    <col min="1998" max="1998" width="7" bestFit="1" customWidth="1"/>
    <col min="1999" max="1999" width="9.6640625" bestFit="1" customWidth="1"/>
    <col min="2000" max="2000" width="7" bestFit="1" customWidth="1"/>
    <col min="2001" max="2001" width="9.6640625" bestFit="1" customWidth="1"/>
    <col min="2002" max="2002" width="7" bestFit="1" customWidth="1"/>
    <col min="2003" max="2003" width="9.6640625" bestFit="1" customWidth="1"/>
    <col min="2004" max="2004" width="7" bestFit="1" customWidth="1"/>
    <col min="2005" max="2005" width="9.6640625" bestFit="1" customWidth="1"/>
    <col min="2006" max="2006" width="7" bestFit="1" customWidth="1"/>
    <col min="2007" max="2007" width="9.6640625" bestFit="1" customWidth="1"/>
    <col min="2008" max="2008" width="7" bestFit="1" customWidth="1"/>
    <col min="2009" max="2009" width="9.6640625" bestFit="1" customWidth="1"/>
    <col min="2010" max="2010" width="7" bestFit="1" customWidth="1"/>
    <col min="2011" max="2011" width="9.6640625" bestFit="1" customWidth="1"/>
    <col min="2012" max="2012" width="7" bestFit="1" customWidth="1"/>
    <col min="2013" max="2013" width="9.6640625" bestFit="1" customWidth="1"/>
    <col min="2014" max="2014" width="7" bestFit="1" customWidth="1"/>
    <col min="2015" max="2015" width="9.6640625" bestFit="1" customWidth="1"/>
    <col min="2016" max="2016" width="7" bestFit="1" customWidth="1"/>
    <col min="2017" max="2017" width="9.6640625" bestFit="1" customWidth="1"/>
    <col min="2018" max="2018" width="7" bestFit="1" customWidth="1"/>
    <col min="2019" max="2019" width="9.6640625" bestFit="1" customWidth="1"/>
    <col min="2020" max="2020" width="7" bestFit="1" customWidth="1"/>
    <col min="2021" max="2021" width="9.6640625" bestFit="1" customWidth="1"/>
    <col min="2022" max="2022" width="7" bestFit="1" customWidth="1"/>
    <col min="2023" max="2023" width="9.6640625" bestFit="1" customWidth="1"/>
    <col min="2024" max="2024" width="7" bestFit="1" customWidth="1"/>
    <col min="2025" max="2025" width="9.6640625" bestFit="1" customWidth="1"/>
    <col min="2026" max="2026" width="7" bestFit="1" customWidth="1"/>
    <col min="2027" max="2027" width="9.6640625" bestFit="1" customWidth="1"/>
    <col min="2028" max="2028" width="7" bestFit="1" customWidth="1"/>
    <col min="2029" max="2029" width="9.6640625" bestFit="1" customWidth="1"/>
    <col min="2030" max="2030" width="7" bestFit="1" customWidth="1"/>
    <col min="2031" max="2031" width="9.6640625" bestFit="1" customWidth="1"/>
    <col min="2032" max="2032" width="7" bestFit="1" customWidth="1"/>
    <col min="2033" max="2033" width="9.6640625" bestFit="1" customWidth="1"/>
    <col min="2034" max="2034" width="7" bestFit="1" customWidth="1"/>
    <col min="2035" max="2035" width="9.6640625" bestFit="1" customWidth="1"/>
    <col min="2036" max="2036" width="7" bestFit="1" customWidth="1"/>
    <col min="2037" max="2037" width="9.6640625" bestFit="1" customWidth="1"/>
    <col min="2038" max="2038" width="7" bestFit="1" customWidth="1"/>
    <col min="2039" max="2039" width="9.6640625" bestFit="1" customWidth="1"/>
    <col min="2040" max="2040" width="7" bestFit="1" customWidth="1"/>
    <col min="2041" max="2041" width="9.6640625" bestFit="1" customWidth="1"/>
    <col min="2042" max="2042" width="7" bestFit="1" customWidth="1"/>
    <col min="2043" max="2043" width="9.6640625" bestFit="1" customWidth="1"/>
    <col min="2044" max="2044" width="7" bestFit="1" customWidth="1"/>
    <col min="2045" max="2045" width="9.6640625" bestFit="1" customWidth="1"/>
    <col min="2046" max="2046" width="7" bestFit="1" customWidth="1"/>
    <col min="2047" max="2047" width="9.6640625" bestFit="1" customWidth="1"/>
    <col min="2048" max="2048" width="7" bestFit="1" customWidth="1"/>
    <col min="2049" max="2049" width="9.6640625" bestFit="1" customWidth="1"/>
    <col min="2050" max="2050" width="7" bestFit="1" customWidth="1"/>
    <col min="2051" max="2051" width="9.6640625" bestFit="1" customWidth="1"/>
    <col min="2052" max="2052" width="7" bestFit="1" customWidth="1"/>
    <col min="2053" max="2053" width="9.6640625" bestFit="1" customWidth="1"/>
    <col min="2054" max="2054" width="7" bestFit="1" customWidth="1"/>
    <col min="2055" max="2055" width="9.6640625" bestFit="1" customWidth="1"/>
    <col min="2056" max="2056" width="7" bestFit="1" customWidth="1"/>
    <col min="2057" max="2057" width="9.6640625" bestFit="1" customWidth="1"/>
    <col min="2058" max="2058" width="7" bestFit="1" customWidth="1"/>
    <col min="2059" max="2059" width="9.6640625" bestFit="1" customWidth="1"/>
    <col min="2060" max="2060" width="7" bestFit="1" customWidth="1"/>
    <col min="2061" max="2061" width="9.6640625" bestFit="1" customWidth="1"/>
    <col min="2062" max="2062" width="7" bestFit="1" customWidth="1"/>
    <col min="2063" max="2063" width="9.6640625" bestFit="1" customWidth="1"/>
    <col min="2064" max="2064" width="7" bestFit="1" customWidth="1"/>
    <col min="2065" max="2065" width="9.6640625" bestFit="1" customWidth="1"/>
    <col min="2066" max="2066" width="7" bestFit="1" customWidth="1"/>
    <col min="2067" max="2067" width="9.6640625" bestFit="1" customWidth="1"/>
    <col min="2068" max="2068" width="7" bestFit="1" customWidth="1"/>
    <col min="2069" max="2069" width="9.6640625" bestFit="1" customWidth="1"/>
    <col min="2070" max="2070" width="7" bestFit="1" customWidth="1"/>
    <col min="2071" max="2071" width="9.6640625" bestFit="1" customWidth="1"/>
    <col min="2072" max="2072" width="7" bestFit="1" customWidth="1"/>
    <col min="2073" max="2073" width="9.6640625" bestFit="1" customWidth="1"/>
    <col min="2074" max="2074" width="7" bestFit="1" customWidth="1"/>
    <col min="2075" max="2075" width="9.6640625" bestFit="1" customWidth="1"/>
    <col min="2076" max="2076" width="7" bestFit="1" customWidth="1"/>
    <col min="2077" max="2077" width="9.6640625" bestFit="1" customWidth="1"/>
    <col min="2078" max="2078" width="7" bestFit="1" customWidth="1"/>
    <col min="2079" max="2079" width="9.6640625" bestFit="1" customWidth="1"/>
    <col min="2080" max="2080" width="7" bestFit="1" customWidth="1"/>
    <col min="2081" max="2081" width="9.6640625" bestFit="1" customWidth="1"/>
    <col min="2082" max="2082" width="7" bestFit="1" customWidth="1"/>
    <col min="2083" max="2083" width="9.6640625" bestFit="1" customWidth="1"/>
    <col min="2084" max="2084" width="7" bestFit="1" customWidth="1"/>
    <col min="2085" max="2085" width="9.6640625" bestFit="1" customWidth="1"/>
    <col min="2086" max="2086" width="7" bestFit="1" customWidth="1"/>
    <col min="2087" max="2087" width="9.6640625" bestFit="1" customWidth="1"/>
    <col min="2088" max="2088" width="7" bestFit="1" customWidth="1"/>
    <col min="2089" max="2089" width="9.6640625" bestFit="1" customWidth="1"/>
    <col min="2090" max="2090" width="7" bestFit="1" customWidth="1"/>
    <col min="2091" max="2091" width="9.6640625" bestFit="1" customWidth="1"/>
    <col min="2092" max="2092" width="7" bestFit="1" customWidth="1"/>
    <col min="2093" max="2093" width="9.6640625" bestFit="1" customWidth="1"/>
    <col min="2094" max="2094" width="7" bestFit="1" customWidth="1"/>
    <col min="2095" max="2095" width="9.6640625" bestFit="1" customWidth="1"/>
    <col min="2096" max="2096" width="7" bestFit="1" customWidth="1"/>
    <col min="2097" max="2097" width="9.6640625" bestFit="1" customWidth="1"/>
    <col min="2098" max="2098" width="7" bestFit="1" customWidth="1"/>
    <col min="2099" max="2099" width="9.6640625" bestFit="1" customWidth="1"/>
    <col min="2100" max="2100" width="7" bestFit="1" customWidth="1"/>
    <col min="2101" max="2101" width="9.6640625" bestFit="1" customWidth="1"/>
    <col min="2102" max="2102" width="7" bestFit="1" customWidth="1"/>
    <col min="2103" max="2103" width="9.6640625" bestFit="1" customWidth="1"/>
    <col min="2104" max="2104" width="7" bestFit="1" customWidth="1"/>
    <col min="2105" max="2105" width="9.6640625" bestFit="1" customWidth="1"/>
    <col min="2106" max="2106" width="7" bestFit="1" customWidth="1"/>
    <col min="2107" max="2107" width="9.6640625" bestFit="1" customWidth="1"/>
    <col min="2108" max="2108" width="7" bestFit="1" customWidth="1"/>
    <col min="2109" max="2109" width="9.6640625" bestFit="1" customWidth="1"/>
    <col min="2110" max="2110" width="7" bestFit="1" customWidth="1"/>
    <col min="2111" max="2111" width="9.6640625" bestFit="1" customWidth="1"/>
    <col min="2112" max="2112" width="7" bestFit="1" customWidth="1"/>
    <col min="2113" max="2113" width="9.6640625" bestFit="1" customWidth="1"/>
    <col min="2114" max="2114" width="7" bestFit="1" customWidth="1"/>
    <col min="2115" max="2115" width="9.6640625" bestFit="1" customWidth="1"/>
    <col min="2116" max="2116" width="7" bestFit="1" customWidth="1"/>
    <col min="2117" max="2117" width="9.6640625" bestFit="1" customWidth="1"/>
    <col min="2118" max="2118" width="7" bestFit="1" customWidth="1"/>
    <col min="2119" max="2119" width="9.6640625" bestFit="1" customWidth="1"/>
    <col min="2120" max="2120" width="7" bestFit="1" customWidth="1"/>
    <col min="2121" max="2121" width="9.6640625" bestFit="1" customWidth="1"/>
    <col min="2122" max="2122" width="7" bestFit="1" customWidth="1"/>
    <col min="2123" max="2123" width="9.6640625" bestFit="1" customWidth="1"/>
    <col min="2124" max="2124" width="7" bestFit="1" customWidth="1"/>
    <col min="2125" max="2125" width="9.6640625" bestFit="1" customWidth="1"/>
    <col min="2126" max="2126" width="7" bestFit="1" customWidth="1"/>
    <col min="2127" max="2127" width="9.6640625" bestFit="1" customWidth="1"/>
    <col min="2128" max="2128" width="7" bestFit="1" customWidth="1"/>
    <col min="2129" max="2129" width="9.6640625" bestFit="1" customWidth="1"/>
    <col min="2130" max="2130" width="7" bestFit="1" customWidth="1"/>
    <col min="2131" max="2131" width="9.6640625" bestFit="1" customWidth="1"/>
    <col min="2132" max="2132" width="7" bestFit="1" customWidth="1"/>
    <col min="2133" max="2133" width="9.6640625" bestFit="1" customWidth="1"/>
    <col min="2134" max="2134" width="7" bestFit="1" customWidth="1"/>
    <col min="2135" max="2135" width="9.6640625" bestFit="1" customWidth="1"/>
    <col min="2136" max="2136" width="7" bestFit="1" customWidth="1"/>
    <col min="2137" max="2137" width="9.6640625" bestFit="1" customWidth="1"/>
    <col min="2138" max="2138" width="7" bestFit="1" customWidth="1"/>
    <col min="2139" max="2139" width="9.6640625" bestFit="1" customWidth="1"/>
    <col min="2140" max="2140" width="7" bestFit="1" customWidth="1"/>
    <col min="2141" max="2141" width="9.6640625" bestFit="1" customWidth="1"/>
    <col min="2142" max="2142" width="7" bestFit="1" customWidth="1"/>
    <col min="2143" max="2143" width="9.6640625" bestFit="1" customWidth="1"/>
    <col min="2144" max="2144" width="7" bestFit="1" customWidth="1"/>
    <col min="2145" max="2145" width="9.6640625" bestFit="1" customWidth="1"/>
    <col min="2146" max="2146" width="7" bestFit="1" customWidth="1"/>
    <col min="2147" max="2147" width="9.6640625" bestFit="1" customWidth="1"/>
    <col min="2148" max="2148" width="7" bestFit="1" customWidth="1"/>
    <col min="2149" max="2149" width="9.6640625" bestFit="1" customWidth="1"/>
    <col min="2150" max="2150" width="7" bestFit="1" customWidth="1"/>
    <col min="2151" max="2151" width="9.6640625" bestFit="1" customWidth="1"/>
    <col min="2152" max="2152" width="7" bestFit="1" customWidth="1"/>
    <col min="2153" max="2153" width="9.6640625" bestFit="1" customWidth="1"/>
    <col min="2154" max="2154" width="7" bestFit="1" customWidth="1"/>
    <col min="2155" max="2155" width="9.6640625" bestFit="1" customWidth="1"/>
    <col min="2156" max="2156" width="7" bestFit="1" customWidth="1"/>
    <col min="2157" max="2157" width="9.6640625" bestFit="1" customWidth="1"/>
    <col min="2158" max="2158" width="7" bestFit="1" customWidth="1"/>
    <col min="2159" max="2159" width="9.6640625" bestFit="1" customWidth="1"/>
    <col min="2160" max="2160" width="7" bestFit="1" customWidth="1"/>
    <col min="2161" max="2161" width="9.6640625" bestFit="1" customWidth="1"/>
    <col min="2162" max="2162" width="7" bestFit="1" customWidth="1"/>
    <col min="2163" max="2163" width="9.6640625" bestFit="1" customWidth="1"/>
    <col min="2164" max="2164" width="7" bestFit="1" customWidth="1"/>
    <col min="2165" max="2165" width="9.6640625" bestFit="1" customWidth="1"/>
    <col min="2166" max="2166" width="7" bestFit="1" customWidth="1"/>
    <col min="2167" max="2167" width="9.6640625" bestFit="1" customWidth="1"/>
    <col min="2168" max="2168" width="7" bestFit="1" customWidth="1"/>
    <col min="2169" max="2169" width="9.6640625" bestFit="1" customWidth="1"/>
    <col min="2170" max="2170" width="7" bestFit="1" customWidth="1"/>
    <col min="2171" max="2171" width="9.6640625" bestFit="1" customWidth="1"/>
    <col min="2172" max="2172" width="7" bestFit="1" customWidth="1"/>
    <col min="2173" max="2173" width="9.6640625" bestFit="1" customWidth="1"/>
    <col min="2174" max="2174" width="7" bestFit="1" customWidth="1"/>
    <col min="2175" max="2175" width="9.6640625" bestFit="1" customWidth="1"/>
    <col min="2176" max="2176" width="7" bestFit="1" customWidth="1"/>
    <col min="2177" max="2177" width="9.6640625" bestFit="1" customWidth="1"/>
    <col min="2178" max="2178" width="7" bestFit="1" customWidth="1"/>
    <col min="2179" max="2179" width="9.6640625" bestFit="1" customWidth="1"/>
    <col min="2180" max="2180" width="7" bestFit="1" customWidth="1"/>
    <col min="2181" max="2181" width="9.6640625" bestFit="1" customWidth="1"/>
    <col min="2182" max="2182" width="7" bestFit="1" customWidth="1"/>
    <col min="2183" max="2183" width="9.6640625" bestFit="1" customWidth="1"/>
    <col min="2184" max="2184" width="7" bestFit="1" customWidth="1"/>
    <col min="2185" max="2185" width="9.6640625" bestFit="1" customWidth="1"/>
    <col min="2186" max="2186" width="7" bestFit="1" customWidth="1"/>
    <col min="2187" max="2187" width="9.6640625" bestFit="1" customWidth="1"/>
    <col min="2188" max="2188" width="7" bestFit="1" customWidth="1"/>
    <col min="2189" max="2189" width="9.6640625" bestFit="1" customWidth="1"/>
    <col min="2190" max="2190" width="7" bestFit="1" customWidth="1"/>
    <col min="2191" max="2191" width="9.6640625" bestFit="1" customWidth="1"/>
    <col min="2192" max="2192" width="7" bestFit="1" customWidth="1"/>
    <col min="2193" max="2193" width="9.6640625" bestFit="1" customWidth="1"/>
    <col min="2194" max="2194" width="7" bestFit="1" customWidth="1"/>
    <col min="2195" max="2195" width="9.6640625" bestFit="1" customWidth="1"/>
    <col min="2196" max="2196" width="7" bestFit="1" customWidth="1"/>
    <col min="2197" max="2197" width="9.6640625" bestFit="1" customWidth="1"/>
    <col min="2198" max="2198" width="7" bestFit="1" customWidth="1"/>
    <col min="2199" max="2199" width="9.6640625" bestFit="1" customWidth="1"/>
    <col min="2200" max="2200" width="7" bestFit="1" customWidth="1"/>
    <col min="2201" max="2201" width="9.6640625" bestFit="1" customWidth="1"/>
    <col min="2202" max="2202" width="7" bestFit="1" customWidth="1"/>
    <col min="2203" max="2203" width="9.6640625" bestFit="1" customWidth="1"/>
    <col min="2204" max="2204" width="7" bestFit="1" customWidth="1"/>
    <col min="2205" max="2205" width="9.6640625" bestFit="1" customWidth="1"/>
    <col min="2206" max="2206" width="7" bestFit="1" customWidth="1"/>
    <col min="2207" max="2207" width="9.6640625" bestFit="1" customWidth="1"/>
    <col min="2208" max="2208" width="7" bestFit="1" customWidth="1"/>
    <col min="2209" max="2209" width="9.6640625" bestFit="1" customWidth="1"/>
    <col min="2210" max="2210" width="7" bestFit="1" customWidth="1"/>
    <col min="2211" max="2211" width="9.6640625" bestFit="1" customWidth="1"/>
    <col min="2212" max="2212" width="7" bestFit="1" customWidth="1"/>
    <col min="2213" max="2213" width="9.6640625" bestFit="1" customWidth="1"/>
    <col min="2214" max="2214" width="7" bestFit="1" customWidth="1"/>
    <col min="2215" max="2215" width="9.6640625" bestFit="1" customWidth="1"/>
    <col min="2216" max="2216" width="7" bestFit="1" customWidth="1"/>
    <col min="2217" max="2217" width="9.6640625" bestFit="1" customWidth="1"/>
    <col min="2218" max="2218" width="7" bestFit="1" customWidth="1"/>
    <col min="2219" max="2219" width="9.6640625" bestFit="1" customWidth="1"/>
    <col min="2220" max="2220" width="7" bestFit="1" customWidth="1"/>
    <col min="2221" max="2221" width="9.6640625" bestFit="1" customWidth="1"/>
    <col min="2222" max="2222" width="7" bestFit="1" customWidth="1"/>
    <col min="2223" max="2223" width="9.6640625" bestFit="1" customWidth="1"/>
    <col min="2224" max="2224" width="7" bestFit="1" customWidth="1"/>
    <col min="2225" max="2225" width="9.6640625" bestFit="1" customWidth="1"/>
    <col min="2226" max="2226" width="7" bestFit="1" customWidth="1"/>
    <col min="2227" max="2227" width="9.6640625" bestFit="1" customWidth="1"/>
    <col min="2228" max="2228" width="7" bestFit="1" customWidth="1"/>
    <col min="2229" max="2229" width="9.6640625" bestFit="1" customWidth="1"/>
    <col min="2230" max="2230" width="7" bestFit="1" customWidth="1"/>
    <col min="2231" max="2231" width="9.6640625" bestFit="1" customWidth="1"/>
    <col min="2232" max="2232" width="7" bestFit="1" customWidth="1"/>
    <col min="2233" max="2233" width="9.6640625" bestFit="1" customWidth="1"/>
    <col min="2234" max="2234" width="7" bestFit="1" customWidth="1"/>
    <col min="2235" max="2235" width="9.6640625" bestFit="1" customWidth="1"/>
    <col min="2236" max="2236" width="7" bestFit="1" customWidth="1"/>
    <col min="2237" max="2237" width="9.6640625" bestFit="1" customWidth="1"/>
    <col min="2238" max="2238" width="7" bestFit="1" customWidth="1"/>
    <col min="2239" max="2239" width="9.6640625" bestFit="1" customWidth="1"/>
    <col min="2240" max="2240" width="7" bestFit="1" customWidth="1"/>
    <col min="2241" max="2241" width="9.6640625" bestFit="1" customWidth="1"/>
    <col min="2242" max="2242" width="7" bestFit="1" customWidth="1"/>
    <col min="2243" max="2243" width="9.6640625" bestFit="1" customWidth="1"/>
    <col min="2244" max="2244" width="7" bestFit="1" customWidth="1"/>
    <col min="2245" max="2245" width="9.6640625" bestFit="1" customWidth="1"/>
    <col min="2246" max="2246" width="7" bestFit="1" customWidth="1"/>
    <col min="2247" max="2247" width="9.6640625" bestFit="1" customWidth="1"/>
    <col min="2248" max="2248" width="7" bestFit="1" customWidth="1"/>
    <col min="2249" max="2249" width="9.6640625" bestFit="1" customWidth="1"/>
    <col min="2250" max="2250" width="7" bestFit="1" customWidth="1"/>
    <col min="2251" max="2251" width="9.6640625" bestFit="1" customWidth="1"/>
    <col min="2252" max="2252" width="7" bestFit="1" customWidth="1"/>
    <col min="2253" max="2253" width="9.6640625" bestFit="1" customWidth="1"/>
    <col min="2254" max="2254" width="7" bestFit="1" customWidth="1"/>
    <col min="2255" max="2255" width="9.6640625" bestFit="1" customWidth="1"/>
    <col min="2256" max="2256" width="7" bestFit="1" customWidth="1"/>
    <col min="2257" max="2257" width="9.6640625" bestFit="1" customWidth="1"/>
    <col min="2258" max="2258" width="7" bestFit="1" customWidth="1"/>
    <col min="2259" max="2259" width="9.6640625" bestFit="1" customWidth="1"/>
    <col min="2260" max="2260" width="7" bestFit="1" customWidth="1"/>
    <col min="2261" max="2261" width="9.6640625" bestFit="1" customWidth="1"/>
    <col min="2262" max="2262" width="7" bestFit="1" customWidth="1"/>
    <col min="2263" max="2263" width="9.6640625" bestFit="1" customWidth="1"/>
    <col min="2264" max="2264" width="7" bestFit="1" customWidth="1"/>
    <col min="2265" max="2265" width="9.6640625" bestFit="1" customWidth="1"/>
    <col min="2266" max="2266" width="7" bestFit="1" customWidth="1"/>
    <col min="2267" max="2267" width="9.6640625" bestFit="1" customWidth="1"/>
    <col min="2268" max="2268" width="7" bestFit="1" customWidth="1"/>
    <col min="2269" max="2269" width="9.6640625" bestFit="1" customWidth="1"/>
    <col min="2270" max="2270" width="7" bestFit="1" customWidth="1"/>
    <col min="2271" max="2271" width="9.6640625" bestFit="1" customWidth="1"/>
    <col min="2272" max="2272" width="7" bestFit="1" customWidth="1"/>
    <col min="2273" max="2273" width="9.6640625" bestFit="1" customWidth="1"/>
    <col min="2274" max="2274" width="7" bestFit="1" customWidth="1"/>
    <col min="2275" max="2275" width="9.6640625" bestFit="1" customWidth="1"/>
    <col min="2276" max="2276" width="7" bestFit="1" customWidth="1"/>
    <col min="2277" max="2277" width="9.6640625" bestFit="1" customWidth="1"/>
    <col min="2278" max="2278" width="7" bestFit="1" customWidth="1"/>
    <col min="2279" max="2279" width="9.6640625" bestFit="1" customWidth="1"/>
    <col min="2280" max="2280" width="7" bestFit="1" customWidth="1"/>
    <col min="2281" max="2281" width="9.6640625" bestFit="1" customWidth="1"/>
    <col min="2282" max="2282" width="7" bestFit="1" customWidth="1"/>
    <col min="2283" max="2283" width="9.6640625" bestFit="1" customWidth="1"/>
    <col min="2284" max="2284" width="7" bestFit="1" customWidth="1"/>
    <col min="2285" max="2285" width="9.6640625" bestFit="1" customWidth="1"/>
    <col min="2286" max="2286" width="7" bestFit="1" customWidth="1"/>
    <col min="2287" max="2287" width="9.6640625" bestFit="1" customWidth="1"/>
    <col min="2288" max="2288" width="7" bestFit="1" customWidth="1"/>
    <col min="2289" max="2289" width="9.6640625" bestFit="1" customWidth="1"/>
    <col min="2290" max="2290" width="7" bestFit="1" customWidth="1"/>
    <col min="2291" max="2291" width="9.6640625" bestFit="1" customWidth="1"/>
    <col min="2292" max="2292" width="7" bestFit="1" customWidth="1"/>
    <col min="2293" max="2293" width="9.6640625" bestFit="1" customWidth="1"/>
    <col min="2294" max="2294" width="7" bestFit="1" customWidth="1"/>
    <col min="2295" max="2295" width="9.6640625" bestFit="1" customWidth="1"/>
    <col min="2296" max="2296" width="7" bestFit="1" customWidth="1"/>
    <col min="2297" max="2297" width="9.6640625" bestFit="1" customWidth="1"/>
    <col min="2298" max="2298" width="7" bestFit="1" customWidth="1"/>
    <col min="2299" max="2299" width="9.6640625" bestFit="1" customWidth="1"/>
    <col min="2300" max="2300" width="7" bestFit="1" customWidth="1"/>
    <col min="2301" max="2301" width="9.6640625" bestFit="1" customWidth="1"/>
    <col min="2302" max="2302" width="7" bestFit="1" customWidth="1"/>
    <col min="2303" max="2303" width="9.6640625" bestFit="1" customWidth="1"/>
    <col min="2304" max="2304" width="7" bestFit="1" customWidth="1"/>
    <col min="2305" max="2305" width="9.6640625" bestFit="1" customWidth="1"/>
    <col min="2306" max="2306" width="7" bestFit="1" customWidth="1"/>
    <col min="2307" max="2307" width="9.6640625" bestFit="1" customWidth="1"/>
    <col min="2308" max="2308" width="7" bestFit="1" customWidth="1"/>
    <col min="2309" max="2309" width="9.6640625" bestFit="1" customWidth="1"/>
    <col min="2310" max="2310" width="7" bestFit="1" customWidth="1"/>
    <col min="2311" max="2311" width="9.6640625" bestFit="1" customWidth="1"/>
    <col min="2312" max="2312" width="7" bestFit="1" customWidth="1"/>
    <col min="2313" max="2313" width="9.6640625" bestFit="1" customWidth="1"/>
    <col min="2314" max="2314" width="7" bestFit="1" customWidth="1"/>
    <col min="2315" max="2315" width="9.6640625" bestFit="1" customWidth="1"/>
    <col min="2316" max="2316" width="7" bestFit="1" customWidth="1"/>
    <col min="2317" max="2317" width="9.6640625" bestFit="1" customWidth="1"/>
    <col min="2318" max="2318" width="7" bestFit="1" customWidth="1"/>
    <col min="2319" max="2319" width="9.6640625" bestFit="1" customWidth="1"/>
    <col min="2320" max="2320" width="7" bestFit="1" customWidth="1"/>
    <col min="2321" max="2321" width="9.6640625" bestFit="1" customWidth="1"/>
    <col min="2322" max="2322" width="7" bestFit="1" customWidth="1"/>
    <col min="2323" max="2323" width="9.6640625" bestFit="1" customWidth="1"/>
    <col min="2324" max="2324" width="7" bestFit="1" customWidth="1"/>
    <col min="2325" max="2325" width="9.6640625" bestFit="1" customWidth="1"/>
    <col min="2326" max="2326" width="7" bestFit="1" customWidth="1"/>
    <col min="2327" max="2327" width="9.6640625" bestFit="1" customWidth="1"/>
    <col min="2328" max="2328" width="7" bestFit="1" customWidth="1"/>
    <col min="2329" max="2329" width="9.6640625" bestFit="1" customWidth="1"/>
    <col min="2330" max="2330" width="7" bestFit="1" customWidth="1"/>
    <col min="2331" max="2331" width="9.6640625" bestFit="1" customWidth="1"/>
    <col min="2332" max="2332" width="7" bestFit="1" customWidth="1"/>
    <col min="2333" max="2333" width="9.6640625" bestFit="1" customWidth="1"/>
    <col min="2334" max="2334" width="7" bestFit="1" customWidth="1"/>
    <col min="2335" max="2335" width="9.6640625" bestFit="1" customWidth="1"/>
    <col min="2336" max="2336" width="7" bestFit="1" customWidth="1"/>
    <col min="2337" max="2337" width="9.6640625" bestFit="1" customWidth="1"/>
    <col min="2338" max="2338" width="7" bestFit="1" customWidth="1"/>
    <col min="2339" max="2339" width="9.6640625" bestFit="1" customWidth="1"/>
    <col min="2340" max="2340" width="7" bestFit="1" customWidth="1"/>
    <col min="2341" max="2341" width="9.6640625" bestFit="1" customWidth="1"/>
    <col min="2342" max="2342" width="7" bestFit="1" customWidth="1"/>
    <col min="2343" max="2343" width="9.6640625" bestFit="1" customWidth="1"/>
    <col min="2344" max="2344" width="7" bestFit="1" customWidth="1"/>
    <col min="2345" max="2345" width="9.6640625" bestFit="1" customWidth="1"/>
    <col min="2346" max="2346" width="7" bestFit="1" customWidth="1"/>
    <col min="2347" max="2347" width="9.6640625" bestFit="1" customWidth="1"/>
    <col min="2348" max="2348" width="7" bestFit="1" customWidth="1"/>
    <col min="2349" max="2349" width="9.6640625" bestFit="1" customWidth="1"/>
    <col min="2350" max="2350" width="7" bestFit="1" customWidth="1"/>
    <col min="2351" max="2351" width="9.6640625" bestFit="1" customWidth="1"/>
    <col min="2352" max="2352" width="7" bestFit="1" customWidth="1"/>
    <col min="2353" max="2353" width="9.6640625" bestFit="1" customWidth="1"/>
    <col min="2354" max="2354" width="7" bestFit="1" customWidth="1"/>
    <col min="2355" max="2355" width="9.6640625" bestFit="1" customWidth="1"/>
    <col min="2356" max="2356" width="7" bestFit="1" customWidth="1"/>
    <col min="2357" max="2357" width="9.6640625" bestFit="1" customWidth="1"/>
    <col min="2358" max="2358" width="7" bestFit="1" customWidth="1"/>
    <col min="2359" max="2359" width="9.6640625" bestFit="1" customWidth="1"/>
    <col min="2360" max="2360" width="7" bestFit="1" customWidth="1"/>
    <col min="2361" max="2361" width="9.6640625" bestFit="1" customWidth="1"/>
    <col min="2362" max="2362" width="7" bestFit="1" customWidth="1"/>
    <col min="2363" max="2363" width="9.6640625" bestFit="1" customWidth="1"/>
    <col min="2364" max="2364" width="7" bestFit="1" customWidth="1"/>
    <col min="2365" max="2365" width="9.6640625" bestFit="1" customWidth="1"/>
    <col min="2366" max="2366" width="7" bestFit="1" customWidth="1"/>
    <col min="2367" max="2367" width="9.6640625" bestFit="1" customWidth="1"/>
    <col min="2368" max="2368" width="7" bestFit="1" customWidth="1"/>
    <col min="2369" max="2369" width="9.6640625" bestFit="1" customWidth="1"/>
    <col min="2370" max="2370" width="7" bestFit="1" customWidth="1"/>
    <col min="2371" max="2371" width="9.6640625" bestFit="1" customWidth="1"/>
    <col min="2372" max="2372" width="7" bestFit="1" customWidth="1"/>
    <col min="2373" max="2373" width="9.6640625" bestFit="1" customWidth="1"/>
    <col min="2374" max="2374" width="7" bestFit="1" customWidth="1"/>
    <col min="2375" max="2375" width="9.6640625" bestFit="1" customWidth="1"/>
    <col min="2376" max="2376" width="7" bestFit="1" customWidth="1"/>
    <col min="2377" max="2377" width="9.6640625" bestFit="1" customWidth="1"/>
    <col min="2378" max="2378" width="7" bestFit="1" customWidth="1"/>
    <col min="2379" max="2379" width="9.6640625" bestFit="1" customWidth="1"/>
    <col min="2380" max="2380" width="7" bestFit="1" customWidth="1"/>
    <col min="2381" max="2381" width="9.6640625" bestFit="1" customWidth="1"/>
    <col min="2382" max="2382" width="7" bestFit="1" customWidth="1"/>
    <col min="2383" max="2383" width="9.6640625" bestFit="1" customWidth="1"/>
    <col min="2384" max="2384" width="7" bestFit="1" customWidth="1"/>
    <col min="2385" max="2385" width="9.6640625" bestFit="1" customWidth="1"/>
    <col min="2386" max="2386" width="7" bestFit="1" customWidth="1"/>
    <col min="2387" max="2387" width="9.6640625" bestFit="1" customWidth="1"/>
    <col min="2388" max="2388" width="7" bestFit="1" customWidth="1"/>
    <col min="2389" max="2389" width="9.6640625" bestFit="1" customWidth="1"/>
    <col min="2390" max="2390" width="7" bestFit="1" customWidth="1"/>
    <col min="2391" max="2391" width="9.6640625" bestFit="1" customWidth="1"/>
    <col min="2392" max="2392" width="7" bestFit="1" customWidth="1"/>
    <col min="2393" max="2393" width="9.6640625" bestFit="1" customWidth="1"/>
    <col min="2394" max="2394" width="7" bestFit="1" customWidth="1"/>
    <col min="2395" max="2395" width="9.6640625" bestFit="1" customWidth="1"/>
    <col min="2396" max="2396" width="7" bestFit="1" customWidth="1"/>
    <col min="2397" max="2397" width="9.6640625" bestFit="1" customWidth="1"/>
    <col min="2398" max="2398" width="7" bestFit="1" customWidth="1"/>
    <col min="2399" max="2399" width="9.6640625" bestFit="1" customWidth="1"/>
    <col min="2400" max="2400" width="7" bestFit="1" customWidth="1"/>
    <col min="2401" max="2401" width="9.6640625" bestFit="1" customWidth="1"/>
    <col min="2402" max="2402" width="7" bestFit="1" customWidth="1"/>
    <col min="2403" max="2403" width="9.6640625" bestFit="1" customWidth="1"/>
    <col min="2404" max="2404" width="7" bestFit="1" customWidth="1"/>
    <col min="2405" max="2405" width="9.6640625" bestFit="1" customWidth="1"/>
    <col min="2406" max="2406" width="7" bestFit="1" customWidth="1"/>
    <col min="2407" max="2407" width="9.6640625" bestFit="1" customWidth="1"/>
    <col min="2408" max="2408" width="7" bestFit="1" customWidth="1"/>
    <col min="2409" max="2409" width="9.6640625" bestFit="1" customWidth="1"/>
    <col min="2410" max="2410" width="7" bestFit="1" customWidth="1"/>
    <col min="2411" max="2411" width="9.6640625" bestFit="1" customWidth="1"/>
    <col min="2412" max="2412" width="7" bestFit="1" customWidth="1"/>
    <col min="2413" max="2413" width="9.6640625" bestFit="1" customWidth="1"/>
    <col min="2414" max="2414" width="7" bestFit="1" customWidth="1"/>
    <col min="2415" max="2415" width="9.6640625" bestFit="1" customWidth="1"/>
    <col min="2416" max="2416" width="7" bestFit="1" customWidth="1"/>
    <col min="2417" max="2417" width="9.6640625" bestFit="1" customWidth="1"/>
    <col min="2418" max="2418" width="7" bestFit="1" customWidth="1"/>
    <col min="2419" max="2419" width="9.6640625" bestFit="1" customWidth="1"/>
    <col min="2420" max="2420" width="7" bestFit="1" customWidth="1"/>
    <col min="2421" max="2421" width="9.6640625" bestFit="1" customWidth="1"/>
    <col min="2422" max="2422" width="7" bestFit="1" customWidth="1"/>
    <col min="2423" max="2423" width="9.6640625" bestFit="1" customWidth="1"/>
    <col min="2424" max="2424" width="7" bestFit="1" customWidth="1"/>
    <col min="2425" max="2425" width="9.6640625" bestFit="1" customWidth="1"/>
    <col min="2426" max="2426" width="7" bestFit="1" customWidth="1"/>
    <col min="2427" max="2427" width="9.6640625" bestFit="1" customWidth="1"/>
    <col min="2428" max="2428" width="7" bestFit="1" customWidth="1"/>
    <col min="2429" max="2429" width="9.6640625" bestFit="1" customWidth="1"/>
    <col min="2430" max="2430" width="7" bestFit="1" customWidth="1"/>
    <col min="2431" max="2431" width="9.6640625" bestFit="1" customWidth="1"/>
    <col min="2432" max="2432" width="7" bestFit="1" customWidth="1"/>
    <col min="2433" max="2433" width="9.6640625" bestFit="1" customWidth="1"/>
    <col min="2434" max="2434" width="7" bestFit="1" customWidth="1"/>
    <col min="2435" max="2435" width="9.6640625" bestFit="1" customWidth="1"/>
    <col min="2436" max="2436" width="7" bestFit="1" customWidth="1"/>
    <col min="2437" max="2437" width="9.6640625" bestFit="1" customWidth="1"/>
    <col min="2438" max="2438" width="7" bestFit="1" customWidth="1"/>
    <col min="2439" max="2439" width="9.6640625" bestFit="1" customWidth="1"/>
    <col min="2440" max="2440" width="7" bestFit="1" customWidth="1"/>
    <col min="2441" max="2441" width="9.6640625" bestFit="1" customWidth="1"/>
    <col min="2442" max="2442" width="7" bestFit="1" customWidth="1"/>
    <col min="2443" max="2443" width="9.6640625" bestFit="1" customWidth="1"/>
    <col min="2444" max="2444" width="7" bestFit="1" customWidth="1"/>
    <col min="2445" max="2445" width="9.6640625" bestFit="1" customWidth="1"/>
    <col min="2446" max="2446" width="7" bestFit="1" customWidth="1"/>
    <col min="2447" max="2447" width="9.6640625" bestFit="1" customWidth="1"/>
    <col min="2448" max="2448" width="7" bestFit="1" customWidth="1"/>
    <col min="2449" max="2449" width="9.6640625" bestFit="1" customWidth="1"/>
    <col min="2450" max="2450" width="7" bestFit="1" customWidth="1"/>
    <col min="2451" max="2451" width="9.6640625" bestFit="1" customWidth="1"/>
    <col min="2452" max="2452" width="7" bestFit="1" customWidth="1"/>
    <col min="2453" max="2453" width="9.6640625" bestFit="1" customWidth="1"/>
    <col min="2454" max="2454" width="7" bestFit="1" customWidth="1"/>
    <col min="2455" max="2455" width="9.6640625" bestFit="1" customWidth="1"/>
    <col min="2456" max="2456" width="7" bestFit="1" customWidth="1"/>
    <col min="2457" max="2457" width="9.6640625" bestFit="1" customWidth="1"/>
    <col min="2458" max="2458" width="7" bestFit="1" customWidth="1"/>
    <col min="2459" max="2459" width="9.6640625" bestFit="1" customWidth="1"/>
    <col min="2460" max="2460" width="7" bestFit="1" customWidth="1"/>
    <col min="2461" max="2461" width="9.6640625" bestFit="1" customWidth="1"/>
    <col min="2462" max="2462" width="7" bestFit="1" customWidth="1"/>
    <col min="2463" max="2463" width="9.6640625" bestFit="1" customWidth="1"/>
    <col min="2464" max="2464" width="7" bestFit="1" customWidth="1"/>
    <col min="2465" max="2465" width="9.6640625" bestFit="1" customWidth="1"/>
    <col min="2466" max="2466" width="7" bestFit="1" customWidth="1"/>
    <col min="2467" max="2467" width="9.6640625" bestFit="1" customWidth="1"/>
    <col min="2468" max="2468" width="7" bestFit="1" customWidth="1"/>
    <col min="2469" max="2469" width="9.6640625" bestFit="1" customWidth="1"/>
    <col min="2470" max="2470" width="7" bestFit="1" customWidth="1"/>
    <col min="2471" max="2471" width="9.6640625" bestFit="1" customWidth="1"/>
    <col min="2472" max="2472" width="7" bestFit="1" customWidth="1"/>
    <col min="2473" max="2473" width="9.6640625" bestFit="1" customWidth="1"/>
    <col min="2474" max="2474" width="7" bestFit="1" customWidth="1"/>
    <col min="2475" max="2475" width="9.6640625" bestFit="1" customWidth="1"/>
    <col min="2476" max="2476" width="7" bestFit="1" customWidth="1"/>
    <col min="2477" max="2477" width="9.6640625" bestFit="1" customWidth="1"/>
    <col min="2478" max="2478" width="7" bestFit="1" customWidth="1"/>
    <col min="2479" max="2479" width="9.6640625" bestFit="1" customWidth="1"/>
    <col min="2480" max="2480" width="7" bestFit="1" customWidth="1"/>
    <col min="2481" max="2481" width="9.6640625" bestFit="1" customWidth="1"/>
    <col min="2482" max="2482" width="7" bestFit="1" customWidth="1"/>
    <col min="2483" max="2483" width="9.6640625" bestFit="1" customWidth="1"/>
    <col min="2484" max="2484" width="7" bestFit="1" customWidth="1"/>
    <col min="2485" max="2485" width="9.6640625" bestFit="1" customWidth="1"/>
    <col min="2486" max="2486" width="7" bestFit="1" customWidth="1"/>
    <col min="2487" max="2487" width="9.6640625" bestFit="1" customWidth="1"/>
    <col min="2488" max="2488" width="7" bestFit="1" customWidth="1"/>
    <col min="2489" max="2489" width="9.6640625" bestFit="1" customWidth="1"/>
    <col min="2490" max="2490" width="7" bestFit="1" customWidth="1"/>
    <col min="2491" max="2491" width="9.6640625" bestFit="1" customWidth="1"/>
    <col min="2492" max="2492" width="7" bestFit="1" customWidth="1"/>
    <col min="2493" max="2493" width="9.6640625" bestFit="1" customWidth="1"/>
    <col min="2494" max="2494" width="7" bestFit="1" customWidth="1"/>
    <col min="2495" max="2495" width="9.6640625" bestFit="1" customWidth="1"/>
    <col min="2496" max="2496" width="7" bestFit="1" customWidth="1"/>
    <col min="2497" max="2497" width="9.6640625" bestFit="1" customWidth="1"/>
    <col min="2498" max="2498" width="7" bestFit="1" customWidth="1"/>
    <col min="2499" max="2499" width="9.6640625" bestFit="1" customWidth="1"/>
    <col min="2500" max="2500" width="7" bestFit="1" customWidth="1"/>
    <col min="2501" max="2501" width="9.6640625" bestFit="1" customWidth="1"/>
    <col min="2502" max="2502" width="7" bestFit="1" customWidth="1"/>
    <col min="2503" max="2503" width="9.6640625" bestFit="1" customWidth="1"/>
    <col min="2504" max="2504" width="7" bestFit="1" customWidth="1"/>
    <col min="2505" max="2505" width="9.6640625" bestFit="1" customWidth="1"/>
    <col min="2506" max="2506" width="7" bestFit="1" customWidth="1"/>
    <col min="2507" max="2507" width="9.6640625" bestFit="1" customWidth="1"/>
    <col min="2508" max="2508" width="7" bestFit="1" customWidth="1"/>
    <col min="2509" max="2509" width="9.6640625" bestFit="1" customWidth="1"/>
    <col min="2510" max="2510" width="7" bestFit="1" customWidth="1"/>
    <col min="2511" max="2511" width="9.6640625" bestFit="1" customWidth="1"/>
    <col min="2512" max="2512" width="7" bestFit="1" customWidth="1"/>
    <col min="2513" max="2513" width="9.6640625" bestFit="1" customWidth="1"/>
    <col min="2514" max="2514" width="7" bestFit="1" customWidth="1"/>
    <col min="2515" max="2515" width="9.6640625" bestFit="1" customWidth="1"/>
    <col min="2516" max="2516" width="7" bestFit="1" customWidth="1"/>
    <col min="2517" max="2517" width="9.6640625" bestFit="1" customWidth="1"/>
    <col min="2518" max="2518" width="7" bestFit="1" customWidth="1"/>
    <col min="2519" max="2519" width="9.6640625" bestFit="1" customWidth="1"/>
    <col min="2520" max="2520" width="7" bestFit="1" customWidth="1"/>
    <col min="2521" max="2521" width="9.6640625" bestFit="1" customWidth="1"/>
    <col min="2522" max="2522" width="7" bestFit="1" customWidth="1"/>
    <col min="2523" max="2523" width="9.6640625" bestFit="1" customWidth="1"/>
    <col min="2524" max="2524" width="7" bestFit="1" customWidth="1"/>
    <col min="2525" max="2525" width="9.6640625" bestFit="1" customWidth="1"/>
    <col min="2526" max="2526" width="7" bestFit="1" customWidth="1"/>
    <col min="2527" max="2527" width="9.6640625" bestFit="1" customWidth="1"/>
    <col min="2528" max="2528" width="7" bestFit="1" customWidth="1"/>
    <col min="2529" max="2529" width="9.6640625" bestFit="1" customWidth="1"/>
    <col min="2530" max="2530" width="7" bestFit="1" customWidth="1"/>
    <col min="2531" max="2531" width="9.6640625" bestFit="1" customWidth="1"/>
    <col min="2532" max="2532" width="7" bestFit="1" customWidth="1"/>
    <col min="2533" max="2533" width="9.6640625" bestFit="1" customWidth="1"/>
    <col min="2534" max="2534" width="7" bestFit="1" customWidth="1"/>
    <col min="2535" max="2535" width="9.6640625" bestFit="1" customWidth="1"/>
    <col min="2536" max="2536" width="7" bestFit="1" customWidth="1"/>
    <col min="2537" max="2537" width="9.6640625" bestFit="1" customWidth="1"/>
    <col min="2538" max="2538" width="7" bestFit="1" customWidth="1"/>
    <col min="2539" max="2539" width="9.6640625" bestFit="1" customWidth="1"/>
    <col min="2540" max="2540" width="7" bestFit="1" customWidth="1"/>
    <col min="2541" max="2541" width="9.6640625" bestFit="1" customWidth="1"/>
    <col min="2542" max="2542" width="7" bestFit="1" customWidth="1"/>
    <col min="2543" max="2543" width="9.6640625" bestFit="1" customWidth="1"/>
    <col min="2544" max="2544" width="7" bestFit="1" customWidth="1"/>
    <col min="2545" max="2545" width="9.6640625" bestFit="1" customWidth="1"/>
    <col min="2546" max="2546" width="7" bestFit="1" customWidth="1"/>
    <col min="2547" max="2547" width="9.6640625" bestFit="1" customWidth="1"/>
    <col min="2548" max="2548" width="7" bestFit="1" customWidth="1"/>
    <col min="2549" max="2549" width="9.6640625" bestFit="1" customWidth="1"/>
    <col min="2550" max="2550" width="7" bestFit="1" customWidth="1"/>
    <col min="2551" max="2551" width="9.6640625" bestFit="1" customWidth="1"/>
    <col min="2552" max="2552" width="7" bestFit="1" customWidth="1"/>
    <col min="2553" max="2553" width="9.6640625" bestFit="1" customWidth="1"/>
    <col min="2554" max="2554" width="7" bestFit="1" customWidth="1"/>
    <col min="2555" max="2555" width="9.6640625" bestFit="1" customWidth="1"/>
    <col min="2556" max="2556" width="7" bestFit="1" customWidth="1"/>
    <col min="2557" max="2557" width="9.6640625" bestFit="1" customWidth="1"/>
    <col min="2558" max="2558" width="7" bestFit="1" customWidth="1"/>
    <col min="2559" max="2559" width="9.6640625" bestFit="1" customWidth="1"/>
    <col min="2560" max="2560" width="7" bestFit="1" customWidth="1"/>
    <col min="2561" max="2561" width="9.6640625" bestFit="1" customWidth="1"/>
    <col min="2562" max="2562" width="7" bestFit="1" customWidth="1"/>
    <col min="2563" max="2563" width="9.6640625" bestFit="1" customWidth="1"/>
    <col min="2564" max="2564" width="7" bestFit="1" customWidth="1"/>
    <col min="2565" max="2565" width="9.6640625" bestFit="1" customWidth="1"/>
    <col min="2566" max="2566" width="7" bestFit="1" customWidth="1"/>
    <col min="2567" max="2567" width="9.6640625" bestFit="1" customWidth="1"/>
    <col min="2568" max="2568" width="7" bestFit="1" customWidth="1"/>
    <col min="2569" max="2569" width="9.6640625" bestFit="1" customWidth="1"/>
    <col min="2570" max="2570" width="7" bestFit="1" customWidth="1"/>
    <col min="2571" max="2571" width="9.6640625" bestFit="1" customWidth="1"/>
    <col min="2572" max="2572" width="7" bestFit="1" customWidth="1"/>
    <col min="2573" max="2573" width="9.6640625" bestFit="1" customWidth="1"/>
    <col min="2574" max="2574" width="7" bestFit="1" customWidth="1"/>
    <col min="2575" max="2575" width="9.6640625" bestFit="1" customWidth="1"/>
    <col min="2576" max="2576" width="7" bestFit="1" customWidth="1"/>
    <col min="2577" max="2577" width="9.6640625" bestFit="1" customWidth="1"/>
    <col min="2578" max="2578" width="7" bestFit="1" customWidth="1"/>
    <col min="2579" max="2579" width="9.6640625" bestFit="1" customWidth="1"/>
    <col min="2580" max="2580" width="7" bestFit="1" customWidth="1"/>
    <col min="2581" max="2581" width="9.6640625" bestFit="1" customWidth="1"/>
    <col min="2582" max="2582" width="7" bestFit="1" customWidth="1"/>
    <col min="2583" max="2583" width="9.6640625" bestFit="1" customWidth="1"/>
    <col min="2584" max="2584" width="7" bestFit="1" customWidth="1"/>
    <col min="2585" max="2585" width="9.6640625" bestFit="1" customWidth="1"/>
    <col min="2586" max="2586" width="7" bestFit="1" customWidth="1"/>
    <col min="2587" max="2587" width="9.6640625" bestFit="1" customWidth="1"/>
    <col min="2588" max="2588" width="7" bestFit="1" customWidth="1"/>
    <col min="2589" max="2589" width="9.6640625" bestFit="1" customWidth="1"/>
    <col min="2590" max="2590" width="7" bestFit="1" customWidth="1"/>
    <col min="2591" max="2591" width="9.6640625" bestFit="1" customWidth="1"/>
    <col min="2592" max="2592" width="7" bestFit="1" customWidth="1"/>
    <col min="2593" max="2593" width="9.6640625" bestFit="1" customWidth="1"/>
    <col min="2594" max="2594" width="7" bestFit="1" customWidth="1"/>
    <col min="2595" max="2595" width="9.6640625" bestFit="1" customWidth="1"/>
    <col min="2596" max="2596" width="7" bestFit="1" customWidth="1"/>
    <col min="2597" max="2597" width="9.6640625" bestFit="1" customWidth="1"/>
    <col min="2598" max="2598" width="7" bestFit="1" customWidth="1"/>
    <col min="2599" max="2599" width="9.6640625" bestFit="1" customWidth="1"/>
    <col min="2600" max="2600" width="7" bestFit="1" customWidth="1"/>
    <col min="2601" max="2601" width="9.6640625" bestFit="1" customWidth="1"/>
    <col min="2602" max="2602" width="7" bestFit="1" customWidth="1"/>
    <col min="2603" max="2603" width="9.6640625" bestFit="1" customWidth="1"/>
    <col min="2604" max="2604" width="7" bestFit="1" customWidth="1"/>
    <col min="2605" max="2605" width="9.6640625" bestFit="1" customWidth="1"/>
    <col min="2606" max="2606" width="7" bestFit="1" customWidth="1"/>
    <col min="2607" max="2607" width="9.6640625" bestFit="1" customWidth="1"/>
    <col min="2608" max="2608" width="7" bestFit="1" customWidth="1"/>
    <col min="2609" max="2609" width="9.6640625" bestFit="1" customWidth="1"/>
    <col min="2610" max="2610" width="7" bestFit="1" customWidth="1"/>
    <col min="2611" max="2611" width="9.6640625" bestFit="1" customWidth="1"/>
    <col min="2612" max="2612" width="7" bestFit="1" customWidth="1"/>
    <col min="2613" max="2613" width="9.6640625" bestFit="1" customWidth="1"/>
    <col min="2614" max="2614" width="7" bestFit="1" customWidth="1"/>
    <col min="2615" max="2615" width="9.6640625" bestFit="1" customWidth="1"/>
    <col min="2616" max="2616" width="7" bestFit="1" customWidth="1"/>
    <col min="2617" max="2617" width="9.6640625" bestFit="1" customWidth="1"/>
    <col min="2618" max="2618" width="7" bestFit="1" customWidth="1"/>
    <col min="2619" max="2619" width="9.6640625" bestFit="1" customWidth="1"/>
    <col min="2620" max="2620" width="7" bestFit="1" customWidth="1"/>
    <col min="2621" max="2621" width="9.6640625" bestFit="1" customWidth="1"/>
    <col min="2622" max="2622" width="7" bestFit="1" customWidth="1"/>
    <col min="2623" max="2623" width="9.6640625" bestFit="1" customWidth="1"/>
    <col min="2624" max="2624" width="7" bestFit="1" customWidth="1"/>
    <col min="2625" max="2625" width="9.6640625" bestFit="1" customWidth="1"/>
    <col min="2626" max="2626" width="7" bestFit="1" customWidth="1"/>
    <col min="2627" max="2627" width="9.6640625" bestFit="1" customWidth="1"/>
    <col min="2628" max="2628" width="7" bestFit="1" customWidth="1"/>
    <col min="2629" max="2629" width="9.6640625" bestFit="1" customWidth="1"/>
    <col min="2630" max="2630" width="7" bestFit="1" customWidth="1"/>
    <col min="2631" max="2631" width="9.6640625" bestFit="1" customWidth="1"/>
    <col min="2632" max="2632" width="7" bestFit="1" customWidth="1"/>
    <col min="2633" max="2633" width="9.6640625" bestFit="1" customWidth="1"/>
    <col min="2634" max="2634" width="7" bestFit="1" customWidth="1"/>
    <col min="2635" max="2635" width="9.6640625" bestFit="1" customWidth="1"/>
    <col min="2636" max="2636" width="7" bestFit="1" customWidth="1"/>
    <col min="2637" max="2637" width="9.6640625" bestFit="1" customWidth="1"/>
    <col min="2638" max="2638" width="7" bestFit="1" customWidth="1"/>
    <col min="2639" max="2639" width="9.6640625" bestFit="1" customWidth="1"/>
    <col min="2640" max="2640" width="7" bestFit="1" customWidth="1"/>
    <col min="2641" max="2641" width="9.6640625" bestFit="1" customWidth="1"/>
    <col min="2642" max="2642" width="7" bestFit="1" customWidth="1"/>
    <col min="2643" max="2643" width="9.6640625" bestFit="1" customWidth="1"/>
    <col min="2644" max="2644" width="7" bestFit="1" customWidth="1"/>
    <col min="2645" max="2645" width="9.6640625" bestFit="1" customWidth="1"/>
    <col min="2646" max="2646" width="7" bestFit="1" customWidth="1"/>
    <col min="2647" max="2647" width="9.6640625" bestFit="1" customWidth="1"/>
    <col min="2648" max="2648" width="7" bestFit="1" customWidth="1"/>
    <col min="2649" max="2649" width="9.6640625" bestFit="1" customWidth="1"/>
    <col min="2650" max="2650" width="7" bestFit="1" customWidth="1"/>
    <col min="2651" max="2651" width="9.6640625" bestFit="1" customWidth="1"/>
    <col min="2652" max="2652" width="7" bestFit="1" customWidth="1"/>
    <col min="2653" max="2653" width="9.6640625" bestFit="1" customWidth="1"/>
    <col min="2654" max="2654" width="7" bestFit="1" customWidth="1"/>
    <col min="2655" max="2655" width="9.6640625" bestFit="1" customWidth="1"/>
    <col min="2656" max="2656" width="7" bestFit="1" customWidth="1"/>
    <col min="2657" max="2657" width="9.6640625" bestFit="1" customWidth="1"/>
    <col min="2658" max="2658" width="7" bestFit="1" customWidth="1"/>
    <col min="2659" max="2659" width="9.6640625" bestFit="1" customWidth="1"/>
    <col min="2660" max="2660" width="7" bestFit="1" customWidth="1"/>
    <col min="2661" max="2661" width="9.6640625" bestFit="1" customWidth="1"/>
    <col min="2662" max="2662" width="7" bestFit="1" customWidth="1"/>
    <col min="2663" max="2663" width="9.6640625" bestFit="1" customWidth="1"/>
    <col min="2664" max="2664" width="7" bestFit="1" customWidth="1"/>
    <col min="2665" max="2665" width="9.6640625" bestFit="1" customWidth="1"/>
    <col min="2666" max="2666" width="7" bestFit="1" customWidth="1"/>
    <col min="2667" max="2667" width="9.6640625" bestFit="1" customWidth="1"/>
    <col min="2668" max="2668" width="7" bestFit="1" customWidth="1"/>
    <col min="2669" max="2669" width="9.6640625" bestFit="1" customWidth="1"/>
    <col min="2670" max="2670" width="7" bestFit="1" customWidth="1"/>
    <col min="2671" max="2671" width="9.6640625" bestFit="1" customWidth="1"/>
    <col min="2672" max="2672" width="7" bestFit="1" customWidth="1"/>
    <col min="2673" max="2673" width="9.6640625" bestFit="1" customWidth="1"/>
    <col min="2674" max="2674" width="7" bestFit="1" customWidth="1"/>
    <col min="2675" max="2675" width="9.6640625" bestFit="1" customWidth="1"/>
    <col min="2676" max="2676" width="7" bestFit="1" customWidth="1"/>
    <col min="2677" max="2677" width="9.6640625" bestFit="1" customWidth="1"/>
    <col min="2678" max="2678" width="7" bestFit="1" customWidth="1"/>
    <col min="2679" max="2679" width="9.6640625" bestFit="1" customWidth="1"/>
    <col min="2680" max="2680" width="7" bestFit="1" customWidth="1"/>
    <col min="2681" max="2681" width="9.6640625" bestFit="1" customWidth="1"/>
    <col min="2682" max="2682" width="7" bestFit="1" customWidth="1"/>
    <col min="2683" max="2683" width="9.6640625" bestFit="1" customWidth="1"/>
    <col min="2684" max="2684" width="7" bestFit="1" customWidth="1"/>
    <col min="2685" max="2685" width="9.6640625" bestFit="1" customWidth="1"/>
    <col min="2686" max="2686" width="7" bestFit="1" customWidth="1"/>
    <col min="2687" max="2687" width="9.6640625" bestFit="1" customWidth="1"/>
    <col min="2688" max="2688" width="7" bestFit="1" customWidth="1"/>
    <col min="2689" max="2689" width="9.6640625" bestFit="1" customWidth="1"/>
    <col min="2690" max="2690" width="7" bestFit="1" customWidth="1"/>
    <col min="2691" max="2691" width="9.6640625" bestFit="1" customWidth="1"/>
    <col min="2692" max="2692" width="7" bestFit="1" customWidth="1"/>
    <col min="2693" max="2693" width="9.6640625" bestFit="1" customWidth="1"/>
    <col min="2694" max="2694" width="7" bestFit="1" customWidth="1"/>
    <col min="2695" max="2695" width="9.6640625" bestFit="1" customWidth="1"/>
    <col min="2696" max="2696" width="7" bestFit="1" customWidth="1"/>
    <col min="2697" max="2697" width="9.6640625" bestFit="1" customWidth="1"/>
    <col min="2698" max="2698" width="7" bestFit="1" customWidth="1"/>
    <col min="2699" max="2699" width="9.6640625" bestFit="1" customWidth="1"/>
    <col min="2700" max="2700" width="7" bestFit="1" customWidth="1"/>
    <col min="2701" max="2701" width="9.6640625" bestFit="1" customWidth="1"/>
    <col min="2702" max="2702" width="7" bestFit="1" customWidth="1"/>
    <col min="2703" max="2703" width="9.6640625" bestFit="1" customWidth="1"/>
    <col min="2704" max="2704" width="7" bestFit="1" customWidth="1"/>
    <col min="2705" max="2705" width="9.6640625" bestFit="1" customWidth="1"/>
    <col min="2706" max="2706" width="7" bestFit="1" customWidth="1"/>
    <col min="2707" max="2707" width="9.6640625" bestFit="1" customWidth="1"/>
    <col min="2708" max="2708" width="7" bestFit="1" customWidth="1"/>
    <col min="2709" max="2709" width="9.6640625" bestFit="1" customWidth="1"/>
    <col min="2710" max="2710" width="7" bestFit="1" customWidth="1"/>
    <col min="2711" max="2711" width="9.6640625" bestFit="1" customWidth="1"/>
    <col min="2712" max="2712" width="7" bestFit="1" customWidth="1"/>
    <col min="2713" max="2713" width="9.6640625" bestFit="1" customWidth="1"/>
    <col min="2714" max="2714" width="7" bestFit="1" customWidth="1"/>
    <col min="2715" max="2715" width="9.6640625" bestFit="1" customWidth="1"/>
    <col min="2716" max="2716" width="7" bestFit="1" customWidth="1"/>
    <col min="2717" max="2717" width="9.6640625" bestFit="1" customWidth="1"/>
    <col min="2718" max="2718" width="7" bestFit="1" customWidth="1"/>
    <col min="2719" max="2719" width="9.6640625" bestFit="1" customWidth="1"/>
    <col min="2720" max="2720" width="7" bestFit="1" customWidth="1"/>
    <col min="2721" max="2721" width="9.6640625" bestFit="1" customWidth="1"/>
    <col min="2722" max="2722" width="7" bestFit="1" customWidth="1"/>
    <col min="2723" max="2723" width="9.6640625" bestFit="1" customWidth="1"/>
    <col min="2724" max="2724" width="7" bestFit="1" customWidth="1"/>
    <col min="2725" max="2725" width="9.6640625" bestFit="1" customWidth="1"/>
    <col min="2726" max="2726" width="7" bestFit="1" customWidth="1"/>
    <col min="2727" max="2727" width="9.6640625" bestFit="1" customWidth="1"/>
    <col min="2728" max="2728" width="7" bestFit="1" customWidth="1"/>
    <col min="2729" max="2729" width="9.6640625" bestFit="1" customWidth="1"/>
    <col min="2730" max="2730" width="7" bestFit="1" customWidth="1"/>
    <col min="2731" max="2731" width="9.6640625" bestFit="1" customWidth="1"/>
    <col min="2732" max="2732" width="7" bestFit="1" customWidth="1"/>
    <col min="2733" max="2733" width="9.6640625" bestFit="1" customWidth="1"/>
    <col min="2734" max="2734" width="7" bestFit="1" customWidth="1"/>
    <col min="2735" max="2735" width="9.6640625" bestFit="1" customWidth="1"/>
    <col min="2736" max="2736" width="7" bestFit="1" customWidth="1"/>
    <col min="2737" max="2737" width="9.6640625" bestFit="1" customWidth="1"/>
    <col min="2738" max="2738" width="7" bestFit="1" customWidth="1"/>
    <col min="2739" max="2739" width="9.6640625" bestFit="1" customWidth="1"/>
    <col min="2740" max="2740" width="7" bestFit="1" customWidth="1"/>
    <col min="2741" max="2741" width="9.6640625" bestFit="1" customWidth="1"/>
    <col min="2742" max="2742" width="7" bestFit="1" customWidth="1"/>
    <col min="2743" max="2743" width="9.6640625" bestFit="1" customWidth="1"/>
    <col min="2744" max="2744" width="7" bestFit="1" customWidth="1"/>
    <col min="2745" max="2745" width="9.6640625" bestFit="1" customWidth="1"/>
    <col min="2746" max="2746" width="7" bestFit="1" customWidth="1"/>
    <col min="2747" max="2747" width="9.6640625" bestFit="1" customWidth="1"/>
    <col min="2748" max="2748" width="7" bestFit="1" customWidth="1"/>
    <col min="2749" max="2749" width="9.6640625" bestFit="1" customWidth="1"/>
    <col min="2750" max="2750" width="7" bestFit="1" customWidth="1"/>
    <col min="2751" max="2751" width="9.6640625" bestFit="1" customWidth="1"/>
    <col min="2752" max="2752" width="7" bestFit="1" customWidth="1"/>
    <col min="2753" max="2753" width="9.6640625" bestFit="1" customWidth="1"/>
    <col min="2754" max="2754" width="7" bestFit="1" customWidth="1"/>
    <col min="2755" max="2755" width="9.6640625" bestFit="1" customWidth="1"/>
    <col min="2756" max="2756" width="7" bestFit="1" customWidth="1"/>
    <col min="2757" max="2757" width="9.6640625" bestFit="1" customWidth="1"/>
    <col min="2758" max="2758" width="7" bestFit="1" customWidth="1"/>
    <col min="2759" max="2759" width="9.6640625" bestFit="1" customWidth="1"/>
    <col min="2760" max="2760" width="7" bestFit="1" customWidth="1"/>
    <col min="2761" max="2761" width="9.6640625" bestFit="1" customWidth="1"/>
    <col min="2762" max="2762" width="7" bestFit="1" customWidth="1"/>
    <col min="2763" max="2763" width="9.6640625" bestFit="1" customWidth="1"/>
    <col min="2764" max="2764" width="7" bestFit="1" customWidth="1"/>
    <col min="2765" max="2765" width="9.6640625" bestFit="1" customWidth="1"/>
    <col min="2766" max="2766" width="7" bestFit="1" customWidth="1"/>
    <col min="2767" max="2767" width="9.6640625" bestFit="1" customWidth="1"/>
    <col min="2768" max="2768" width="7" bestFit="1" customWidth="1"/>
    <col min="2769" max="2769" width="9.6640625" bestFit="1" customWidth="1"/>
    <col min="2770" max="2770" width="7" bestFit="1" customWidth="1"/>
    <col min="2771" max="2771" width="9.6640625" bestFit="1" customWidth="1"/>
    <col min="2772" max="2772" width="7" bestFit="1" customWidth="1"/>
    <col min="2773" max="2773" width="9.6640625" bestFit="1" customWidth="1"/>
    <col min="2774" max="2774" width="7" bestFit="1" customWidth="1"/>
    <col min="2775" max="2775" width="9.6640625" bestFit="1" customWidth="1"/>
    <col min="2776" max="2776" width="7" bestFit="1" customWidth="1"/>
    <col min="2777" max="2777" width="9.6640625" bestFit="1" customWidth="1"/>
    <col min="2778" max="2778" width="7" bestFit="1" customWidth="1"/>
    <col min="2779" max="2779" width="9.6640625" bestFit="1" customWidth="1"/>
    <col min="2780" max="2780" width="7" bestFit="1" customWidth="1"/>
    <col min="2781" max="2781" width="9.6640625" bestFit="1" customWidth="1"/>
    <col min="2782" max="2782" width="7" bestFit="1" customWidth="1"/>
    <col min="2783" max="2783" width="9.6640625" bestFit="1" customWidth="1"/>
    <col min="2784" max="2784" width="7" bestFit="1" customWidth="1"/>
    <col min="2785" max="2785" width="9.6640625" bestFit="1" customWidth="1"/>
    <col min="2786" max="2786" width="7" bestFit="1" customWidth="1"/>
    <col min="2787" max="2787" width="9.6640625" bestFit="1" customWidth="1"/>
    <col min="2788" max="2788" width="7" bestFit="1" customWidth="1"/>
    <col min="2789" max="2789" width="9.6640625" bestFit="1" customWidth="1"/>
    <col min="2790" max="2790" width="7" bestFit="1" customWidth="1"/>
    <col min="2791" max="2791" width="9.6640625" bestFit="1" customWidth="1"/>
    <col min="2792" max="2792" width="7" bestFit="1" customWidth="1"/>
    <col min="2793" max="2793" width="9.6640625" bestFit="1" customWidth="1"/>
    <col min="2794" max="2794" width="7" bestFit="1" customWidth="1"/>
    <col min="2795" max="2795" width="9.6640625" bestFit="1" customWidth="1"/>
    <col min="2796" max="2796" width="7" bestFit="1" customWidth="1"/>
    <col min="2797" max="2797" width="9.6640625" bestFit="1" customWidth="1"/>
    <col min="2798" max="2798" width="7" bestFit="1" customWidth="1"/>
    <col min="2799" max="2799" width="9.6640625" bestFit="1" customWidth="1"/>
    <col min="2800" max="2800" width="7" bestFit="1" customWidth="1"/>
    <col min="2801" max="2801" width="9.6640625" bestFit="1" customWidth="1"/>
    <col min="2802" max="2802" width="7" bestFit="1" customWidth="1"/>
    <col min="2803" max="2803" width="9.6640625" bestFit="1" customWidth="1"/>
    <col min="2804" max="2804" width="7" bestFit="1" customWidth="1"/>
    <col min="2805" max="2805" width="9.6640625" bestFit="1" customWidth="1"/>
    <col min="2806" max="2806" width="7" bestFit="1" customWidth="1"/>
    <col min="2807" max="2807" width="9.6640625" bestFit="1" customWidth="1"/>
    <col min="2808" max="2808" width="7" bestFit="1" customWidth="1"/>
    <col min="2809" max="2809" width="9.6640625" bestFit="1" customWidth="1"/>
    <col min="2810" max="2810" width="7" bestFit="1" customWidth="1"/>
    <col min="2811" max="2811" width="9.6640625" bestFit="1" customWidth="1"/>
    <col min="2812" max="2812" width="7" bestFit="1" customWidth="1"/>
    <col min="2813" max="2813" width="9.6640625" bestFit="1" customWidth="1"/>
    <col min="2814" max="2814" width="7" bestFit="1" customWidth="1"/>
    <col min="2815" max="2815" width="9.6640625" bestFit="1" customWidth="1"/>
    <col min="2816" max="2816" width="7" bestFit="1" customWidth="1"/>
    <col min="2817" max="2817" width="9.6640625" bestFit="1" customWidth="1"/>
    <col min="2818" max="2818" width="7" bestFit="1" customWidth="1"/>
    <col min="2819" max="2819" width="9.6640625" bestFit="1" customWidth="1"/>
    <col min="2820" max="2820" width="7" bestFit="1" customWidth="1"/>
    <col min="2821" max="2821" width="9.6640625" bestFit="1" customWidth="1"/>
    <col min="2822" max="2822" width="7" bestFit="1" customWidth="1"/>
    <col min="2823" max="2823" width="9.6640625" bestFit="1" customWidth="1"/>
    <col min="2824" max="2824" width="7" bestFit="1" customWidth="1"/>
    <col min="2825" max="2825" width="9.6640625" bestFit="1" customWidth="1"/>
    <col min="2826" max="2826" width="7" bestFit="1" customWidth="1"/>
    <col min="2827" max="2827" width="9.6640625" bestFit="1" customWidth="1"/>
    <col min="2828" max="2828" width="7" bestFit="1" customWidth="1"/>
    <col min="2829" max="2829" width="9.6640625" bestFit="1" customWidth="1"/>
    <col min="2830" max="2830" width="7" bestFit="1" customWidth="1"/>
    <col min="2831" max="2831" width="9.6640625" bestFit="1" customWidth="1"/>
    <col min="2832" max="2832" width="7" bestFit="1" customWidth="1"/>
    <col min="2833" max="2833" width="9.6640625" bestFit="1" customWidth="1"/>
    <col min="2834" max="2834" width="7" bestFit="1" customWidth="1"/>
    <col min="2835" max="2835" width="9.6640625" bestFit="1" customWidth="1"/>
    <col min="2836" max="2836" width="7" bestFit="1" customWidth="1"/>
    <col min="2837" max="2837" width="9.6640625" bestFit="1" customWidth="1"/>
    <col min="2838" max="2838" width="7" bestFit="1" customWidth="1"/>
    <col min="2839" max="2839" width="9.6640625" bestFit="1" customWidth="1"/>
    <col min="2840" max="2840" width="7" bestFit="1" customWidth="1"/>
    <col min="2841" max="2841" width="9.6640625" bestFit="1" customWidth="1"/>
    <col min="2842" max="2842" width="7" bestFit="1" customWidth="1"/>
    <col min="2843" max="2843" width="9.6640625" bestFit="1" customWidth="1"/>
    <col min="2844" max="2844" width="7" bestFit="1" customWidth="1"/>
    <col min="2845" max="2845" width="9.6640625" bestFit="1" customWidth="1"/>
    <col min="2846" max="2846" width="7" bestFit="1" customWidth="1"/>
    <col min="2847" max="2847" width="9.6640625" bestFit="1" customWidth="1"/>
    <col min="2848" max="2848" width="7" bestFit="1" customWidth="1"/>
    <col min="2849" max="2849" width="9.6640625" bestFit="1" customWidth="1"/>
    <col min="2850" max="2850" width="7" bestFit="1" customWidth="1"/>
    <col min="2851" max="2851" width="9.6640625" bestFit="1" customWidth="1"/>
    <col min="2852" max="2852" width="7" bestFit="1" customWidth="1"/>
    <col min="2853" max="2853" width="9.6640625" bestFit="1" customWidth="1"/>
    <col min="2854" max="2854" width="7" bestFit="1" customWidth="1"/>
    <col min="2855" max="2855" width="9.6640625" bestFit="1" customWidth="1"/>
    <col min="2856" max="2856" width="7" bestFit="1" customWidth="1"/>
    <col min="2857" max="2857" width="9.6640625" bestFit="1" customWidth="1"/>
    <col min="2858" max="2858" width="7" bestFit="1" customWidth="1"/>
    <col min="2859" max="2859" width="9.6640625" bestFit="1" customWidth="1"/>
    <col min="2860" max="2860" width="7" bestFit="1" customWidth="1"/>
    <col min="2861" max="2861" width="9.6640625" bestFit="1" customWidth="1"/>
    <col min="2862" max="2862" width="7" bestFit="1" customWidth="1"/>
    <col min="2863" max="2863" width="9.6640625" bestFit="1" customWidth="1"/>
    <col min="2864" max="2864" width="7" bestFit="1" customWidth="1"/>
    <col min="2865" max="2865" width="9.6640625" bestFit="1" customWidth="1"/>
    <col min="2866" max="2866" width="7" bestFit="1" customWidth="1"/>
    <col min="2867" max="2867" width="9.6640625" bestFit="1" customWidth="1"/>
    <col min="2868" max="2868" width="7" bestFit="1" customWidth="1"/>
    <col min="2869" max="2869" width="9.6640625" bestFit="1" customWidth="1"/>
    <col min="2870" max="2870" width="7" bestFit="1" customWidth="1"/>
    <col min="2871" max="2871" width="9.6640625" bestFit="1" customWidth="1"/>
    <col min="2872" max="2872" width="7" bestFit="1" customWidth="1"/>
    <col min="2873" max="2873" width="9.6640625" bestFit="1" customWidth="1"/>
    <col min="2874" max="2874" width="7" bestFit="1" customWidth="1"/>
    <col min="2875" max="2875" width="9.6640625" bestFit="1" customWidth="1"/>
    <col min="2876" max="2876" width="7" bestFit="1" customWidth="1"/>
    <col min="2877" max="2877" width="9.6640625" bestFit="1" customWidth="1"/>
    <col min="2878" max="2878" width="7" bestFit="1" customWidth="1"/>
    <col min="2879" max="2879" width="9.6640625" bestFit="1" customWidth="1"/>
    <col min="2880" max="2880" width="7" bestFit="1" customWidth="1"/>
    <col min="2881" max="2881" width="9.6640625" bestFit="1" customWidth="1"/>
    <col min="2882" max="2882" width="7" bestFit="1" customWidth="1"/>
    <col min="2883" max="2883" width="9.6640625" bestFit="1" customWidth="1"/>
    <col min="2884" max="2884" width="7" bestFit="1" customWidth="1"/>
    <col min="2885" max="2885" width="9.6640625" bestFit="1" customWidth="1"/>
    <col min="2886" max="2886" width="7" bestFit="1" customWidth="1"/>
    <col min="2887" max="2887" width="9.6640625" bestFit="1" customWidth="1"/>
    <col min="2888" max="2888" width="7" bestFit="1" customWidth="1"/>
    <col min="2889" max="2889" width="9.6640625" bestFit="1" customWidth="1"/>
    <col min="2890" max="2890" width="7" bestFit="1" customWidth="1"/>
    <col min="2891" max="2891" width="9.6640625" bestFit="1" customWidth="1"/>
    <col min="2892" max="2892" width="7" bestFit="1" customWidth="1"/>
    <col min="2893" max="2893" width="9.6640625" bestFit="1" customWidth="1"/>
    <col min="2894" max="2894" width="7" bestFit="1" customWidth="1"/>
    <col min="2895" max="2895" width="9.6640625" bestFit="1" customWidth="1"/>
    <col min="2896" max="2896" width="7" bestFit="1" customWidth="1"/>
    <col min="2897" max="2897" width="9.6640625" bestFit="1" customWidth="1"/>
    <col min="2898" max="2898" width="7" bestFit="1" customWidth="1"/>
    <col min="2899" max="2899" width="9.6640625" bestFit="1" customWidth="1"/>
    <col min="2900" max="2900" width="7" bestFit="1" customWidth="1"/>
    <col min="2901" max="2901" width="9.6640625" bestFit="1" customWidth="1"/>
    <col min="2902" max="2902" width="7" bestFit="1" customWidth="1"/>
    <col min="2903" max="2903" width="9.6640625" bestFit="1" customWidth="1"/>
    <col min="2904" max="2904" width="7" bestFit="1" customWidth="1"/>
    <col min="2905" max="2905" width="9.6640625" bestFit="1" customWidth="1"/>
    <col min="2906" max="2906" width="7" bestFit="1" customWidth="1"/>
    <col min="2907" max="2907" width="9.6640625" bestFit="1" customWidth="1"/>
    <col min="2908" max="2908" width="7" bestFit="1" customWidth="1"/>
    <col min="2909" max="2909" width="9.6640625" bestFit="1" customWidth="1"/>
    <col min="2910" max="2910" width="7" bestFit="1" customWidth="1"/>
    <col min="2911" max="2911" width="9.6640625" bestFit="1" customWidth="1"/>
    <col min="2912" max="2912" width="7" bestFit="1" customWidth="1"/>
    <col min="2913" max="2913" width="9.6640625" bestFit="1" customWidth="1"/>
    <col min="2914" max="2914" width="7" bestFit="1" customWidth="1"/>
    <col min="2915" max="2915" width="9.6640625" bestFit="1" customWidth="1"/>
    <col min="2916" max="2916" width="7" bestFit="1" customWidth="1"/>
    <col min="2917" max="2917" width="9.6640625" bestFit="1" customWidth="1"/>
    <col min="2918" max="2918" width="7" bestFit="1" customWidth="1"/>
    <col min="2919" max="2919" width="9.6640625" bestFit="1" customWidth="1"/>
    <col min="2920" max="2920" width="7" bestFit="1" customWidth="1"/>
    <col min="2921" max="2921" width="9.6640625" bestFit="1" customWidth="1"/>
    <col min="2922" max="2922" width="7" bestFit="1" customWidth="1"/>
    <col min="2923" max="2923" width="9.6640625" bestFit="1" customWidth="1"/>
    <col min="2924" max="2924" width="7" bestFit="1" customWidth="1"/>
    <col min="2925" max="2925" width="9.6640625" bestFit="1" customWidth="1"/>
    <col min="2926" max="2926" width="7" bestFit="1" customWidth="1"/>
    <col min="2927" max="2927" width="9.6640625" bestFit="1" customWidth="1"/>
    <col min="2928" max="2928" width="7" bestFit="1" customWidth="1"/>
    <col min="2929" max="2929" width="9.6640625" bestFit="1" customWidth="1"/>
    <col min="2930" max="2930" width="7" bestFit="1" customWidth="1"/>
    <col min="2931" max="2931" width="9.6640625" bestFit="1" customWidth="1"/>
    <col min="2932" max="2932" width="7" bestFit="1" customWidth="1"/>
    <col min="2933" max="2933" width="9.6640625" bestFit="1" customWidth="1"/>
    <col min="2934" max="2934" width="7" bestFit="1" customWidth="1"/>
    <col min="2935" max="2935" width="9.6640625" bestFit="1" customWidth="1"/>
    <col min="2936" max="2936" width="7" bestFit="1" customWidth="1"/>
    <col min="2937" max="2937" width="9.6640625" bestFit="1" customWidth="1"/>
    <col min="2938" max="2938" width="7" bestFit="1" customWidth="1"/>
    <col min="2939" max="2939" width="9.6640625" bestFit="1" customWidth="1"/>
    <col min="2940" max="2940" width="7" bestFit="1" customWidth="1"/>
    <col min="2941" max="2941" width="9.6640625" bestFit="1" customWidth="1"/>
    <col min="2942" max="2942" width="10.77734375" bestFit="1" customWidth="1"/>
  </cols>
  <sheetData>
    <row r="1" spans="1:9" x14ac:dyDescent="0.3">
      <c r="A1" t="s">
        <v>166</v>
      </c>
    </row>
    <row r="3" spans="1:9" x14ac:dyDescent="0.3">
      <c r="A3" s="7" t="s">
        <v>99</v>
      </c>
      <c r="B3" t="s">
        <v>167</v>
      </c>
      <c r="C3" t="s">
        <v>169</v>
      </c>
      <c r="D3" s="9" t="s">
        <v>170</v>
      </c>
      <c r="F3" s="14" t="s">
        <v>2</v>
      </c>
      <c r="G3" s="14" t="s">
        <v>167</v>
      </c>
      <c r="H3" s="14" t="s">
        <v>168</v>
      </c>
      <c r="I3" s="14" t="s">
        <v>170</v>
      </c>
    </row>
    <row r="4" spans="1:9" x14ac:dyDescent="0.3">
      <c r="A4" s="8" t="s">
        <v>100</v>
      </c>
      <c r="B4">
        <v>123</v>
      </c>
      <c r="C4">
        <v>44</v>
      </c>
      <c r="D4" s="9">
        <f>GETPIVOTDATA("Sum of Attrition Yes",$A$3,"Age Bucket","18-25")/GETPIVOTDATA("Count of Employee Number",$A$3,"Age Bucket","18-25")</f>
        <v>0.35772357723577236</v>
      </c>
      <c r="F4" s="11" t="s">
        <v>100</v>
      </c>
      <c r="G4" s="12">
        <v>123</v>
      </c>
      <c r="H4" s="12">
        <v>44</v>
      </c>
      <c r="I4" s="13">
        <f>GETPIVOTDATA("Sum of Attrition Yes",$A$3,"Age Bucket","18-25")/GETPIVOTDATA("Count of Employee Number",$A$3,"Age Bucket","18-25")</f>
        <v>0.35772357723577236</v>
      </c>
    </row>
    <row r="5" spans="1:9" x14ac:dyDescent="0.3">
      <c r="A5" s="8" t="s">
        <v>101</v>
      </c>
      <c r="B5">
        <v>606</v>
      </c>
      <c r="C5">
        <v>116</v>
      </c>
      <c r="D5" s="9">
        <f>GETPIVOTDATA("Sum of Attrition Yes",$A$3,"Age Bucket","26-35")/GETPIVOTDATA("Count of Employee Number",$A$3,"Age Bucket","26-35")</f>
        <v>0.19141914191419143</v>
      </c>
      <c r="F5" s="11" t="s">
        <v>101</v>
      </c>
      <c r="G5" s="12">
        <v>606</v>
      </c>
      <c r="H5" s="12">
        <v>116</v>
      </c>
      <c r="I5" s="13">
        <f>GETPIVOTDATA("Sum of Attrition Yes",$A$3,"Age Bucket","26-35")/GETPIVOTDATA("Count of Employee Number",$A$3,"Age Bucket","26-35")</f>
        <v>0.19141914191419143</v>
      </c>
    </row>
    <row r="6" spans="1:9" x14ac:dyDescent="0.3">
      <c r="A6" s="8" t="s">
        <v>102</v>
      </c>
      <c r="B6">
        <v>468</v>
      </c>
      <c r="C6">
        <v>43</v>
      </c>
      <c r="D6" s="9">
        <f>GETPIVOTDATA("Sum of Attrition Yes",$A$3,"Age Bucket","36-45")/GETPIVOTDATA("Count of Employee Number",$A$3,"Age Bucket","36-45")</f>
        <v>9.1880341880341887E-2</v>
      </c>
      <c r="F6" s="11" t="s">
        <v>102</v>
      </c>
      <c r="G6" s="12">
        <v>468</v>
      </c>
      <c r="H6" s="12">
        <v>43</v>
      </c>
      <c r="I6" s="13">
        <f>GETPIVOTDATA("Sum of Attrition Yes",$A$3,"Age Bucket","36-45")/GETPIVOTDATA("Count of Employee Number",$A$3,"Age Bucket","36-45")</f>
        <v>9.1880341880341887E-2</v>
      </c>
    </row>
    <row r="7" spans="1:9" x14ac:dyDescent="0.3">
      <c r="A7" s="8" t="s">
        <v>103</v>
      </c>
      <c r="B7">
        <v>226</v>
      </c>
      <c r="C7">
        <v>26</v>
      </c>
      <c r="D7" s="9">
        <f>GETPIVOTDATA("Sum of Attrition Yes",$A$3,"Age Bucket","46-55")/GETPIVOTDATA("Count of Employee Number",$A$3,"Age Bucket","46-55")</f>
        <v>0.11504424778761062</v>
      </c>
      <c r="F7" s="11" t="s">
        <v>103</v>
      </c>
      <c r="G7" s="12">
        <v>226</v>
      </c>
      <c r="H7" s="12">
        <v>26</v>
      </c>
      <c r="I7" s="13">
        <f>GETPIVOTDATA("Sum of Attrition Yes",$A$3,"Age Bucket","46-55")/GETPIVOTDATA("Count of Employee Number",$A$3,"Age Bucket","46-55")</f>
        <v>0.11504424778761062</v>
      </c>
    </row>
    <row r="8" spans="1:9" x14ac:dyDescent="0.3">
      <c r="A8" s="8" t="s">
        <v>104</v>
      </c>
      <c r="B8">
        <v>47</v>
      </c>
      <c r="C8">
        <v>8</v>
      </c>
      <c r="D8" s="9">
        <f>GETPIVOTDATA("Sum of Attrition Yes",$A$3,"Age Bucket","56+")/GETPIVOTDATA("Count of Employee Number",$A$3,"Age Bucket","56+")</f>
        <v>0.1702127659574468</v>
      </c>
      <c r="F8" s="11" t="s">
        <v>104</v>
      </c>
      <c r="G8" s="12">
        <v>47</v>
      </c>
      <c r="H8" s="12">
        <v>8</v>
      </c>
      <c r="I8" s="13">
        <f>GETPIVOTDATA("Sum of Attrition Yes",$A$3,"Age Bucket","56+")/GETPIVOTDATA("Count of Employee Number",$A$3,"Age Bucket","56+")</f>
        <v>0.1702127659574468</v>
      </c>
    </row>
    <row r="9" spans="1:9" x14ac:dyDescent="0.3">
      <c r="A9" s="8" t="s">
        <v>105</v>
      </c>
      <c r="B9">
        <v>1470</v>
      </c>
      <c r="C9">
        <v>237</v>
      </c>
      <c r="D9" s="10">
        <f>GETPIVOTDATA("Sum of Attrition Yes",$A$3)/GETPIVOTDATA("Count of Employee Number",$A$3)</f>
        <v>0.16122448979591836</v>
      </c>
    </row>
    <row r="13" spans="1:9" x14ac:dyDescent="0.3">
      <c r="A13" t="s">
        <v>171</v>
      </c>
    </row>
    <row r="15" spans="1:9" x14ac:dyDescent="0.3">
      <c r="A15" s="7" t="s">
        <v>99</v>
      </c>
      <c r="B15" t="s">
        <v>167</v>
      </c>
      <c r="C15" t="s">
        <v>169</v>
      </c>
      <c r="F15" s="14" t="s">
        <v>7</v>
      </c>
      <c r="G15" s="14" t="s">
        <v>167</v>
      </c>
      <c r="H15" s="14" t="s">
        <v>169</v>
      </c>
      <c r="I15" s="14" t="s">
        <v>170</v>
      </c>
    </row>
    <row r="16" spans="1:9" x14ac:dyDescent="0.3">
      <c r="A16" s="8" t="s">
        <v>97</v>
      </c>
      <c r="B16">
        <v>63</v>
      </c>
      <c r="C16">
        <v>12</v>
      </c>
      <c r="D16" s="9">
        <f>GETPIVOTDATA("Sum of Attrition Yes",$A$15,"Department","Human Resources")/GETPIVOTDATA("Count of Employee Number",$A$15,"Department","Human Resources")</f>
        <v>0.19047619047619047</v>
      </c>
      <c r="F16" s="11" t="s">
        <v>97</v>
      </c>
      <c r="G16" s="12">
        <v>63</v>
      </c>
      <c r="H16" s="12">
        <v>12</v>
      </c>
      <c r="I16" s="13">
        <f>GETPIVOTDATA("Sum of Attrition Yes",$A$15,"Department","Human Resources")/GETPIVOTDATA("Count of Employee Number",$A$15,"Department","Human Resources")</f>
        <v>0.19047619047619047</v>
      </c>
    </row>
    <row r="17" spans="1:9" x14ac:dyDescent="0.3">
      <c r="A17" s="8" t="s">
        <v>73</v>
      </c>
      <c r="B17">
        <v>961</v>
      </c>
      <c r="C17">
        <v>133</v>
      </c>
      <c r="D17" s="9">
        <f>GETPIVOTDATA("Sum of Attrition Yes",$A$15,"Department","Research &amp; Development")/GETPIVOTDATA("Count of Employee Number",$A$15,"Department","Research &amp; Development")</f>
        <v>0.13839750260145681</v>
      </c>
      <c r="F17" s="11" t="s">
        <v>73</v>
      </c>
      <c r="G17" s="12">
        <v>961</v>
      </c>
      <c r="H17" s="12">
        <v>133</v>
      </c>
      <c r="I17" s="13">
        <f>GETPIVOTDATA("Sum of Attrition Yes",$A$15,"Department","Research &amp; Development")/GETPIVOTDATA("Count of Employee Number",$A$15,"Department","Research &amp; Development")</f>
        <v>0.13839750260145681</v>
      </c>
    </row>
    <row r="18" spans="1:9" x14ac:dyDescent="0.3">
      <c r="A18" s="8" t="s">
        <v>58</v>
      </c>
      <c r="B18">
        <v>446</v>
      </c>
      <c r="C18">
        <v>92</v>
      </c>
      <c r="D18" s="9">
        <f>GETPIVOTDATA("Sum of Attrition Yes",$A$15,"Department","Sales")/GETPIVOTDATA("Count of Employee Number",$A$15,"Department","Sales")</f>
        <v>0.20627802690582961</v>
      </c>
      <c r="F18" s="11" t="s">
        <v>58</v>
      </c>
      <c r="G18" s="12">
        <v>446</v>
      </c>
      <c r="H18" s="12">
        <v>92</v>
      </c>
      <c r="I18" s="13">
        <f>GETPIVOTDATA("Sum of Attrition Yes",$A$15,"Department","Sales")/GETPIVOTDATA("Count of Employee Number",$A$15,"Department","Sales")</f>
        <v>0.20627802690582961</v>
      </c>
    </row>
    <row r="19" spans="1:9" x14ac:dyDescent="0.3">
      <c r="A19" s="8" t="s">
        <v>105</v>
      </c>
      <c r="B19">
        <v>1470</v>
      </c>
      <c r="C19">
        <v>237</v>
      </c>
      <c r="D19" s="9">
        <f>GETPIVOTDATA("Sum of Attrition Yes",$A$15)/GETPIVOTDATA("Count of Employee Number",$A$15)</f>
        <v>0.16122448979591836</v>
      </c>
    </row>
    <row r="22" spans="1:9" x14ac:dyDescent="0.3">
      <c r="A22" t="s">
        <v>172</v>
      </c>
    </row>
    <row r="23" spans="1:9" x14ac:dyDescent="0.3">
      <c r="A23" s="7" t="s">
        <v>99</v>
      </c>
      <c r="B23" t="s">
        <v>167</v>
      </c>
      <c r="C23" t="s">
        <v>169</v>
      </c>
      <c r="F23" s="14" t="s">
        <v>22</v>
      </c>
      <c r="G23" s="14" t="s">
        <v>167</v>
      </c>
      <c r="H23" s="14" t="s">
        <v>168</v>
      </c>
      <c r="I23" s="14" t="s">
        <v>170</v>
      </c>
    </row>
    <row r="24" spans="1:9" x14ac:dyDescent="0.3">
      <c r="A24" s="8" t="s">
        <v>88</v>
      </c>
      <c r="B24">
        <v>131</v>
      </c>
      <c r="C24">
        <v>9</v>
      </c>
      <c r="D24" s="9">
        <f>GETPIVOTDATA("Sum of Attrition Yes",$A$23,"Job Role","Healthcare Representative")/GETPIVOTDATA("Count of Employee Number",$A$23,"Job Role","Healthcare Representative")</f>
        <v>6.8702290076335881E-2</v>
      </c>
      <c r="F24" s="11" t="s">
        <v>88</v>
      </c>
      <c r="G24" s="12">
        <v>131</v>
      </c>
      <c r="H24" s="12">
        <v>9</v>
      </c>
      <c r="I24" s="13">
        <f>GETPIVOTDATA("Sum of Attrition Yes",$A$23,"Job Role","Healthcare Representative")/GETPIVOTDATA("Count of Employee Number",$A$23,"Job Role","Healthcare Representative")</f>
        <v>6.8702290076335881E-2</v>
      </c>
    </row>
    <row r="25" spans="1:9" x14ac:dyDescent="0.3">
      <c r="A25" s="8" t="s">
        <v>97</v>
      </c>
      <c r="B25">
        <v>52</v>
      </c>
      <c r="C25">
        <v>12</v>
      </c>
      <c r="D25" s="9">
        <f>GETPIVOTDATA("Sum of Attrition Yes",$A$23,"Job Role","Human Resources")/GETPIVOTDATA("Count of Employee Number",$A$23,"Job Role","Human Resources")</f>
        <v>0.23076923076923078</v>
      </c>
      <c r="F25" s="11" t="s">
        <v>97</v>
      </c>
      <c r="G25" s="12">
        <v>52</v>
      </c>
      <c r="H25" s="12">
        <v>12</v>
      </c>
      <c r="I25" s="13">
        <f>GETPIVOTDATA("Sum of Attrition Yes",$A$23,"Job Role","Human Resources")/GETPIVOTDATA("Count of Employee Number",$A$23,"Job Role","Human Resources")</f>
        <v>0.23076923076923078</v>
      </c>
    </row>
    <row r="26" spans="1:9" x14ac:dyDescent="0.3">
      <c r="A26" s="8" t="s">
        <v>81</v>
      </c>
      <c r="B26">
        <v>259</v>
      </c>
      <c r="C26">
        <v>62</v>
      </c>
      <c r="D26" s="9">
        <f>GETPIVOTDATA("Sum of Attrition Yes",$A$23,"Job Role","Laboratory Technician")/GETPIVOTDATA("Count of Employee Number",$A$23,"Job Role","Laboratory Technician")</f>
        <v>0.23938223938223938</v>
      </c>
      <c r="F26" s="11" t="s">
        <v>81</v>
      </c>
      <c r="G26" s="12">
        <v>259</v>
      </c>
      <c r="H26" s="12">
        <v>62</v>
      </c>
      <c r="I26" s="13">
        <f>GETPIVOTDATA("Sum of Attrition Yes",$A$23,"Job Role","Laboratory Technician")/GETPIVOTDATA("Count of Employee Number",$A$23,"Job Role","Laboratory Technician")</f>
        <v>0.23938223938223938</v>
      </c>
    </row>
    <row r="27" spans="1:9" x14ac:dyDescent="0.3">
      <c r="A27" s="8" t="s">
        <v>90</v>
      </c>
      <c r="B27">
        <v>102</v>
      </c>
      <c r="C27">
        <v>5</v>
      </c>
      <c r="D27" s="9">
        <f>GETPIVOTDATA("Sum of Attrition Yes",$A$23,"Job Role","Manager")/GETPIVOTDATA("Count of Employee Number",$A$23,"Job Role","Manager")</f>
        <v>4.9019607843137254E-2</v>
      </c>
      <c r="F27" s="11" t="s">
        <v>90</v>
      </c>
      <c r="G27" s="12">
        <v>102</v>
      </c>
      <c r="H27" s="12">
        <v>5</v>
      </c>
      <c r="I27" s="13">
        <f>GETPIVOTDATA("Sum of Attrition Yes",$A$23,"Job Role","Manager")/GETPIVOTDATA("Count of Employee Number",$A$23,"Job Role","Manager")</f>
        <v>4.9019607843137254E-2</v>
      </c>
    </row>
    <row r="28" spans="1:9" x14ac:dyDescent="0.3">
      <c r="A28" s="8" t="s">
        <v>87</v>
      </c>
      <c r="B28">
        <v>145</v>
      </c>
      <c r="C28">
        <v>10</v>
      </c>
      <c r="D28" s="9">
        <f>GETPIVOTDATA("Sum of Attrition Yes",$A$23,"Job Role","Manufacturing Director")/GETPIVOTDATA("Count of Employee Number",$A$23,"Job Role","Manufacturing Director")</f>
        <v>6.8965517241379309E-2</v>
      </c>
      <c r="F28" s="11" t="s">
        <v>87</v>
      </c>
      <c r="G28" s="12">
        <v>145</v>
      </c>
      <c r="H28" s="12">
        <v>10</v>
      </c>
      <c r="I28" s="13">
        <f>GETPIVOTDATA("Sum of Attrition Yes",$A$23,"Job Role","Manufacturing Director")/GETPIVOTDATA("Count of Employee Number",$A$23,"Job Role","Manufacturing Director")</f>
        <v>6.8965517241379309E-2</v>
      </c>
    </row>
    <row r="29" spans="1:9" x14ac:dyDescent="0.3">
      <c r="A29" s="8" t="s">
        <v>92</v>
      </c>
      <c r="B29">
        <v>80</v>
      </c>
      <c r="C29">
        <v>2</v>
      </c>
      <c r="D29" s="9">
        <f>GETPIVOTDATA("Sum of Attrition Yes",$A$23,"Job Role","Research Director")/GETPIVOTDATA("Count of Employee Number",$A$23,"Job Role","Research Director")</f>
        <v>2.5000000000000001E-2</v>
      </c>
      <c r="F29" s="11" t="s">
        <v>92</v>
      </c>
      <c r="G29" s="12">
        <v>80</v>
      </c>
      <c r="H29" s="12">
        <v>2</v>
      </c>
      <c r="I29" s="13">
        <f>GETPIVOTDATA("Sum of Attrition Yes",$A$23,"Job Role","Research Director")/GETPIVOTDATA("Count of Employee Number",$A$23,"Job Role","Research Director")</f>
        <v>2.5000000000000001E-2</v>
      </c>
    </row>
    <row r="30" spans="1:9" x14ac:dyDescent="0.3">
      <c r="A30" s="8" t="s">
        <v>76</v>
      </c>
      <c r="B30">
        <v>292</v>
      </c>
      <c r="C30">
        <v>47</v>
      </c>
      <c r="D30" s="9">
        <f>GETPIVOTDATA("Sum of Attrition Yes",$A$23,"Job Role","Research Scientist")/GETPIVOTDATA("Count of Employee Number",$A$23,"Job Role","Research Scientist")</f>
        <v>0.16095890410958905</v>
      </c>
      <c r="F30" s="11" t="s">
        <v>76</v>
      </c>
      <c r="G30" s="12">
        <v>292</v>
      </c>
      <c r="H30" s="12">
        <v>47</v>
      </c>
      <c r="I30" s="13">
        <f>GETPIVOTDATA("Sum of Attrition Yes",$A$23,"Job Role","Research Scientist")/GETPIVOTDATA("Count of Employee Number",$A$23,"Job Role","Research Scientist")</f>
        <v>0.16095890410958905</v>
      </c>
    </row>
    <row r="31" spans="1:9" x14ac:dyDescent="0.3">
      <c r="A31" s="8" t="s">
        <v>64</v>
      </c>
      <c r="B31">
        <v>326</v>
      </c>
      <c r="C31">
        <v>57</v>
      </c>
      <c r="D31" s="9">
        <f>GETPIVOTDATA("Sum of Attrition Yes",$A$23,"Job Role","Sales Executive")/GETPIVOTDATA("Count of Employee Number",$A$23,"Job Role","Sales Executive")</f>
        <v>0.17484662576687116</v>
      </c>
      <c r="F31" s="11" t="s">
        <v>64</v>
      </c>
      <c r="G31" s="12">
        <v>326</v>
      </c>
      <c r="H31" s="12">
        <v>57</v>
      </c>
      <c r="I31" s="13">
        <f>GETPIVOTDATA("Sum of Attrition Yes",$A$23,"Job Role","Sales Executive")/GETPIVOTDATA("Count of Employee Number",$A$23,"Job Role","Sales Executive")</f>
        <v>0.17484662576687116</v>
      </c>
    </row>
    <row r="32" spans="1:9" x14ac:dyDescent="0.3">
      <c r="A32" s="8" t="s">
        <v>91</v>
      </c>
      <c r="B32">
        <v>83</v>
      </c>
      <c r="C32">
        <v>33</v>
      </c>
      <c r="D32" s="9">
        <f>GETPIVOTDATA("Sum of Attrition Yes",$A$23,"Job Role","Sales Representative")/GETPIVOTDATA("Count of Employee Number",$A$23,"Job Role","Sales Representative")</f>
        <v>0.39759036144578314</v>
      </c>
      <c r="F32" s="11" t="s">
        <v>91</v>
      </c>
      <c r="G32" s="12">
        <v>83</v>
      </c>
      <c r="H32" s="12">
        <v>33</v>
      </c>
      <c r="I32" s="13">
        <f>GETPIVOTDATA("Sum of Attrition Yes",$A$23,"Job Role","Sales Representative")/GETPIVOTDATA("Count of Employee Number",$A$23,"Job Role","Sales Representative")</f>
        <v>0.39759036144578314</v>
      </c>
    </row>
    <row r="33" spans="1:9" x14ac:dyDescent="0.3">
      <c r="A33" s="8" t="s">
        <v>105</v>
      </c>
      <c r="B33">
        <v>1470</v>
      </c>
      <c r="C33">
        <v>237</v>
      </c>
    </row>
    <row r="37" spans="1:9" x14ac:dyDescent="0.3">
      <c r="F37" s="14"/>
      <c r="G37" s="14"/>
      <c r="H37" s="14"/>
      <c r="I37" s="14"/>
    </row>
    <row r="38" spans="1:9" x14ac:dyDescent="0.3">
      <c r="F38" s="11"/>
      <c r="G38" s="12"/>
      <c r="H38" s="12"/>
      <c r="I38" s="13"/>
    </row>
    <row r="39" spans="1:9" x14ac:dyDescent="0.3">
      <c r="F39" s="11"/>
      <c r="G39" s="12"/>
      <c r="H39" s="12"/>
      <c r="I39" s="13"/>
    </row>
    <row r="40" spans="1:9" x14ac:dyDescent="0.3">
      <c r="F40" s="11"/>
      <c r="G40" s="12"/>
      <c r="H40" s="12"/>
      <c r="I40" s="13"/>
    </row>
    <row r="41" spans="1:9" x14ac:dyDescent="0.3">
      <c r="F41" s="11"/>
      <c r="G41" s="12"/>
      <c r="H41" s="12"/>
      <c r="I41" s="13"/>
    </row>
    <row r="45" spans="1:9" x14ac:dyDescent="0.3">
      <c r="A45" t="s">
        <v>174</v>
      </c>
    </row>
    <row r="47" spans="1:9" x14ac:dyDescent="0.3">
      <c r="A47" s="7" t="s">
        <v>99</v>
      </c>
      <c r="B47" t="s">
        <v>167</v>
      </c>
      <c r="C47" t="s">
        <v>169</v>
      </c>
      <c r="F47" s="14" t="s">
        <v>8</v>
      </c>
      <c r="G47" s="14" t="s">
        <v>167</v>
      </c>
      <c r="H47" s="14" t="s">
        <v>169</v>
      </c>
      <c r="I47" s="14" t="s">
        <v>170</v>
      </c>
    </row>
    <row r="48" spans="1:9" x14ac:dyDescent="0.3">
      <c r="A48" s="8" t="s">
        <v>116</v>
      </c>
      <c r="B48">
        <v>240</v>
      </c>
      <c r="C48">
        <v>48</v>
      </c>
      <c r="D48" s="9">
        <f>GETPIVOTDATA("Sum of Attrition Yes",$A$47,"Distance from Home Bucket","11-20")/GETPIVOTDATA("Count of Employee Number",$A$47,"Distance from Home Bucket","11-20")</f>
        <v>0.2</v>
      </c>
      <c r="F48" s="11" t="s">
        <v>116</v>
      </c>
      <c r="G48" s="12">
        <v>240</v>
      </c>
      <c r="H48" s="12">
        <v>48</v>
      </c>
      <c r="I48" s="13">
        <f>GETPIVOTDATA("Sum of Attrition Yes",$A$47,"Distance from Home Bucket","11-20")/GETPIVOTDATA("Count of Employee Number",$A$47,"Distance from Home Bucket","11-20")</f>
        <v>0.2</v>
      </c>
    </row>
    <row r="49" spans="1:9" x14ac:dyDescent="0.3">
      <c r="A49" s="8" t="s">
        <v>117</v>
      </c>
      <c r="B49">
        <v>632</v>
      </c>
      <c r="C49">
        <v>87</v>
      </c>
      <c r="D49" s="9">
        <f>GETPIVOTDATA("Sum of Attrition Yes",$A$47,"Distance from Home Bucket","1-5")/GETPIVOTDATA("Count of Employee Number",$A$47,"Distance from Home Bucket","1-5")</f>
        <v>0.13765822784810128</v>
      </c>
      <c r="F49" s="11" t="s">
        <v>117</v>
      </c>
      <c r="G49" s="12">
        <v>632</v>
      </c>
      <c r="H49" s="12">
        <v>87</v>
      </c>
      <c r="I49" s="13">
        <f>GETPIVOTDATA("Sum of Attrition Yes",$A$47,"Distance from Home Bucket","1-5")/GETPIVOTDATA("Count of Employee Number",$A$47,"Distance from Home Bucket","1-5")</f>
        <v>0.13765822784810128</v>
      </c>
    </row>
    <row r="50" spans="1:9" x14ac:dyDescent="0.3">
      <c r="A50" s="8" t="s">
        <v>118</v>
      </c>
      <c r="B50">
        <v>204</v>
      </c>
      <c r="C50">
        <v>45</v>
      </c>
      <c r="D50" s="9">
        <f>GETPIVOTDATA("Sum of Attrition Yes",$A$47,"Distance from Home Bucket","21-29")/GETPIVOTDATA("Count of Employee Number",$A$47,"Distance from Home Bucket","21-29")</f>
        <v>0.22058823529411764</v>
      </c>
      <c r="F50" s="11" t="s">
        <v>118</v>
      </c>
      <c r="G50" s="12">
        <v>204</v>
      </c>
      <c r="H50" s="12">
        <v>45</v>
      </c>
      <c r="I50" s="13">
        <f>GETPIVOTDATA("Sum of Attrition Yes",$A$47,"Distance from Home Bucket","21-29")/GETPIVOTDATA("Count of Employee Number",$A$47,"Distance from Home Bucket","21-29")</f>
        <v>0.22058823529411764</v>
      </c>
    </row>
    <row r="51" spans="1:9" x14ac:dyDescent="0.3">
      <c r="A51" s="8" t="s">
        <v>119</v>
      </c>
      <c r="B51">
        <v>394</v>
      </c>
      <c r="C51">
        <v>57</v>
      </c>
      <c r="D51" s="9">
        <f>GETPIVOTDATA("Sum of Attrition Yes",$A$47,"Distance from Home Bucket","6-10")/GETPIVOTDATA("Count of Employee Number",$A$47,"Distance from Home Bucket","6-10")</f>
        <v>0.14467005076142131</v>
      </c>
      <c r="F51" s="11" t="s">
        <v>119</v>
      </c>
      <c r="G51" s="12">
        <v>394</v>
      </c>
      <c r="H51" s="12">
        <v>57</v>
      </c>
      <c r="I51" s="13">
        <f>GETPIVOTDATA("Sum of Attrition Yes",$A$47,"Distance from Home Bucket","6-10")/GETPIVOTDATA("Count of Employee Number",$A$47,"Distance from Home Bucket","6-10")</f>
        <v>0.14467005076142131</v>
      </c>
    </row>
    <row r="52" spans="1:9" x14ac:dyDescent="0.3">
      <c r="A52" s="8" t="s">
        <v>105</v>
      </c>
      <c r="B52">
        <v>1470</v>
      </c>
      <c r="C52">
        <v>237</v>
      </c>
    </row>
    <row r="55" spans="1:9" x14ac:dyDescent="0.3">
      <c r="A55" t="s">
        <v>175</v>
      </c>
    </row>
    <row r="57" spans="1:9" x14ac:dyDescent="0.3">
      <c r="A57" s="7" t="s">
        <v>99</v>
      </c>
      <c r="B57" t="s">
        <v>167</v>
      </c>
      <c r="C57" t="s">
        <v>169</v>
      </c>
      <c r="F57" s="14" t="s">
        <v>178</v>
      </c>
      <c r="G57" s="14" t="s">
        <v>167</v>
      </c>
      <c r="H57" s="14" t="s">
        <v>169</v>
      </c>
      <c r="I57" s="14" t="s">
        <v>170</v>
      </c>
    </row>
    <row r="58" spans="1:9" x14ac:dyDescent="0.3">
      <c r="A58" s="8" t="s">
        <v>63</v>
      </c>
      <c r="B58">
        <v>442</v>
      </c>
      <c r="C58">
        <v>73</v>
      </c>
      <c r="D58" s="9">
        <f>GETPIVOTDATA("Sum of Attrition Yes",$A$57,"Job Satisfaction Category","High")/GETPIVOTDATA("Count of Employee Number",$A$57,"Job Satisfaction Category","High")</f>
        <v>0.16515837104072398</v>
      </c>
      <c r="F58" s="11" t="s">
        <v>69</v>
      </c>
      <c r="G58" s="12">
        <v>289</v>
      </c>
      <c r="H58" s="12">
        <v>66</v>
      </c>
      <c r="I58" s="13">
        <f>GETPIVOTDATA("Sum of Attrition Yes",$A$57,"Job Satisfaction Category","Low")/GETPIVOTDATA("Count of Employee Number",$A$57,"Job Satisfaction Category","Low")</f>
        <v>0.22837370242214533</v>
      </c>
    </row>
    <row r="59" spans="1:9" x14ac:dyDescent="0.3">
      <c r="A59" s="8" t="s">
        <v>69</v>
      </c>
      <c r="B59">
        <v>289</v>
      </c>
      <c r="C59">
        <v>66</v>
      </c>
      <c r="D59" s="9">
        <f>GETPIVOTDATA("Sum of Attrition Yes",$A$57,"Job Satisfaction Category","Low")/GETPIVOTDATA("Count of Employee Number",$A$57,"Job Satisfaction Category","Low")</f>
        <v>0.22837370242214533</v>
      </c>
      <c r="F59" s="11" t="s">
        <v>61</v>
      </c>
      <c r="G59" s="12">
        <v>280</v>
      </c>
      <c r="H59" s="12">
        <v>46</v>
      </c>
      <c r="I59" s="13">
        <f>GETPIVOTDATA("Sum of Attrition Yes",$A$57,"Job Satisfaction Category","Medium")/GETPIVOTDATA("Count of Employee Number",$A$57,"Job Satisfaction Category","Medium")</f>
        <v>0.16428571428571428</v>
      </c>
    </row>
    <row r="60" spans="1:9" x14ac:dyDescent="0.3">
      <c r="A60" s="8" t="s">
        <v>61</v>
      </c>
      <c r="B60">
        <v>280</v>
      </c>
      <c r="C60">
        <v>46</v>
      </c>
      <c r="D60" s="9">
        <f>GETPIVOTDATA("Sum of Attrition Yes",$A$57,"Job Satisfaction Category","Medium")/GETPIVOTDATA("Count of Employee Number",$A$57,"Job Satisfaction Category","Medium")</f>
        <v>0.16428571428571428</v>
      </c>
      <c r="F60" s="11" t="s">
        <v>63</v>
      </c>
      <c r="G60" s="12">
        <v>442</v>
      </c>
      <c r="H60" s="12">
        <v>73</v>
      </c>
      <c r="I60" s="13">
        <f>GETPIVOTDATA("Sum of Attrition Yes",$A$57,"Job Satisfaction Category","High")/GETPIVOTDATA("Count of Employee Number",$A$57,"Job Satisfaction Category","High")</f>
        <v>0.16515837104072398</v>
      </c>
    </row>
    <row r="61" spans="1:9" x14ac:dyDescent="0.3">
      <c r="A61" s="8" t="s">
        <v>65</v>
      </c>
      <c r="B61">
        <v>459</v>
      </c>
      <c r="C61">
        <v>52</v>
      </c>
      <c r="D61" s="9">
        <f>GETPIVOTDATA("Sum of Attrition Yes",$A$57,"Job Satisfaction Category","Very High")/GETPIVOTDATA("Count of Employee Number",$A$57,"Job Satisfaction Category","Very High")</f>
        <v>0.11328976034858387</v>
      </c>
      <c r="F61" s="11" t="s">
        <v>65</v>
      </c>
      <c r="G61" s="12">
        <v>459</v>
      </c>
      <c r="H61" s="12">
        <v>52</v>
      </c>
      <c r="I61" s="13">
        <f>GETPIVOTDATA("Sum of Attrition Yes",$A$57,"Job Satisfaction Category","Very High")/GETPIVOTDATA("Count of Employee Number",$A$57,"Job Satisfaction Category","Very High")</f>
        <v>0.11328976034858387</v>
      </c>
    </row>
    <row r="62" spans="1:9" x14ac:dyDescent="0.3">
      <c r="A62" s="8" t="s">
        <v>105</v>
      </c>
      <c r="B62">
        <v>1470</v>
      </c>
      <c r="C62">
        <v>237</v>
      </c>
    </row>
    <row r="65" spans="1:9" x14ac:dyDescent="0.3">
      <c r="A65" t="s">
        <v>176</v>
      </c>
    </row>
    <row r="67" spans="1:9" x14ac:dyDescent="0.3">
      <c r="A67" s="7" t="s">
        <v>99</v>
      </c>
      <c r="B67" t="s">
        <v>167</v>
      </c>
      <c r="C67" t="s">
        <v>169</v>
      </c>
      <c r="F67" s="14" t="s">
        <v>179</v>
      </c>
      <c r="G67" s="14" t="s">
        <v>167</v>
      </c>
      <c r="H67" s="14" t="s">
        <v>169</v>
      </c>
      <c r="I67" s="14" t="s">
        <v>170</v>
      </c>
    </row>
    <row r="68" spans="1:9" x14ac:dyDescent="0.3">
      <c r="A68" s="8" t="s">
        <v>138</v>
      </c>
      <c r="B68">
        <v>215</v>
      </c>
      <c r="C68">
        <v>75</v>
      </c>
      <c r="D68" s="9">
        <f>GETPIVOTDATA("Sum of Attrition Yes",$A$67,"Year At company Category","0-1")/GETPIVOTDATA("Count of Employee Number",$A$67,"Year At company Category","0-1")</f>
        <v>0.34883720930232559</v>
      </c>
      <c r="F68" s="11" t="s">
        <v>138</v>
      </c>
      <c r="G68" s="12">
        <v>215</v>
      </c>
      <c r="H68" s="12">
        <v>75</v>
      </c>
      <c r="I68" s="13">
        <f>GETPIVOTDATA("Sum of Attrition Yes",$A$67,"Year At company Category","0-1")/GETPIVOTDATA("Count of Employee Number",$A$67,"Year At company Category","0-1")</f>
        <v>0.34883720930232559</v>
      </c>
    </row>
    <row r="69" spans="1:9" x14ac:dyDescent="0.3">
      <c r="A69" s="8" t="s">
        <v>116</v>
      </c>
      <c r="B69">
        <v>180</v>
      </c>
      <c r="C69">
        <v>12</v>
      </c>
      <c r="D69" s="9">
        <f>GETPIVOTDATA("Sum of Attrition Yes",$A$67,"Year At company Category","11-20")/GETPIVOTDATA("Count of Employee Number",$A$67,"Year At company Category","11-20")</f>
        <v>6.6666666666666666E-2</v>
      </c>
      <c r="F69" s="11" t="s">
        <v>159</v>
      </c>
      <c r="G69" s="12">
        <v>561</v>
      </c>
      <c r="H69" s="12">
        <v>87</v>
      </c>
      <c r="I69" s="13">
        <f>GETPIVOTDATA("Sum of Attrition Yes",$A$67,"Year At company Category","2-5")/GETPIVOTDATA("Count of Employee Number",$A$67,"Year At company Category","2-5")</f>
        <v>0.15508021390374332</v>
      </c>
    </row>
    <row r="70" spans="1:9" x14ac:dyDescent="0.3">
      <c r="A70" s="8" t="s">
        <v>152</v>
      </c>
      <c r="B70">
        <v>66</v>
      </c>
      <c r="C70">
        <v>8</v>
      </c>
      <c r="D70" s="9">
        <f>GETPIVOTDATA("Sum of Attrition Yes",$A$67,"Year At company Category","21-40")/GETPIVOTDATA("Count of Employee Number",$A$67,"Year At company Category","21-40")</f>
        <v>0.12121212121212122</v>
      </c>
      <c r="F70" s="11" t="s">
        <v>119</v>
      </c>
      <c r="G70" s="12">
        <v>448</v>
      </c>
      <c r="H70" s="12">
        <v>55</v>
      </c>
      <c r="I70" s="13">
        <f>GETPIVOTDATA("Sum of Attrition Yes",$A$67,"Year At company Category","6-10")/GETPIVOTDATA("Count of Employee Number",$A$67,"Year At company Category","6-10")</f>
        <v>0.12276785714285714</v>
      </c>
    </row>
    <row r="71" spans="1:9" x14ac:dyDescent="0.3">
      <c r="A71" s="8" t="s">
        <v>159</v>
      </c>
      <c r="B71">
        <v>561</v>
      </c>
      <c r="C71">
        <v>87</v>
      </c>
      <c r="D71" s="9">
        <f>GETPIVOTDATA("Sum of Attrition Yes",$A$67,"Year At company Category","2-5")/GETPIVOTDATA("Count of Employee Number",$A$67,"Year At company Category","2-5")</f>
        <v>0.15508021390374332</v>
      </c>
      <c r="F71" s="11" t="s">
        <v>116</v>
      </c>
      <c r="G71" s="12">
        <v>180</v>
      </c>
      <c r="H71" s="12">
        <v>12</v>
      </c>
      <c r="I71" s="13">
        <f>GETPIVOTDATA("Sum of Attrition Yes",$A$67,"Year At company Category","11-20")/GETPIVOTDATA("Count of Employee Number",$A$67,"Year At company Category","11-20")</f>
        <v>6.6666666666666666E-2</v>
      </c>
    </row>
    <row r="72" spans="1:9" x14ac:dyDescent="0.3">
      <c r="A72" s="8" t="s">
        <v>119</v>
      </c>
      <c r="B72">
        <v>448</v>
      </c>
      <c r="C72">
        <v>55</v>
      </c>
      <c r="D72" s="9">
        <f>GETPIVOTDATA("Sum of Attrition Yes",$A$67,"Year At company Category","6-10")/GETPIVOTDATA("Count of Employee Number",$A$67,"Year At company Category","6-10")</f>
        <v>0.12276785714285714</v>
      </c>
      <c r="F72" s="11" t="s">
        <v>152</v>
      </c>
      <c r="G72" s="12">
        <v>66</v>
      </c>
      <c r="H72" s="12">
        <v>8</v>
      </c>
      <c r="I72" s="13">
        <f>GETPIVOTDATA("Sum of Attrition Yes",$A$67,"Year At company Category","21-40")/GETPIVOTDATA("Count of Employee Number",$A$67,"Year At company Category","21-40")</f>
        <v>0.12121212121212122</v>
      </c>
    </row>
    <row r="73" spans="1:9" x14ac:dyDescent="0.3">
      <c r="A73" s="8" t="s">
        <v>105</v>
      </c>
      <c r="B73">
        <v>1470</v>
      </c>
      <c r="C73">
        <v>237</v>
      </c>
    </row>
    <row r="76" spans="1:9" x14ac:dyDescent="0.3">
      <c r="A76" t="s">
        <v>177</v>
      </c>
    </row>
    <row r="78" spans="1:9" x14ac:dyDescent="0.3">
      <c r="A78" s="7" t="s">
        <v>99</v>
      </c>
      <c r="B78" t="s">
        <v>167</v>
      </c>
      <c r="C78" t="s">
        <v>169</v>
      </c>
      <c r="F78" s="14" t="s">
        <v>33</v>
      </c>
      <c r="G78" s="14" t="s">
        <v>167</v>
      </c>
      <c r="H78" s="14" t="s">
        <v>169</v>
      </c>
      <c r="I78" s="14" t="s">
        <v>170</v>
      </c>
    </row>
    <row r="79" spans="1:9" x14ac:dyDescent="0.3">
      <c r="A79" s="8" t="s">
        <v>71</v>
      </c>
      <c r="B79">
        <v>1054</v>
      </c>
      <c r="C79">
        <v>110</v>
      </c>
      <c r="D79" s="9">
        <f>GETPIVOTDATA("Sum of Attrition Yes",$A$78,"Over Time","No")/GETPIVOTDATA("Count of Employee Number",$A$78,"Over Time","No")</f>
        <v>0.10436432637571158</v>
      </c>
      <c r="F79" s="11" t="s">
        <v>71</v>
      </c>
      <c r="G79" s="12">
        <v>1054</v>
      </c>
      <c r="H79" s="12">
        <v>110</v>
      </c>
      <c r="I79" s="13">
        <f>GETPIVOTDATA("Sum of Attrition Yes",$A$78,"Over Time","No")/GETPIVOTDATA("Count of Employee Number",$A$78,"Over Time","No")</f>
        <v>0.10436432637571158</v>
      </c>
    </row>
    <row r="80" spans="1:9" x14ac:dyDescent="0.3">
      <c r="A80" s="8" t="s">
        <v>56</v>
      </c>
      <c r="B80">
        <v>416</v>
      </c>
      <c r="C80">
        <v>127</v>
      </c>
      <c r="D80" s="9">
        <f>GETPIVOTDATA("Sum of Attrition Yes",$A$78,"Over Time","Yes")/GETPIVOTDATA("Count of Employee Number",$A$78,"Over Time","Yes")</f>
        <v>0.30528846153846156</v>
      </c>
      <c r="F80" s="11" t="s">
        <v>56</v>
      </c>
      <c r="G80" s="12">
        <v>416</v>
      </c>
      <c r="H80" s="12">
        <v>127</v>
      </c>
      <c r="I80" s="13">
        <f>GETPIVOTDATA("Sum of Attrition Yes",$A$78,"Over Time","Yes")/GETPIVOTDATA("Count of Employee Number",$A$78,"Over Time","Yes")</f>
        <v>0.30528846153846156</v>
      </c>
    </row>
    <row r="81" spans="1:9" x14ac:dyDescent="0.3">
      <c r="A81" s="8" t="s">
        <v>105</v>
      </c>
      <c r="B81">
        <v>1470</v>
      </c>
      <c r="C81">
        <v>237</v>
      </c>
    </row>
    <row r="83" spans="1:9" x14ac:dyDescent="0.3">
      <c r="A83" t="s">
        <v>173</v>
      </c>
    </row>
    <row r="84" spans="1:9" x14ac:dyDescent="0.3">
      <c r="A84" t="s">
        <v>99</v>
      </c>
      <c r="B84" t="s">
        <v>167</v>
      </c>
      <c r="C84" t="s">
        <v>169</v>
      </c>
      <c r="F84" s="14" t="s">
        <v>204</v>
      </c>
      <c r="G84" s="14" t="s">
        <v>167</v>
      </c>
      <c r="H84" s="14" t="s">
        <v>169</v>
      </c>
      <c r="I84" s="14" t="s">
        <v>170</v>
      </c>
    </row>
    <row r="85" spans="1:9" x14ac:dyDescent="0.3">
      <c r="A85" t="s">
        <v>191</v>
      </c>
      <c r="B85">
        <v>224</v>
      </c>
      <c r="C85">
        <v>77</v>
      </c>
      <c r="D85" s="9">
        <f>GETPIVOTDATA("Sum of Attrition Yes",$A$84,"Monthly Income Category","$1,000-$2,500")/GETPIVOTDATA("Count of Employee Number",$A$84,"Monthly Income Category","$1,000-$2,500")</f>
        <v>0.34375</v>
      </c>
      <c r="F85" s="11" t="s">
        <v>191</v>
      </c>
      <c r="G85" s="12">
        <v>224</v>
      </c>
      <c r="H85" s="12">
        <v>77</v>
      </c>
      <c r="I85" s="13">
        <f>GETPIVOTDATA("Sum of Attrition Yes",$A$84,"Monthly Income Category","$1,000-$2,500")/GETPIVOTDATA("Count of Employee Number",$A$84,"Monthly Income Category","$1,000-$2,500")</f>
        <v>0.34375</v>
      </c>
    </row>
    <row r="86" spans="1:9" x14ac:dyDescent="0.3">
      <c r="A86" t="s">
        <v>192</v>
      </c>
      <c r="B86">
        <v>182</v>
      </c>
      <c r="C86">
        <v>18</v>
      </c>
      <c r="D86" s="9">
        <f>GETPIVOTDATA("Sum of Attrition Yes",$A$84,"Monthly Income Category","$5,500-$7,000")/GETPIVOTDATA("Count of Employee Number",$A$84,"Monthly Income Category","$5,500-$7,000")</f>
        <v>9.8901098901098897E-2</v>
      </c>
      <c r="F86" s="11" t="s">
        <v>194</v>
      </c>
      <c r="G86" s="12">
        <v>318</v>
      </c>
      <c r="H86" s="12">
        <v>60</v>
      </c>
      <c r="I86" s="13">
        <f>GETPIVOTDATA("Sum of Attrition Yes",$A$84,"Monthly Income Category","$2,500-$4,000")/GETPIVOTDATA("Count of Employee Number",$A$84,"Monthly Income Category","$2,500-$4,000")</f>
        <v>0.18867924528301888</v>
      </c>
    </row>
    <row r="87" spans="1:9" x14ac:dyDescent="0.3">
      <c r="A87" t="s">
        <v>193</v>
      </c>
      <c r="B87">
        <v>311</v>
      </c>
      <c r="C87">
        <v>35</v>
      </c>
      <c r="D87" s="9">
        <f>GETPIVOTDATA("Sum of Attrition Yes",$A$84,"Monthly Income Category","$4,000-$5,500")/GETPIVOTDATA("Count of Employee Number",$A$84,"Monthly Income Category","$4,000-$5,500")</f>
        <v>0.11254019292604502</v>
      </c>
      <c r="F87" s="11" t="s">
        <v>193</v>
      </c>
      <c r="G87" s="12">
        <v>311</v>
      </c>
      <c r="H87" s="12">
        <v>35</v>
      </c>
      <c r="I87" s="13">
        <f>GETPIVOTDATA("Sum of Attrition Yes",$A$84,"Monthly Income Category","$4,000-$5,500")/GETPIVOTDATA("Count of Employee Number",$A$84,"Monthly Income Category","$4,000-$5,500")</f>
        <v>0.11254019292604502</v>
      </c>
    </row>
    <row r="88" spans="1:9" x14ac:dyDescent="0.3">
      <c r="A88" t="s">
        <v>194</v>
      </c>
      <c r="B88">
        <v>318</v>
      </c>
      <c r="C88">
        <v>60</v>
      </c>
      <c r="D88" s="9">
        <f>GETPIVOTDATA("Sum of Attrition Yes",$A$84,"Monthly Income Category","$2,500-$4,000")/GETPIVOTDATA("Count of Employee Number",$A$84,"Monthly Income Category","$2,500-$4,000")</f>
        <v>0.18867924528301888</v>
      </c>
      <c r="F88" s="11" t="s">
        <v>192</v>
      </c>
      <c r="G88" s="12">
        <v>182</v>
      </c>
      <c r="H88" s="12">
        <v>18</v>
      </c>
      <c r="I88" s="13">
        <f>GETPIVOTDATA("Sum of Attrition Yes",$A$84,"Monthly Income Category","$5,500-$7,000")/GETPIVOTDATA("Count of Employee Number",$A$84,"Monthly Income Category","$5,500-$7,000")</f>
        <v>9.8901098901098897E-2</v>
      </c>
    </row>
    <row r="89" spans="1:9" x14ac:dyDescent="0.3">
      <c r="A89" t="s">
        <v>195</v>
      </c>
      <c r="B89">
        <v>79</v>
      </c>
      <c r="C89">
        <v>12</v>
      </c>
      <c r="D89" s="9">
        <f>GETPIVOTDATA("Sum of Attrition Yes",$A$84,"Monthly Income Category","$8,500-$10,000")/GETPIVOTDATA("Count of Employee Number",$A$84,"Monthly Income Category","$8,500-$10,000")</f>
        <v>0.15189873417721519</v>
      </c>
      <c r="F89" s="11" t="s">
        <v>202</v>
      </c>
      <c r="G89" s="12">
        <v>75</v>
      </c>
      <c r="H89" s="12">
        <v>10</v>
      </c>
      <c r="I89" s="13">
        <f>GETPIVOTDATA("Sum of Attrition Yes",$A$84,"Monthly Income Category","$7,000-$8,500")/GETPIVOTDATA("Count of Employee Number",$A$84,"Monthly Income Category","$7,000-$8,500")</f>
        <v>0.13333333333333333</v>
      </c>
    </row>
    <row r="90" spans="1:9" x14ac:dyDescent="0.3">
      <c r="A90" t="s">
        <v>196</v>
      </c>
      <c r="B90">
        <v>11</v>
      </c>
      <c r="C90">
        <v>0</v>
      </c>
      <c r="D90" s="9">
        <f>GETPIVOTDATA("Sum of Attrition Yes",$A$84,"Monthly Income Category","$14,500-$16,000")/GETPIVOTDATA("Count of Employee Number",$A$84,"Monthly Income Category","$14,500-$16,000")</f>
        <v>0</v>
      </c>
      <c r="F90" s="11" t="s">
        <v>195</v>
      </c>
      <c r="G90" s="12">
        <v>79</v>
      </c>
      <c r="H90" s="12">
        <v>12</v>
      </c>
      <c r="I90" s="13">
        <f>GETPIVOTDATA("Sum of Attrition Yes",$A$84,"Monthly Income Category","$8,500-$10,000")/GETPIVOTDATA("Count of Employee Number",$A$84,"Monthly Income Category","$8,500-$10,000")</f>
        <v>0.15189873417721519</v>
      </c>
    </row>
    <row r="91" spans="1:9" x14ac:dyDescent="0.3">
      <c r="A91" t="s">
        <v>197</v>
      </c>
      <c r="B91">
        <v>24</v>
      </c>
      <c r="C91">
        <v>3</v>
      </c>
      <c r="D91" s="9">
        <f>GETPIVOTDATA("Sum of Attrition Yes",$A$84,"Monthly Income Category","$11,500-$13,000")/GETPIVOTDATA("Count of Employee Number",$A$84,"Monthly Income Category","$11,500-$13,000")</f>
        <v>0.125</v>
      </c>
      <c r="F91" s="11" t="s">
        <v>199</v>
      </c>
      <c r="G91" s="12">
        <v>72</v>
      </c>
      <c r="H91" s="12">
        <v>13</v>
      </c>
      <c r="I91" s="13">
        <f>GETPIVOTDATA("Sum of Attrition Yes",$A$84,"Monthly Income Category","$10,000-$11,500")/GETPIVOTDATA("Count of Employee Number",$A$84,"Monthly Income Category","$10,000-$11,500")</f>
        <v>0.18055555555555555</v>
      </c>
    </row>
    <row r="92" spans="1:9" x14ac:dyDescent="0.3">
      <c r="A92" t="s">
        <v>198</v>
      </c>
      <c r="B92">
        <v>50</v>
      </c>
      <c r="C92">
        <v>4</v>
      </c>
      <c r="D92" s="9">
        <f>GETPIVOTDATA("Sum of Attrition Yes",$A$84,"Monthly Income Category","$19,000-$20,500")/GETPIVOTDATA("Count of Employee Number",$A$84,"Monthly Income Category","$19,000-$20,500")</f>
        <v>0.08</v>
      </c>
      <c r="F92" s="11" t="s">
        <v>197</v>
      </c>
      <c r="G92" s="12">
        <v>24</v>
      </c>
      <c r="H92" s="12">
        <v>3</v>
      </c>
      <c r="I92" s="13">
        <f>GETPIVOTDATA("Sum of Attrition Yes",$A$84,"Monthly Income Category","$11,500-$13,000")/GETPIVOTDATA("Count of Employee Number",$A$84,"Monthly Income Category","$11,500-$13,000")</f>
        <v>0.125</v>
      </c>
    </row>
    <row r="93" spans="1:9" x14ac:dyDescent="0.3">
      <c r="A93" t="s">
        <v>199</v>
      </c>
      <c r="B93">
        <v>72</v>
      </c>
      <c r="C93">
        <v>13</v>
      </c>
      <c r="D93" s="9">
        <f>GETPIVOTDATA("Sum of Attrition Yes",$A$84,"Monthly Income Category","$10,000-$11,500")/GETPIVOTDATA("Count of Employee Number",$A$84,"Monthly Income Category","$10,000-$11,500")</f>
        <v>0.18055555555555555</v>
      </c>
      <c r="F93" s="11" t="s">
        <v>201</v>
      </c>
      <c r="G93" s="12">
        <v>48</v>
      </c>
      <c r="H93" s="12">
        <v>4</v>
      </c>
      <c r="I93" s="13">
        <f>GETPIVOTDATA("Sum of Attrition Yes",$A$84,"Monthly Income Category","$13,000-$14,500")/GETPIVOTDATA("Count of Employee Number",$A$84,"Monthly Income Category","$13,000-$14,500")</f>
        <v>8.3333333333333329E-2</v>
      </c>
    </row>
    <row r="94" spans="1:9" x14ac:dyDescent="0.3">
      <c r="A94" t="s">
        <v>200</v>
      </c>
      <c r="B94">
        <v>31</v>
      </c>
      <c r="C94">
        <v>1</v>
      </c>
      <c r="D94" s="9">
        <f>GETPIVOTDATA("Sum of Attrition Yes",$A$84,"Monthly Income Category","$17,500-$19,000")/GETPIVOTDATA("Count of Employee Number",$A$84,"Monthly Income Category","$17,500-$19,000")</f>
        <v>3.2258064516129031E-2</v>
      </c>
      <c r="F94" s="11" t="s">
        <v>196</v>
      </c>
      <c r="G94" s="12">
        <v>11</v>
      </c>
      <c r="H94" s="12">
        <v>0</v>
      </c>
      <c r="I94" s="13">
        <f>GETPIVOTDATA("Sum of Attrition Yes",$A$84,"Monthly Income Category","$14,500-$16,000")/GETPIVOTDATA("Count of Employee Number",$A$84,"Monthly Income Category","$14,500-$16,000")</f>
        <v>0</v>
      </c>
    </row>
    <row r="95" spans="1:9" x14ac:dyDescent="0.3">
      <c r="A95" t="s">
        <v>201</v>
      </c>
      <c r="B95">
        <v>48</v>
      </c>
      <c r="C95">
        <v>4</v>
      </c>
      <c r="D95" s="9">
        <f>GETPIVOTDATA("Sum of Attrition Yes",$A$84,"Monthly Income Category","$13,000-$14,500")/GETPIVOTDATA("Count of Employee Number",$A$84,"Monthly Income Category","$13,000-$14,500")</f>
        <v>8.3333333333333329E-2</v>
      </c>
      <c r="F95" s="11" t="s">
        <v>196</v>
      </c>
      <c r="G95" s="12">
        <v>11</v>
      </c>
      <c r="H95" s="12">
        <v>0</v>
      </c>
      <c r="I95" s="13">
        <f>GETPIVOTDATA("Sum of Attrition Yes",$A$84,"Monthly Income Category","$14,500-$16,000")/GETPIVOTDATA("Count of Employee Number",$A$84,"Monthly Income Category","$14,500-$16,000")</f>
        <v>0</v>
      </c>
    </row>
    <row r="96" spans="1:9" x14ac:dyDescent="0.3">
      <c r="A96" t="s">
        <v>202</v>
      </c>
      <c r="B96">
        <v>75</v>
      </c>
      <c r="C96">
        <v>10</v>
      </c>
      <c r="D96" s="9">
        <f>GETPIVOTDATA("Sum of Attrition Yes",$A$84,"Monthly Income Category","$7,000-$8,500")/GETPIVOTDATA("Count of Employee Number",$A$84,"Monthly Income Category","$7,000-$8,500")</f>
        <v>0.13333333333333333</v>
      </c>
      <c r="F96" s="11" t="s">
        <v>200</v>
      </c>
      <c r="G96" s="12">
        <v>31</v>
      </c>
      <c r="H96" s="12">
        <v>1</v>
      </c>
      <c r="I96" s="13">
        <f>GETPIVOTDATA("Sum of Attrition Yes",$A$84,"Monthly Income Category","$17,500-$19,000")/GETPIVOTDATA("Count of Employee Number",$A$84,"Monthly Income Category","$17,500-$19,000")</f>
        <v>3.2258064516129031E-2</v>
      </c>
    </row>
    <row r="97" spans="1:9" x14ac:dyDescent="0.3">
      <c r="A97" s="8" t="s">
        <v>203</v>
      </c>
      <c r="B97">
        <v>45</v>
      </c>
      <c r="C97">
        <v>0</v>
      </c>
      <c r="D97" s="9">
        <f>GETPIVOTDATA("Sum of Attrition Yes",$A$84,"Monthly Income Category","$16,000-$17,500")/GETPIVOTDATA("Count of Employee Number",$A$84,"Monthly Income Category","$16,000-$17,500")</f>
        <v>0</v>
      </c>
      <c r="F97" s="11" t="s">
        <v>198</v>
      </c>
      <c r="G97" s="12">
        <v>50</v>
      </c>
      <c r="H97" s="12">
        <v>4</v>
      </c>
      <c r="I97" s="13">
        <f>GETPIVOTDATA("Sum of Attrition Yes",$A$84,"Monthly Income Category","$19,000-$20,500")/GETPIVOTDATA("Count of Employee Number",$A$84,"Monthly Income Category","$19,000-$20,500")</f>
        <v>0.08</v>
      </c>
    </row>
    <row r="98" spans="1:9" x14ac:dyDescent="0.3">
      <c r="A98" s="8" t="s">
        <v>105</v>
      </c>
      <c r="B98">
        <v>1470</v>
      </c>
      <c r="C98">
        <v>237</v>
      </c>
    </row>
  </sheetData>
  <sortState xmlns:xlrd2="http://schemas.microsoft.com/office/spreadsheetml/2017/richdata2" ref="F58:I61">
    <sortCondition ref="F58:F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46AC-4CDB-4A32-AAFB-D9092ADD3A61}">
  <sheetPr>
    <tabColor rgb="FF00B0F0"/>
  </sheetPr>
  <dimension ref="A1:T7"/>
  <sheetViews>
    <sheetView tabSelected="1" topLeftCell="A25" zoomScale="61" zoomScaleNormal="100" workbookViewId="0">
      <selection activeCell="W38" sqref="W38"/>
    </sheetView>
  </sheetViews>
  <sheetFormatPr defaultRowHeight="14.4" x14ac:dyDescent="0.3"/>
  <cols>
    <col min="2" max="2" width="8" customWidth="1"/>
    <col min="4" max="5" width="6.44140625" customWidth="1"/>
    <col min="6" max="6" width="7.33203125" customWidth="1"/>
    <col min="7" max="7" width="6.33203125" customWidth="1"/>
    <col min="8" max="8" width="8.77734375" customWidth="1"/>
    <col min="9" max="10" width="7.33203125" customWidth="1"/>
    <col min="11" max="11" width="6.44140625" customWidth="1"/>
    <col min="12" max="12" width="5.88671875" customWidth="1"/>
    <col min="13" max="13" width="8.33203125" customWidth="1"/>
    <col min="14" max="14" width="8.109375" customWidth="1"/>
    <col min="15" max="15" width="10.77734375" customWidth="1"/>
    <col min="16" max="17" width="16.88671875" customWidth="1"/>
    <col min="20" max="20" width="12.33203125" customWidth="1"/>
  </cols>
  <sheetData>
    <row r="1" spans="1:20" x14ac:dyDescent="0.3">
      <c r="A1" s="28" t="s">
        <v>180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20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</row>
    <row r="3" spans="1:20" ht="15" thickBot="1" x14ac:dyDescent="0.3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ht="14.4" customHeight="1" x14ac:dyDescent="0.3">
      <c r="A4" s="34" t="s">
        <v>181</v>
      </c>
      <c r="B4" s="35"/>
      <c r="C4" s="35"/>
      <c r="D4" s="36"/>
      <c r="E4" s="34" t="s">
        <v>182</v>
      </c>
      <c r="F4" s="35"/>
      <c r="G4" s="35"/>
      <c r="H4" s="36"/>
      <c r="I4" s="34" t="s">
        <v>183</v>
      </c>
      <c r="J4" s="35"/>
      <c r="K4" s="35"/>
      <c r="L4" s="36"/>
      <c r="M4" s="34" t="s">
        <v>184</v>
      </c>
      <c r="N4" s="35"/>
      <c r="O4" s="35"/>
      <c r="P4" s="36"/>
      <c r="Q4" s="34" t="s">
        <v>185</v>
      </c>
      <c r="R4" s="35"/>
      <c r="S4" s="35"/>
      <c r="T4" s="36"/>
    </row>
    <row r="5" spans="1:20" ht="14.4" customHeight="1" thickBot="1" x14ac:dyDescent="0.35">
      <c r="A5" s="37"/>
      <c r="B5" s="38"/>
      <c r="C5" s="38"/>
      <c r="D5" s="39"/>
      <c r="E5" s="37"/>
      <c r="F5" s="38"/>
      <c r="G5" s="38"/>
      <c r="H5" s="39"/>
      <c r="I5" s="37"/>
      <c r="J5" s="38"/>
      <c r="K5" s="38"/>
      <c r="L5" s="39"/>
      <c r="M5" s="37"/>
      <c r="N5" s="38"/>
      <c r="O5" s="38"/>
      <c r="P5" s="39"/>
      <c r="Q5" s="37"/>
      <c r="R5" s="38"/>
      <c r="S5" s="38"/>
      <c r="T5" s="39"/>
    </row>
    <row r="6" spans="1:20" ht="14.4" customHeight="1" x14ac:dyDescent="0.3">
      <c r="A6" s="22">
        <v>1470</v>
      </c>
      <c r="B6" s="23"/>
      <c r="C6" s="23"/>
      <c r="D6" s="24"/>
      <c r="E6" s="22">
        <v>237</v>
      </c>
      <c r="F6" s="23"/>
      <c r="G6" s="23"/>
      <c r="H6" s="24"/>
      <c r="I6" s="40">
        <v>0.16120000000000001</v>
      </c>
      <c r="J6" s="41"/>
      <c r="K6" s="41"/>
      <c r="L6" s="42"/>
      <c r="M6" s="16">
        <v>6500</v>
      </c>
      <c r="N6" s="17"/>
      <c r="O6" s="17"/>
      <c r="P6" s="18"/>
      <c r="Q6" s="22" t="s">
        <v>186</v>
      </c>
      <c r="R6" s="23"/>
      <c r="S6" s="23"/>
      <c r="T6" s="24"/>
    </row>
    <row r="7" spans="1:20" ht="15" customHeight="1" thickBot="1" x14ac:dyDescent="0.35">
      <c r="A7" s="25"/>
      <c r="B7" s="26"/>
      <c r="C7" s="26"/>
      <c r="D7" s="27"/>
      <c r="E7" s="25"/>
      <c r="F7" s="26"/>
      <c r="G7" s="26"/>
      <c r="H7" s="27"/>
      <c r="I7" s="43"/>
      <c r="J7" s="44"/>
      <c r="K7" s="44"/>
      <c r="L7" s="45"/>
      <c r="M7" s="19"/>
      <c r="N7" s="20"/>
      <c r="O7" s="20"/>
      <c r="P7" s="21"/>
      <c r="Q7" s="25"/>
      <c r="R7" s="26"/>
      <c r="S7" s="26"/>
      <c r="T7" s="27"/>
    </row>
  </sheetData>
  <mergeCells count="11">
    <mergeCell ref="M6:P7"/>
    <mergeCell ref="Q6:T7"/>
    <mergeCell ref="A1:T3"/>
    <mergeCell ref="A4:D5"/>
    <mergeCell ref="E4:H5"/>
    <mergeCell ref="I4:L5"/>
    <mergeCell ref="M4:P5"/>
    <mergeCell ref="Q4:T5"/>
    <mergeCell ref="A6:D7"/>
    <mergeCell ref="E6:H7"/>
    <mergeCell ref="I6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Tables</vt:lpstr>
      <vt:lpstr>Pivot for 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Geetank Aludiya</dc:creator>
  <cp:lastModifiedBy>Geetank Aludiya</cp:lastModifiedBy>
  <dcterms:created xsi:type="dcterms:W3CDTF">2026-08-13T07:45:01Z</dcterms:created>
  <dcterms:modified xsi:type="dcterms:W3CDTF">2026-08-13T16:46:52Z</dcterms:modified>
</cp:coreProperties>
</file>